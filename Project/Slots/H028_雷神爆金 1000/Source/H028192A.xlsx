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693E986-C58A-45B4-8DCE-C05DBCBF3EDC}" xr6:coauthVersionLast="47" xr6:coauthVersionMax="47" xr10:uidLastSave="{00000000-0000-0000-0000-000000000000}"/>
  <bookViews>
    <workbookView xWindow="-28920" yWindow="60" windowWidth="29040" windowHeight="15720" tabRatio="858" activeTab="9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71" l="1" a="1"/>
  <c r="L4" i="71" s="1"/>
  <c r="L4" i="70" a="1"/>
  <c r="L4" i="70" s="1"/>
  <c r="L4" i="69" a="1"/>
  <c r="L4" i="69" s="1"/>
  <c r="L4" i="67" a="1"/>
  <c r="L4" i="67" s="1"/>
  <c r="L4" i="59" a="1"/>
  <c r="L4" i="59" s="1"/>
  <c r="A4" i="75" a="1"/>
  <c r="D26" i="75" s="1"/>
  <c r="A4" i="74" a="1"/>
  <c r="E21" i="74" s="1"/>
  <c r="A4" i="60" a="1"/>
  <c r="C29" i="60" s="1"/>
  <c r="A4" i="72" a="1"/>
  <c r="F29" i="72" s="1"/>
  <c r="A4" i="71" a="1"/>
  <c r="D19" i="71" s="1"/>
  <c r="A4" i="70" a="1"/>
  <c r="A4" i="69" a="1"/>
  <c r="I25" i="69" s="1"/>
  <c r="A4" i="67" a="1"/>
  <c r="E9" i="67" s="1"/>
  <c r="A4" i="59" a="1"/>
  <c r="G18" i="59" s="1"/>
  <c r="E9" i="58"/>
  <c r="G9" i="58" s="1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E87" i="64" a="1"/>
  <c r="E87" i="64" s="1"/>
  <c r="J87" i="64" s="1" a="1"/>
  <c r="J87" i="64" s="1"/>
  <c r="K87" i="64" s="1" a="1"/>
  <c r="K87" i="64" s="1"/>
  <c r="L87" i="64" s="1" a="1"/>
  <c r="L87" i="64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H15" i="64"/>
  <c r="E15" i="64" a="1"/>
  <c r="E15" i="64" s="1"/>
  <c r="J15" i="64" s="1" a="1"/>
  <c r="K79" i="64" s="1"/>
  <c r="F8" i="64"/>
  <c r="G8" i="64" s="1"/>
  <c r="B7" i="64" a="1"/>
  <c r="B7" i="64" s="1"/>
  <c r="B3" i="64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B7" i="66" a="1"/>
  <c r="B7" i="66" s="1"/>
  <c r="B3" i="66"/>
  <c r="B40" i="4"/>
  <c r="C21" i="4"/>
  <c r="A21" i="4"/>
  <c r="C17" i="4"/>
  <c r="A17" i="4"/>
  <c r="A11" i="4" a="1"/>
  <c r="A11" i="4" s="1"/>
  <c r="B7" i="4"/>
  <c r="A4" i="60" l="1"/>
  <c r="G17" i="60"/>
  <c r="F29" i="60"/>
  <c r="D25" i="71"/>
  <c r="F17" i="60"/>
  <c r="G20" i="75"/>
  <c r="H20" i="75"/>
  <c r="H23" i="71"/>
  <c r="I23" i="71"/>
  <c r="C25" i="71"/>
  <c r="F21" i="75"/>
  <c r="F28" i="59"/>
  <c r="F9" i="59"/>
  <c r="E9" i="72"/>
  <c r="E10" i="72"/>
  <c r="I28" i="67"/>
  <c r="E16" i="72"/>
  <c r="H6" i="75"/>
  <c r="E28" i="75"/>
  <c r="E13" i="59"/>
  <c r="G17" i="72"/>
  <c r="C29" i="75"/>
  <c r="C14" i="59"/>
  <c r="I22" i="72"/>
  <c r="D23" i="72"/>
  <c r="G15" i="59"/>
  <c r="D14" i="75"/>
  <c r="G16" i="75"/>
  <c r="D6" i="75"/>
  <c r="G26" i="75"/>
  <c r="E22" i="67"/>
  <c r="H11" i="59"/>
  <c r="C27" i="75"/>
  <c r="E29" i="75"/>
  <c r="E13" i="75"/>
  <c r="D22" i="59"/>
  <c r="F28" i="72"/>
  <c r="F9" i="71"/>
  <c r="E29" i="72"/>
  <c r="I14" i="75"/>
  <c r="C24" i="59"/>
  <c r="H9" i="71"/>
  <c r="F16" i="75"/>
  <c r="C10" i="71"/>
  <c r="G24" i="59"/>
  <c r="C11" i="71"/>
  <c r="I15" i="60"/>
  <c r="AA101" i="60" s="1"/>
  <c r="E18" i="75"/>
  <c r="G21" i="75"/>
  <c r="H26" i="75"/>
  <c r="F9" i="72"/>
  <c r="F12" i="59"/>
  <c r="G6" i="75"/>
  <c r="G25" i="69"/>
  <c r="F15" i="59"/>
  <c r="E23" i="72"/>
  <c r="I22" i="59"/>
  <c r="F24" i="59"/>
  <c r="H25" i="59"/>
  <c r="I18" i="71"/>
  <c r="F16" i="60"/>
  <c r="H18" i="75"/>
  <c r="I7" i="59"/>
  <c r="H28" i="59"/>
  <c r="C8" i="59"/>
  <c r="G8" i="59"/>
  <c r="D21" i="67"/>
  <c r="E21" i="67"/>
  <c r="C11" i="59"/>
  <c r="E6" i="75"/>
  <c r="I27" i="67"/>
  <c r="F6" i="75"/>
  <c r="F28" i="67"/>
  <c r="C28" i="75"/>
  <c r="H12" i="59"/>
  <c r="F7" i="75"/>
  <c r="C9" i="75"/>
  <c r="F13" i="75"/>
  <c r="A4" i="59"/>
  <c r="Z95" i="59" s="1"/>
  <c r="C27" i="59"/>
  <c r="C20" i="75"/>
  <c r="H5" i="67"/>
  <c r="F15" i="66" a="1"/>
  <c r="F87" i="66" a="1"/>
  <c r="F87" i="66" s="1"/>
  <c r="I13" i="67"/>
  <c r="G21" i="67"/>
  <c r="C8" i="67"/>
  <c r="I18" i="67"/>
  <c r="F27" i="67"/>
  <c r="E11" i="67"/>
  <c r="I24" i="67"/>
  <c r="D9" i="67"/>
  <c r="H24" i="67"/>
  <c r="G8" i="67"/>
  <c r="I22" i="67"/>
  <c r="I5" i="67"/>
  <c r="C21" i="67"/>
  <c r="E15" i="67"/>
  <c r="G28" i="67"/>
  <c r="I6" i="67"/>
  <c r="E28" i="67"/>
  <c r="G5" i="67"/>
  <c r="G24" i="67"/>
  <c r="G18" i="67"/>
  <c r="F17" i="67"/>
  <c r="F9" i="67"/>
  <c r="C15" i="67"/>
  <c r="H11" i="67"/>
  <c r="I14" i="67"/>
  <c r="G11" i="67"/>
  <c r="H18" i="67"/>
  <c r="E19" i="67"/>
  <c r="F19" i="67"/>
  <c r="E25" i="69"/>
  <c r="D29" i="69"/>
  <c r="H24" i="70"/>
  <c r="E28" i="70"/>
  <c r="I10" i="75"/>
  <c r="G22" i="75"/>
  <c r="C5" i="59"/>
  <c r="I16" i="59"/>
  <c r="I26" i="70"/>
  <c r="I9" i="75"/>
  <c r="I21" i="75"/>
  <c r="D5" i="59"/>
  <c r="D18" i="59"/>
  <c r="I28" i="70"/>
  <c r="E5" i="59"/>
  <c r="F18" i="59"/>
  <c r="E11" i="75"/>
  <c r="H22" i="75"/>
  <c r="I5" i="59"/>
  <c r="D12" i="75"/>
  <c r="I22" i="75"/>
  <c r="G27" i="59"/>
  <c r="I21" i="59"/>
  <c r="I12" i="59"/>
  <c r="C6" i="59"/>
  <c r="I28" i="59"/>
  <c r="E18" i="59"/>
  <c r="I9" i="59"/>
  <c r="E23" i="59"/>
  <c r="E15" i="59"/>
  <c r="I6" i="59"/>
  <c r="C21" i="59"/>
  <c r="E11" i="59"/>
  <c r="G20" i="59"/>
  <c r="D11" i="59"/>
  <c r="H19" i="59"/>
  <c r="G10" i="59"/>
  <c r="D29" i="59"/>
  <c r="C18" i="59"/>
  <c r="D8" i="59"/>
  <c r="F22" i="59"/>
  <c r="G9" i="59"/>
  <c r="E17" i="59"/>
  <c r="H6" i="59"/>
  <c r="H16" i="59"/>
  <c r="H5" i="59"/>
  <c r="H15" i="59"/>
  <c r="D7" i="59"/>
  <c r="C20" i="59"/>
  <c r="C13" i="75"/>
  <c r="H25" i="75"/>
  <c r="E7" i="59"/>
  <c r="H21" i="59"/>
  <c r="D13" i="75"/>
  <c r="I11" i="59"/>
  <c r="I25" i="59"/>
  <c r="G25" i="75"/>
  <c r="I29" i="75"/>
  <c r="C24" i="75"/>
  <c r="D18" i="75"/>
  <c r="G11" i="75"/>
  <c r="C6" i="75"/>
  <c r="D24" i="75"/>
  <c r="C18" i="75"/>
  <c r="D11" i="75"/>
  <c r="A4" i="75"/>
  <c r="V62" i="75" s="1"/>
  <c r="H23" i="75"/>
  <c r="I17" i="75"/>
  <c r="C11" i="75"/>
  <c r="D28" i="75"/>
  <c r="C22" i="75"/>
  <c r="H15" i="75"/>
  <c r="E9" i="75"/>
  <c r="G27" i="75"/>
  <c r="H21" i="75"/>
  <c r="G14" i="75"/>
  <c r="D8" i="75"/>
  <c r="F26" i="75"/>
  <c r="G18" i="75"/>
  <c r="G10" i="75"/>
  <c r="E26" i="75"/>
  <c r="F18" i="75"/>
  <c r="F10" i="75"/>
  <c r="C26" i="75"/>
  <c r="H17" i="75"/>
  <c r="F9" i="75"/>
  <c r="E23" i="75"/>
  <c r="E16" i="75"/>
  <c r="C7" i="75"/>
  <c r="I28" i="75"/>
  <c r="D19" i="75"/>
  <c r="C8" i="75"/>
  <c r="I25" i="75"/>
  <c r="F14" i="75"/>
  <c r="E25" i="75"/>
  <c r="C14" i="75"/>
  <c r="C23" i="75"/>
  <c r="G13" i="75"/>
  <c r="G17" i="75"/>
  <c r="D29" i="75"/>
  <c r="G29" i="71"/>
  <c r="A4" i="71"/>
  <c r="F18" i="71"/>
  <c r="H10" i="71"/>
  <c r="G18" i="71"/>
  <c r="H18" i="71"/>
  <c r="E20" i="72"/>
  <c r="D16" i="72"/>
  <c r="F19" i="71"/>
  <c r="G18" i="72"/>
  <c r="C24" i="72"/>
  <c r="E15" i="74"/>
  <c r="F12" i="71"/>
  <c r="E19" i="60"/>
  <c r="G10" i="72"/>
  <c r="D18" i="60"/>
  <c r="H10" i="72"/>
  <c r="F8" i="69"/>
  <c r="G12" i="71"/>
  <c r="I25" i="71"/>
  <c r="D6" i="72"/>
  <c r="D25" i="72"/>
  <c r="E25" i="74"/>
  <c r="C9" i="69"/>
  <c r="I12" i="70"/>
  <c r="I12" i="71"/>
  <c r="G20" i="71"/>
  <c r="F27" i="71"/>
  <c r="F12" i="72"/>
  <c r="F19" i="72"/>
  <c r="F25" i="72"/>
  <c r="F7" i="60"/>
  <c r="C21" i="60"/>
  <c r="G9" i="69"/>
  <c r="H13" i="70"/>
  <c r="I5" i="71"/>
  <c r="D14" i="71"/>
  <c r="I20" i="71"/>
  <c r="H27" i="71"/>
  <c r="G6" i="72"/>
  <c r="C13" i="72"/>
  <c r="F20" i="72"/>
  <c r="G25" i="72"/>
  <c r="G8" i="60"/>
  <c r="C23" i="60"/>
  <c r="E7" i="75"/>
  <c r="F11" i="75"/>
  <c r="G15" i="75"/>
  <c r="C19" i="75"/>
  <c r="D23" i="75"/>
  <c r="D27" i="75"/>
  <c r="C29" i="70"/>
  <c r="D5" i="72"/>
  <c r="H23" i="72"/>
  <c r="H12" i="74"/>
  <c r="E11" i="71"/>
  <c r="F25" i="71"/>
  <c r="E18" i="60"/>
  <c r="F7" i="70"/>
  <c r="G19" i="71"/>
  <c r="H25" i="71"/>
  <c r="I5" i="72"/>
  <c r="D11" i="72"/>
  <c r="C19" i="72"/>
  <c r="D24" i="72"/>
  <c r="F5" i="60"/>
  <c r="E20" i="74"/>
  <c r="I13" i="69"/>
  <c r="C14" i="70"/>
  <c r="F14" i="71"/>
  <c r="G21" i="71"/>
  <c r="D28" i="71"/>
  <c r="D7" i="72"/>
  <c r="G13" i="72"/>
  <c r="G20" i="72"/>
  <c r="C26" i="72"/>
  <c r="E10" i="60"/>
  <c r="E23" i="60"/>
  <c r="E8" i="59"/>
  <c r="F14" i="59"/>
  <c r="F19" i="59"/>
  <c r="C25" i="59"/>
  <c r="I11" i="67"/>
  <c r="E24" i="67"/>
  <c r="D14" i="69"/>
  <c r="D14" i="70"/>
  <c r="G6" i="71"/>
  <c r="G14" i="71"/>
  <c r="H21" i="71"/>
  <c r="F28" i="71"/>
  <c r="F7" i="72"/>
  <c r="H13" i="72"/>
  <c r="I20" i="72"/>
  <c r="D26" i="72"/>
  <c r="F10" i="60"/>
  <c r="F23" i="60"/>
  <c r="G7" i="75"/>
  <c r="H11" i="75"/>
  <c r="C16" i="75"/>
  <c r="F19" i="75"/>
  <c r="F23" i="75"/>
  <c r="H27" i="75"/>
  <c r="F8" i="59"/>
  <c r="D15" i="59"/>
  <c r="G19" i="59"/>
  <c r="F25" i="59"/>
  <c r="E12" i="67"/>
  <c r="F24" i="67"/>
  <c r="E14" i="69"/>
  <c r="F14" i="70"/>
  <c r="H6" i="71"/>
  <c r="H14" i="71"/>
  <c r="I21" i="71"/>
  <c r="D29" i="71"/>
  <c r="G7" i="72"/>
  <c r="I13" i="72"/>
  <c r="F21" i="72"/>
  <c r="E26" i="72"/>
  <c r="G10" i="60"/>
  <c r="G23" i="60"/>
  <c r="H7" i="75"/>
  <c r="I11" i="75"/>
  <c r="D16" i="75"/>
  <c r="I19" i="75"/>
  <c r="G23" i="75"/>
  <c r="I27" i="75"/>
  <c r="H17" i="72"/>
  <c r="G14" i="69"/>
  <c r="G17" i="70"/>
  <c r="E7" i="71"/>
  <c r="H15" i="71"/>
  <c r="E29" i="71"/>
  <c r="I7" i="72"/>
  <c r="C14" i="72"/>
  <c r="H21" i="72"/>
  <c r="F26" i="72"/>
  <c r="H10" i="60"/>
  <c r="D24" i="60"/>
  <c r="E18" i="69"/>
  <c r="H18" i="70"/>
  <c r="H7" i="71"/>
  <c r="D16" i="71"/>
  <c r="H29" i="71"/>
  <c r="C8" i="72"/>
  <c r="D14" i="72"/>
  <c r="I21" i="72"/>
  <c r="D27" i="72"/>
  <c r="D12" i="60"/>
  <c r="I24" i="60"/>
  <c r="W84" i="60" s="1"/>
  <c r="D21" i="70"/>
  <c r="E16" i="71"/>
  <c r="D8" i="72"/>
  <c r="I14" i="72"/>
  <c r="C22" i="72"/>
  <c r="E27" i="72"/>
  <c r="E12" i="60"/>
  <c r="E10" i="74"/>
  <c r="C7" i="70"/>
  <c r="I10" i="70"/>
  <c r="H12" i="71"/>
  <c r="C12" i="72"/>
  <c r="I18" i="69"/>
  <c r="D8" i="71"/>
  <c r="E22" i="71"/>
  <c r="G15" i="67"/>
  <c r="C25" i="67"/>
  <c r="D20" i="69"/>
  <c r="C22" i="70"/>
  <c r="E8" i="71"/>
  <c r="F16" i="71"/>
  <c r="F22" i="71"/>
  <c r="E8" i="72"/>
  <c r="H15" i="72"/>
  <c r="D22" i="72"/>
  <c r="F27" i="72"/>
  <c r="G12" i="60"/>
  <c r="F25" i="60"/>
  <c r="E5" i="75"/>
  <c r="E8" i="75"/>
  <c r="G12" i="75"/>
  <c r="H16" i="75"/>
  <c r="C21" i="75"/>
  <c r="E24" i="75"/>
  <c r="F28" i="75"/>
  <c r="F10" i="72"/>
  <c r="G23" i="72"/>
  <c r="E11" i="74"/>
  <c r="H5" i="72"/>
  <c r="E5" i="60"/>
  <c r="G5" i="71"/>
  <c r="F5" i="59"/>
  <c r="I15" i="59"/>
  <c r="D21" i="59"/>
  <c r="F27" i="59"/>
  <c r="D5" i="67"/>
  <c r="H15" i="67"/>
  <c r="D25" i="67"/>
  <c r="D24" i="69"/>
  <c r="F22" i="70"/>
  <c r="G8" i="71"/>
  <c r="G16" i="71"/>
  <c r="G22" i="71"/>
  <c r="F8" i="72"/>
  <c r="I15" i="72"/>
  <c r="F22" i="72"/>
  <c r="D28" i="72"/>
  <c r="C14" i="60"/>
  <c r="I26" i="60"/>
  <c r="V58" i="60" s="1"/>
  <c r="H5" i="75"/>
  <c r="F8" i="75"/>
  <c r="H12" i="75"/>
  <c r="C17" i="75"/>
  <c r="D21" i="75"/>
  <c r="G24" i="75"/>
  <c r="G28" i="75"/>
  <c r="I5" i="70"/>
  <c r="F18" i="72"/>
  <c r="C8" i="70"/>
  <c r="I19" i="71"/>
  <c r="E11" i="72"/>
  <c r="D19" i="72"/>
  <c r="G5" i="60"/>
  <c r="G19" i="60"/>
  <c r="H8" i="69"/>
  <c r="F20" i="71"/>
  <c r="D26" i="71"/>
  <c r="E6" i="72"/>
  <c r="E19" i="72"/>
  <c r="E25" i="72"/>
  <c r="E7" i="60"/>
  <c r="C20" i="60"/>
  <c r="E28" i="74"/>
  <c r="F6" i="72"/>
  <c r="G5" i="59"/>
  <c r="C10" i="59"/>
  <c r="C16" i="59"/>
  <c r="E21" i="59"/>
  <c r="C28" i="59"/>
  <c r="E5" i="67"/>
  <c r="I16" i="67"/>
  <c r="D27" i="67"/>
  <c r="I25" i="70"/>
  <c r="E17" i="71"/>
  <c r="H22" i="71"/>
  <c r="C9" i="72"/>
  <c r="C16" i="72"/>
  <c r="H22" i="72"/>
  <c r="E28" i="72"/>
  <c r="D14" i="60"/>
  <c r="I5" i="75"/>
  <c r="G8" i="75"/>
  <c r="I12" i="75"/>
  <c r="E17" i="75"/>
  <c r="E21" i="75"/>
  <c r="I24" i="75"/>
  <c r="H28" i="75"/>
  <c r="M87" i="66" a="1"/>
  <c r="M87" i="66" s="1"/>
  <c r="J7" i="66" a="1"/>
  <c r="J7" i="66" s="1"/>
  <c r="J15" i="66"/>
  <c r="K15" i="66" s="1" a="1"/>
  <c r="K15" i="66" s="1"/>
  <c r="K79" i="66"/>
  <c r="K81" i="66" s="1"/>
  <c r="J7" i="64" a="1"/>
  <c r="J7" i="64" s="1"/>
  <c r="M87" i="64" a="1"/>
  <c r="M87" i="64" s="1"/>
  <c r="J8" i="64" a="1"/>
  <c r="J8" i="64" s="1"/>
  <c r="M157" i="64" a="1"/>
  <c r="M157" i="64" s="1"/>
  <c r="F87" i="64" a="1"/>
  <c r="F87" i="64" s="1"/>
  <c r="F15" i="64" a="1"/>
  <c r="I19" i="59"/>
  <c r="E22" i="59"/>
  <c r="F157" i="64" a="1"/>
  <c r="F157" i="64" s="1"/>
  <c r="E29" i="59"/>
  <c r="G26" i="59"/>
  <c r="I29" i="59"/>
  <c r="I26" i="59"/>
  <c r="I23" i="59"/>
  <c r="C22" i="59"/>
  <c r="E19" i="59"/>
  <c r="G16" i="59"/>
  <c r="I13" i="59"/>
  <c r="C12" i="59"/>
  <c r="E9" i="59"/>
  <c r="G6" i="59"/>
  <c r="H29" i="59"/>
  <c r="H26" i="59"/>
  <c r="H23" i="59"/>
  <c r="D19" i="59"/>
  <c r="F16" i="59"/>
  <c r="H13" i="59"/>
  <c r="D9" i="59"/>
  <c r="F6" i="59"/>
  <c r="G29" i="59"/>
  <c r="F26" i="59"/>
  <c r="G23" i="59"/>
  <c r="I20" i="59"/>
  <c r="C19" i="59"/>
  <c r="E16" i="59"/>
  <c r="G13" i="59"/>
  <c r="I10" i="59"/>
  <c r="C9" i="59"/>
  <c r="E6" i="59"/>
  <c r="F29" i="59"/>
  <c r="E26" i="59"/>
  <c r="F23" i="59"/>
  <c r="H20" i="59"/>
  <c r="D16" i="59"/>
  <c r="F13" i="59"/>
  <c r="H10" i="59"/>
  <c r="D6" i="59"/>
  <c r="D26" i="59"/>
  <c r="C29" i="59"/>
  <c r="C26" i="59"/>
  <c r="D23" i="59"/>
  <c r="F20" i="59"/>
  <c r="H17" i="59"/>
  <c r="D13" i="59"/>
  <c r="F10" i="59"/>
  <c r="H7" i="59"/>
  <c r="I27" i="59"/>
  <c r="I24" i="59"/>
  <c r="C23" i="59"/>
  <c r="E20" i="59"/>
  <c r="G17" i="59"/>
  <c r="I14" i="59"/>
  <c r="C13" i="59"/>
  <c r="E10" i="59"/>
  <c r="G7" i="59"/>
  <c r="H27" i="59"/>
  <c r="H24" i="59"/>
  <c r="D20" i="59"/>
  <c r="F17" i="59"/>
  <c r="H14" i="59"/>
  <c r="D10" i="59"/>
  <c r="F7" i="59"/>
  <c r="E27" i="59"/>
  <c r="E24" i="59"/>
  <c r="G21" i="59"/>
  <c r="I18" i="59"/>
  <c r="C17" i="59"/>
  <c r="E14" i="59"/>
  <c r="G11" i="59"/>
  <c r="I8" i="59"/>
  <c r="C7" i="59"/>
  <c r="D27" i="59"/>
  <c r="D24" i="59"/>
  <c r="F21" i="59"/>
  <c r="H18" i="59"/>
  <c r="D14" i="59"/>
  <c r="F11" i="59"/>
  <c r="H8" i="59"/>
  <c r="H9" i="59"/>
  <c r="D12" i="59"/>
  <c r="G14" i="59"/>
  <c r="G22" i="59"/>
  <c r="D25" i="59"/>
  <c r="D28" i="59"/>
  <c r="E12" i="59"/>
  <c r="D17" i="59"/>
  <c r="H22" i="59"/>
  <c r="E25" i="59"/>
  <c r="E28" i="59"/>
  <c r="J15" i="64"/>
  <c r="K15" i="64" s="1" a="1"/>
  <c r="K15" i="64" s="1"/>
  <c r="L15" i="64" s="1" a="1"/>
  <c r="L15" i="64" s="1"/>
  <c r="G12" i="59"/>
  <c r="C15" i="59"/>
  <c r="I17" i="59"/>
  <c r="G25" i="59"/>
  <c r="G28" i="59"/>
  <c r="F29" i="69"/>
  <c r="H26" i="69"/>
  <c r="D22" i="69"/>
  <c r="F19" i="69"/>
  <c r="H16" i="69"/>
  <c r="D12" i="69"/>
  <c r="F9" i="69"/>
  <c r="H6" i="69"/>
  <c r="D27" i="69"/>
  <c r="F24" i="69"/>
  <c r="H21" i="69"/>
  <c r="D17" i="69"/>
  <c r="F14" i="69"/>
  <c r="H11" i="69"/>
  <c r="D7" i="69"/>
  <c r="F27" i="69"/>
  <c r="C24" i="69"/>
  <c r="I22" i="69"/>
  <c r="G19" i="69"/>
  <c r="D16" i="69"/>
  <c r="G11" i="69"/>
  <c r="E8" i="69"/>
  <c r="C5" i="69"/>
  <c r="E27" i="69"/>
  <c r="H22" i="69"/>
  <c r="E19" i="69"/>
  <c r="C16" i="69"/>
  <c r="I14" i="69"/>
  <c r="F11" i="69"/>
  <c r="D8" i="69"/>
  <c r="E28" i="69"/>
  <c r="I26" i="69"/>
  <c r="E21" i="69"/>
  <c r="I19" i="69"/>
  <c r="C14" i="69"/>
  <c r="G12" i="69"/>
  <c r="C7" i="69"/>
  <c r="G5" i="69"/>
  <c r="D28" i="69"/>
  <c r="G26" i="69"/>
  <c r="D21" i="69"/>
  <c r="H19" i="69"/>
  <c r="I17" i="69"/>
  <c r="F12" i="69"/>
  <c r="I10" i="69"/>
  <c r="F5" i="69"/>
  <c r="C28" i="69"/>
  <c r="F26" i="69"/>
  <c r="C21" i="69"/>
  <c r="D19" i="69"/>
  <c r="H17" i="69"/>
  <c r="E12" i="69"/>
  <c r="H10" i="69"/>
  <c r="E5" i="69"/>
  <c r="E26" i="69"/>
  <c r="I24" i="69"/>
  <c r="C19" i="69"/>
  <c r="G17" i="69"/>
  <c r="C12" i="69"/>
  <c r="G10" i="69"/>
  <c r="D5" i="69"/>
  <c r="I29" i="69"/>
  <c r="E24" i="69"/>
  <c r="G22" i="69"/>
  <c r="C17" i="69"/>
  <c r="G15" i="69"/>
  <c r="D10" i="69"/>
  <c r="G8" i="69"/>
  <c r="I6" i="69"/>
  <c r="G29" i="69"/>
  <c r="E22" i="69"/>
  <c r="H20" i="69"/>
  <c r="E15" i="69"/>
  <c r="H13" i="69"/>
  <c r="C8" i="69"/>
  <c r="F6" i="69"/>
  <c r="E29" i="69"/>
  <c r="I27" i="69"/>
  <c r="C22" i="69"/>
  <c r="G20" i="69"/>
  <c r="D15" i="69"/>
  <c r="G13" i="69"/>
  <c r="E6" i="69"/>
  <c r="F25" i="69"/>
  <c r="I23" i="69"/>
  <c r="C20" i="69"/>
  <c r="F18" i="69"/>
  <c r="C13" i="69"/>
  <c r="D11" i="69"/>
  <c r="H9" i="69"/>
  <c r="F28" i="69"/>
  <c r="D25" i="69"/>
  <c r="G16" i="69"/>
  <c r="F13" i="69"/>
  <c r="I7" i="69"/>
  <c r="C25" i="69"/>
  <c r="F16" i="69"/>
  <c r="E13" i="69"/>
  <c r="F10" i="69"/>
  <c r="H7" i="69"/>
  <c r="E16" i="69"/>
  <c r="D13" i="69"/>
  <c r="E10" i="69"/>
  <c r="G7" i="69"/>
  <c r="C10" i="69"/>
  <c r="F7" i="69"/>
  <c r="G27" i="69"/>
  <c r="H24" i="69"/>
  <c r="H18" i="69"/>
  <c r="I15" i="69"/>
  <c r="A4" i="69"/>
  <c r="C27" i="69"/>
  <c r="G24" i="69"/>
  <c r="I21" i="69"/>
  <c r="G18" i="69"/>
  <c r="H15" i="69"/>
  <c r="I9" i="69"/>
  <c r="F21" i="69"/>
  <c r="D18" i="69"/>
  <c r="C15" i="69"/>
  <c r="H12" i="69"/>
  <c r="E9" i="69"/>
  <c r="D6" i="69"/>
  <c r="H29" i="69"/>
  <c r="H23" i="69"/>
  <c r="I20" i="69"/>
  <c r="C29" i="69"/>
  <c r="D26" i="69"/>
  <c r="F23" i="69"/>
  <c r="E20" i="69"/>
  <c r="F17" i="69"/>
  <c r="H14" i="69"/>
  <c r="I11" i="69"/>
  <c r="I8" i="69"/>
  <c r="D9" i="69"/>
  <c r="H25" i="69"/>
  <c r="G9" i="67"/>
  <c r="I15" i="67"/>
  <c r="F22" i="67"/>
  <c r="E25" i="67"/>
  <c r="F20" i="69"/>
  <c r="F6" i="67"/>
  <c r="I9" i="67"/>
  <c r="D19" i="67"/>
  <c r="G22" i="67"/>
  <c r="G25" i="67"/>
  <c r="F15" i="69"/>
  <c r="C26" i="69"/>
  <c r="H5" i="69"/>
  <c r="I5" i="69"/>
  <c r="I16" i="69"/>
  <c r="G21" i="69"/>
  <c r="G19" i="67"/>
  <c r="C26" i="67"/>
  <c r="C7" i="67"/>
  <c r="H13" i="67"/>
  <c r="I19" i="67"/>
  <c r="I26" i="67"/>
  <c r="I29" i="67"/>
  <c r="C11" i="69"/>
  <c r="F22" i="69"/>
  <c r="A4" i="67"/>
  <c r="D7" i="67"/>
  <c r="D10" i="67"/>
  <c r="E11" i="69"/>
  <c r="H27" i="69"/>
  <c r="D29" i="67"/>
  <c r="F26" i="67"/>
  <c r="H23" i="67"/>
  <c r="H29" i="67"/>
  <c r="H26" i="67"/>
  <c r="G23" i="67"/>
  <c r="I20" i="67"/>
  <c r="C19" i="67"/>
  <c r="E16" i="67"/>
  <c r="G13" i="67"/>
  <c r="I10" i="67"/>
  <c r="C9" i="67"/>
  <c r="E6" i="67"/>
  <c r="G29" i="67"/>
  <c r="G26" i="67"/>
  <c r="F23" i="67"/>
  <c r="H20" i="67"/>
  <c r="D16" i="67"/>
  <c r="F13" i="67"/>
  <c r="H10" i="67"/>
  <c r="D6" i="67"/>
  <c r="F29" i="67"/>
  <c r="E26" i="67"/>
  <c r="E23" i="67"/>
  <c r="G20" i="67"/>
  <c r="I17" i="67"/>
  <c r="C16" i="67"/>
  <c r="E13" i="67"/>
  <c r="G10" i="67"/>
  <c r="I7" i="67"/>
  <c r="C6" i="67"/>
  <c r="E29" i="67"/>
  <c r="D26" i="67"/>
  <c r="D23" i="67"/>
  <c r="F20" i="67"/>
  <c r="H17" i="67"/>
  <c r="D13" i="67"/>
  <c r="F10" i="67"/>
  <c r="H7" i="67"/>
  <c r="H28" i="67"/>
  <c r="H25" i="67"/>
  <c r="H22" i="67"/>
  <c r="D18" i="67"/>
  <c r="F15" i="67"/>
  <c r="H12" i="67"/>
  <c r="D8" i="67"/>
  <c r="F5" i="67"/>
  <c r="D28" i="67"/>
  <c r="C24" i="67"/>
  <c r="D22" i="67"/>
  <c r="C20" i="67"/>
  <c r="F18" i="67"/>
  <c r="H16" i="67"/>
  <c r="G14" i="67"/>
  <c r="C28" i="67"/>
  <c r="C22" i="67"/>
  <c r="E18" i="67"/>
  <c r="G16" i="67"/>
  <c r="F14" i="67"/>
  <c r="I12" i="67"/>
  <c r="C18" i="67"/>
  <c r="F16" i="67"/>
  <c r="E14" i="67"/>
  <c r="G12" i="67"/>
  <c r="I8" i="67"/>
  <c r="D14" i="67"/>
  <c r="F12" i="67"/>
  <c r="E10" i="67"/>
  <c r="H8" i="67"/>
  <c r="H27" i="67"/>
  <c r="I21" i="67"/>
  <c r="D12" i="67"/>
  <c r="C10" i="67"/>
  <c r="F8" i="67"/>
  <c r="H6" i="67"/>
  <c r="G27" i="67"/>
  <c r="I25" i="67"/>
  <c r="H21" i="67"/>
  <c r="C12" i="67"/>
  <c r="E8" i="67"/>
  <c r="G6" i="67"/>
  <c r="C29" i="67"/>
  <c r="E27" i="67"/>
  <c r="F25" i="67"/>
  <c r="C23" i="67"/>
  <c r="F21" i="67"/>
  <c r="H19" i="67"/>
  <c r="G17" i="67"/>
  <c r="D15" i="67"/>
  <c r="C13" i="67"/>
  <c r="F11" i="67"/>
  <c r="H9" i="67"/>
  <c r="G7" i="67"/>
  <c r="E7" i="67"/>
  <c r="D20" i="67"/>
  <c r="C6" i="69"/>
  <c r="G28" i="69"/>
  <c r="F7" i="67"/>
  <c r="E20" i="67"/>
  <c r="G6" i="69"/>
  <c r="E17" i="69"/>
  <c r="C23" i="69"/>
  <c r="H28" i="69"/>
  <c r="C17" i="67"/>
  <c r="I23" i="67"/>
  <c r="E7" i="69"/>
  <c r="D23" i="69"/>
  <c r="I28" i="69"/>
  <c r="C11" i="67"/>
  <c r="C14" i="67"/>
  <c r="D17" i="67"/>
  <c r="I12" i="69"/>
  <c r="E23" i="69"/>
  <c r="C5" i="67"/>
  <c r="D11" i="67"/>
  <c r="H14" i="67"/>
  <c r="E17" i="67"/>
  <c r="D24" i="67"/>
  <c r="C27" i="67"/>
  <c r="C18" i="69"/>
  <c r="G23" i="69"/>
  <c r="D7" i="70"/>
  <c r="E14" i="70"/>
  <c r="C28" i="70"/>
  <c r="E9" i="70"/>
  <c r="C23" i="70"/>
  <c r="C17" i="70"/>
  <c r="C24" i="70"/>
  <c r="C10" i="70"/>
  <c r="E17" i="70"/>
  <c r="I27" i="70"/>
  <c r="C26" i="70"/>
  <c r="E23" i="70"/>
  <c r="G20" i="70"/>
  <c r="I17" i="70"/>
  <c r="C16" i="70"/>
  <c r="E13" i="70"/>
  <c r="G10" i="70"/>
  <c r="I7" i="70"/>
  <c r="C6" i="70"/>
  <c r="H27" i="70"/>
  <c r="D23" i="70"/>
  <c r="F20" i="70"/>
  <c r="H17" i="70"/>
  <c r="D13" i="70"/>
  <c r="F10" i="70"/>
  <c r="H7" i="70"/>
  <c r="F28" i="70"/>
  <c r="D25" i="70"/>
  <c r="H20" i="70"/>
  <c r="D17" i="70"/>
  <c r="H12" i="70"/>
  <c r="F9" i="70"/>
  <c r="D6" i="70"/>
  <c r="G26" i="70"/>
  <c r="F21" i="70"/>
  <c r="G16" i="70"/>
  <c r="F11" i="70"/>
  <c r="G6" i="70"/>
  <c r="F26" i="70"/>
  <c r="I24" i="70"/>
  <c r="E21" i="70"/>
  <c r="F16" i="70"/>
  <c r="I14" i="70"/>
  <c r="E11" i="70"/>
  <c r="F6" i="70"/>
  <c r="H29" i="70"/>
  <c r="D26" i="70"/>
  <c r="G24" i="70"/>
  <c r="C21" i="70"/>
  <c r="H19" i="70"/>
  <c r="D16" i="70"/>
  <c r="G14" i="70"/>
  <c r="C11" i="70"/>
  <c r="H9" i="70"/>
  <c r="C27" i="70"/>
  <c r="H25" i="70"/>
  <c r="D22" i="70"/>
  <c r="I20" i="70"/>
  <c r="G15" i="70"/>
  <c r="C12" i="70"/>
  <c r="H10" i="70"/>
  <c r="G5" i="70"/>
  <c r="F25" i="70"/>
  <c r="D20" i="70"/>
  <c r="I18" i="70"/>
  <c r="E15" i="70"/>
  <c r="D10" i="70"/>
  <c r="I8" i="70"/>
  <c r="E5" i="70"/>
  <c r="E24" i="70"/>
  <c r="E22" i="70"/>
  <c r="H15" i="70"/>
  <c r="F13" i="70"/>
  <c r="H28" i="70"/>
  <c r="E26" i="70"/>
  <c r="I19" i="70"/>
  <c r="F17" i="70"/>
  <c r="C15" i="70"/>
  <c r="G8" i="70"/>
  <c r="E6" i="70"/>
  <c r="A4" i="70"/>
  <c r="E29" i="70"/>
  <c r="I22" i="70"/>
  <c r="E20" i="70"/>
  <c r="D18" i="70"/>
  <c r="H11" i="70"/>
  <c r="D9" i="70"/>
  <c r="D27" i="70"/>
  <c r="F24" i="70"/>
  <c r="D19" i="70"/>
  <c r="G11" i="70"/>
  <c r="I29" i="70"/>
  <c r="D24" i="70"/>
  <c r="I21" i="70"/>
  <c r="C19" i="70"/>
  <c r="I16" i="70"/>
  <c r="D11" i="70"/>
  <c r="H8" i="70"/>
  <c r="F29" i="70"/>
  <c r="G21" i="70"/>
  <c r="E16" i="70"/>
  <c r="I13" i="70"/>
  <c r="E8" i="70"/>
  <c r="H23" i="70"/>
  <c r="F18" i="70"/>
  <c r="E10" i="70"/>
  <c r="D5" i="70"/>
  <c r="D28" i="70"/>
  <c r="G12" i="70"/>
  <c r="E7" i="70"/>
  <c r="G27" i="70"/>
  <c r="C20" i="70"/>
  <c r="G13" i="70"/>
  <c r="I6" i="70"/>
  <c r="F27" i="70"/>
  <c r="I23" i="70"/>
  <c r="C13" i="70"/>
  <c r="H6" i="70"/>
  <c r="E27" i="70"/>
  <c r="G23" i="70"/>
  <c r="I9" i="70"/>
  <c r="F23" i="70"/>
  <c r="H16" i="70"/>
  <c r="G9" i="70"/>
  <c r="H26" i="70"/>
  <c r="G19" i="70"/>
  <c r="F12" i="70"/>
  <c r="C9" i="70"/>
  <c r="H5" i="70"/>
  <c r="F19" i="70"/>
  <c r="E12" i="70"/>
  <c r="F5" i="70"/>
  <c r="E19" i="70"/>
  <c r="I15" i="70"/>
  <c r="D12" i="70"/>
  <c r="C5" i="70"/>
  <c r="G29" i="70"/>
  <c r="H22" i="70"/>
  <c r="F15" i="70"/>
  <c r="F8" i="70"/>
  <c r="D29" i="70"/>
  <c r="G22" i="70"/>
  <c r="D15" i="70"/>
  <c r="D8" i="70"/>
  <c r="G28" i="70"/>
  <c r="C25" i="70"/>
  <c r="H21" i="70"/>
  <c r="C18" i="70"/>
  <c r="H14" i="70"/>
  <c r="G7" i="70"/>
  <c r="I11" i="70"/>
  <c r="E18" i="70"/>
  <c r="E25" i="70"/>
  <c r="G18" i="70"/>
  <c r="G25" i="70"/>
  <c r="E5" i="71"/>
  <c r="F8" i="71"/>
  <c r="G11" i="71"/>
  <c r="F29" i="71"/>
  <c r="G27" i="71"/>
  <c r="I24" i="71"/>
  <c r="C23" i="71"/>
  <c r="E20" i="71"/>
  <c r="G17" i="71"/>
  <c r="I14" i="71"/>
  <c r="C13" i="71"/>
  <c r="E10" i="71"/>
  <c r="G7" i="71"/>
  <c r="E27" i="71"/>
  <c r="E24" i="71"/>
  <c r="E21" i="71"/>
  <c r="E18" i="71"/>
  <c r="E15" i="71"/>
  <c r="E12" i="71"/>
  <c r="E9" i="71"/>
  <c r="E6" i="71"/>
  <c r="D27" i="71"/>
  <c r="D24" i="71"/>
  <c r="D21" i="71"/>
  <c r="D18" i="71"/>
  <c r="D15" i="71"/>
  <c r="D12" i="71"/>
  <c r="D9" i="71"/>
  <c r="D6" i="71"/>
  <c r="C27" i="71"/>
  <c r="C24" i="71"/>
  <c r="C21" i="71"/>
  <c r="C18" i="71"/>
  <c r="C15" i="71"/>
  <c r="C12" i="71"/>
  <c r="C9" i="71"/>
  <c r="C6" i="71"/>
  <c r="G28" i="71"/>
  <c r="E23" i="71"/>
  <c r="E26" i="71"/>
  <c r="H24" i="71"/>
  <c r="I22" i="71"/>
  <c r="C19" i="71"/>
  <c r="F17" i="71"/>
  <c r="D10" i="71"/>
  <c r="H8" i="71"/>
  <c r="C5" i="71"/>
  <c r="E19" i="71"/>
  <c r="H17" i="71"/>
  <c r="I15" i="71"/>
  <c r="I13" i="71"/>
  <c r="C8" i="71"/>
  <c r="F6" i="71"/>
  <c r="I28" i="71"/>
  <c r="C17" i="71"/>
  <c r="F15" i="71"/>
  <c r="F13" i="71"/>
  <c r="H11" i="71"/>
  <c r="I29" i="71"/>
  <c r="C29" i="71"/>
  <c r="I26" i="71"/>
  <c r="G24" i="71"/>
  <c r="D22" i="71"/>
  <c r="D20" i="71"/>
  <c r="C16" i="71"/>
  <c r="C14" i="71"/>
  <c r="H26" i="71"/>
  <c r="F24" i="71"/>
  <c r="C22" i="71"/>
  <c r="C20" i="71"/>
  <c r="I7" i="71"/>
  <c r="H28" i="71"/>
  <c r="F26" i="71"/>
  <c r="I11" i="71"/>
  <c r="I9" i="71"/>
  <c r="F7" i="71"/>
  <c r="H5" i="71"/>
  <c r="E28" i="71"/>
  <c r="C26" i="71"/>
  <c r="G13" i="71"/>
  <c r="F11" i="71"/>
  <c r="G9" i="71"/>
  <c r="D7" i="71"/>
  <c r="F5" i="71"/>
  <c r="C28" i="71"/>
  <c r="H19" i="71"/>
  <c r="I17" i="71"/>
  <c r="G15" i="71"/>
  <c r="D13" i="71"/>
  <c r="D11" i="71"/>
  <c r="D5" i="71"/>
  <c r="G25" i="71"/>
  <c r="G23" i="71"/>
  <c r="F21" i="71"/>
  <c r="I27" i="71"/>
  <c r="E25" i="71"/>
  <c r="D23" i="71"/>
  <c r="I10" i="71"/>
  <c r="I8" i="71"/>
  <c r="I6" i="71"/>
  <c r="F10" i="71"/>
  <c r="E13" i="71"/>
  <c r="H16" i="71"/>
  <c r="G26" i="71"/>
  <c r="C7" i="71"/>
  <c r="G10" i="71"/>
  <c r="H13" i="71"/>
  <c r="I16" i="71"/>
  <c r="F23" i="71"/>
  <c r="E14" i="71"/>
  <c r="D17" i="71"/>
  <c r="H20" i="71"/>
  <c r="F18" i="74"/>
  <c r="F29" i="74"/>
  <c r="H26" i="74"/>
  <c r="D22" i="74"/>
  <c r="H29" i="74"/>
  <c r="G26" i="74"/>
  <c r="G23" i="74"/>
  <c r="G20" i="74"/>
  <c r="I17" i="74"/>
  <c r="C16" i="74"/>
  <c r="E13" i="74"/>
  <c r="G10" i="74"/>
  <c r="I7" i="74"/>
  <c r="C6" i="74"/>
  <c r="F27" i="74"/>
  <c r="F24" i="74"/>
  <c r="F21" i="74"/>
  <c r="G18" i="74"/>
  <c r="I15" i="74"/>
  <c r="C14" i="74"/>
  <c r="C28" i="74"/>
  <c r="F26" i="74"/>
  <c r="G21" i="74"/>
  <c r="C18" i="74"/>
  <c r="I16" i="74"/>
  <c r="G13" i="74"/>
  <c r="F10" i="74"/>
  <c r="F7" i="74"/>
  <c r="C27" i="74"/>
  <c r="G25" i="74"/>
  <c r="C20" i="74"/>
  <c r="H18" i="74"/>
  <c r="C15" i="74"/>
  <c r="H13" i="74"/>
  <c r="D10" i="74"/>
  <c r="H5" i="74"/>
  <c r="D26" i="74"/>
  <c r="H24" i="74"/>
  <c r="E19" i="74"/>
  <c r="E14" i="74"/>
  <c r="H9" i="74"/>
  <c r="F6" i="74"/>
  <c r="I29" i="74"/>
  <c r="D24" i="74"/>
  <c r="H22" i="74"/>
  <c r="F17" i="74"/>
  <c r="G12" i="74"/>
  <c r="E9" i="74"/>
  <c r="C9" i="74"/>
  <c r="D7" i="74"/>
  <c r="F5" i="74"/>
  <c r="I20" i="74"/>
  <c r="C7" i="74"/>
  <c r="E5" i="74"/>
  <c r="D8" i="74"/>
  <c r="G6" i="74"/>
  <c r="I19" i="74"/>
  <c r="C8" i="74"/>
  <c r="E6" i="74"/>
  <c r="G28" i="74"/>
  <c r="D23" i="74"/>
  <c r="H20" i="74"/>
  <c r="H15" i="74"/>
  <c r="C13" i="74"/>
  <c r="H8" i="74"/>
  <c r="D6" i="74"/>
  <c r="G27" i="74"/>
  <c r="E22" i="74"/>
  <c r="D17" i="74"/>
  <c r="F12" i="74"/>
  <c r="G5" i="74"/>
  <c r="D27" i="74"/>
  <c r="I24" i="74"/>
  <c r="G19" i="74"/>
  <c r="H14" i="74"/>
  <c r="D12" i="74"/>
  <c r="H7" i="74"/>
  <c r="C5" i="74"/>
  <c r="G29" i="74"/>
  <c r="E24" i="74"/>
  <c r="D19" i="74"/>
  <c r="F14" i="74"/>
  <c r="E7" i="74"/>
  <c r="I26" i="74"/>
  <c r="E23" i="74"/>
  <c r="C11" i="74"/>
  <c r="E26" i="74"/>
  <c r="C23" i="74"/>
  <c r="H16" i="74"/>
  <c r="E29" i="74"/>
  <c r="C26" i="74"/>
  <c r="D29" i="74"/>
  <c r="H19" i="74"/>
  <c r="F16" i="74"/>
  <c r="F13" i="74"/>
  <c r="I10" i="74"/>
  <c r="C29" i="74"/>
  <c r="I22" i="74"/>
  <c r="F19" i="74"/>
  <c r="E16" i="74"/>
  <c r="D13" i="74"/>
  <c r="H10" i="74"/>
  <c r="G7" i="74"/>
  <c r="H28" i="74"/>
  <c r="D25" i="74"/>
  <c r="I21" i="74"/>
  <c r="I18" i="74"/>
  <c r="G15" i="74"/>
  <c r="I12" i="74"/>
  <c r="I9" i="74"/>
  <c r="D28" i="74"/>
  <c r="G24" i="74"/>
  <c r="D21" i="74"/>
  <c r="D18" i="74"/>
  <c r="D15" i="74"/>
  <c r="C12" i="74"/>
  <c r="D9" i="74"/>
  <c r="H6" i="74"/>
  <c r="G22" i="74"/>
  <c r="I13" i="74"/>
  <c r="F9" i="74"/>
  <c r="I5" i="74"/>
  <c r="I27" i="74"/>
  <c r="F22" i="74"/>
  <c r="D5" i="74"/>
  <c r="H27" i="74"/>
  <c r="C22" i="74"/>
  <c r="H17" i="74"/>
  <c r="C24" i="74"/>
  <c r="C19" i="74"/>
  <c r="D11" i="74"/>
  <c r="I6" i="74"/>
  <c r="E17" i="74"/>
  <c r="H11" i="74"/>
  <c r="I23" i="74"/>
  <c r="C17" i="74"/>
  <c r="G11" i="74"/>
  <c r="H23" i="74"/>
  <c r="G16" i="74"/>
  <c r="F11" i="74"/>
  <c r="F28" i="74"/>
  <c r="C21" i="74"/>
  <c r="F15" i="74"/>
  <c r="A4" i="74"/>
  <c r="E27" i="74"/>
  <c r="I14" i="74"/>
  <c r="G14" i="74"/>
  <c r="I8" i="74"/>
  <c r="I25" i="74"/>
  <c r="D20" i="74"/>
  <c r="E8" i="74"/>
  <c r="G17" i="74"/>
  <c r="F8" i="74"/>
  <c r="D16" i="74"/>
  <c r="F25" i="74"/>
  <c r="D14" i="74"/>
  <c r="F23" i="74"/>
  <c r="F20" i="74"/>
  <c r="I11" i="74"/>
  <c r="E18" i="74"/>
  <c r="I28" i="74"/>
  <c r="E12" i="74"/>
  <c r="C25" i="74"/>
  <c r="C10" i="74"/>
  <c r="H21" i="74"/>
  <c r="G9" i="74"/>
  <c r="H25" i="74"/>
  <c r="G8" i="74"/>
  <c r="D4" i="60"/>
  <c r="C4" i="60"/>
  <c r="F4" i="60"/>
  <c r="Y95" i="60"/>
  <c r="E4" i="60"/>
  <c r="H4" i="60"/>
  <c r="G4" i="60"/>
  <c r="I4" i="60"/>
  <c r="H29" i="60"/>
  <c r="D25" i="60"/>
  <c r="F22" i="60"/>
  <c r="H19" i="60"/>
  <c r="D15" i="60"/>
  <c r="F12" i="60"/>
  <c r="H9" i="60"/>
  <c r="E28" i="60"/>
  <c r="E25" i="60"/>
  <c r="D22" i="60"/>
  <c r="D19" i="60"/>
  <c r="D16" i="60"/>
  <c r="D13" i="60"/>
  <c r="D10" i="60"/>
  <c r="D7" i="60"/>
  <c r="D28" i="60"/>
  <c r="C25" i="60"/>
  <c r="C22" i="60"/>
  <c r="C19" i="60"/>
  <c r="C16" i="60"/>
  <c r="C13" i="60"/>
  <c r="C10" i="60"/>
  <c r="C7" i="60"/>
  <c r="H27" i="60"/>
  <c r="H24" i="60"/>
  <c r="H21" i="60"/>
  <c r="H18" i="60"/>
  <c r="H15" i="60"/>
  <c r="H12" i="60"/>
  <c r="G9" i="60"/>
  <c r="E29" i="60"/>
  <c r="I27" i="60"/>
  <c r="V41" i="60" s="1"/>
  <c r="E22" i="60"/>
  <c r="G20" i="60"/>
  <c r="C15" i="60"/>
  <c r="G13" i="60"/>
  <c r="I11" i="60"/>
  <c r="C8" i="60"/>
  <c r="G6" i="60"/>
  <c r="I28" i="60"/>
  <c r="V68" i="60" s="1"/>
  <c r="D23" i="60"/>
  <c r="G21" i="60"/>
  <c r="F14" i="60"/>
  <c r="G7" i="60"/>
  <c r="G28" i="60"/>
  <c r="H26" i="60"/>
  <c r="E21" i="60"/>
  <c r="I19" i="60"/>
  <c r="W34" i="60" s="1"/>
  <c r="I17" i="60"/>
  <c r="V19" i="60" s="1"/>
  <c r="H17" i="60"/>
  <c r="H23" i="60"/>
  <c r="I21" i="60"/>
  <c r="X103" i="60" s="1"/>
  <c r="F19" i="60"/>
  <c r="E17" i="60"/>
  <c r="F15" i="60"/>
  <c r="F13" i="60"/>
  <c r="F11" i="60"/>
  <c r="F9" i="60"/>
  <c r="I7" i="60"/>
  <c r="AA38" i="60" s="1"/>
  <c r="I5" i="60"/>
  <c r="D29" i="60"/>
  <c r="D27" i="60"/>
  <c r="D5" i="60"/>
  <c r="I20" i="60"/>
  <c r="Y83" i="60" s="1"/>
  <c r="I18" i="60"/>
  <c r="H16" i="60"/>
  <c r="H14" i="60"/>
  <c r="I12" i="60"/>
  <c r="I10" i="60"/>
  <c r="V95" i="60" s="1"/>
  <c r="I8" i="60"/>
  <c r="W80" i="60" s="1"/>
  <c r="E27" i="60"/>
  <c r="G24" i="60"/>
  <c r="E16" i="60"/>
  <c r="I13" i="60"/>
  <c r="Z103" i="60" s="1"/>
  <c r="F8" i="60"/>
  <c r="C27" i="60"/>
  <c r="F24" i="60"/>
  <c r="H13" i="60"/>
  <c r="E8" i="60"/>
  <c r="E24" i="60"/>
  <c r="F21" i="60"/>
  <c r="E13" i="60"/>
  <c r="D8" i="60"/>
  <c r="H5" i="60"/>
  <c r="F28" i="60"/>
  <c r="H25" i="60"/>
  <c r="C17" i="60"/>
  <c r="G14" i="60"/>
  <c r="D9" i="60"/>
  <c r="C28" i="60"/>
  <c r="G25" i="60"/>
  <c r="I22" i="60"/>
  <c r="V81" i="60" s="1"/>
  <c r="E14" i="60"/>
  <c r="C9" i="60"/>
  <c r="I6" i="60"/>
  <c r="AA112" i="60" s="1"/>
  <c r="C24" i="60"/>
  <c r="F20" i="60"/>
  <c r="F6" i="60"/>
  <c r="E20" i="60"/>
  <c r="I16" i="60"/>
  <c r="E6" i="60"/>
  <c r="G27" i="60"/>
  <c r="I23" i="60"/>
  <c r="V17" i="60" s="1"/>
  <c r="D20" i="60"/>
  <c r="G16" i="60"/>
  <c r="I9" i="60"/>
  <c r="D6" i="60"/>
  <c r="F26" i="60"/>
  <c r="G15" i="60"/>
  <c r="C12" i="60"/>
  <c r="H8" i="60"/>
  <c r="C5" i="60"/>
  <c r="I29" i="60"/>
  <c r="X71" i="60" s="1"/>
  <c r="D26" i="60"/>
  <c r="H22" i="60"/>
  <c r="G18" i="60"/>
  <c r="H11" i="60"/>
  <c r="G29" i="60"/>
  <c r="C26" i="60"/>
  <c r="G22" i="60"/>
  <c r="F18" i="60"/>
  <c r="G11" i="60"/>
  <c r="I25" i="60"/>
  <c r="C18" i="60"/>
  <c r="I14" i="60"/>
  <c r="Z48" i="60" s="1"/>
  <c r="C11" i="60"/>
  <c r="H7" i="60"/>
  <c r="E9" i="60"/>
  <c r="H20" i="60"/>
  <c r="F11" i="72"/>
  <c r="F14" i="72"/>
  <c r="E17" i="72"/>
  <c r="C20" i="72"/>
  <c r="H28" i="72"/>
  <c r="E26" i="60"/>
  <c r="C6" i="72"/>
  <c r="H11" i="72"/>
  <c r="G14" i="72"/>
  <c r="F17" i="72"/>
  <c r="E15" i="60"/>
  <c r="G26" i="60"/>
  <c r="D21" i="60"/>
  <c r="F27" i="60"/>
  <c r="G29" i="72"/>
  <c r="I26" i="72"/>
  <c r="C25" i="72"/>
  <c r="E22" i="72"/>
  <c r="G19" i="72"/>
  <c r="I16" i="72"/>
  <c r="C15" i="72"/>
  <c r="E12" i="72"/>
  <c r="G9" i="72"/>
  <c r="I6" i="72"/>
  <c r="C5" i="72"/>
  <c r="I28" i="72"/>
  <c r="C27" i="72"/>
  <c r="E24" i="72"/>
  <c r="G21" i="72"/>
  <c r="I18" i="72"/>
  <c r="C17" i="72"/>
  <c r="E14" i="72"/>
  <c r="G11" i="72"/>
  <c r="I8" i="72"/>
  <c r="C7" i="72"/>
  <c r="D29" i="72"/>
  <c r="H24" i="72"/>
  <c r="E21" i="72"/>
  <c r="C18" i="72"/>
  <c r="H16" i="72"/>
  <c r="F13" i="72"/>
  <c r="D10" i="72"/>
  <c r="G5" i="72"/>
  <c r="C29" i="72"/>
  <c r="I27" i="72"/>
  <c r="G24" i="72"/>
  <c r="D21" i="72"/>
  <c r="G16" i="72"/>
  <c r="E13" i="72"/>
  <c r="C10" i="72"/>
  <c r="H8" i="72"/>
  <c r="F5" i="72"/>
  <c r="H27" i="72"/>
  <c r="F24" i="72"/>
  <c r="C21" i="72"/>
  <c r="I19" i="72"/>
  <c r="F16" i="72"/>
  <c r="D13" i="72"/>
  <c r="G8" i="72"/>
  <c r="E5" i="72"/>
  <c r="C28" i="72"/>
  <c r="H26" i="72"/>
  <c r="F23" i="72"/>
  <c r="D20" i="72"/>
  <c r="G15" i="72"/>
  <c r="D12" i="72"/>
  <c r="H7" i="72"/>
  <c r="A4" i="72"/>
  <c r="I25" i="72"/>
  <c r="I29" i="72"/>
  <c r="G27" i="72"/>
  <c r="H25" i="72"/>
  <c r="I23" i="72"/>
  <c r="H19" i="72"/>
  <c r="I17" i="72"/>
  <c r="I11" i="72"/>
  <c r="C23" i="72"/>
  <c r="D17" i="72"/>
  <c r="D15" i="72"/>
  <c r="C11" i="72"/>
  <c r="D9" i="72"/>
  <c r="E7" i="72"/>
  <c r="G28" i="72"/>
  <c r="G26" i="72"/>
  <c r="I24" i="72"/>
  <c r="G22" i="72"/>
  <c r="H20" i="72"/>
  <c r="H18" i="72"/>
  <c r="H14" i="72"/>
  <c r="I12" i="72"/>
  <c r="I10" i="72"/>
  <c r="H6" i="72"/>
  <c r="H9" i="72"/>
  <c r="G12" i="72"/>
  <c r="E15" i="72"/>
  <c r="D18" i="72"/>
  <c r="H29" i="72"/>
  <c r="C6" i="60"/>
  <c r="D11" i="60"/>
  <c r="H28" i="60"/>
  <c r="I9" i="72"/>
  <c r="H12" i="72"/>
  <c r="F15" i="72"/>
  <c r="E18" i="72"/>
  <c r="H6" i="60"/>
  <c r="E11" i="60"/>
  <c r="D17" i="60"/>
  <c r="F5" i="75"/>
  <c r="H8" i="75"/>
  <c r="C10" i="75"/>
  <c r="H13" i="75"/>
  <c r="E15" i="75"/>
  <c r="I18" i="75"/>
  <c r="E20" i="75"/>
  <c r="I23" i="75"/>
  <c r="F25" i="75"/>
  <c r="G5" i="75"/>
  <c r="I8" i="75"/>
  <c r="E10" i="75"/>
  <c r="I13" i="75"/>
  <c r="F15" i="75"/>
  <c r="F20" i="75"/>
  <c r="H29" i="75"/>
  <c r="D25" i="75"/>
  <c r="F22" i="75"/>
  <c r="H19" i="75"/>
  <c r="D15" i="75"/>
  <c r="F12" i="75"/>
  <c r="H9" i="75"/>
  <c r="D5" i="75"/>
  <c r="G29" i="75"/>
  <c r="I26" i="75"/>
  <c r="C25" i="75"/>
  <c r="E22" i="75"/>
  <c r="G19" i="75"/>
  <c r="I16" i="75"/>
  <c r="C15" i="75"/>
  <c r="E12" i="75"/>
  <c r="G9" i="75"/>
  <c r="I6" i="75"/>
  <c r="C5" i="75"/>
  <c r="F27" i="75"/>
  <c r="H24" i="75"/>
  <c r="D20" i="75"/>
  <c r="F17" i="75"/>
  <c r="H14" i="75"/>
  <c r="D10" i="75"/>
  <c r="D7" i="75"/>
  <c r="H10" i="75"/>
  <c r="C12" i="75"/>
  <c r="I15" i="75"/>
  <c r="D17" i="75"/>
  <c r="I20" i="75"/>
  <c r="D22" i="75"/>
  <c r="E27" i="75"/>
  <c r="I7" i="75"/>
  <c r="D9" i="75"/>
  <c r="E14" i="75"/>
  <c r="E19" i="75"/>
  <c r="F24" i="75"/>
  <c r="F29" i="75"/>
  <c r="W16" i="71" l="1"/>
  <c r="Z28" i="71"/>
  <c r="V81" i="71"/>
  <c r="Y97" i="60"/>
  <c r="AA48" i="71"/>
  <c r="W35" i="71"/>
  <c r="Y76" i="60"/>
  <c r="W104" i="60"/>
  <c r="Y4" i="60"/>
  <c r="Y111" i="60"/>
  <c r="W66" i="71"/>
  <c r="Y57" i="60"/>
  <c r="W13" i="75"/>
  <c r="X67" i="75"/>
  <c r="V28" i="75"/>
  <c r="AA28" i="71"/>
  <c r="V175" i="59"/>
  <c r="W182" i="59"/>
  <c r="AA109" i="59"/>
  <c r="Z68" i="59"/>
  <c r="Z56" i="71"/>
  <c r="X90" i="75"/>
  <c r="Z87" i="59"/>
  <c r="W173" i="59"/>
  <c r="Z176" i="59"/>
  <c r="V183" i="59"/>
  <c r="V17" i="71"/>
  <c r="Y107" i="60"/>
  <c r="V93" i="59"/>
  <c r="X27" i="75"/>
  <c r="Y99" i="75"/>
  <c r="X76" i="75"/>
  <c r="AA84" i="75"/>
  <c r="U17" i="75"/>
  <c r="Z42" i="59"/>
  <c r="X97" i="59"/>
  <c r="X202" i="59"/>
  <c r="AA21" i="75"/>
  <c r="Y104" i="75"/>
  <c r="V81" i="75"/>
  <c r="V27" i="75"/>
  <c r="X113" i="75"/>
  <c r="D4" i="71"/>
  <c r="D30" i="71" s="1"/>
  <c r="AA93" i="59"/>
  <c r="X180" i="59"/>
  <c r="V7" i="59"/>
  <c r="V70" i="75"/>
  <c r="AA110" i="75"/>
  <c r="W101" i="75"/>
  <c r="U31" i="75"/>
  <c r="U122" i="75"/>
  <c r="Y5" i="71"/>
  <c r="U124" i="59"/>
  <c r="AA100" i="59"/>
  <c r="Z201" i="59"/>
  <c r="V10" i="59"/>
  <c r="V110" i="75"/>
  <c r="AA88" i="75"/>
  <c r="Z123" i="75"/>
  <c r="W34" i="75"/>
  <c r="Z13" i="75"/>
  <c r="U76" i="60"/>
  <c r="V89" i="71"/>
  <c r="Y111" i="59"/>
  <c r="Y107" i="59"/>
  <c r="W5" i="59"/>
  <c r="V13" i="59"/>
  <c r="X15" i="75"/>
  <c r="U94" i="75"/>
  <c r="X28" i="75"/>
  <c r="Y37" i="75"/>
  <c r="U40" i="75"/>
  <c r="X102" i="71"/>
  <c r="W113" i="59"/>
  <c r="V9" i="59"/>
  <c r="V22" i="59"/>
  <c r="Z61" i="75"/>
  <c r="U100" i="75"/>
  <c r="Z34" i="75"/>
  <c r="X54" i="75"/>
  <c r="AA86" i="75"/>
  <c r="U109" i="60"/>
  <c r="U112" i="71"/>
  <c r="AA127" i="59"/>
  <c r="W165" i="59"/>
  <c r="Y168" i="59"/>
  <c r="X121" i="75"/>
  <c r="W94" i="75"/>
  <c r="X7" i="75"/>
  <c r="X64" i="75"/>
  <c r="X39" i="75"/>
  <c r="U74" i="60"/>
  <c r="Y75" i="60"/>
  <c r="W115" i="71"/>
  <c r="U94" i="71"/>
  <c r="C4" i="59"/>
  <c r="C30" i="59" s="1"/>
  <c r="X134" i="59"/>
  <c r="V169" i="59"/>
  <c r="X171" i="59"/>
  <c r="U66" i="75"/>
  <c r="AA71" i="75"/>
  <c r="X105" i="75"/>
  <c r="AA44" i="75"/>
  <c r="V66" i="71"/>
  <c r="AA190" i="59"/>
  <c r="Z92" i="59"/>
  <c r="V199" i="59"/>
  <c r="Z35" i="75"/>
  <c r="W19" i="75"/>
  <c r="W43" i="75"/>
  <c r="X74" i="75"/>
  <c r="W5" i="75"/>
  <c r="AA112" i="71"/>
  <c r="X44" i="75"/>
  <c r="Z41" i="75"/>
  <c r="X47" i="75"/>
  <c r="W28" i="75"/>
  <c r="Z93" i="75"/>
  <c r="U170" i="59"/>
  <c r="U17" i="59"/>
  <c r="Y29" i="59"/>
  <c r="V57" i="75"/>
  <c r="AA45" i="75"/>
  <c r="Z51" i="75"/>
  <c r="AA34" i="75"/>
  <c r="X24" i="75"/>
  <c r="Z80" i="71"/>
  <c r="V73" i="71"/>
  <c r="W202" i="59"/>
  <c r="W62" i="59"/>
  <c r="Z186" i="59"/>
  <c r="W12" i="75"/>
  <c r="W50" i="75"/>
  <c r="AA117" i="75"/>
  <c r="Y120" i="75"/>
  <c r="AA14" i="59"/>
  <c r="Z73" i="59"/>
  <c r="U47" i="59"/>
  <c r="W14" i="75"/>
  <c r="W105" i="75"/>
  <c r="X20" i="75"/>
  <c r="Z52" i="59"/>
  <c r="AA149" i="59"/>
  <c r="AA34" i="59"/>
  <c r="Y60" i="75"/>
  <c r="U75" i="75"/>
  <c r="X59" i="75"/>
  <c r="W88" i="75"/>
  <c r="X53" i="75"/>
  <c r="Y88" i="75"/>
  <c r="V68" i="75"/>
  <c r="Z109" i="75"/>
  <c r="V59" i="75"/>
  <c r="V22" i="75"/>
  <c r="V142" i="59"/>
  <c r="Y181" i="59"/>
  <c r="U180" i="59"/>
  <c r="V106" i="71"/>
  <c r="W86" i="71"/>
  <c r="W7" i="71"/>
  <c r="W10" i="71"/>
  <c r="Y99" i="71"/>
  <c r="W28" i="71"/>
  <c r="Y58" i="75"/>
  <c r="Z47" i="71"/>
  <c r="X32" i="71"/>
  <c r="W107" i="75"/>
  <c r="AA123" i="75"/>
  <c r="Y65" i="75"/>
  <c r="AA79" i="75"/>
  <c r="AA108" i="75"/>
  <c r="V36" i="75"/>
  <c r="Z101" i="71"/>
  <c r="U82" i="71"/>
  <c r="Z120" i="71"/>
  <c r="Y119" i="59"/>
  <c r="Y153" i="59"/>
  <c r="Y163" i="59"/>
  <c r="V88" i="75"/>
  <c r="V74" i="75"/>
  <c r="X106" i="75"/>
  <c r="X112" i="75"/>
  <c r="V76" i="75"/>
  <c r="Y85" i="71"/>
  <c r="V163" i="59"/>
  <c r="Z194" i="59"/>
  <c r="V154" i="59"/>
  <c r="V93" i="75"/>
  <c r="Y122" i="75"/>
  <c r="Y119" i="75"/>
  <c r="AA81" i="75"/>
  <c r="W106" i="60"/>
  <c r="X49" i="71"/>
  <c r="Z56" i="59"/>
  <c r="X100" i="59"/>
  <c r="X157" i="59"/>
  <c r="Y83" i="75"/>
  <c r="V31" i="75"/>
  <c r="W4" i="75"/>
  <c r="AA58" i="75"/>
  <c r="V123" i="75"/>
  <c r="AA29" i="60"/>
  <c r="U119" i="59"/>
  <c r="AA104" i="59"/>
  <c r="V170" i="59"/>
  <c r="V104" i="75"/>
  <c r="AA25" i="75"/>
  <c r="Z128" i="59"/>
  <c r="W163" i="59"/>
  <c r="AA36" i="59"/>
  <c r="U69" i="59"/>
  <c r="X94" i="59"/>
  <c r="V195" i="59"/>
  <c r="U178" i="59"/>
  <c r="X64" i="59"/>
  <c r="V172" i="59"/>
  <c r="W161" i="59"/>
  <c r="Z58" i="59"/>
  <c r="U102" i="59"/>
  <c r="W167" i="59"/>
  <c r="V4" i="59"/>
  <c r="Z165" i="59"/>
  <c r="V178" i="59"/>
  <c r="AA191" i="59"/>
  <c r="Z136" i="59"/>
  <c r="X173" i="59"/>
  <c r="Y108" i="59"/>
  <c r="X96" i="59"/>
  <c r="Z61" i="59"/>
  <c r="X69" i="59"/>
  <c r="U183" i="59"/>
  <c r="AA45" i="59"/>
  <c r="AA110" i="59"/>
  <c r="V60" i="59"/>
  <c r="U33" i="59"/>
  <c r="Y79" i="59"/>
  <c r="V87" i="59"/>
  <c r="AA48" i="59"/>
  <c r="X75" i="59"/>
  <c r="Y164" i="59"/>
  <c r="V6" i="59"/>
  <c r="Z76" i="59"/>
  <c r="AA49" i="59"/>
  <c r="X129" i="59"/>
  <c r="Z114" i="59"/>
  <c r="AA185" i="59"/>
  <c r="V75" i="59"/>
  <c r="V100" i="59"/>
  <c r="X121" i="59"/>
  <c r="Z66" i="59"/>
  <c r="U71" i="59"/>
  <c r="X88" i="75"/>
  <c r="V117" i="75"/>
  <c r="AA115" i="75"/>
  <c r="Z46" i="59"/>
  <c r="Z121" i="59"/>
  <c r="V23" i="59"/>
  <c r="W158" i="59"/>
  <c r="X188" i="59"/>
  <c r="Y125" i="59"/>
  <c r="W203" i="59"/>
  <c r="V94" i="59"/>
  <c r="X118" i="59"/>
  <c r="U61" i="59"/>
  <c r="V75" i="75"/>
  <c r="AA63" i="75"/>
  <c r="V9" i="75"/>
  <c r="Z6" i="75"/>
  <c r="X92" i="75"/>
  <c r="Z197" i="59"/>
  <c r="Y105" i="59"/>
  <c r="X82" i="59"/>
  <c r="AA201" i="59"/>
  <c r="AA24" i="59"/>
  <c r="Z81" i="59"/>
  <c r="X53" i="59"/>
  <c r="V133" i="59"/>
  <c r="AA129" i="59"/>
  <c r="AA41" i="59"/>
  <c r="W78" i="59"/>
  <c r="V103" i="59"/>
  <c r="X124" i="59"/>
  <c r="V78" i="59"/>
  <c r="Y8" i="59"/>
  <c r="AA155" i="59"/>
  <c r="Z80" i="75"/>
  <c r="AA43" i="59"/>
  <c r="V82" i="59"/>
  <c r="W69" i="75"/>
  <c r="W30" i="59"/>
  <c r="AA146" i="59"/>
  <c r="X88" i="59"/>
  <c r="W9" i="59"/>
  <c r="U100" i="59"/>
  <c r="Z90" i="59"/>
  <c r="W57" i="59"/>
  <c r="V153" i="59"/>
  <c r="X145" i="59"/>
  <c r="AA44" i="59"/>
  <c r="W81" i="59"/>
  <c r="V106" i="59"/>
  <c r="Y136" i="59"/>
  <c r="Y129" i="59"/>
  <c r="Y192" i="59"/>
  <c r="V35" i="59"/>
  <c r="AA11" i="59"/>
  <c r="Y127" i="59"/>
  <c r="AA124" i="59"/>
  <c r="X35" i="59"/>
  <c r="Y165" i="59"/>
  <c r="U19" i="59"/>
  <c r="W35" i="59"/>
  <c r="U28" i="59"/>
  <c r="V6" i="75"/>
  <c r="Z30" i="59"/>
  <c r="W27" i="59"/>
  <c r="X16" i="75"/>
  <c r="Z49" i="75"/>
  <c r="V97" i="75"/>
  <c r="Z55" i="59"/>
  <c r="Y167" i="59"/>
  <c r="U94" i="59"/>
  <c r="Z27" i="59"/>
  <c r="Z109" i="59"/>
  <c r="Y100" i="59"/>
  <c r="AA60" i="59"/>
  <c r="AA156" i="59"/>
  <c r="AA5" i="59"/>
  <c r="AA50" i="59"/>
  <c r="W84" i="59"/>
  <c r="W121" i="59"/>
  <c r="W149" i="59"/>
  <c r="X132" i="59"/>
  <c r="AA148" i="59"/>
  <c r="Z26" i="75"/>
  <c r="Z56" i="75"/>
  <c r="V46" i="59"/>
  <c r="W12" i="59"/>
  <c r="Z102" i="59"/>
  <c r="AA106" i="59"/>
  <c r="Y88" i="59"/>
  <c r="Y179" i="59"/>
  <c r="AA135" i="59"/>
  <c r="X166" i="59"/>
  <c r="W103" i="59"/>
  <c r="U24" i="59"/>
  <c r="Z171" i="59"/>
  <c r="U103" i="59"/>
  <c r="U186" i="59"/>
  <c r="X150" i="59"/>
  <c r="U118" i="59"/>
  <c r="X17" i="75"/>
  <c r="Z48" i="75"/>
  <c r="AA69" i="75"/>
  <c r="U97" i="60"/>
  <c r="Y80" i="60"/>
  <c r="U61" i="60"/>
  <c r="Y64" i="60"/>
  <c r="X97" i="60"/>
  <c r="V108" i="75"/>
  <c r="U92" i="75"/>
  <c r="W95" i="75"/>
  <c r="Z110" i="75"/>
  <c r="AA67" i="75"/>
  <c r="W84" i="75"/>
  <c r="U110" i="75"/>
  <c r="W29" i="75"/>
  <c r="I4" i="75"/>
  <c r="I30" i="75" s="1"/>
  <c r="V16" i="75"/>
  <c r="X83" i="75"/>
  <c r="AA73" i="75"/>
  <c r="U107" i="75"/>
  <c r="V55" i="75"/>
  <c r="X58" i="75"/>
  <c r="W99" i="75"/>
  <c r="X26" i="75"/>
  <c r="Z43" i="75"/>
  <c r="V69" i="75"/>
  <c r="V102" i="75"/>
  <c r="Z118" i="75"/>
  <c r="Z46" i="75"/>
  <c r="U50" i="75"/>
  <c r="V83" i="75"/>
  <c r="V8" i="75"/>
  <c r="W65" i="75"/>
  <c r="V49" i="75"/>
  <c r="U95" i="75"/>
  <c r="Y68" i="75"/>
  <c r="W38" i="75"/>
  <c r="Y116" i="75"/>
  <c r="Z65" i="75"/>
  <c r="F4" i="75"/>
  <c r="F30" i="75" s="1"/>
  <c r="V92" i="75"/>
  <c r="W46" i="75"/>
  <c r="Z119" i="75"/>
  <c r="Z55" i="75"/>
  <c r="AA111" i="75"/>
  <c r="U111" i="75"/>
  <c r="Y61" i="75"/>
  <c r="W20" i="75"/>
  <c r="W83" i="75"/>
  <c r="V103" i="75"/>
  <c r="W56" i="75"/>
  <c r="U68" i="75"/>
  <c r="U18" i="75"/>
  <c r="W124" i="75"/>
  <c r="Z50" i="75"/>
  <c r="AA70" i="75"/>
  <c r="X61" i="75"/>
  <c r="AA68" i="75"/>
  <c r="U80" i="59"/>
  <c r="Z189" i="59"/>
  <c r="Z107" i="59"/>
  <c r="X158" i="59"/>
  <c r="Z150" i="59"/>
  <c r="V105" i="59"/>
  <c r="AA64" i="59"/>
  <c r="U169" i="59"/>
  <c r="Y13" i="59"/>
  <c r="AA56" i="59"/>
  <c r="W87" i="59"/>
  <c r="W124" i="59"/>
  <c r="W200" i="59"/>
  <c r="V138" i="59"/>
  <c r="Z135" i="59"/>
  <c r="X18" i="59"/>
  <c r="AA154" i="59"/>
  <c r="Y130" i="59"/>
  <c r="X99" i="59"/>
  <c r="X169" i="59"/>
  <c r="Z182" i="59"/>
  <c r="Y122" i="59"/>
  <c r="X115" i="59"/>
  <c r="Z52" i="75"/>
  <c r="Z105" i="75"/>
  <c r="X9" i="60"/>
  <c r="G4" i="59"/>
  <c r="G30" i="59" s="1"/>
  <c r="Z112" i="59"/>
  <c r="AA17" i="59"/>
  <c r="V134" i="59"/>
  <c r="Z164" i="59"/>
  <c r="U156" i="59"/>
  <c r="V110" i="59"/>
  <c r="W72" i="59"/>
  <c r="W145" i="59"/>
  <c r="Y43" i="59"/>
  <c r="AA59" i="59"/>
  <c r="W90" i="59"/>
  <c r="W133" i="59"/>
  <c r="W134" i="59"/>
  <c r="AA143" i="59"/>
  <c r="X108" i="59"/>
  <c r="X11" i="75"/>
  <c r="X32" i="59"/>
  <c r="W88" i="59"/>
  <c r="Z81" i="75"/>
  <c r="V56" i="59"/>
  <c r="V156" i="59"/>
  <c r="Y103" i="59"/>
  <c r="V79" i="59"/>
  <c r="AA81" i="59"/>
  <c r="AA176" i="59"/>
  <c r="W107" i="59"/>
  <c r="Y29" i="75"/>
  <c r="X30" i="75"/>
  <c r="V10" i="75"/>
  <c r="Z86" i="60"/>
  <c r="W197" i="59"/>
  <c r="Z105" i="59"/>
  <c r="Y56" i="59"/>
  <c r="Y172" i="59"/>
  <c r="Z161" i="59"/>
  <c r="V120" i="59"/>
  <c r="X87" i="59"/>
  <c r="X149" i="59"/>
  <c r="W47" i="59"/>
  <c r="AA62" i="59"/>
  <c r="W96" i="59"/>
  <c r="Z196" i="59"/>
  <c r="V157" i="59"/>
  <c r="Z146" i="59"/>
  <c r="AA82" i="59"/>
  <c r="X21" i="59"/>
  <c r="Z96" i="59"/>
  <c r="Y123" i="59"/>
  <c r="AA123" i="59"/>
  <c r="AA23" i="59"/>
  <c r="Z193" i="59"/>
  <c r="W82" i="59"/>
  <c r="X190" i="59"/>
  <c r="V73" i="59"/>
  <c r="Z157" i="59"/>
  <c r="V54" i="59"/>
  <c r="V135" i="59"/>
  <c r="AA35" i="59"/>
  <c r="Z141" i="59"/>
  <c r="V203" i="59"/>
  <c r="V62" i="59"/>
  <c r="X137" i="59"/>
  <c r="AA91" i="59"/>
  <c r="W148" i="59"/>
  <c r="Z19" i="59"/>
  <c r="X36" i="59"/>
  <c r="Y67" i="59"/>
  <c r="Y90" i="59"/>
  <c r="X90" i="59"/>
  <c r="X109" i="59"/>
  <c r="Z143" i="59"/>
  <c r="AA89" i="59"/>
  <c r="Z44" i="59"/>
  <c r="AA18" i="59"/>
  <c r="Z25" i="59"/>
  <c r="V191" i="59"/>
  <c r="W160" i="59"/>
  <c r="X182" i="59"/>
  <c r="Z60" i="59"/>
  <c r="U152" i="59"/>
  <c r="W33" i="59"/>
  <c r="AA122" i="59"/>
  <c r="Z151" i="59"/>
  <c r="U121" i="59"/>
  <c r="U21" i="59"/>
  <c r="X187" i="59"/>
  <c r="W76" i="59"/>
  <c r="W187" i="59"/>
  <c r="V67" i="59"/>
  <c r="Y154" i="59"/>
  <c r="V48" i="59"/>
  <c r="U129" i="59"/>
  <c r="AA32" i="59"/>
  <c r="Z137" i="59"/>
  <c r="X194" i="59"/>
  <c r="Y54" i="59"/>
  <c r="Y133" i="59"/>
  <c r="X84" i="59"/>
  <c r="W144" i="59"/>
  <c r="V12" i="59"/>
  <c r="X26" i="59"/>
  <c r="Z62" i="59"/>
  <c r="U86" i="59"/>
  <c r="X81" i="59"/>
  <c r="Y99" i="59"/>
  <c r="AA136" i="59"/>
  <c r="U78" i="59"/>
  <c r="AA37" i="59"/>
  <c r="X7" i="59"/>
  <c r="Z12" i="59"/>
  <c r="Z183" i="59"/>
  <c r="U154" i="59"/>
  <c r="X168" i="59"/>
  <c r="W11" i="59"/>
  <c r="W10" i="59"/>
  <c r="Y180" i="59"/>
  <c r="Z45" i="59"/>
  <c r="U179" i="59"/>
  <c r="AA203" i="59"/>
  <c r="V118" i="59"/>
  <c r="Y9" i="59"/>
  <c r="V181" i="59"/>
  <c r="W73" i="59"/>
  <c r="AA161" i="59"/>
  <c r="V61" i="59"/>
  <c r="W151" i="59"/>
  <c r="V36" i="59"/>
  <c r="U120" i="59"/>
  <c r="AA29" i="59"/>
  <c r="X122" i="59"/>
  <c r="Y185" i="59"/>
  <c r="Z50" i="59"/>
  <c r="X103" i="59"/>
  <c r="AA76" i="59"/>
  <c r="X140" i="59"/>
  <c r="Y196" i="59"/>
  <c r="Y12" i="59"/>
  <c r="Z57" i="59"/>
  <c r="X67" i="59"/>
  <c r="X71" i="59"/>
  <c r="Z94" i="59"/>
  <c r="V84" i="59"/>
  <c r="V65" i="59"/>
  <c r="W32" i="59"/>
  <c r="U139" i="59"/>
  <c r="W6" i="59"/>
  <c r="Y175" i="59"/>
  <c r="Y126" i="59"/>
  <c r="X154" i="59"/>
  <c r="AA4" i="59"/>
  <c r="X111" i="59"/>
  <c r="U59" i="59"/>
  <c r="W193" i="59"/>
  <c r="U201" i="59"/>
  <c r="AA103" i="59"/>
  <c r="Z6" i="59"/>
  <c r="AA177" i="59"/>
  <c r="W70" i="59"/>
  <c r="Y155" i="59"/>
  <c r="U46" i="59"/>
  <c r="V148" i="59"/>
  <c r="V33" i="59"/>
  <c r="U117" i="59"/>
  <c r="Z14" i="59"/>
  <c r="AA118" i="59"/>
  <c r="Z181" i="59"/>
  <c r="V47" i="59"/>
  <c r="W198" i="59"/>
  <c r="AA57" i="59"/>
  <c r="W136" i="59"/>
  <c r="W191" i="59"/>
  <c r="AA7" i="59"/>
  <c r="X34" i="59"/>
  <c r="Y62" i="59"/>
  <c r="U67" i="59"/>
  <c r="V90" i="59"/>
  <c r="U72" i="59"/>
  <c r="Y33" i="59"/>
  <c r="U26" i="59"/>
  <c r="Y112" i="59"/>
  <c r="Z190" i="59"/>
  <c r="Z140" i="59"/>
  <c r="W119" i="59"/>
  <c r="W147" i="59"/>
  <c r="AA54" i="59"/>
  <c r="U138" i="59"/>
  <c r="AA70" i="59"/>
  <c r="V198" i="59"/>
  <c r="U101" i="59"/>
  <c r="Z203" i="59"/>
  <c r="Z174" i="59"/>
  <c r="W67" i="59"/>
  <c r="W152" i="59"/>
  <c r="U43" i="59"/>
  <c r="U145" i="59"/>
  <c r="V30" i="59"/>
  <c r="U114" i="59"/>
  <c r="Z11" i="59"/>
  <c r="AA114" i="59"/>
  <c r="X177" i="59"/>
  <c r="X43" i="59"/>
  <c r="U194" i="59"/>
  <c r="W54" i="59"/>
  <c r="Y132" i="59"/>
  <c r="V185" i="59"/>
  <c r="Z200" i="59"/>
  <c r="Z29" i="59"/>
  <c r="Y57" i="59"/>
  <c r="X62" i="59"/>
  <c r="Z85" i="59"/>
  <c r="W65" i="59"/>
  <c r="Y27" i="59"/>
  <c r="W19" i="59"/>
  <c r="AA92" i="59"/>
  <c r="U175" i="59"/>
  <c r="U133" i="59"/>
  <c r="AA112" i="59"/>
  <c r="X139" i="59"/>
  <c r="X105" i="59"/>
  <c r="AA151" i="59"/>
  <c r="U65" i="59"/>
  <c r="W83" i="59"/>
  <c r="U30" i="59"/>
  <c r="W195" i="59"/>
  <c r="V98" i="59"/>
  <c r="V197" i="59"/>
  <c r="Y171" i="59"/>
  <c r="W64" i="59"/>
  <c r="V149" i="59"/>
  <c r="U40" i="59"/>
  <c r="AA141" i="59"/>
  <c r="V27" i="59"/>
  <c r="U111" i="59"/>
  <c r="Z8" i="59"/>
  <c r="V96" i="59"/>
  <c r="V173" i="59"/>
  <c r="Y39" i="59"/>
  <c r="AA189" i="59"/>
  <c r="X50" i="59"/>
  <c r="Y128" i="59"/>
  <c r="Z179" i="59"/>
  <c r="U195" i="59"/>
  <c r="X25" i="59"/>
  <c r="W34" i="59"/>
  <c r="X57" i="59"/>
  <c r="Y80" i="59"/>
  <c r="X59" i="59"/>
  <c r="Z21" i="59"/>
  <c r="Z13" i="59"/>
  <c r="AA67" i="59"/>
  <c r="Z167" i="59"/>
  <c r="U127" i="59"/>
  <c r="X74" i="59"/>
  <c r="AA132" i="59"/>
  <c r="Y146" i="59"/>
  <c r="U166" i="59"/>
  <c r="Z77" i="59"/>
  <c r="Y96" i="59"/>
  <c r="Y92" i="59"/>
  <c r="X192" i="59"/>
  <c r="X92" i="59"/>
  <c r="X191" i="59"/>
  <c r="W168" i="59"/>
  <c r="W61" i="59"/>
  <c r="Z142" i="59"/>
  <c r="U34" i="59"/>
  <c r="Z138" i="59"/>
  <c r="V21" i="59"/>
  <c r="U108" i="59"/>
  <c r="U202" i="59"/>
  <c r="Z88" i="59"/>
  <c r="W169" i="59"/>
  <c r="Z35" i="59"/>
  <c r="X181" i="59"/>
  <c r="AA42" i="59"/>
  <c r="U125" i="59"/>
  <c r="AA168" i="59"/>
  <c r="AA188" i="59"/>
  <c r="Y15" i="59"/>
  <c r="W25" i="59"/>
  <c r="AA52" i="59"/>
  <c r="AA75" i="59"/>
  <c r="Y46" i="59"/>
  <c r="AA8" i="59"/>
  <c r="Y7" i="59"/>
  <c r="Y17" i="59"/>
  <c r="AA159" i="59"/>
  <c r="V113" i="59"/>
  <c r="Y61" i="59"/>
  <c r="AA126" i="59"/>
  <c r="Y159" i="59"/>
  <c r="U196" i="59"/>
  <c r="Z89" i="59"/>
  <c r="W189" i="59"/>
  <c r="Y189" i="59"/>
  <c r="U81" i="59"/>
  <c r="AA182" i="59"/>
  <c r="V165" i="59"/>
  <c r="V49" i="59"/>
  <c r="X136" i="59"/>
  <c r="U31" i="59"/>
  <c r="W114" i="59"/>
  <c r="U15" i="59"/>
  <c r="U105" i="59"/>
  <c r="U189" i="59"/>
  <c r="W77" i="59"/>
  <c r="X165" i="59"/>
  <c r="Y20" i="59"/>
  <c r="AA172" i="59"/>
  <c r="W39" i="59"/>
  <c r="AA94" i="59"/>
  <c r="Y158" i="59"/>
  <c r="Y183" i="59"/>
  <c r="AA194" i="59"/>
  <c r="X200" i="59"/>
  <c r="W48" i="59"/>
  <c r="U57" i="59"/>
  <c r="Y34" i="59"/>
  <c r="Y199" i="59"/>
  <c r="U148" i="59"/>
  <c r="Y191" i="59"/>
  <c r="AA153" i="59"/>
  <c r="Y87" i="59"/>
  <c r="Y42" i="59"/>
  <c r="X119" i="59"/>
  <c r="U45" i="59"/>
  <c r="Z41" i="59"/>
  <c r="W116" i="59"/>
  <c r="X20" i="59"/>
  <c r="Y45" i="59"/>
  <c r="AA183" i="59"/>
  <c r="W75" i="59"/>
  <c r="V177" i="59"/>
  <c r="V146" i="59"/>
  <c r="V43" i="59"/>
  <c r="W130" i="59"/>
  <c r="U25" i="59"/>
  <c r="W105" i="59"/>
  <c r="Y195" i="59"/>
  <c r="U99" i="59"/>
  <c r="Y182" i="59"/>
  <c r="AA69" i="59"/>
  <c r="X141" i="59"/>
  <c r="X13" i="59"/>
  <c r="AA164" i="59"/>
  <c r="Z31" i="59"/>
  <c r="X83" i="59"/>
  <c r="V127" i="59"/>
  <c r="W172" i="59"/>
  <c r="X183" i="59"/>
  <c r="W188" i="59"/>
  <c r="AA19" i="59"/>
  <c r="U48" i="59"/>
  <c r="AA21" i="59"/>
  <c r="Y184" i="59"/>
  <c r="Z127" i="59"/>
  <c r="Z147" i="59"/>
  <c r="V139" i="59"/>
  <c r="Z74" i="59"/>
  <c r="Y30" i="59"/>
  <c r="W80" i="59"/>
  <c r="X70" i="59"/>
  <c r="AA117" i="59"/>
  <c r="X143" i="59"/>
  <c r="Z32" i="59"/>
  <c r="Z70" i="59"/>
  <c r="U181" i="59"/>
  <c r="X72" i="59"/>
  <c r="W174" i="59"/>
  <c r="U143" i="59"/>
  <c r="V28" i="59"/>
  <c r="W127" i="59"/>
  <c r="U22" i="59"/>
  <c r="W102" i="59"/>
  <c r="W192" i="59"/>
  <c r="U96" i="59"/>
  <c r="X179" i="59"/>
  <c r="U66" i="59"/>
  <c r="Y137" i="59"/>
  <c r="U190" i="59"/>
  <c r="V161" i="59"/>
  <c r="AA27" i="59"/>
  <c r="AA79" i="59"/>
  <c r="AA121" i="59"/>
  <c r="V167" i="59"/>
  <c r="W178" i="59"/>
  <c r="W183" i="59"/>
  <c r="V15" i="59"/>
  <c r="X24" i="59"/>
  <c r="Z15" i="59"/>
  <c r="V176" i="59"/>
  <c r="Z120" i="59"/>
  <c r="AA140" i="59"/>
  <c r="X126" i="59"/>
  <c r="Y68" i="59"/>
  <c r="Y23" i="59"/>
  <c r="Y74" i="59"/>
  <c r="Y134" i="59"/>
  <c r="V174" i="59"/>
  <c r="U158" i="59"/>
  <c r="X8" i="59"/>
  <c r="Y83" i="59"/>
  <c r="Z59" i="59"/>
  <c r="Z126" i="59"/>
  <c r="Z26" i="59"/>
  <c r="AA196" i="59"/>
  <c r="W85" i="59"/>
  <c r="Y193" i="59"/>
  <c r="V76" i="59"/>
  <c r="AA160" i="59"/>
  <c r="V57" i="59"/>
  <c r="U151" i="59"/>
  <c r="AA38" i="59"/>
  <c r="Y145" i="59"/>
  <c r="X198" i="59"/>
  <c r="Z65" i="59"/>
  <c r="W141" i="59"/>
  <c r="Y95" i="59"/>
  <c r="V152" i="59"/>
  <c r="W23" i="59"/>
  <c r="Y59" i="59"/>
  <c r="Z71" i="59"/>
  <c r="V95" i="59"/>
  <c r="U95" i="59"/>
  <c r="V114" i="59"/>
  <c r="Y151" i="59"/>
  <c r="AA96" i="59"/>
  <c r="W51" i="59"/>
  <c r="AA25" i="59"/>
  <c r="W56" i="59"/>
  <c r="AA197" i="59"/>
  <c r="AA167" i="59"/>
  <c r="U191" i="59"/>
  <c r="X86" i="59"/>
  <c r="W138" i="59"/>
  <c r="Y47" i="59"/>
  <c r="V182" i="59"/>
  <c r="AA6" i="59"/>
  <c r="Y120" i="59"/>
  <c r="AA144" i="59"/>
  <c r="AA119" i="59"/>
  <c r="Z101" i="59"/>
  <c r="W24" i="59"/>
  <c r="Z69" i="59"/>
  <c r="Y157" i="59"/>
  <c r="X176" i="59"/>
  <c r="U150" i="59"/>
  <c r="W21" i="59"/>
  <c r="X63" i="59"/>
  <c r="AA166" i="59"/>
  <c r="Y194" i="59"/>
  <c r="F4" i="59"/>
  <c r="F30" i="59" s="1"/>
  <c r="Y11" i="59"/>
  <c r="U147" i="59"/>
  <c r="Y63" i="59"/>
  <c r="W179" i="59"/>
  <c r="Y166" i="59"/>
  <c r="W162" i="59"/>
  <c r="W156" i="59"/>
  <c r="W153" i="59"/>
  <c r="U51" i="59"/>
  <c r="AA68" i="59"/>
  <c r="W108" i="59"/>
  <c r="V200" i="59"/>
  <c r="U160" i="59"/>
  <c r="Y149" i="59"/>
  <c r="Y70" i="59"/>
  <c r="U7" i="59"/>
  <c r="Z104" i="60"/>
  <c r="U122" i="60"/>
  <c r="Z124" i="60"/>
  <c r="Z22" i="59"/>
  <c r="W44" i="59"/>
  <c r="U109" i="59"/>
  <c r="U112" i="59"/>
  <c r="AA95" i="59"/>
  <c r="U41" i="59"/>
  <c r="AA31" i="59"/>
  <c r="Z131" i="59"/>
  <c r="W109" i="59"/>
  <c r="Z92" i="60"/>
  <c r="AA198" i="59"/>
  <c r="Y15" i="60"/>
  <c r="X15" i="60"/>
  <c r="AA96" i="60"/>
  <c r="X35" i="71"/>
  <c r="Z114" i="71"/>
  <c r="X14" i="71"/>
  <c r="AA105" i="71"/>
  <c r="X98" i="71"/>
  <c r="U123" i="71"/>
  <c r="W93" i="71"/>
  <c r="Y92" i="71"/>
  <c r="X37" i="71"/>
  <c r="U33" i="71"/>
  <c r="Y54" i="71"/>
  <c r="W45" i="71"/>
  <c r="X69" i="71"/>
  <c r="W89" i="71"/>
  <c r="Y34" i="71"/>
  <c r="AA26" i="71"/>
  <c r="X8" i="71"/>
  <c r="Z30" i="71"/>
  <c r="I4" i="71"/>
  <c r="I30" i="71" s="1"/>
  <c r="X116" i="71"/>
  <c r="U99" i="71"/>
  <c r="V115" i="71"/>
  <c r="X97" i="71"/>
  <c r="Y119" i="71"/>
  <c r="AA27" i="71"/>
  <c r="AA89" i="71"/>
  <c r="Z33" i="71"/>
  <c r="U171" i="59"/>
  <c r="W18" i="59"/>
  <c r="W63" i="59"/>
  <c r="Y82" i="59"/>
  <c r="V187" i="59"/>
  <c r="AA171" i="59"/>
  <c r="X178" i="59"/>
  <c r="V160" i="59"/>
  <c r="U157" i="59"/>
  <c r="Z54" i="59"/>
  <c r="U93" i="59"/>
  <c r="V164" i="59"/>
  <c r="X203" i="59"/>
  <c r="AA162" i="59"/>
  <c r="W155" i="59"/>
  <c r="V80" i="71"/>
  <c r="Y41" i="71"/>
  <c r="Z34" i="71"/>
  <c r="V64" i="71"/>
  <c r="V48" i="75"/>
  <c r="U93" i="60"/>
  <c r="W12" i="60"/>
  <c r="Y114" i="60"/>
  <c r="X100" i="60"/>
  <c r="X124" i="60"/>
  <c r="X123" i="60"/>
  <c r="U39" i="75"/>
  <c r="Z119" i="71"/>
  <c r="W23" i="71"/>
  <c r="W121" i="71"/>
  <c r="Z123" i="71"/>
  <c r="Y74" i="75"/>
  <c r="AA104" i="75"/>
  <c r="V96" i="75"/>
  <c r="Z77" i="75"/>
  <c r="U89" i="75"/>
  <c r="W120" i="75"/>
  <c r="X80" i="75"/>
  <c r="U65" i="75"/>
  <c r="AA5" i="75"/>
  <c r="X93" i="75"/>
  <c r="W93" i="75"/>
  <c r="AA74" i="75"/>
  <c r="X85" i="75"/>
  <c r="Y109" i="75"/>
  <c r="X82" i="75"/>
  <c r="V4" i="75"/>
  <c r="Z19" i="75"/>
  <c r="X73" i="75"/>
  <c r="U79" i="75"/>
  <c r="X43" i="75"/>
  <c r="AA57" i="75"/>
  <c r="U81" i="75"/>
  <c r="Z21" i="75"/>
  <c r="Y12" i="75"/>
  <c r="U82" i="75"/>
  <c r="Y67" i="75"/>
  <c r="U103" i="75"/>
  <c r="Z10" i="75"/>
  <c r="W98" i="75"/>
  <c r="X56" i="75"/>
  <c r="X68" i="75"/>
  <c r="W51" i="75"/>
  <c r="AA89" i="75"/>
  <c r="Z25" i="75"/>
  <c r="AA14" i="75"/>
  <c r="Z78" i="75"/>
  <c r="X69" i="75"/>
  <c r="Z36" i="75"/>
  <c r="AA4" i="75"/>
  <c r="W76" i="75"/>
  <c r="V56" i="75"/>
  <c r="V100" i="75"/>
  <c r="Z5" i="75"/>
  <c r="Z94" i="75"/>
  <c r="Y49" i="75"/>
  <c r="U60" i="75"/>
  <c r="AA95" i="75"/>
  <c r="V85" i="75"/>
  <c r="Y23" i="75"/>
  <c r="Y121" i="75"/>
  <c r="W74" i="75"/>
  <c r="X65" i="75"/>
  <c r="Z24" i="75"/>
  <c r="Y114" i="75"/>
  <c r="AA64" i="75"/>
  <c r="X50" i="75"/>
  <c r="X94" i="75"/>
  <c r="AA116" i="75"/>
  <c r="X87" i="75"/>
  <c r="Z32" i="75"/>
  <c r="V43" i="75"/>
  <c r="AA80" i="75"/>
  <c r="W67" i="75"/>
  <c r="V122" i="75"/>
  <c r="AA56" i="75"/>
  <c r="Z67" i="75"/>
  <c r="W53" i="75"/>
  <c r="W97" i="75"/>
  <c r="G4" i="75"/>
  <c r="G30" i="75" s="1"/>
  <c r="V91" i="75"/>
  <c r="V46" i="75"/>
  <c r="Y51" i="75"/>
  <c r="V90" i="75"/>
  <c r="U80" i="75"/>
  <c r="V19" i="75"/>
  <c r="Y115" i="75"/>
  <c r="U70" i="75"/>
  <c r="W61" i="75"/>
  <c r="Y19" i="75"/>
  <c r="X60" i="75"/>
  <c r="Y77" i="75"/>
  <c r="Y50" i="75"/>
  <c r="Z27" i="75"/>
  <c r="V121" i="75"/>
  <c r="U106" i="75"/>
  <c r="U23" i="75"/>
  <c r="W121" i="75"/>
  <c r="W68" i="75"/>
  <c r="U51" i="75"/>
  <c r="Z89" i="75"/>
  <c r="AA49" i="75"/>
  <c r="W79" i="75"/>
  <c r="AA82" i="75"/>
  <c r="Z31" i="75"/>
  <c r="AA65" i="75"/>
  <c r="Y86" i="75"/>
  <c r="V15" i="75"/>
  <c r="W36" i="75"/>
  <c r="Z17" i="75"/>
  <c r="W110" i="75"/>
  <c r="X84" i="75"/>
  <c r="Y11" i="75"/>
  <c r="V114" i="75"/>
  <c r="X51" i="75"/>
  <c r="X42" i="75"/>
  <c r="V67" i="75"/>
  <c r="Z29" i="75"/>
  <c r="Z70" i="75"/>
  <c r="Y69" i="75"/>
  <c r="AA78" i="75"/>
  <c r="Y48" i="75"/>
  <c r="U121" i="75"/>
  <c r="Z121" i="75"/>
  <c r="Z111" i="75"/>
  <c r="W112" i="75"/>
  <c r="Y21" i="75"/>
  <c r="W109" i="75"/>
  <c r="U114" i="75"/>
  <c r="Y87" i="75"/>
  <c r="V82" i="75"/>
  <c r="U6" i="60"/>
  <c r="H4" i="75"/>
  <c r="H30" i="75" s="1"/>
  <c r="E4" i="75"/>
  <c r="E30" i="75" s="1"/>
  <c r="U64" i="60"/>
  <c r="AA102" i="71"/>
  <c r="U96" i="60"/>
  <c r="U13" i="60"/>
  <c r="W26" i="60"/>
  <c r="Y33" i="60"/>
  <c r="AA100" i="60"/>
  <c r="X116" i="75"/>
  <c r="U24" i="60"/>
  <c r="V87" i="75"/>
  <c r="Y8" i="75"/>
  <c r="X41" i="75"/>
  <c r="V38" i="75"/>
  <c r="Y38" i="75"/>
  <c r="U63" i="75"/>
  <c r="Y13" i="75"/>
  <c r="W77" i="75"/>
  <c r="Z104" i="75"/>
  <c r="AA103" i="75"/>
  <c r="U21" i="60"/>
  <c r="Z95" i="60"/>
  <c r="Z4" i="75"/>
  <c r="U93" i="75"/>
  <c r="X32" i="75"/>
  <c r="V54" i="75"/>
  <c r="W42" i="75"/>
  <c r="V47" i="75"/>
  <c r="AA83" i="75"/>
  <c r="Z53" i="75"/>
  <c r="Y91" i="75"/>
  <c r="X110" i="75"/>
  <c r="AA60" i="75"/>
  <c r="W115" i="60"/>
  <c r="W58" i="60"/>
  <c r="Y62" i="60"/>
  <c r="Y118" i="60"/>
  <c r="AA16" i="75"/>
  <c r="X109" i="75"/>
  <c r="W45" i="75"/>
  <c r="Z66" i="75"/>
  <c r="Y46" i="75"/>
  <c r="Y59" i="75"/>
  <c r="V98" i="75"/>
  <c r="U67" i="75"/>
  <c r="AA105" i="75"/>
  <c r="W113" i="75"/>
  <c r="Z22" i="75"/>
  <c r="U101" i="60"/>
  <c r="W103" i="60"/>
  <c r="W91" i="60"/>
  <c r="U124" i="60"/>
  <c r="Y40" i="60"/>
  <c r="U46" i="60"/>
  <c r="W18" i="60"/>
  <c r="U9" i="60"/>
  <c r="U57" i="60"/>
  <c r="Y108" i="60"/>
  <c r="W116" i="60"/>
  <c r="Y41" i="60"/>
  <c r="U77" i="60"/>
  <c r="U123" i="60"/>
  <c r="U34" i="60"/>
  <c r="U102" i="60"/>
  <c r="Z117" i="60"/>
  <c r="Y32" i="60"/>
  <c r="Y117" i="60"/>
  <c r="Y98" i="60"/>
  <c r="Z96" i="60"/>
  <c r="U119" i="60"/>
  <c r="U29" i="60"/>
  <c r="Y100" i="60"/>
  <c r="U116" i="60"/>
  <c r="W60" i="60"/>
  <c r="W16" i="60"/>
  <c r="Y112" i="60"/>
  <c r="Y94" i="60"/>
  <c r="Y10" i="60"/>
  <c r="X18" i="60"/>
  <c r="Y89" i="60"/>
  <c r="AA102" i="60"/>
  <c r="U105" i="60"/>
  <c r="Y93" i="60"/>
  <c r="V106" i="60"/>
  <c r="AA62" i="60"/>
  <c r="W70" i="60"/>
  <c r="U112" i="60"/>
  <c r="AA66" i="60"/>
  <c r="U45" i="60"/>
  <c r="Y73" i="60"/>
  <c r="W54" i="60"/>
  <c r="W37" i="60"/>
  <c r="W17" i="60"/>
  <c r="W6" i="60"/>
  <c r="Y9" i="60"/>
  <c r="Z18" i="60"/>
  <c r="W85" i="60"/>
  <c r="W117" i="60"/>
  <c r="W27" i="60"/>
  <c r="W83" i="71"/>
  <c r="AA49" i="71"/>
  <c r="W27" i="71"/>
  <c r="U5" i="60"/>
  <c r="W19" i="71"/>
  <c r="Y14" i="60"/>
  <c r="X25" i="75"/>
  <c r="AA121" i="60"/>
  <c r="X19" i="60"/>
  <c r="X118" i="75"/>
  <c r="W22" i="60"/>
  <c r="Y5" i="60"/>
  <c r="W59" i="60"/>
  <c r="Z68" i="75"/>
  <c r="X72" i="60"/>
  <c r="W7" i="60"/>
  <c r="U14" i="60"/>
  <c r="V6" i="60"/>
  <c r="U22" i="60"/>
  <c r="U16" i="75"/>
  <c r="Z116" i="60"/>
  <c r="D4" i="75"/>
  <c r="D30" i="75" s="1"/>
  <c r="C4" i="75"/>
  <c r="C30" i="75" s="1"/>
  <c r="AA111" i="60"/>
  <c r="X42" i="60"/>
  <c r="U102" i="71"/>
  <c r="Y77" i="71"/>
  <c r="X109" i="60"/>
  <c r="Z37" i="75"/>
  <c r="Y20" i="75"/>
  <c r="Z111" i="60"/>
  <c r="Z78" i="60"/>
  <c r="Z107" i="60"/>
  <c r="Y60" i="60"/>
  <c r="Y90" i="60"/>
  <c r="Z49" i="60"/>
  <c r="W78" i="60"/>
  <c r="Z86" i="71"/>
  <c r="AA72" i="75"/>
  <c r="Y71" i="75"/>
  <c r="V196" i="59"/>
  <c r="W17" i="59"/>
  <c r="U192" i="59"/>
  <c r="V119" i="59"/>
  <c r="X160" i="59"/>
  <c r="X49" i="59"/>
  <c r="U50" i="59"/>
  <c r="V74" i="59"/>
  <c r="AA86" i="59"/>
  <c r="W199" i="59"/>
  <c r="V101" i="59"/>
  <c r="U70" i="59"/>
  <c r="V71" i="59"/>
  <c r="Z40" i="59"/>
  <c r="X5" i="59"/>
  <c r="Y150" i="59"/>
  <c r="X76" i="59"/>
  <c r="X15" i="59"/>
  <c r="V162" i="59"/>
  <c r="V86" i="59"/>
  <c r="X17" i="59"/>
  <c r="X163" i="59"/>
  <c r="X68" i="59"/>
  <c r="W164" i="59"/>
  <c r="X80" i="59"/>
  <c r="U177" i="59"/>
  <c r="U173" i="59"/>
  <c r="V92" i="59"/>
  <c r="V190" i="59"/>
  <c r="V81" i="59"/>
  <c r="U199" i="59"/>
  <c r="AA47" i="59"/>
  <c r="U123" i="59"/>
  <c r="U18" i="59"/>
  <c r="W93" i="59"/>
  <c r="X170" i="59"/>
  <c r="V64" i="59"/>
  <c r="Y139" i="59"/>
  <c r="V16" i="59"/>
  <c r="W106" i="59"/>
  <c r="W184" i="59"/>
  <c r="Z185" i="59"/>
  <c r="AA63" i="59"/>
  <c r="W135" i="59"/>
  <c r="V180" i="59"/>
  <c r="Y131" i="59"/>
  <c r="Z195" i="59"/>
  <c r="X201" i="59"/>
  <c r="AA170" i="59"/>
  <c r="W143" i="59"/>
  <c r="V116" i="59"/>
  <c r="X89" i="59"/>
  <c r="Z64" i="59"/>
  <c r="W40" i="59"/>
  <c r="W14" i="59"/>
  <c r="W131" i="59"/>
  <c r="Z187" i="59"/>
  <c r="V104" i="59"/>
  <c r="AA78" i="59"/>
  <c r="W4" i="59"/>
  <c r="U104" i="59"/>
  <c r="AA157" i="59"/>
  <c r="V102" i="59"/>
  <c r="Y77" i="59"/>
  <c r="U27" i="59"/>
  <c r="Y156" i="59"/>
  <c r="U128" i="59"/>
  <c r="X51" i="59"/>
  <c r="W125" i="59"/>
  <c r="AA73" i="59"/>
  <c r="V124" i="59"/>
  <c r="AA173" i="59"/>
  <c r="Y117" i="59"/>
  <c r="Z91" i="59"/>
  <c r="X66" i="59"/>
  <c r="X41" i="59"/>
  <c r="Z173" i="59"/>
  <c r="V117" i="59"/>
  <c r="Y91" i="59"/>
  <c r="W66" i="59"/>
  <c r="W41" i="59"/>
  <c r="X16" i="59"/>
  <c r="X91" i="59"/>
  <c r="W201" i="59"/>
  <c r="Z170" i="59"/>
  <c r="V143" i="59"/>
  <c r="U116" i="59"/>
  <c r="W89" i="59"/>
  <c r="Y64" i="59"/>
  <c r="AA39" i="59"/>
  <c r="V14" i="59"/>
  <c r="X196" i="59"/>
  <c r="AA111" i="59"/>
  <c r="Y60" i="59"/>
  <c r="V11" i="59"/>
  <c r="X159" i="59"/>
  <c r="X104" i="59"/>
  <c r="X54" i="59"/>
  <c r="Y4" i="59"/>
  <c r="V159" i="59"/>
  <c r="Z28" i="59"/>
  <c r="Y187" i="59"/>
  <c r="Z78" i="59"/>
  <c r="W28" i="59"/>
  <c r="U185" i="59"/>
  <c r="Y101" i="59"/>
  <c r="U77" i="59"/>
  <c r="Y51" i="59"/>
  <c r="X155" i="59"/>
  <c r="V26" i="59"/>
  <c r="W98" i="59"/>
  <c r="Z47" i="59"/>
  <c r="U174" i="59"/>
  <c r="Y144" i="59"/>
  <c r="Z117" i="59"/>
  <c r="U92" i="59"/>
  <c r="Y66" i="59"/>
  <c r="Y41" i="59"/>
  <c r="AA16" i="59"/>
  <c r="V144" i="59"/>
  <c r="Z172" i="59"/>
  <c r="Y65" i="59"/>
  <c r="V41" i="59"/>
  <c r="W16" i="59"/>
  <c r="V201" i="59"/>
  <c r="Y170" i="59"/>
  <c r="X142" i="59"/>
  <c r="AA115" i="59"/>
  <c r="V89" i="59"/>
  <c r="U64" i="59"/>
  <c r="X39" i="59"/>
  <c r="U14" i="59"/>
  <c r="X167" i="59"/>
  <c r="AA138" i="59"/>
  <c r="W86" i="59"/>
  <c r="W36" i="59"/>
  <c r="W196" i="59"/>
  <c r="W166" i="59"/>
  <c r="Y138" i="59"/>
  <c r="Z111" i="59"/>
  <c r="Y85" i="59"/>
  <c r="X60" i="59"/>
  <c r="Y35" i="59"/>
  <c r="AA10" i="59"/>
  <c r="X131" i="59"/>
  <c r="X79" i="59"/>
  <c r="U29" i="59"/>
  <c r="AA187" i="59"/>
  <c r="U79" i="59"/>
  <c r="AA28" i="59"/>
  <c r="U131" i="59"/>
  <c r="Y186" i="59"/>
  <c r="AA184" i="59"/>
  <c r="Z75" i="59"/>
  <c r="W181" i="59"/>
  <c r="U23" i="59"/>
  <c r="Z152" i="59"/>
  <c r="U98" i="59"/>
  <c r="X73" i="59"/>
  <c r="AA22" i="59"/>
  <c r="X144" i="59"/>
  <c r="Y16" i="59"/>
  <c r="AA116" i="59"/>
  <c r="Z199" i="59"/>
  <c r="W170" i="59"/>
  <c r="W142" i="59"/>
  <c r="AA113" i="59"/>
  <c r="U89" i="59"/>
  <c r="Z63" i="59"/>
  <c r="U38" i="59"/>
  <c r="AA13" i="59"/>
  <c r="U188" i="59"/>
  <c r="W159" i="59"/>
  <c r="W104" i="59"/>
  <c r="U54" i="59"/>
  <c r="X4" i="59"/>
  <c r="V131" i="59"/>
  <c r="Z53" i="59"/>
  <c r="U159" i="59"/>
  <c r="Y53" i="59"/>
  <c r="X128" i="59"/>
  <c r="AA51" i="59"/>
  <c r="X186" i="59"/>
  <c r="Z156" i="59"/>
  <c r="W128" i="59"/>
  <c r="AA101" i="59"/>
  <c r="X77" i="59"/>
  <c r="Z51" i="59"/>
  <c r="Y26" i="59"/>
  <c r="V128" i="59"/>
  <c r="W26" i="59"/>
  <c r="X101" i="59"/>
  <c r="AA152" i="59"/>
  <c r="Z48" i="59"/>
  <c r="Z180" i="59"/>
  <c r="U144" i="59"/>
  <c r="Z108" i="59"/>
  <c r="Y21" i="59"/>
  <c r="U8" i="59"/>
  <c r="Y72" i="59"/>
  <c r="X172" i="59"/>
  <c r="W115" i="59"/>
  <c r="V58" i="59"/>
  <c r="AA200" i="59"/>
  <c r="X151" i="59"/>
  <c r="U162" i="59"/>
  <c r="W100" i="59"/>
  <c r="V40" i="59"/>
  <c r="AA180" i="59"/>
  <c r="W118" i="59"/>
  <c r="U58" i="59"/>
  <c r="AA195" i="59"/>
  <c r="W132" i="59"/>
  <c r="V72" i="59"/>
  <c r="U12" i="59"/>
  <c r="AA147" i="59"/>
  <c r="U87" i="59"/>
  <c r="AA26" i="59"/>
  <c r="W190" i="59"/>
  <c r="V111" i="59"/>
  <c r="U36" i="59"/>
  <c r="X161" i="59"/>
  <c r="Z84" i="59"/>
  <c r="X9" i="59"/>
  <c r="Z125" i="59"/>
  <c r="U149" i="59"/>
  <c r="U73" i="59"/>
  <c r="X197" i="59"/>
  <c r="X117" i="59"/>
  <c r="W42" i="59"/>
  <c r="U153" i="59"/>
  <c r="X55" i="59"/>
  <c r="V151" i="59"/>
  <c r="V53" i="59"/>
  <c r="AA150" i="59"/>
  <c r="U53" i="59"/>
  <c r="V140" i="59"/>
  <c r="Z43" i="59"/>
  <c r="AA139" i="59"/>
  <c r="W43" i="59"/>
  <c r="X123" i="59"/>
  <c r="X193" i="59"/>
  <c r="W59" i="59"/>
  <c r="AA120" i="59"/>
  <c r="Z191" i="59"/>
  <c r="X56" i="59"/>
  <c r="U184" i="59"/>
  <c r="W50" i="59"/>
  <c r="Y86" i="59"/>
  <c r="Z168" i="59"/>
  <c r="X37" i="59"/>
  <c r="AA105" i="59"/>
  <c r="U197" i="59"/>
  <c r="U113" i="59"/>
  <c r="U68" i="59"/>
  <c r="Z82" i="59"/>
  <c r="U35" i="59"/>
  <c r="AA58" i="59"/>
  <c r="X14" i="59"/>
  <c r="I4" i="59"/>
  <c r="I30" i="59" s="1"/>
  <c r="Z122" i="59"/>
  <c r="X33" i="59"/>
  <c r="X58" i="59"/>
  <c r="Y84" i="59"/>
  <c r="Y169" i="59"/>
  <c r="X112" i="59"/>
  <c r="W55" i="59"/>
  <c r="U198" i="59"/>
  <c r="Y148" i="59"/>
  <c r="AA158" i="59"/>
  <c r="W97" i="59"/>
  <c r="V37" i="59"/>
  <c r="Z177" i="59"/>
  <c r="V115" i="59"/>
  <c r="U55" i="59"/>
  <c r="Z192" i="59"/>
  <c r="W129" i="59"/>
  <c r="V69" i="59"/>
  <c r="U9" i="59"/>
  <c r="Z144" i="59"/>
  <c r="U84" i="59"/>
  <c r="Z23" i="59"/>
  <c r="V186" i="59"/>
  <c r="X107" i="59"/>
  <c r="V32" i="59"/>
  <c r="W157" i="59"/>
  <c r="Z80" i="59"/>
  <c r="Y5" i="59"/>
  <c r="V122" i="59"/>
  <c r="V145" i="59"/>
  <c r="W69" i="59"/>
  <c r="V193" i="59"/>
  <c r="Y113" i="59"/>
  <c r="X38" i="59"/>
  <c r="Y147" i="59"/>
  <c r="V50" i="59"/>
  <c r="X146" i="59"/>
  <c r="Y48" i="59"/>
  <c r="W146" i="59"/>
  <c r="X48" i="59"/>
  <c r="AA134" i="59"/>
  <c r="Y38" i="59"/>
  <c r="Z134" i="59"/>
  <c r="W38" i="59"/>
  <c r="Y116" i="59"/>
  <c r="U187" i="59"/>
  <c r="Y52" i="59"/>
  <c r="Z113" i="59"/>
  <c r="X184" i="59"/>
  <c r="Y50" i="59"/>
  <c r="Z175" i="59"/>
  <c r="X44" i="59"/>
  <c r="W74" i="59"/>
  <c r="X162" i="59"/>
  <c r="W31" i="59"/>
  <c r="AA98" i="59"/>
  <c r="Z153" i="59"/>
  <c r="X106" i="59"/>
  <c r="Z36" i="59"/>
  <c r="Y94" i="59"/>
  <c r="X47" i="59"/>
  <c r="AA192" i="59"/>
  <c r="X27" i="59"/>
  <c r="U4" i="59"/>
  <c r="H4" i="59"/>
  <c r="H30" i="59" s="1"/>
  <c r="U136" i="59"/>
  <c r="W46" i="59"/>
  <c r="Y178" i="59"/>
  <c r="Y97" i="59"/>
  <c r="Z166" i="59"/>
  <c r="Y109" i="59"/>
  <c r="X52" i="59"/>
  <c r="AA202" i="59"/>
  <c r="Z145" i="59"/>
  <c r="Z155" i="59"/>
  <c r="W94" i="59"/>
  <c r="V34" i="59"/>
  <c r="Y174" i="59"/>
  <c r="V112" i="59"/>
  <c r="U52" i="59"/>
  <c r="X189" i="59"/>
  <c r="W126" i="59"/>
  <c r="V66" i="59"/>
  <c r="U6" i="59"/>
  <c r="Y141" i="59"/>
  <c r="AA80" i="59"/>
  <c r="Z20" i="59"/>
  <c r="AA181" i="59"/>
  <c r="Z103" i="59"/>
  <c r="Y28" i="59"/>
  <c r="X153" i="59"/>
  <c r="V77" i="59"/>
  <c r="U203" i="59"/>
  <c r="Y118" i="59"/>
  <c r="V141" i="59"/>
  <c r="X65" i="59"/>
  <c r="Z188" i="59"/>
  <c r="U110" i="59"/>
  <c r="Z34" i="59"/>
  <c r="Y142" i="59"/>
  <c r="X45" i="59"/>
  <c r="Y140" i="59"/>
  <c r="V44" i="59"/>
  <c r="W140" i="59"/>
  <c r="U44" i="59"/>
  <c r="V130" i="59"/>
  <c r="AA33" i="59"/>
  <c r="V129" i="59"/>
  <c r="Z33" i="59"/>
  <c r="W110" i="59"/>
  <c r="V179" i="59"/>
  <c r="X46" i="59"/>
  <c r="AA107" i="59"/>
  <c r="AA175" i="59"/>
  <c r="Y44" i="59"/>
  <c r="Z169" i="59"/>
  <c r="Y37" i="59"/>
  <c r="X61" i="59"/>
  <c r="Z154" i="59"/>
  <c r="Y25" i="59"/>
  <c r="X93" i="59"/>
  <c r="X125" i="59"/>
  <c r="V99" i="59"/>
  <c r="V5" i="59"/>
  <c r="V108" i="59"/>
  <c r="U60" i="59"/>
  <c r="X40" i="59"/>
  <c r="E4" i="59"/>
  <c r="E30" i="59" s="1"/>
  <c r="V150" i="59"/>
  <c r="V59" i="59"/>
  <c r="V8" i="59"/>
  <c r="X110" i="59"/>
  <c r="AA163" i="59"/>
  <c r="Z106" i="59"/>
  <c r="Y49" i="59"/>
  <c r="U200" i="59"/>
  <c r="AA142" i="59"/>
  <c r="Y152" i="59"/>
  <c r="W91" i="59"/>
  <c r="V31" i="59"/>
  <c r="W171" i="59"/>
  <c r="V109" i="59"/>
  <c r="U49" i="59"/>
  <c r="W186" i="59"/>
  <c r="W123" i="59"/>
  <c r="V63" i="59"/>
  <c r="V202" i="59"/>
  <c r="X138" i="59"/>
  <c r="AA77" i="59"/>
  <c r="Z17" i="59"/>
  <c r="Y177" i="59"/>
  <c r="AA99" i="59"/>
  <c r="Z24" i="59"/>
  <c r="Z149" i="59"/>
  <c r="Y73" i="59"/>
  <c r="V194" i="59"/>
  <c r="Y114" i="59"/>
  <c r="W137" i="59"/>
  <c r="AA61" i="59"/>
  <c r="Z184" i="59"/>
  <c r="U106" i="59"/>
  <c r="AA30" i="59"/>
  <c r="U137" i="59"/>
  <c r="AA40" i="59"/>
  <c r="X135" i="59"/>
  <c r="U39" i="59"/>
  <c r="U135" i="59"/>
  <c r="Z38" i="59"/>
  <c r="Z124" i="59"/>
  <c r="W29" i="59"/>
  <c r="Y124" i="59"/>
  <c r="V29" i="59"/>
  <c r="AA102" i="59"/>
  <c r="V171" i="59"/>
  <c r="Y40" i="59"/>
  <c r="W101" i="59"/>
  <c r="AA169" i="59"/>
  <c r="Z37" i="59"/>
  <c r="Y162" i="59"/>
  <c r="Y31" i="59"/>
  <c r="W49" i="59"/>
  <c r="X147" i="59"/>
  <c r="Y18" i="59"/>
  <c r="V80" i="59"/>
  <c r="X98" i="59"/>
  <c r="Y93" i="59"/>
  <c r="AA174" i="59"/>
  <c r="Y121" i="59"/>
  <c r="Z72" i="59"/>
  <c r="X10" i="59"/>
  <c r="W52" i="59"/>
  <c r="D4" i="59"/>
  <c r="D30" i="59" s="1"/>
  <c r="AA108" i="59"/>
  <c r="V83" i="59"/>
  <c r="AA165" i="59"/>
  <c r="X152" i="59"/>
  <c r="W95" i="59"/>
  <c r="V38" i="59"/>
  <c r="Y188" i="59"/>
  <c r="Y203" i="59"/>
  <c r="Z139" i="59"/>
  <c r="W79" i="59"/>
  <c r="V19" i="59"/>
  <c r="Z158" i="59"/>
  <c r="V97" i="59"/>
  <c r="U37" i="59"/>
  <c r="Y173" i="59"/>
  <c r="W111" i="59"/>
  <c r="V51" i="59"/>
  <c r="V189" i="59"/>
  <c r="U126" i="59"/>
  <c r="AA65" i="59"/>
  <c r="Z5" i="59"/>
  <c r="Y161" i="59"/>
  <c r="AA84" i="59"/>
  <c r="Z9" i="59"/>
  <c r="Z133" i="59"/>
  <c r="Y58" i="59"/>
  <c r="W177" i="59"/>
  <c r="Z202" i="59"/>
  <c r="U122" i="59"/>
  <c r="AA46" i="59"/>
  <c r="U168" i="59"/>
  <c r="U91" i="59"/>
  <c r="AA15" i="59"/>
  <c r="Z116" i="59"/>
  <c r="W22" i="59"/>
  <c r="Z115" i="59"/>
  <c r="V20" i="59"/>
  <c r="Y115" i="59"/>
  <c r="U20" i="59"/>
  <c r="Z104" i="59"/>
  <c r="Z10" i="59"/>
  <c r="Y104" i="59"/>
  <c r="Y10" i="59"/>
  <c r="X78" i="59"/>
  <c r="Y143" i="59"/>
  <c r="Y14" i="59"/>
  <c r="Y75" i="59"/>
  <c r="U142" i="59"/>
  <c r="W13" i="59"/>
  <c r="U134" i="59"/>
  <c r="W7" i="59"/>
  <c r="X11" i="59"/>
  <c r="X120" i="59"/>
  <c r="Y197" i="59"/>
  <c r="AA55" i="59"/>
  <c r="U5" i="59"/>
  <c r="W68" i="59"/>
  <c r="Y36" i="59"/>
  <c r="Y176" i="59"/>
  <c r="Z123" i="59"/>
  <c r="W60" i="59"/>
  <c r="Y102" i="59"/>
  <c r="U97" i="71"/>
  <c r="Z39" i="71"/>
  <c r="Y97" i="71"/>
  <c r="V166" i="59"/>
  <c r="W180" i="59"/>
  <c r="Z148" i="59"/>
  <c r="Y6" i="59"/>
  <c r="X175" i="59"/>
  <c r="V68" i="59"/>
  <c r="U63" i="59"/>
  <c r="AA131" i="59"/>
  <c r="Z18" i="59"/>
  <c r="U42" i="59"/>
  <c r="X113" i="59"/>
  <c r="AA88" i="59"/>
  <c r="Z83" i="59"/>
  <c r="W53" i="59"/>
  <c r="Y19" i="59"/>
  <c r="Z160" i="59"/>
  <c r="AA85" i="59"/>
  <c r="X29" i="59"/>
  <c r="U172" i="59"/>
  <c r="X95" i="59"/>
  <c r="X31" i="59"/>
  <c r="X174" i="59"/>
  <c r="U76" i="59"/>
  <c r="U176" i="59"/>
  <c r="U88" i="59"/>
  <c r="W185" i="59"/>
  <c r="X185" i="59"/>
  <c r="Z99" i="59"/>
  <c r="Y198" i="59"/>
  <c r="W92" i="59"/>
  <c r="W176" i="59"/>
  <c r="AA53" i="59"/>
  <c r="U132" i="59"/>
  <c r="V24" i="59"/>
  <c r="W99" i="59"/>
  <c r="AA179" i="59"/>
  <c r="V70" i="59"/>
  <c r="U146" i="59"/>
  <c r="V25" i="59"/>
  <c r="W112" i="59"/>
  <c r="Y190" i="59"/>
  <c r="W194" i="59"/>
  <c r="Y69" i="59"/>
  <c r="U141" i="59"/>
  <c r="AA137" i="59"/>
  <c r="Z67" i="59"/>
  <c r="W45" i="59"/>
  <c r="U77" i="71"/>
  <c r="AA97" i="59"/>
  <c r="Z97" i="59"/>
  <c r="Y32" i="59"/>
  <c r="W37" i="59"/>
  <c r="Y55" i="59"/>
  <c r="Z132" i="59"/>
  <c r="Z93" i="59"/>
  <c r="X23" i="59"/>
  <c r="U75" i="59"/>
  <c r="Z159" i="59"/>
  <c r="U155" i="59"/>
  <c r="X148" i="59"/>
  <c r="X116" i="59"/>
  <c r="AA90" i="59"/>
  <c r="U62" i="59"/>
  <c r="V188" i="59"/>
  <c r="U115" i="59"/>
  <c r="Y71" i="59"/>
  <c r="Y200" i="59"/>
  <c r="V125" i="59"/>
  <c r="U74" i="59"/>
  <c r="Y202" i="59"/>
  <c r="Y98" i="59"/>
  <c r="AA12" i="59"/>
  <c r="U107" i="59"/>
  <c r="V107" i="59"/>
  <c r="Y24" i="59"/>
  <c r="Z118" i="59"/>
  <c r="V17" i="59"/>
  <c r="V126" i="59"/>
  <c r="V192" i="59"/>
  <c r="AA71" i="59"/>
  <c r="Y160" i="59"/>
  <c r="V39" i="59"/>
  <c r="W117" i="59"/>
  <c r="U10" i="59"/>
  <c r="V85" i="59"/>
  <c r="U165" i="59"/>
  <c r="V52" i="59"/>
  <c r="X127" i="59"/>
  <c r="V137" i="59"/>
  <c r="X12" i="59"/>
  <c r="AA83" i="59"/>
  <c r="V158" i="59"/>
  <c r="X22" i="59"/>
  <c r="X164" i="59"/>
  <c r="U193" i="59"/>
  <c r="Z42" i="71"/>
  <c r="X124" i="71"/>
  <c r="V25" i="71"/>
  <c r="AA50" i="71"/>
  <c r="X95" i="71"/>
  <c r="V93" i="71"/>
  <c r="X89" i="71"/>
  <c r="V19" i="71"/>
  <c r="AA46" i="71"/>
  <c r="V45" i="71"/>
  <c r="X84" i="71"/>
  <c r="AA21" i="71"/>
  <c r="Y86" i="71"/>
  <c r="X103" i="71"/>
  <c r="V43" i="71"/>
  <c r="AA34" i="71"/>
  <c r="U66" i="71"/>
  <c r="AA80" i="71"/>
  <c r="W100" i="71"/>
  <c r="W6" i="71"/>
  <c r="X21" i="71"/>
  <c r="Y57" i="71"/>
  <c r="X18" i="71"/>
  <c r="U93" i="71"/>
  <c r="X114" i="71"/>
  <c r="Z38" i="71"/>
  <c r="AA11" i="71"/>
  <c r="Y201" i="59"/>
  <c r="X85" i="59"/>
  <c r="U85" i="59"/>
  <c r="X19" i="59"/>
  <c r="Z49" i="59"/>
  <c r="Z79" i="59"/>
  <c r="W139" i="59"/>
  <c r="Z100" i="59"/>
  <c r="X42" i="59"/>
  <c r="U82" i="59"/>
  <c r="U182" i="59"/>
  <c r="Z162" i="59"/>
  <c r="V155" i="59"/>
  <c r="V123" i="59"/>
  <c r="U97" i="59"/>
  <c r="AA66" i="59"/>
  <c r="AA193" i="59"/>
  <c r="Z119" i="59"/>
  <c r="Y76" i="59"/>
  <c r="X6" i="59"/>
  <c r="Z130" i="59"/>
  <c r="Y78" i="59"/>
  <c r="Z4" i="59"/>
  <c r="X102" i="59"/>
  <c r="Z16" i="59"/>
  <c r="Y110" i="59"/>
  <c r="Z110" i="59"/>
  <c r="X28" i="59"/>
  <c r="W122" i="59"/>
  <c r="AA20" i="59"/>
  <c r="U130" i="59"/>
  <c r="X195" i="59"/>
  <c r="AA74" i="59"/>
  <c r="Z163" i="59"/>
  <c r="V42" i="59"/>
  <c r="W120" i="59"/>
  <c r="U13" i="59"/>
  <c r="V88" i="59"/>
  <c r="V168" i="59"/>
  <c r="V55" i="59"/>
  <c r="X130" i="59"/>
  <c r="U140" i="59"/>
  <c r="W15" i="59"/>
  <c r="Z86" i="59"/>
  <c r="U161" i="59"/>
  <c r="AA9" i="59"/>
  <c r="W150" i="59"/>
  <c r="AA178" i="59"/>
  <c r="Z97" i="75"/>
  <c r="W21" i="75"/>
  <c r="AA186" i="59"/>
  <c r="AA72" i="59"/>
  <c r="Y22" i="59"/>
  <c r="Z7" i="59"/>
  <c r="U56" i="59"/>
  <c r="X30" i="59"/>
  <c r="V147" i="59"/>
  <c r="Y106" i="59"/>
  <c r="Z98" i="59"/>
  <c r="AA87" i="59"/>
  <c r="V132" i="59"/>
  <c r="X199" i="59"/>
  <c r="U163" i="59"/>
  <c r="AA128" i="59"/>
  <c r="AA130" i="59"/>
  <c r="W71" i="59"/>
  <c r="AA199" i="59"/>
  <c r="AA145" i="59"/>
  <c r="Y81" i="59"/>
  <c r="U11" i="59"/>
  <c r="X156" i="59"/>
  <c r="U83" i="59"/>
  <c r="W8" i="59"/>
  <c r="V121" i="59"/>
  <c r="W20" i="59"/>
  <c r="X114" i="59"/>
  <c r="Z129" i="59"/>
  <c r="U32" i="59"/>
  <c r="AA125" i="59"/>
  <c r="Z39" i="59"/>
  <c r="AA133" i="59"/>
  <c r="Z198" i="59"/>
  <c r="U90" i="59"/>
  <c r="U167" i="59"/>
  <c r="V45" i="59"/>
  <c r="Y135" i="59"/>
  <c r="U16" i="59"/>
  <c r="V91" i="59"/>
  <c r="V184" i="59"/>
  <c r="W58" i="59"/>
  <c r="X133" i="59"/>
  <c r="W154" i="59"/>
  <c r="V18" i="59"/>
  <c r="Y89" i="59"/>
  <c r="W175" i="59"/>
  <c r="Z178" i="59"/>
  <c r="V136" i="59"/>
  <c r="U164" i="59"/>
  <c r="AA19" i="60"/>
  <c r="Y54" i="75"/>
  <c r="Y17" i="75"/>
  <c r="W48" i="75"/>
  <c r="X6" i="75"/>
  <c r="AA52" i="71"/>
  <c r="Y77" i="60"/>
  <c r="Z85" i="71"/>
  <c r="U37" i="71"/>
  <c r="W70" i="71"/>
  <c r="W101" i="71"/>
  <c r="Z66" i="71"/>
  <c r="Z115" i="71"/>
  <c r="X110" i="71"/>
  <c r="W105" i="71"/>
  <c r="U34" i="75"/>
  <c r="V59" i="60"/>
  <c r="AA54" i="71"/>
  <c r="X110" i="60"/>
  <c r="N87" i="66" a="1"/>
  <c r="N87" i="66" s="1"/>
  <c r="Y118" i="75"/>
  <c r="Y40" i="75"/>
  <c r="AA115" i="60"/>
  <c r="W64" i="71"/>
  <c r="W58" i="71"/>
  <c r="U73" i="71"/>
  <c r="Z58" i="71"/>
  <c r="Z106" i="71"/>
  <c r="U106" i="71"/>
  <c r="AA70" i="71"/>
  <c r="W78" i="71"/>
  <c r="AA113" i="71"/>
  <c r="W91" i="71"/>
  <c r="U105" i="75"/>
  <c r="W37" i="75"/>
  <c r="X80" i="60"/>
  <c r="AA104" i="60"/>
  <c r="W74" i="60"/>
  <c r="AA84" i="60"/>
  <c r="Y5" i="75"/>
  <c r="Y83" i="71"/>
  <c r="V105" i="71"/>
  <c r="V24" i="71"/>
  <c r="Z76" i="71"/>
  <c r="W120" i="71"/>
  <c r="V122" i="71"/>
  <c r="Z74" i="71"/>
  <c r="X81" i="71"/>
  <c r="W117" i="71"/>
  <c r="Y62" i="75"/>
  <c r="Y30" i="75"/>
  <c r="AA99" i="75"/>
  <c r="AA27" i="75"/>
  <c r="AA19" i="75"/>
  <c r="V86" i="75"/>
  <c r="W23" i="75"/>
  <c r="U71" i="75"/>
  <c r="Y9" i="75"/>
  <c r="X11" i="60"/>
  <c r="Z80" i="60"/>
  <c r="AA25" i="60"/>
  <c r="X26" i="60"/>
  <c r="V9" i="60"/>
  <c r="V103" i="60"/>
  <c r="Z43" i="60"/>
  <c r="AA80" i="60"/>
  <c r="Z17" i="60"/>
  <c r="AA83" i="60"/>
  <c r="Z81" i="60"/>
  <c r="V10" i="60"/>
  <c r="W118" i="75"/>
  <c r="V35" i="75"/>
  <c r="X29" i="75"/>
  <c r="U22" i="75"/>
  <c r="X48" i="75"/>
  <c r="X35" i="75"/>
  <c r="AA13" i="75"/>
  <c r="V23" i="75"/>
  <c r="V51" i="75"/>
  <c r="X117" i="75"/>
  <c r="X23" i="75"/>
  <c r="Z107" i="75"/>
  <c r="W73" i="75"/>
  <c r="V109" i="75"/>
  <c r="Z90" i="75"/>
  <c r="Z106" i="75"/>
  <c r="Z83" i="75"/>
  <c r="U10" i="75"/>
  <c r="Z11" i="75"/>
  <c r="AA107" i="75"/>
  <c r="W100" i="75"/>
  <c r="Z108" i="75"/>
  <c r="Z82" i="75"/>
  <c r="Z20" i="75"/>
  <c r="W72" i="75"/>
  <c r="U90" i="75"/>
  <c r="Z114" i="75"/>
  <c r="U91" i="75"/>
  <c r="Z92" i="75"/>
  <c r="X91" i="75"/>
  <c r="W92" i="75"/>
  <c r="V107" i="75"/>
  <c r="Z44" i="75"/>
  <c r="Z64" i="75"/>
  <c r="W8" i="75"/>
  <c r="V115" i="75"/>
  <c r="AA59" i="75"/>
  <c r="V89" i="75"/>
  <c r="Z113" i="75"/>
  <c r="Z71" i="75"/>
  <c r="AA33" i="75"/>
  <c r="V37" i="75"/>
  <c r="V113" i="75"/>
  <c r="X86" i="75"/>
  <c r="Z74" i="75"/>
  <c r="V78" i="75"/>
  <c r="Z124" i="75"/>
  <c r="V7" i="75"/>
  <c r="Z57" i="75"/>
  <c r="Z30" i="75"/>
  <c r="Z62" i="75"/>
  <c r="Z45" i="75"/>
  <c r="W11" i="75"/>
  <c r="X33" i="75"/>
  <c r="Z63" i="75"/>
  <c r="AA76" i="75"/>
  <c r="Y101" i="75"/>
  <c r="X38" i="75"/>
  <c r="Z54" i="75"/>
  <c r="X57" i="75"/>
  <c r="V45" i="75"/>
  <c r="AA106" i="75"/>
  <c r="X34" i="75"/>
  <c r="W22" i="75"/>
  <c r="Z87" i="75"/>
  <c r="Z42" i="75"/>
  <c r="X111" i="75"/>
  <c r="U43" i="75"/>
  <c r="X70" i="75"/>
  <c r="V73" i="75"/>
  <c r="U120" i="75"/>
  <c r="AA50" i="75"/>
  <c r="V95" i="75"/>
  <c r="X78" i="75"/>
  <c r="V30" i="75"/>
  <c r="W111" i="75"/>
  <c r="V29" i="75"/>
  <c r="V11" i="75"/>
  <c r="Z23" i="75"/>
  <c r="Z12" i="75"/>
  <c r="Z79" i="75"/>
  <c r="X104" i="75"/>
  <c r="V99" i="75"/>
  <c r="AA75" i="75"/>
  <c r="X12" i="75"/>
  <c r="AA61" i="75"/>
  <c r="Z69" i="75"/>
  <c r="AA90" i="75"/>
  <c r="AA109" i="75"/>
  <c r="AA94" i="75"/>
  <c r="Z72" i="75"/>
  <c r="Y18" i="75"/>
  <c r="U78" i="75"/>
  <c r="AA10" i="75"/>
  <c r="W64" i="75"/>
  <c r="AA43" i="75"/>
  <c r="Z50" i="60"/>
  <c r="X56" i="60"/>
  <c r="W57" i="60"/>
  <c r="V48" i="60"/>
  <c r="Z15" i="71"/>
  <c r="Y96" i="75"/>
  <c r="U32" i="75"/>
  <c r="Z120" i="75"/>
  <c r="V53" i="75"/>
  <c r="U115" i="75"/>
  <c r="V112" i="75"/>
  <c r="AA52" i="75"/>
  <c r="V79" i="75"/>
  <c r="U38" i="75"/>
  <c r="X66" i="75"/>
  <c r="Z14" i="75"/>
  <c r="F4" i="71"/>
  <c r="F30" i="71" s="1"/>
  <c r="Z32" i="71"/>
  <c r="V75" i="71"/>
  <c r="W124" i="71"/>
  <c r="W22" i="71"/>
  <c r="V22" i="71"/>
  <c r="W99" i="71"/>
  <c r="X30" i="71"/>
  <c r="V62" i="71"/>
  <c r="AA20" i="71"/>
  <c r="V111" i="71"/>
  <c r="V31" i="71"/>
  <c r="X19" i="71"/>
  <c r="AA18" i="71"/>
  <c r="U23" i="71"/>
  <c r="X74" i="71"/>
  <c r="W15" i="71"/>
  <c r="V49" i="71"/>
  <c r="W8" i="71"/>
  <c r="Z118" i="71"/>
  <c r="X86" i="71"/>
  <c r="W94" i="71"/>
  <c r="V94" i="71"/>
  <c r="AA74" i="71"/>
  <c r="AA73" i="71"/>
  <c r="X72" i="71"/>
  <c r="AA117" i="71"/>
  <c r="W108" i="71"/>
  <c r="W36" i="71"/>
  <c r="Z89" i="71"/>
  <c r="AA8" i="71"/>
  <c r="Z57" i="71"/>
  <c r="W26" i="71"/>
  <c r="W57" i="71"/>
  <c r="W37" i="71"/>
  <c r="W59" i="71"/>
  <c r="U26" i="71"/>
  <c r="U81" i="71"/>
  <c r="Z43" i="71"/>
  <c r="V85" i="71"/>
  <c r="V95" i="71"/>
  <c r="V32" i="71"/>
  <c r="X44" i="71"/>
  <c r="W47" i="71"/>
  <c r="U28" i="71"/>
  <c r="X48" i="71"/>
  <c r="X83" i="71"/>
  <c r="X79" i="71"/>
  <c r="W20" i="71"/>
  <c r="V51" i="71"/>
  <c r="V65" i="71"/>
  <c r="Y53" i="71"/>
  <c r="H4" i="71"/>
  <c r="H30" i="71" s="1"/>
  <c r="Y8" i="71"/>
  <c r="Z4" i="71"/>
  <c r="AA115" i="71"/>
  <c r="AA77" i="71"/>
  <c r="U88" i="71"/>
  <c r="Z84" i="71"/>
  <c r="W62" i="71"/>
  <c r="Z70" i="71"/>
  <c r="X63" i="71"/>
  <c r="V113" i="71"/>
  <c r="Y98" i="71"/>
  <c r="X108" i="71"/>
  <c r="W77" i="71"/>
  <c r="AA6" i="71"/>
  <c r="Z52" i="71"/>
  <c r="AA19" i="71"/>
  <c r="W34" i="71"/>
  <c r="AA47" i="71"/>
  <c r="X121" i="71"/>
  <c r="U55" i="71"/>
  <c r="X53" i="71"/>
  <c r="V44" i="71"/>
  <c r="Y79" i="71"/>
  <c r="W123" i="71"/>
  <c r="V79" i="71"/>
  <c r="AA66" i="71"/>
  <c r="X101" i="71"/>
  <c r="W33" i="71"/>
  <c r="AA79" i="71"/>
  <c r="X118" i="71"/>
  <c r="X46" i="71"/>
  <c r="X50" i="71"/>
  <c r="V35" i="71"/>
  <c r="U118" i="71"/>
  <c r="Y89" i="71"/>
  <c r="W24" i="71"/>
  <c r="AA94" i="71"/>
  <c r="W29" i="71"/>
  <c r="Z36" i="71"/>
  <c r="V98" i="71"/>
  <c r="W92" i="71"/>
  <c r="X28" i="71"/>
  <c r="X38" i="71"/>
  <c r="W44" i="71"/>
  <c r="U25" i="71"/>
  <c r="X45" i="71"/>
  <c r="W79" i="71"/>
  <c r="Z64" i="71"/>
  <c r="Z18" i="71"/>
  <c r="U46" i="71"/>
  <c r="Z49" i="71"/>
  <c r="X43" i="71"/>
  <c r="Y60" i="71"/>
  <c r="V112" i="71"/>
  <c r="X27" i="71"/>
  <c r="X61" i="71"/>
  <c r="U113" i="71"/>
  <c r="V72" i="71"/>
  <c r="AA84" i="71"/>
  <c r="Y81" i="71"/>
  <c r="V56" i="71"/>
  <c r="X111" i="71"/>
  <c r="Y55" i="71"/>
  <c r="Z91" i="71"/>
  <c r="Y46" i="71"/>
  <c r="Y102" i="71"/>
  <c r="X71" i="71"/>
  <c r="Z111" i="71"/>
  <c r="U48" i="71"/>
  <c r="C4" i="71"/>
  <c r="C30" i="71" s="1"/>
  <c r="V118" i="71"/>
  <c r="X58" i="71"/>
  <c r="W52" i="71"/>
  <c r="Z46" i="71"/>
  <c r="Y31" i="71"/>
  <c r="Z122" i="71"/>
  <c r="W69" i="71"/>
  <c r="Z65" i="71"/>
  <c r="X78" i="71"/>
  <c r="V50" i="71"/>
  <c r="X92" i="71"/>
  <c r="X40" i="71"/>
  <c r="X87" i="71"/>
  <c r="Y38" i="71"/>
  <c r="Y96" i="71"/>
  <c r="X13" i="71"/>
  <c r="X105" i="71"/>
  <c r="AA42" i="71"/>
  <c r="W114" i="71"/>
  <c r="AA107" i="71"/>
  <c r="W71" i="71"/>
  <c r="X76" i="71"/>
  <c r="Y75" i="71"/>
  <c r="U32" i="71"/>
  <c r="U56" i="71"/>
  <c r="X29" i="71"/>
  <c r="Y19" i="71"/>
  <c r="W51" i="71"/>
  <c r="Z124" i="71"/>
  <c r="Z60" i="71"/>
  <c r="X56" i="71"/>
  <c r="W75" i="71"/>
  <c r="V47" i="71"/>
  <c r="AA85" i="71"/>
  <c r="V33" i="71"/>
  <c r="V83" i="71"/>
  <c r="V34" i="71"/>
  <c r="W90" i="71"/>
  <c r="X107" i="71"/>
  <c r="AA86" i="71"/>
  <c r="Z37" i="71"/>
  <c r="Y58" i="71"/>
  <c r="W98" i="71"/>
  <c r="X24" i="71"/>
  <c r="W53" i="71"/>
  <c r="V61" i="71"/>
  <c r="X70" i="71"/>
  <c r="U98" i="71"/>
  <c r="Z40" i="71"/>
  <c r="X47" i="71"/>
  <c r="W50" i="71"/>
  <c r="X54" i="71"/>
  <c r="W113" i="71"/>
  <c r="W84" i="71"/>
  <c r="X22" i="71"/>
  <c r="X88" i="71"/>
  <c r="V69" i="71"/>
  <c r="W18" i="71"/>
  <c r="AA4" i="71"/>
  <c r="Y68" i="60"/>
  <c r="Z68" i="60"/>
  <c r="W41" i="71"/>
  <c r="V101" i="75"/>
  <c r="W52" i="75"/>
  <c r="X114" i="75"/>
  <c r="V25" i="75"/>
  <c r="Z116" i="75"/>
  <c r="W59" i="75"/>
  <c r="W60" i="75"/>
  <c r="X72" i="75"/>
  <c r="U9" i="75"/>
  <c r="U102" i="75"/>
  <c r="W18" i="75"/>
  <c r="U57" i="75"/>
  <c r="Y89" i="75"/>
  <c r="Y100" i="75"/>
  <c r="U13" i="75"/>
  <c r="U77" i="75"/>
  <c r="V106" i="75"/>
  <c r="W117" i="75"/>
  <c r="Y90" i="75"/>
  <c r="Y111" i="75"/>
  <c r="W58" i="75"/>
  <c r="X123" i="75"/>
  <c r="U119" i="75"/>
  <c r="AA56" i="60"/>
  <c r="W29" i="60"/>
  <c r="W99" i="60"/>
  <c r="AA6" i="60"/>
  <c r="AA86" i="60"/>
  <c r="Y51" i="60"/>
  <c r="Y13" i="60"/>
  <c r="W4" i="60"/>
  <c r="AA103" i="60"/>
  <c r="X44" i="60"/>
  <c r="W98" i="60"/>
  <c r="AA14" i="60"/>
  <c r="AA72" i="60"/>
  <c r="Y59" i="60"/>
  <c r="Y84" i="75"/>
  <c r="W9" i="75"/>
  <c r="Y117" i="75"/>
  <c r="X101" i="75"/>
  <c r="W122" i="60"/>
  <c r="U32" i="60"/>
  <c r="Z33" i="60"/>
  <c r="Z7" i="60"/>
  <c r="AA123" i="60"/>
  <c r="Y96" i="60"/>
  <c r="AA7" i="71"/>
  <c r="U63" i="71"/>
  <c r="Z107" i="71"/>
  <c r="G4" i="71"/>
  <c r="G30" i="71" s="1"/>
  <c r="X36" i="71"/>
  <c r="U95" i="71"/>
  <c r="X40" i="75"/>
  <c r="W54" i="75"/>
  <c r="X107" i="75"/>
  <c r="Y105" i="75"/>
  <c r="Z88" i="75"/>
  <c r="U112" i="75"/>
  <c r="X21" i="75"/>
  <c r="AA30" i="60"/>
  <c r="AA7" i="60"/>
  <c r="Z75" i="60"/>
  <c r="X37" i="60"/>
  <c r="X36" i="60"/>
  <c r="V33" i="60"/>
  <c r="V120" i="60"/>
  <c r="X75" i="60"/>
  <c r="W107" i="60"/>
  <c r="Y121" i="60"/>
  <c r="U14" i="71"/>
  <c r="W74" i="71"/>
  <c r="U5" i="71"/>
  <c r="Y9" i="71"/>
  <c r="X39" i="71"/>
  <c r="V117" i="71"/>
  <c r="X106" i="71"/>
  <c r="E4" i="71"/>
  <c r="E30" i="71" s="1"/>
  <c r="W17" i="71"/>
  <c r="W71" i="75"/>
  <c r="V71" i="75"/>
  <c r="U24" i="75"/>
  <c r="X71" i="75"/>
  <c r="X89" i="60"/>
  <c r="W102" i="60"/>
  <c r="X122" i="75"/>
  <c r="AA38" i="75"/>
  <c r="W106" i="75"/>
  <c r="X95" i="75"/>
  <c r="Y34" i="75"/>
  <c r="AA87" i="75"/>
  <c r="V118" i="75"/>
  <c r="W104" i="75"/>
  <c r="Y41" i="75"/>
  <c r="Z5" i="60"/>
  <c r="Y95" i="75"/>
  <c r="W103" i="75"/>
  <c r="AA112" i="75"/>
  <c r="Z117" i="75"/>
  <c r="AA11" i="60"/>
  <c r="V88" i="60"/>
  <c r="X31" i="60"/>
  <c r="Z92" i="71"/>
  <c r="W80" i="71"/>
  <c r="X11" i="71"/>
  <c r="AA22" i="71"/>
  <c r="X42" i="71"/>
  <c r="AA124" i="71"/>
  <c r="W112" i="71"/>
  <c r="U85" i="71"/>
  <c r="U98" i="75"/>
  <c r="V63" i="75"/>
  <c r="V50" i="75"/>
  <c r="Z103" i="71"/>
  <c r="Y7" i="75"/>
  <c r="AA6" i="75"/>
  <c r="Z121" i="71"/>
  <c r="U44" i="75"/>
  <c r="W75" i="75"/>
  <c r="AA96" i="75"/>
  <c r="Y66" i="75"/>
  <c r="Y92" i="75"/>
  <c r="U26" i="75"/>
  <c r="U63" i="60"/>
  <c r="X109" i="71"/>
  <c r="AA36" i="60"/>
  <c r="V84" i="75"/>
  <c r="V42" i="75"/>
  <c r="W102" i="75"/>
  <c r="X103" i="75"/>
  <c r="AA55" i="75"/>
  <c r="Z23" i="60"/>
  <c r="Y72" i="60"/>
  <c r="AA48" i="60"/>
  <c r="V39" i="71"/>
  <c r="X79" i="75"/>
  <c r="U117" i="75"/>
  <c r="N80" i="66"/>
  <c r="F15" i="66"/>
  <c r="W118" i="71"/>
  <c r="U37" i="75"/>
  <c r="V41" i="75"/>
  <c r="V105" i="75"/>
  <c r="V17" i="75"/>
  <c r="Y113" i="75"/>
  <c r="Y103" i="75"/>
  <c r="V12" i="75"/>
  <c r="V83" i="60"/>
  <c r="W111" i="60"/>
  <c r="Y82" i="75"/>
  <c r="X31" i="75"/>
  <c r="V5" i="75"/>
  <c r="W57" i="75"/>
  <c r="U30" i="60"/>
  <c r="Z40" i="60"/>
  <c r="X77" i="60"/>
  <c r="V71" i="60"/>
  <c r="U107" i="60"/>
  <c r="U99" i="60"/>
  <c r="Z29" i="71"/>
  <c r="Z72" i="71"/>
  <c r="AA32" i="75"/>
  <c r="AA20" i="75"/>
  <c r="X81" i="75"/>
  <c r="X89" i="75"/>
  <c r="U116" i="75"/>
  <c r="V66" i="60"/>
  <c r="V116" i="60"/>
  <c r="Y102" i="60"/>
  <c r="V114" i="60"/>
  <c r="U67" i="60"/>
  <c r="AA51" i="60"/>
  <c r="AA113" i="60"/>
  <c r="V92" i="71"/>
  <c r="Z79" i="71"/>
  <c r="Z77" i="71"/>
  <c r="Y100" i="71"/>
  <c r="AA18" i="60"/>
  <c r="V18" i="71"/>
  <c r="V76" i="71"/>
  <c r="W46" i="71"/>
  <c r="Y84" i="71"/>
  <c r="Y112" i="71"/>
  <c r="Y106" i="60"/>
  <c r="Z60" i="75"/>
  <c r="X98" i="75"/>
  <c r="X99" i="75"/>
  <c r="Z16" i="75"/>
  <c r="W30" i="75"/>
  <c r="Z33" i="75"/>
  <c r="AA122" i="75"/>
  <c r="V24" i="60"/>
  <c r="U87" i="60"/>
  <c r="L15" i="66" a="1"/>
  <c r="L15" i="66" s="1"/>
  <c r="I7" i="66" s="1" a="1"/>
  <c r="I7" i="66" s="1"/>
  <c r="W50" i="60"/>
  <c r="Y110" i="60"/>
  <c r="Z37" i="60"/>
  <c r="V22" i="60"/>
  <c r="U49" i="60"/>
  <c r="Y109" i="60"/>
  <c r="Y21" i="60"/>
  <c r="U4" i="60"/>
  <c r="W38" i="60"/>
  <c r="X116" i="60"/>
  <c r="U23" i="60"/>
  <c r="W76" i="60"/>
  <c r="Y36" i="60"/>
  <c r="V77" i="60"/>
  <c r="V50" i="60"/>
  <c r="V42" i="60"/>
  <c r="X115" i="60"/>
  <c r="W21" i="71"/>
  <c r="V48" i="71"/>
  <c r="U37" i="60"/>
  <c r="U117" i="60"/>
  <c r="Z21" i="71"/>
  <c r="Z81" i="71"/>
  <c r="Z82" i="71"/>
  <c r="AA56" i="71"/>
  <c r="AA38" i="71"/>
  <c r="U121" i="71"/>
  <c r="Z63" i="71"/>
  <c r="U39" i="71"/>
  <c r="V21" i="71"/>
  <c r="U84" i="71"/>
  <c r="U21" i="71"/>
  <c r="U96" i="71"/>
  <c r="AA55" i="71"/>
  <c r="V74" i="71"/>
  <c r="U42" i="75"/>
  <c r="V34" i="75"/>
  <c r="AA41" i="75"/>
  <c r="U118" i="75"/>
  <c r="V91" i="60"/>
  <c r="X47" i="60"/>
  <c r="W21" i="60"/>
  <c r="X36" i="75"/>
  <c r="X37" i="75"/>
  <c r="Z82" i="60"/>
  <c r="W89" i="60"/>
  <c r="W38" i="71"/>
  <c r="Y43" i="71"/>
  <c r="U59" i="71"/>
  <c r="AA103" i="71"/>
  <c r="AA51" i="71"/>
  <c r="W119" i="71"/>
  <c r="Z100" i="71"/>
  <c r="Z22" i="71"/>
  <c r="Y105" i="71"/>
  <c r="V39" i="75"/>
  <c r="Y28" i="60"/>
  <c r="U65" i="60"/>
  <c r="U114" i="60"/>
  <c r="V89" i="60"/>
  <c r="Z88" i="60"/>
  <c r="X40" i="60"/>
  <c r="U79" i="60"/>
  <c r="V23" i="60"/>
  <c r="X101" i="60"/>
  <c r="AA39" i="60"/>
  <c r="Y23" i="60"/>
  <c r="AA104" i="71"/>
  <c r="V67" i="71"/>
  <c r="Y53" i="75"/>
  <c r="AA23" i="75"/>
  <c r="Z59" i="75"/>
  <c r="Y27" i="60"/>
  <c r="W24" i="60"/>
  <c r="V118" i="60"/>
  <c r="Y87" i="71"/>
  <c r="Y51" i="71"/>
  <c r="Z16" i="71"/>
  <c r="Y39" i="71"/>
  <c r="Y47" i="71"/>
  <c r="Y25" i="71"/>
  <c r="Y52" i="71"/>
  <c r="V11" i="71"/>
  <c r="V30" i="71"/>
  <c r="U115" i="71"/>
  <c r="Y70" i="71"/>
  <c r="W32" i="71"/>
  <c r="W25" i="71"/>
  <c r="Y93" i="75"/>
  <c r="Z115" i="75"/>
  <c r="AA37" i="75"/>
  <c r="AA62" i="75"/>
  <c r="Z112" i="75"/>
  <c r="U52" i="75"/>
  <c r="X122" i="60"/>
  <c r="Y124" i="60"/>
  <c r="Y105" i="60"/>
  <c r="Z98" i="60"/>
  <c r="Y20" i="60"/>
  <c r="X94" i="60"/>
  <c r="V15" i="71"/>
  <c r="V103" i="71"/>
  <c r="Y74" i="71"/>
  <c r="E30" i="60"/>
  <c r="V13" i="71"/>
  <c r="V55" i="71"/>
  <c r="U80" i="60"/>
  <c r="Y70" i="60"/>
  <c r="U100" i="60"/>
  <c r="U72" i="60"/>
  <c r="AA98" i="60"/>
  <c r="V26" i="60"/>
  <c r="Y42" i="60"/>
  <c r="W82" i="60"/>
  <c r="V86" i="60"/>
  <c r="U104" i="60"/>
  <c r="U36" i="60"/>
  <c r="U28" i="60"/>
  <c r="U11" i="60"/>
  <c r="X46" i="60"/>
  <c r="AA26" i="60"/>
  <c r="AA31" i="60"/>
  <c r="V20" i="60"/>
  <c r="Z100" i="60"/>
  <c r="U99" i="75"/>
  <c r="W96" i="60"/>
  <c r="X79" i="60"/>
  <c r="AA45" i="60"/>
  <c r="U78" i="71"/>
  <c r="Y88" i="60"/>
  <c r="W77" i="60"/>
  <c r="W87" i="60"/>
  <c r="W86" i="60"/>
  <c r="AA35" i="60"/>
  <c r="W20" i="60"/>
  <c r="Z39" i="60"/>
  <c r="U25" i="60"/>
  <c r="W114" i="60"/>
  <c r="W23" i="60"/>
  <c r="Z122" i="75"/>
  <c r="AA119" i="75"/>
  <c r="AA32" i="60"/>
  <c r="Z14" i="60"/>
  <c r="V27" i="60"/>
  <c r="U73" i="60"/>
  <c r="V123" i="60"/>
  <c r="U26" i="60"/>
  <c r="V114" i="71"/>
  <c r="AA66" i="75"/>
  <c r="U123" i="75"/>
  <c r="U96" i="75"/>
  <c r="W70" i="75"/>
  <c r="Y32" i="75"/>
  <c r="W27" i="75"/>
  <c r="U46" i="75"/>
  <c r="Y98" i="75"/>
  <c r="W16" i="75"/>
  <c r="X96" i="75"/>
  <c r="U73" i="75"/>
  <c r="Y123" i="75"/>
  <c r="Y43" i="60"/>
  <c r="AA55" i="60"/>
  <c r="Z15" i="60"/>
  <c r="Y104" i="60"/>
  <c r="AA27" i="60"/>
  <c r="Z6" i="71"/>
  <c r="Z96" i="75"/>
  <c r="U5" i="75"/>
  <c r="W33" i="75"/>
  <c r="AA101" i="75"/>
  <c r="X63" i="60"/>
  <c r="Z83" i="60"/>
  <c r="Y16" i="60"/>
  <c r="Y30" i="60"/>
  <c r="AA36" i="71"/>
  <c r="U69" i="60"/>
  <c r="Y113" i="60"/>
  <c r="V46" i="60"/>
  <c r="U17" i="60"/>
  <c r="Y72" i="71"/>
  <c r="AA93" i="71"/>
  <c r="Y35" i="75"/>
  <c r="W15" i="75"/>
  <c r="Y47" i="75"/>
  <c r="Y15" i="75"/>
  <c r="X62" i="75"/>
  <c r="W62" i="75"/>
  <c r="X115" i="75"/>
  <c r="U69" i="75"/>
  <c r="U4" i="75"/>
  <c r="U62" i="75"/>
  <c r="U12" i="75"/>
  <c r="V77" i="75"/>
  <c r="Y36" i="75"/>
  <c r="Y110" i="75"/>
  <c r="X63" i="75"/>
  <c r="Y16" i="75"/>
  <c r="U49" i="75"/>
  <c r="U98" i="60"/>
  <c r="Y92" i="60"/>
  <c r="U115" i="60"/>
  <c r="AA54" i="60"/>
  <c r="AA53" i="60"/>
  <c r="AA122" i="60"/>
  <c r="U85" i="60"/>
  <c r="Y63" i="60"/>
  <c r="Z60" i="60"/>
  <c r="Z9" i="60"/>
  <c r="U56" i="60"/>
  <c r="U52" i="60"/>
  <c r="V79" i="60"/>
  <c r="Z16" i="60"/>
  <c r="X49" i="60"/>
  <c r="V110" i="60"/>
  <c r="U20" i="60"/>
  <c r="U39" i="60"/>
  <c r="X119" i="60"/>
  <c r="V64" i="60"/>
  <c r="AA16" i="60"/>
  <c r="V39" i="60"/>
  <c r="U8" i="60"/>
  <c r="Y67" i="60"/>
  <c r="U68" i="60"/>
  <c r="X68" i="60"/>
  <c r="Z84" i="60"/>
  <c r="U44" i="60"/>
  <c r="U62" i="60"/>
  <c r="Z97" i="71"/>
  <c r="AA37" i="60"/>
  <c r="AA87" i="60"/>
  <c r="X95" i="60"/>
  <c r="AA28" i="60"/>
  <c r="Y34" i="60"/>
  <c r="W49" i="60"/>
  <c r="X96" i="60"/>
  <c r="V119" i="60"/>
  <c r="U55" i="60"/>
  <c r="Z47" i="60"/>
  <c r="AA85" i="60"/>
  <c r="V94" i="60"/>
  <c r="U27" i="60"/>
  <c r="AA89" i="60"/>
  <c r="X99" i="60"/>
  <c r="X21" i="60"/>
  <c r="W10" i="60"/>
  <c r="W53" i="60"/>
  <c r="V60" i="60"/>
  <c r="Z21" i="60"/>
  <c r="Y82" i="71"/>
  <c r="Y118" i="71"/>
  <c r="U30" i="71"/>
  <c r="V86" i="71"/>
  <c r="AA118" i="71"/>
  <c r="U100" i="71"/>
  <c r="Y103" i="71"/>
  <c r="V110" i="71"/>
  <c r="Z10" i="60"/>
  <c r="AA69" i="71"/>
  <c r="Y49" i="71"/>
  <c r="W111" i="71"/>
  <c r="V57" i="71"/>
  <c r="Y42" i="71"/>
  <c r="W73" i="71"/>
  <c r="AA87" i="71"/>
  <c r="Z95" i="71"/>
  <c r="Z94" i="71"/>
  <c r="Z117" i="71"/>
  <c r="V23" i="71"/>
  <c r="U114" i="71"/>
  <c r="W102" i="71"/>
  <c r="Y61" i="71"/>
  <c r="AA106" i="71"/>
  <c r="U110" i="60"/>
  <c r="X92" i="60"/>
  <c r="Z4" i="60"/>
  <c r="Y120" i="60"/>
  <c r="W81" i="60"/>
  <c r="X85" i="60"/>
  <c r="Y119" i="60"/>
  <c r="U82" i="60"/>
  <c r="U49" i="71"/>
  <c r="Z69" i="71"/>
  <c r="W65" i="71"/>
  <c r="X104" i="71"/>
  <c r="U69" i="71"/>
  <c r="X12" i="71"/>
  <c r="U108" i="71"/>
  <c r="U51" i="71"/>
  <c r="U43" i="71"/>
  <c r="AA35" i="71"/>
  <c r="U10" i="71"/>
  <c r="X120" i="71"/>
  <c r="Y62" i="71"/>
  <c r="Y66" i="71"/>
  <c r="X55" i="71"/>
  <c r="Z73" i="75"/>
  <c r="Z110" i="71"/>
  <c r="AA23" i="71"/>
  <c r="V77" i="71"/>
  <c r="Z75" i="71"/>
  <c r="Z93" i="71"/>
  <c r="U87" i="71"/>
  <c r="V5" i="71"/>
  <c r="V71" i="71"/>
  <c r="U13" i="71"/>
  <c r="U107" i="71"/>
  <c r="Y91" i="71"/>
  <c r="U111" i="60"/>
  <c r="Y16" i="71"/>
  <c r="Z116" i="71"/>
  <c r="Z44" i="71"/>
  <c r="X15" i="71"/>
  <c r="X9" i="71"/>
  <c r="Y59" i="71"/>
  <c r="U19" i="71"/>
  <c r="V16" i="71"/>
  <c r="W110" i="71"/>
  <c r="W72" i="71"/>
  <c r="AA5" i="71"/>
  <c r="Z62" i="71"/>
  <c r="AA48" i="75"/>
  <c r="Y106" i="75"/>
  <c r="U35" i="75"/>
  <c r="W89" i="75"/>
  <c r="AA46" i="75"/>
  <c r="AA69" i="60"/>
  <c r="Z57" i="60"/>
  <c r="V84" i="60"/>
  <c r="X78" i="60"/>
  <c r="Y86" i="60"/>
  <c r="Z89" i="60"/>
  <c r="U75" i="60"/>
  <c r="AA24" i="60"/>
  <c r="AA120" i="60"/>
  <c r="V100" i="60"/>
  <c r="Z77" i="60"/>
  <c r="Y24" i="60"/>
  <c r="V101" i="60"/>
  <c r="W42" i="60"/>
  <c r="U120" i="60"/>
  <c r="Z64" i="60"/>
  <c r="X69" i="60"/>
  <c r="V14" i="60"/>
  <c r="AA75" i="60"/>
  <c r="U43" i="60"/>
  <c r="V96" i="60"/>
  <c r="Z38" i="60"/>
  <c r="Z66" i="60"/>
  <c r="Z8" i="71"/>
  <c r="U62" i="71"/>
  <c r="Z10" i="71"/>
  <c r="Y10" i="71"/>
  <c r="U101" i="71"/>
  <c r="Z50" i="71"/>
  <c r="Z31" i="71"/>
  <c r="V70" i="71"/>
  <c r="Z71" i="71"/>
  <c r="Y78" i="71"/>
  <c r="AA60" i="71"/>
  <c r="Z112" i="71"/>
  <c r="Z88" i="71"/>
  <c r="Z13" i="60"/>
  <c r="W113" i="60"/>
  <c r="AA107" i="60"/>
  <c r="V92" i="60"/>
  <c r="AA90" i="60"/>
  <c r="Z87" i="71"/>
  <c r="V31" i="60"/>
  <c r="Y39" i="60"/>
  <c r="X41" i="60"/>
  <c r="X60" i="60"/>
  <c r="Z87" i="60"/>
  <c r="Z35" i="60"/>
  <c r="V85" i="60"/>
  <c r="U47" i="60"/>
  <c r="X88" i="60"/>
  <c r="Y11" i="60"/>
  <c r="Z11" i="60"/>
  <c r="U18" i="60"/>
  <c r="V21" i="60"/>
  <c r="Z26" i="60"/>
  <c r="X112" i="60"/>
  <c r="W62" i="60"/>
  <c r="AA63" i="60"/>
  <c r="W19" i="60"/>
  <c r="Z46" i="60"/>
  <c r="Z32" i="60"/>
  <c r="Z108" i="60"/>
  <c r="Y55" i="60"/>
  <c r="V72" i="60"/>
  <c r="Z25" i="60"/>
  <c r="W90" i="60"/>
  <c r="W31" i="60"/>
  <c r="W95" i="60"/>
  <c r="V102" i="60"/>
  <c r="AA65" i="60"/>
  <c r="X107" i="60"/>
  <c r="U42" i="60"/>
  <c r="AA99" i="60"/>
  <c r="Z119" i="60"/>
  <c r="V20" i="71"/>
  <c r="Y28" i="71"/>
  <c r="V42" i="71"/>
  <c r="AA123" i="71"/>
  <c r="AA43" i="71"/>
  <c r="W68" i="71"/>
  <c r="X34" i="71"/>
  <c r="X23" i="71"/>
  <c r="X17" i="71"/>
  <c r="AA121" i="71"/>
  <c r="X96" i="71"/>
  <c r="V84" i="71"/>
  <c r="U86" i="71"/>
  <c r="V104" i="71"/>
  <c r="Y104" i="71"/>
  <c r="Y44" i="71"/>
  <c r="X33" i="71"/>
  <c r="Y95" i="71"/>
  <c r="V96" i="71"/>
  <c r="V97" i="71"/>
  <c r="X100" i="71"/>
  <c r="X41" i="71"/>
  <c r="U104" i="71"/>
  <c r="U35" i="71"/>
  <c r="Z83" i="71"/>
  <c r="Y121" i="71"/>
  <c r="M15" i="64" a="1"/>
  <c r="I7" i="64" a="1"/>
  <c r="I7" i="64" s="1"/>
  <c r="V124" i="75"/>
  <c r="Y7" i="60"/>
  <c r="AA119" i="71"/>
  <c r="AA123" i="70"/>
  <c r="U121" i="70"/>
  <c r="V118" i="70"/>
  <c r="W115" i="70"/>
  <c r="X112" i="70"/>
  <c r="Y109" i="70"/>
  <c r="Z106" i="70"/>
  <c r="AA103" i="70"/>
  <c r="U101" i="70"/>
  <c r="V98" i="70"/>
  <c r="W95" i="70"/>
  <c r="X92" i="70"/>
  <c r="Y89" i="70"/>
  <c r="Z86" i="70"/>
  <c r="AA83" i="70"/>
  <c r="U81" i="70"/>
  <c r="V78" i="70"/>
  <c r="W75" i="70"/>
  <c r="X72" i="70"/>
  <c r="Y69" i="70"/>
  <c r="Z66" i="70"/>
  <c r="AA63" i="70"/>
  <c r="U61" i="70"/>
  <c r="V58" i="70"/>
  <c r="W55" i="70"/>
  <c r="X52" i="70"/>
  <c r="Y49" i="70"/>
  <c r="Z46" i="70"/>
  <c r="AA43" i="70"/>
  <c r="U41" i="70"/>
  <c r="V38" i="70"/>
  <c r="W35" i="70"/>
  <c r="X32" i="70"/>
  <c r="Z28" i="70"/>
  <c r="V24" i="70"/>
  <c r="X21" i="70"/>
  <c r="Z18" i="70"/>
  <c r="V14" i="70"/>
  <c r="X11" i="70"/>
  <c r="Z8" i="70"/>
  <c r="V4" i="70"/>
  <c r="Z123" i="70"/>
  <c r="AA120" i="70"/>
  <c r="U118" i="70"/>
  <c r="V115" i="70"/>
  <c r="W112" i="70"/>
  <c r="X109" i="70"/>
  <c r="Y106" i="70"/>
  <c r="Z103" i="70"/>
  <c r="AA100" i="70"/>
  <c r="U98" i="70"/>
  <c r="V95" i="70"/>
  <c r="W92" i="70"/>
  <c r="X89" i="70"/>
  <c r="Y86" i="70"/>
  <c r="Z83" i="70"/>
  <c r="AA80" i="70"/>
  <c r="U78" i="70"/>
  <c r="V75" i="70"/>
  <c r="W72" i="70"/>
  <c r="X69" i="70"/>
  <c r="Y66" i="70"/>
  <c r="Z63" i="70"/>
  <c r="AA60" i="70"/>
  <c r="U58" i="70"/>
  <c r="V55" i="70"/>
  <c r="W52" i="70"/>
  <c r="X49" i="70"/>
  <c r="Y46" i="70"/>
  <c r="Z43" i="70"/>
  <c r="AA40" i="70"/>
  <c r="U38" i="70"/>
  <c r="V35" i="70"/>
  <c r="W32" i="70"/>
  <c r="Y28" i="70"/>
  <c r="AA25" i="70"/>
  <c r="U24" i="70"/>
  <c r="W21" i="70"/>
  <c r="Y18" i="70"/>
  <c r="AA15" i="70"/>
  <c r="U14" i="70"/>
  <c r="W11" i="70"/>
  <c r="Y8" i="70"/>
  <c r="AA5" i="70"/>
  <c r="U4" i="70"/>
  <c r="Y123" i="70"/>
  <c r="Z120" i="70"/>
  <c r="AA117" i="70"/>
  <c r="U115" i="70"/>
  <c r="V112" i="70"/>
  <c r="W109" i="70"/>
  <c r="X106" i="70"/>
  <c r="Y103" i="70"/>
  <c r="Z100" i="70"/>
  <c r="AA97" i="70"/>
  <c r="U95" i="70"/>
  <c r="V92" i="70"/>
  <c r="W89" i="70"/>
  <c r="X86" i="70"/>
  <c r="Y83" i="70"/>
  <c r="Z80" i="70"/>
  <c r="AA77" i="70"/>
  <c r="U75" i="70"/>
  <c r="V72" i="70"/>
  <c r="W69" i="70"/>
  <c r="X66" i="70"/>
  <c r="Y63" i="70"/>
  <c r="Z60" i="70"/>
  <c r="AA57" i="70"/>
  <c r="U55" i="70"/>
  <c r="V52" i="70"/>
  <c r="U124" i="70"/>
  <c r="W120" i="70"/>
  <c r="U117" i="70"/>
  <c r="Z113" i="70"/>
  <c r="X110" i="70"/>
  <c r="V107" i="70"/>
  <c r="X103" i="70"/>
  <c r="X122" i="70"/>
  <c r="U119" i="70"/>
  <c r="Y115" i="70"/>
  <c r="Z111" i="70"/>
  <c r="W108" i="70"/>
  <c r="AA104" i="70"/>
  <c r="X101" i="70"/>
  <c r="Z97" i="70"/>
  <c r="X94" i="70"/>
  <c r="V91" i="70"/>
  <c r="AA87" i="70"/>
  <c r="Y84" i="70"/>
  <c r="W81" i="70"/>
  <c r="Y77" i="70"/>
  <c r="W74" i="70"/>
  <c r="U71" i="70"/>
  <c r="Z67" i="70"/>
  <c r="X64" i="70"/>
  <c r="V61" i="70"/>
  <c r="X57" i="70"/>
  <c r="V54" i="70"/>
  <c r="AA50" i="70"/>
  <c r="Z47" i="70"/>
  <c r="Y44" i="70"/>
  <c r="X41" i="70"/>
  <c r="W38" i="70"/>
  <c r="AA34" i="70"/>
  <c r="Z31" i="70"/>
  <c r="Y29" i="70"/>
  <c r="W26" i="70"/>
  <c r="U23" i="70"/>
  <c r="AA21" i="70"/>
  <c r="W18" i="70"/>
  <c r="U15" i="70"/>
  <c r="AA13" i="70"/>
  <c r="Y10" i="70"/>
  <c r="W7" i="70"/>
  <c r="H4" i="70"/>
  <c r="H30" i="70" s="1"/>
  <c r="U122" i="70"/>
  <c r="Y118" i="70"/>
  <c r="Z114" i="70"/>
  <c r="W111" i="70"/>
  <c r="AA107" i="70"/>
  <c r="X104" i="70"/>
  <c r="Y100" i="70"/>
  <c r="W97" i="70"/>
  <c r="U94" i="70"/>
  <c r="Z90" i="70"/>
  <c r="X87" i="70"/>
  <c r="V84" i="70"/>
  <c r="X80" i="70"/>
  <c r="V77" i="70"/>
  <c r="AA73" i="70"/>
  <c r="Y70" i="70"/>
  <c r="W67" i="70"/>
  <c r="U64" i="70"/>
  <c r="W60" i="70"/>
  <c r="U57" i="70"/>
  <c r="Z53" i="70"/>
  <c r="X50" i="70"/>
  <c r="W47" i="70"/>
  <c r="V44" i="70"/>
  <c r="Z40" i="70"/>
  <c r="Y37" i="70"/>
  <c r="Z124" i="70"/>
  <c r="Y120" i="70"/>
  <c r="Z116" i="70"/>
  <c r="U113" i="70"/>
  <c r="AA108" i="70"/>
  <c r="V105" i="70"/>
  <c r="W101" i="70"/>
  <c r="V97" i="70"/>
  <c r="Y93" i="70"/>
  <c r="U90" i="70"/>
  <c r="U86" i="70"/>
  <c r="X82" i="70"/>
  <c r="AA78" i="70"/>
  <c r="AA74" i="70"/>
  <c r="W71" i="70"/>
  <c r="Y67" i="70"/>
  <c r="X63" i="70"/>
  <c r="AA59" i="70"/>
  <c r="W56" i="70"/>
  <c r="Z52" i="70"/>
  <c r="AA48" i="70"/>
  <c r="X45" i="70"/>
  <c r="U42" i="70"/>
  <c r="Y38" i="70"/>
  <c r="Z34" i="70"/>
  <c r="X31" i="70"/>
  <c r="V29" i="70"/>
  <c r="AA27" i="70"/>
  <c r="W24" i="70"/>
  <c r="Z22" i="70"/>
  <c r="V19" i="70"/>
  <c r="AA17" i="70"/>
  <c r="W14" i="70"/>
  <c r="Z12" i="70"/>
  <c r="V9" i="70"/>
  <c r="AA7" i="70"/>
  <c r="W4" i="70"/>
  <c r="Y124" i="70"/>
  <c r="X120" i="70"/>
  <c r="Y116" i="70"/>
  <c r="AA112" i="70"/>
  <c r="Z108" i="70"/>
  <c r="U105" i="70"/>
  <c r="V101" i="70"/>
  <c r="U97" i="70"/>
  <c r="X93" i="70"/>
  <c r="AA89" i="70"/>
  <c r="AA85" i="70"/>
  <c r="W82" i="70"/>
  <c r="Z78" i="70"/>
  <c r="Z74" i="70"/>
  <c r="V71" i="70"/>
  <c r="X67" i="70"/>
  <c r="W63" i="70"/>
  <c r="Z59" i="70"/>
  <c r="V56" i="70"/>
  <c r="Y52" i="70"/>
  <c r="Z48" i="70"/>
  <c r="W45" i="70"/>
  <c r="AA41" i="70"/>
  <c r="X38" i="70"/>
  <c r="Y34" i="70"/>
  <c r="W31" i="70"/>
  <c r="U29" i="70"/>
  <c r="Z27" i="70"/>
  <c r="Y22" i="70"/>
  <c r="U19" i="70"/>
  <c r="Z17" i="70"/>
  <c r="Y12" i="70"/>
  <c r="U9" i="70"/>
  <c r="Z7" i="70"/>
  <c r="I4" i="70"/>
  <c r="I30" i="70" s="1"/>
  <c r="W124" i="70"/>
  <c r="U120" i="70"/>
  <c r="W116" i="70"/>
  <c r="Y112" i="70"/>
  <c r="X108" i="70"/>
  <c r="Y104" i="70"/>
  <c r="W100" i="70"/>
  <c r="Z96" i="70"/>
  <c r="V93" i="70"/>
  <c r="V89" i="70"/>
  <c r="Y85" i="70"/>
  <c r="U82" i="70"/>
  <c r="X78" i="70"/>
  <c r="X74" i="70"/>
  <c r="Z70" i="70"/>
  <c r="U67" i="70"/>
  <c r="U63" i="70"/>
  <c r="X59" i="70"/>
  <c r="AA55" i="70"/>
  <c r="AA51" i="70"/>
  <c r="X48" i="70"/>
  <c r="U45" i="70"/>
  <c r="Y41" i="70"/>
  <c r="Z37" i="70"/>
  <c r="W34" i="70"/>
  <c r="U31" i="70"/>
  <c r="X27" i="70"/>
  <c r="W22" i="70"/>
  <c r="X17" i="70"/>
  <c r="W12" i="70"/>
  <c r="X7" i="70"/>
  <c r="Z5" i="70"/>
  <c r="F4" i="70"/>
  <c r="F30" i="70" s="1"/>
  <c r="X123" i="70"/>
  <c r="Z119" i="70"/>
  <c r="U116" i="70"/>
  <c r="AA111" i="70"/>
  <c r="U108" i="70"/>
  <c r="V104" i="70"/>
  <c r="U100" i="70"/>
  <c r="X96" i="70"/>
  <c r="AA92" i="70"/>
  <c r="AA88" i="70"/>
  <c r="W85" i="70"/>
  <c r="Z81" i="70"/>
  <c r="Z77" i="70"/>
  <c r="U74" i="70"/>
  <c r="W70" i="70"/>
  <c r="W66" i="70"/>
  <c r="Z62" i="70"/>
  <c r="V59" i="70"/>
  <c r="Y55" i="70"/>
  <c r="Y51" i="70"/>
  <c r="V48" i="70"/>
  <c r="Z44" i="70"/>
  <c r="V123" i="70"/>
  <c r="X119" i="70"/>
  <c r="Y122" i="70"/>
  <c r="Z118" i="70"/>
  <c r="X114" i="70"/>
  <c r="Z110" i="70"/>
  <c r="AA106" i="70"/>
  <c r="Z102" i="70"/>
  <c r="V99" i="70"/>
  <c r="Y95" i="70"/>
  <c r="Y91" i="70"/>
  <c r="U88" i="70"/>
  <c r="W84" i="70"/>
  <c r="V80" i="70"/>
  <c r="Y76" i="70"/>
  <c r="U73" i="70"/>
  <c r="U69" i="70"/>
  <c r="X65" i="70"/>
  <c r="AA61" i="70"/>
  <c r="W58" i="70"/>
  <c r="W54" i="70"/>
  <c r="Y50" i="70"/>
  <c r="U47" i="70"/>
  <c r="W43" i="70"/>
  <c r="AA39" i="70"/>
  <c r="X36" i="70"/>
  <c r="V33" i="70"/>
  <c r="W28" i="70"/>
  <c r="X23" i="70"/>
  <c r="V18" i="70"/>
  <c r="AA16" i="70"/>
  <c r="W13" i="70"/>
  <c r="V8" i="70"/>
  <c r="AA6" i="70"/>
  <c r="V122" i="70"/>
  <c r="W118" i="70"/>
  <c r="V114" i="70"/>
  <c r="W110" i="70"/>
  <c r="V106" i="70"/>
  <c r="X102" i="70"/>
  <c r="AA98" i="70"/>
  <c r="AA94" i="70"/>
  <c r="W91" i="70"/>
  <c r="Y87" i="70"/>
  <c r="X83" i="70"/>
  <c r="AA79" i="70"/>
  <c r="W76" i="70"/>
  <c r="Z72" i="70"/>
  <c r="Z68" i="70"/>
  <c r="V65" i="70"/>
  <c r="Y61" i="70"/>
  <c r="Y57" i="70"/>
  <c r="AA53" i="70"/>
  <c r="V50" i="70"/>
  <c r="X46" i="70"/>
  <c r="U43" i="70"/>
  <c r="Y39" i="70"/>
  <c r="V36" i="70"/>
  <c r="AA32" i="70"/>
  <c r="U28" i="70"/>
  <c r="Z26" i="70"/>
  <c r="V23" i="70"/>
  <c r="Z21" i="70"/>
  <c r="Y16" i="70"/>
  <c r="U13" i="70"/>
  <c r="Z11" i="70"/>
  <c r="Y6" i="70"/>
  <c r="V120" i="70"/>
  <c r="W114" i="70"/>
  <c r="U109" i="70"/>
  <c r="U103" i="70"/>
  <c r="W98" i="70"/>
  <c r="Y92" i="70"/>
  <c r="V87" i="70"/>
  <c r="AA81" i="70"/>
  <c r="X76" i="70"/>
  <c r="X71" i="70"/>
  <c r="Z65" i="70"/>
  <c r="X60" i="70"/>
  <c r="AA54" i="70"/>
  <c r="AA49" i="70"/>
  <c r="AA44" i="70"/>
  <c r="U40" i="70"/>
  <c r="Y35" i="70"/>
  <c r="Z30" i="70"/>
  <c r="X28" i="70"/>
  <c r="U26" i="70"/>
  <c r="Y19" i="70"/>
  <c r="V17" i="70"/>
  <c r="Z10" i="70"/>
  <c r="W8" i="70"/>
  <c r="U6" i="70"/>
  <c r="W119" i="70"/>
  <c r="Y113" i="70"/>
  <c r="Z107" i="70"/>
  <c r="W102" i="70"/>
  <c r="AA96" i="70"/>
  <c r="Z91" i="70"/>
  <c r="W86" i="70"/>
  <c r="V81" i="70"/>
  <c r="AA75" i="70"/>
  <c r="V70" i="70"/>
  <c r="U65" i="70"/>
  <c r="Y59" i="70"/>
  <c r="X54" i="70"/>
  <c r="V49" i="70"/>
  <c r="U44" i="70"/>
  <c r="W39" i="70"/>
  <c r="X34" i="70"/>
  <c r="W30" i="70"/>
  <c r="AA23" i="70"/>
  <c r="V21" i="70"/>
  <c r="X12" i="70"/>
  <c r="V10" i="70"/>
  <c r="Y121" i="70"/>
  <c r="Z115" i="70"/>
  <c r="U110" i="70"/>
  <c r="W104" i="70"/>
  <c r="U99" i="70"/>
  <c r="Z93" i="70"/>
  <c r="W88" i="70"/>
  <c r="AA82" i="70"/>
  <c r="W77" i="70"/>
  <c r="U72" i="70"/>
  <c r="AA66" i="70"/>
  <c r="Z61" i="70"/>
  <c r="X56" i="70"/>
  <c r="U51" i="70"/>
  <c r="AA45" i="70"/>
  <c r="Y40" i="70"/>
  <c r="W36" i="70"/>
  <c r="AA31" i="70"/>
  <c r="AA26" i="70"/>
  <c r="Y24" i="70"/>
  <c r="X15" i="70"/>
  <c r="V13" i="70"/>
  <c r="Z6" i="70"/>
  <c r="Y4" i="70"/>
  <c r="V121" i="70"/>
  <c r="X113" i="70"/>
  <c r="U107" i="70"/>
  <c r="V100" i="70"/>
  <c r="W94" i="70"/>
  <c r="V88" i="70"/>
  <c r="Y81" i="70"/>
  <c r="Y75" i="70"/>
  <c r="AA68" i="70"/>
  <c r="Y62" i="70"/>
  <c r="Z56" i="70"/>
  <c r="W50" i="70"/>
  <c r="W44" i="70"/>
  <c r="AA38" i="70"/>
  <c r="X33" i="70"/>
  <c r="W29" i="70"/>
  <c r="U21" i="70"/>
  <c r="U16" i="70"/>
  <c r="Z13" i="70"/>
  <c r="U8" i="70"/>
  <c r="X5" i="70"/>
  <c r="AA119" i="70"/>
  <c r="W113" i="70"/>
  <c r="W106" i="70"/>
  <c r="AA99" i="70"/>
  <c r="V94" i="70"/>
  <c r="Z87" i="70"/>
  <c r="X81" i="70"/>
  <c r="X75" i="70"/>
  <c r="Y68" i="70"/>
  <c r="X62" i="70"/>
  <c r="Y56" i="70"/>
  <c r="U50" i="70"/>
  <c r="Y43" i="70"/>
  <c r="Z38" i="70"/>
  <c r="W33" i="70"/>
  <c r="Y26" i="70"/>
  <c r="Y13" i="70"/>
  <c r="W5" i="70"/>
  <c r="V119" i="70"/>
  <c r="Z112" i="70"/>
  <c r="AA105" i="70"/>
  <c r="Y99" i="70"/>
  <c r="W93" i="70"/>
  <c r="U87" i="70"/>
  <c r="W80" i="70"/>
  <c r="V74" i="70"/>
  <c r="W68" i="70"/>
  <c r="V62" i="70"/>
  <c r="Z55" i="70"/>
  <c r="W49" i="70"/>
  <c r="V43" i="70"/>
  <c r="X37" i="70"/>
  <c r="Z32" i="70"/>
  <c r="V26" i="70"/>
  <c r="Z23" i="70"/>
  <c r="X18" i="70"/>
  <c r="X10" i="70"/>
  <c r="U5" i="70"/>
  <c r="Y117" i="70"/>
  <c r="V111" i="70"/>
  <c r="W105" i="70"/>
  <c r="Y98" i="70"/>
  <c r="AA91" i="70"/>
  <c r="X85" i="70"/>
  <c r="X79" i="70"/>
  <c r="W73" i="70"/>
  <c r="V67" i="70"/>
  <c r="Y60" i="70"/>
  <c r="U54" i="70"/>
  <c r="U48" i="70"/>
  <c r="X42" i="70"/>
  <c r="AA36" i="70"/>
  <c r="Y31" i="70"/>
  <c r="V28" i="70"/>
  <c r="Y25" i="70"/>
  <c r="Y20" i="70"/>
  <c r="V15" i="70"/>
  <c r="AA12" i="70"/>
  <c r="V7" i="70"/>
  <c r="V124" i="70"/>
  <c r="V117" i="70"/>
  <c r="Y110" i="70"/>
  <c r="W103" i="70"/>
  <c r="X97" i="70"/>
  <c r="AA90" i="70"/>
  <c r="AA84" i="70"/>
  <c r="U79" i="70"/>
  <c r="W123" i="70"/>
  <c r="AA116" i="70"/>
  <c r="V110" i="70"/>
  <c r="V103" i="70"/>
  <c r="Y96" i="70"/>
  <c r="Y90" i="70"/>
  <c r="Z84" i="70"/>
  <c r="Y78" i="70"/>
  <c r="AA71" i="70"/>
  <c r="Y65" i="70"/>
  <c r="U59" i="70"/>
  <c r="V53" i="70"/>
  <c r="V47" i="70"/>
  <c r="W41" i="70"/>
  <c r="AA35" i="70"/>
  <c r="X30" i="70"/>
  <c r="U25" i="70"/>
  <c r="AA22" i="70"/>
  <c r="U20" i="70"/>
  <c r="W17" i="70"/>
  <c r="AA14" i="70"/>
  <c r="Y9" i="70"/>
  <c r="X4" i="70"/>
  <c r="AA124" i="70"/>
  <c r="AA114" i="70"/>
  <c r="Y105" i="70"/>
  <c r="U96" i="70"/>
  <c r="W87" i="70"/>
  <c r="W78" i="70"/>
  <c r="AA69" i="70"/>
  <c r="X61" i="70"/>
  <c r="U53" i="70"/>
  <c r="Y45" i="70"/>
  <c r="V37" i="70"/>
  <c r="V30" i="70"/>
  <c r="W23" i="70"/>
  <c r="X16" i="70"/>
  <c r="X9" i="70"/>
  <c r="X124" i="70"/>
  <c r="Y114" i="70"/>
  <c r="X105" i="70"/>
  <c r="AA95" i="70"/>
  <c r="AA86" i="70"/>
  <c r="X77" i="70"/>
  <c r="Z69" i="70"/>
  <c r="W61" i="70"/>
  <c r="AA52" i="70"/>
  <c r="V45" i="70"/>
  <c r="U37" i="70"/>
  <c r="U30" i="70"/>
  <c r="AA19" i="70"/>
  <c r="W16" i="70"/>
  <c r="W9" i="70"/>
  <c r="U123" i="70"/>
  <c r="U114" i="70"/>
  <c r="Z104" i="70"/>
  <c r="Z95" i="70"/>
  <c r="V86" i="70"/>
  <c r="U77" i="70"/>
  <c r="V69" i="70"/>
  <c r="V60" i="70"/>
  <c r="U52" i="70"/>
  <c r="X44" i="70"/>
  <c r="Z36" i="70"/>
  <c r="Z19" i="70"/>
  <c r="V16" i="70"/>
  <c r="V12" i="70"/>
  <c r="Y5" i="70"/>
  <c r="AA122" i="70"/>
  <c r="AA113" i="70"/>
  <c r="U104" i="70"/>
  <c r="X95" i="70"/>
  <c r="Z85" i="70"/>
  <c r="AA76" i="70"/>
  <c r="X68" i="70"/>
  <c r="U60" i="70"/>
  <c r="Z51" i="70"/>
  <c r="X43" i="70"/>
  <c r="Y36" i="70"/>
  <c r="X26" i="70"/>
  <c r="X19" i="70"/>
  <c r="U12" i="70"/>
  <c r="V5" i="70"/>
  <c r="Z122" i="70"/>
  <c r="V113" i="70"/>
  <c r="AA102" i="70"/>
  <c r="Z94" i="70"/>
  <c r="V85" i="70"/>
  <c r="W122" i="70"/>
  <c r="U112" i="70"/>
  <c r="Y102" i="70"/>
  <c r="Y94" i="70"/>
  <c r="U85" i="70"/>
  <c r="V76" i="70"/>
  <c r="U68" i="70"/>
  <c r="AA58" i="70"/>
  <c r="W51" i="70"/>
  <c r="Z42" i="70"/>
  <c r="Z35" i="70"/>
  <c r="AA29" i="70"/>
  <c r="X22" i="70"/>
  <c r="Y15" i="70"/>
  <c r="AA121" i="70"/>
  <c r="Y111" i="70"/>
  <c r="V102" i="70"/>
  <c r="AA93" i="70"/>
  <c r="X84" i="70"/>
  <c r="U76" i="70"/>
  <c r="AA67" i="70"/>
  <c r="Z58" i="70"/>
  <c r="V51" i="70"/>
  <c r="Y42" i="70"/>
  <c r="X35" i="70"/>
  <c r="Z29" i="70"/>
  <c r="Z25" i="70"/>
  <c r="V22" i="70"/>
  <c r="W15" i="70"/>
  <c r="AA8" i="70"/>
  <c r="Z121" i="70"/>
  <c r="X111" i="70"/>
  <c r="U102" i="70"/>
  <c r="U93" i="70"/>
  <c r="U84" i="70"/>
  <c r="Z75" i="70"/>
  <c r="V66" i="70"/>
  <c r="Y58" i="70"/>
  <c r="Z50" i="70"/>
  <c r="W42" i="70"/>
  <c r="U35" i="70"/>
  <c r="X29" i="70"/>
  <c r="X25" i="70"/>
  <c r="U22" i="70"/>
  <c r="X8" i="70"/>
  <c r="X121" i="70"/>
  <c r="U111" i="70"/>
  <c r="AA101" i="70"/>
  <c r="Z92" i="70"/>
  <c r="W83" i="70"/>
  <c r="Y74" i="70"/>
  <c r="U66" i="70"/>
  <c r="X58" i="70"/>
  <c r="Z49" i="70"/>
  <c r="V42" i="70"/>
  <c r="V34" i="70"/>
  <c r="W25" i="70"/>
  <c r="AA18" i="70"/>
  <c r="AA11" i="70"/>
  <c r="AA4" i="70"/>
  <c r="W121" i="70"/>
  <c r="AA110" i="70"/>
  <c r="Z101" i="70"/>
  <c r="U92" i="70"/>
  <c r="V83" i="70"/>
  <c r="Z73" i="70"/>
  <c r="AA65" i="70"/>
  <c r="Z57" i="70"/>
  <c r="U49" i="70"/>
  <c r="Z41" i="70"/>
  <c r="U34" i="70"/>
  <c r="V25" i="70"/>
  <c r="U18" i="70"/>
  <c r="Y11" i="70"/>
  <c r="Z4" i="70"/>
  <c r="Z117" i="70"/>
  <c r="Y108" i="70"/>
  <c r="X99" i="70"/>
  <c r="W90" i="70"/>
  <c r="V82" i="70"/>
  <c r="AA72" i="70"/>
  <c r="Y64" i="70"/>
  <c r="U56" i="70"/>
  <c r="Y47" i="70"/>
  <c r="V40" i="70"/>
  <c r="U33" i="70"/>
  <c r="AA10" i="70"/>
  <c r="C4" i="70"/>
  <c r="C30" i="70" s="1"/>
  <c r="Z105" i="70"/>
  <c r="Z82" i="70"/>
  <c r="AA64" i="70"/>
  <c r="W48" i="70"/>
  <c r="Z33" i="70"/>
  <c r="U11" i="70"/>
  <c r="E4" i="70"/>
  <c r="E30" i="70" s="1"/>
  <c r="Y101" i="70"/>
  <c r="Y82" i="70"/>
  <c r="Z64" i="70"/>
  <c r="AA47" i="70"/>
  <c r="Y33" i="70"/>
  <c r="D4" i="70"/>
  <c r="D30" i="70" s="1"/>
  <c r="X100" i="70"/>
  <c r="Y80" i="70"/>
  <c r="W64" i="70"/>
  <c r="X47" i="70"/>
  <c r="Y32" i="70"/>
  <c r="AA24" i="70"/>
  <c r="Y17" i="70"/>
  <c r="W10" i="70"/>
  <c r="Y119" i="70"/>
  <c r="Z99" i="70"/>
  <c r="U80" i="70"/>
  <c r="V64" i="70"/>
  <c r="AA46" i="70"/>
  <c r="V32" i="70"/>
  <c r="Z24" i="70"/>
  <c r="U17" i="70"/>
  <c r="U10" i="70"/>
  <c r="AA118" i="70"/>
  <c r="W99" i="70"/>
  <c r="Z79" i="70"/>
  <c r="V63" i="70"/>
  <c r="W46" i="70"/>
  <c r="U32" i="70"/>
  <c r="X24" i="70"/>
  <c r="X118" i="70"/>
  <c r="Z98" i="70"/>
  <c r="Y79" i="70"/>
  <c r="AA62" i="70"/>
  <c r="V46" i="70"/>
  <c r="V31" i="70"/>
  <c r="X117" i="70"/>
  <c r="X98" i="70"/>
  <c r="W79" i="70"/>
  <c r="W62" i="70"/>
  <c r="U46" i="70"/>
  <c r="AA30" i="70"/>
  <c r="AA9" i="70"/>
  <c r="X116" i="70"/>
  <c r="W96" i="70"/>
  <c r="Z76" i="70"/>
  <c r="W59" i="70"/>
  <c r="AA42" i="70"/>
  <c r="Z15" i="70"/>
  <c r="AA115" i="70"/>
  <c r="X91" i="70"/>
  <c r="X73" i="70"/>
  <c r="V57" i="70"/>
  <c r="X40" i="70"/>
  <c r="AA28" i="70"/>
  <c r="X115" i="70"/>
  <c r="U91" i="70"/>
  <c r="V73" i="70"/>
  <c r="AA56" i="70"/>
  <c r="W40" i="70"/>
  <c r="Y21" i="70"/>
  <c r="X14" i="70"/>
  <c r="U7" i="70"/>
  <c r="Z109" i="70"/>
  <c r="V90" i="70"/>
  <c r="Z71" i="70"/>
  <c r="Z54" i="70"/>
  <c r="X39" i="70"/>
  <c r="AA20" i="70"/>
  <c r="Y107" i="70"/>
  <c r="V68" i="70"/>
  <c r="Y30" i="70"/>
  <c r="X107" i="70"/>
  <c r="W65" i="70"/>
  <c r="Z16" i="70"/>
  <c r="G4" i="70"/>
  <c r="G30" i="70" s="1"/>
  <c r="W107" i="70"/>
  <c r="U62" i="70"/>
  <c r="Z14" i="70"/>
  <c r="U106" i="70"/>
  <c r="W57" i="70"/>
  <c r="Y14" i="70"/>
  <c r="Y97" i="70"/>
  <c r="X55" i="70"/>
  <c r="Y27" i="70"/>
  <c r="V96" i="70"/>
  <c r="Y54" i="70"/>
  <c r="W27" i="70"/>
  <c r="X90" i="70"/>
  <c r="Y53" i="70"/>
  <c r="V27" i="70"/>
  <c r="Z89" i="70"/>
  <c r="X53" i="70"/>
  <c r="U27" i="70"/>
  <c r="X13" i="70"/>
  <c r="U89" i="70"/>
  <c r="W53" i="70"/>
  <c r="Z88" i="70"/>
  <c r="X51" i="70"/>
  <c r="Y88" i="70"/>
  <c r="Y48" i="70"/>
  <c r="Y23" i="70"/>
  <c r="V11" i="70"/>
  <c r="X88" i="70"/>
  <c r="Z45" i="70"/>
  <c r="V79" i="70"/>
  <c r="Z39" i="70"/>
  <c r="U36" i="70"/>
  <c r="AA33" i="70"/>
  <c r="Y71" i="70"/>
  <c r="W20" i="70"/>
  <c r="V41" i="70"/>
  <c r="U39" i="70"/>
  <c r="V39" i="70"/>
  <c r="W117" i="70"/>
  <c r="Z9" i="70"/>
  <c r="AA37" i="70"/>
  <c r="V116" i="70"/>
  <c r="AA109" i="70"/>
  <c r="Y7" i="70"/>
  <c r="AA70" i="70"/>
  <c r="V109" i="70"/>
  <c r="V108" i="70"/>
  <c r="X20" i="70"/>
  <c r="U83" i="70"/>
  <c r="X6" i="70"/>
  <c r="Y73" i="70"/>
  <c r="W6" i="70"/>
  <c r="Y72" i="70"/>
  <c r="Z20" i="70"/>
  <c r="V6" i="70"/>
  <c r="X70" i="70"/>
  <c r="V20" i="70"/>
  <c r="U70" i="70"/>
  <c r="W19" i="70"/>
  <c r="W37" i="70"/>
  <c r="W101" i="60"/>
  <c r="X104" i="60"/>
  <c r="Z28" i="60"/>
  <c r="Z93" i="60"/>
  <c r="U41" i="60"/>
  <c r="X105" i="60"/>
  <c r="AA44" i="60"/>
  <c r="Z122" i="60"/>
  <c r="X93" i="60"/>
  <c r="Y124" i="74"/>
  <c r="Z121" i="74"/>
  <c r="AA118" i="74"/>
  <c r="U116" i="74"/>
  <c r="V113" i="74"/>
  <c r="W110" i="74"/>
  <c r="X107" i="74"/>
  <c r="Y104" i="74"/>
  <c r="Z101" i="74"/>
  <c r="AA98" i="74"/>
  <c r="U96" i="74"/>
  <c r="V93" i="74"/>
  <c r="W90" i="74"/>
  <c r="X87" i="74"/>
  <c r="Y84" i="74"/>
  <c r="Z81" i="74"/>
  <c r="AA78" i="74"/>
  <c r="U76" i="74"/>
  <c r="V73" i="74"/>
  <c r="W70" i="74"/>
  <c r="X67" i="74"/>
  <c r="Y64" i="74"/>
  <c r="Z61" i="74"/>
  <c r="AA58" i="74"/>
  <c r="U56" i="74"/>
  <c r="V53" i="74"/>
  <c r="W50" i="74"/>
  <c r="X47" i="74"/>
  <c r="Y44" i="74"/>
  <c r="Z41" i="74"/>
  <c r="AA38" i="74"/>
  <c r="U36" i="74"/>
  <c r="V33" i="74"/>
  <c r="W30" i="74"/>
  <c r="Y27" i="74"/>
  <c r="AA24" i="74"/>
  <c r="U23" i="74"/>
  <c r="W20" i="74"/>
  <c r="X124" i="74"/>
  <c r="Y121" i="74"/>
  <c r="Z118" i="74"/>
  <c r="AA115" i="74"/>
  <c r="U113" i="74"/>
  <c r="V110" i="74"/>
  <c r="W107" i="74"/>
  <c r="X104" i="74"/>
  <c r="Y101" i="74"/>
  <c r="Z98" i="74"/>
  <c r="AA95" i="74"/>
  <c r="U93" i="74"/>
  <c r="V90" i="74"/>
  <c r="W87" i="74"/>
  <c r="X84" i="74"/>
  <c r="Y81" i="74"/>
  <c r="Z78" i="74"/>
  <c r="AA75" i="74"/>
  <c r="U73" i="74"/>
  <c r="V70" i="74"/>
  <c r="W67" i="74"/>
  <c r="X64" i="74"/>
  <c r="Y61" i="74"/>
  <c r="Z58" i="74"/>
  <c r="AA55" i="74"/>
  <c r="U53" i="74"/>
  <c r="V50" i="74"/>
  <c r="W47" i="74"/>
  <c r="X44" i="74"/>
  <c r="Y41" i="74"/>
  <c r="Z38" i="74"/>
  <c r="AA35" i="74"/>
  <c r="U33" i="74"/>
  <c r="Z122" i="74"/>
  <c r="Y119" i="74"/>
  <c r="X116" i="74"/>
  <c r="W113" i="74"/>
  <c r="AA109" i="74"/>
  <c r="Z106" i="74"/>
  <c r="Y103" i="74"/>
  <c r="X100" i="74"/>
  <c r="W97" i="74"/>
  <c r="V94" i="74"/>
  <c r="U91" i="74"/>
  <c r="AA87" i="74"/>
  <c r="Z84" i="74"/>
  <c r="W81" i="74"/>
  <c r="V78" i="74"/>
  <c r="U75" i="74"/>
  <c r="AA71" i="74"/>
  <c r="Z68" i="74"/>
  <c r="Y65" i="74"/>
  <c r="X62" i="74"/>
  <c r="W59" i="74"/>
  <c r="V56" i="74"/>
  <c r="Z52" i="74"/>
  <c r="Y49" i="74"/>
  <c r="X46" i="74"/>
  <c r="W43" i="74"/>
  <c r="V40" i="74"/>
  <c r="U37" i="74"/>
  <c r="AA33" i="74"/>
  <c r="Z30" i="74"/>
  <c r="Z27" i="74"/>
  <c r="Y24" i="74"/>
  <c r="Y21" i="74"/>
  <c r="Z18" i="74"/>
  <c r="V14" i="74"/>
  <c r="X11" i="74"/>
  <c r="Z8" i="74"/>
  <c r="V4" i="74"/>
  <c r="Z124" i="74"/>
  <c r="W121" i="74"/>
  <c r="V118" i="74"/>
  <c r="U115" i="74"/>
  <c r="AA111" i="74"/>
  <c r="Z108" i="74"/>
  <c r="Y105" i="74"/>
  <c r="X102" i="74"/>
  <c r="W99" i="74"/>
  <c r="V96" i="74"/>
  <c r="Z92" i="74"/>
  <c r="Y89" i="74"/>
  <c r="X86" i="74"/>
  <c r="W83" i="74"/>
  <c r="V80" i="74"/>
  <c r="U77" i="74"/>
  <c r="AA73" i="74"/>
  <c r="Z70" i="74"/>
  <c r="Y67" i="74"/>
  <c r="V64" i="74"/>
  <c r="U61" i="74"/>
  <c r="AA57" i="74"/>
  <c r="Z54" i="74"/>
  <c r="Y51" i="74"/>
  <c r="X48" i="74"/>
  <c r="W45" i="74"/>
  <c r="V42" i="74"/>
  <c r="U39" i="74"/>
  <c r="Y35" i="74"/>
  <c r="X32" i="74"/>
  <c r="X28" i="74"/>
  <c r="X25" i="74"/>
  <c r="X22" i="74"/>
  <c r="X19" i="74"/>
  <c r="Z16" i="74"/>
  <c r="W124" i="74"/>
  <c r="V121" i="74"/>
  <c r="U118" i="74"/>
  <c r="AA114" i="74"/>
  <c r="Z111" i="74"/>
  <c r="Y108" i="74"/>
  <c r="X105" i="74"/>
  <c r="W102" i="74"/>
  <c r="V99" i="74"/>
  <c r="Z95" i="74"/>
  <c r="Y92" i="74"/>
  <c r="X89" i="74"/>
  <c r="W86" i="74"/>
  <c r="V83" i="74"/>
  <c r="U80" i="74"/>
  <c r="AA76" i="74"/>
  <c r="Z73" i="74"/>
  <c r="Y70" i="74"/>
  <c r="V67" i="74"/>
  <c r="U121" i="74"/>
  <c r="X117" i="74"/>
  <c r="AA113" i="74"/>
  <c r="U110" i="74"/>
  <c r="W106" i="74"/>
  <c r="Z102" i="74"/>
  <c r="Y98" i="74"/>
  <c r="U95" i="74"/>
  <c r="X91" i="74"/>
  <c r="Z87" i="74"/>
  <c r="AA83" i="74"/>
  <c r="W80" i="74"/>
  <c r="X76" i="74"/>
  <c r="Y72" i="74"/>
  <c r="U69" i="74"/>
  <c r="W65" i="74"/>
  <c r="AA61" i="74"/>
  <c r="V58" i="74"/>
  <c r="U123" i="74"/>
  <c r="W119" i="74"/>
  <c r="X115" i="74"/>
  <c r="Y111" i="74"/>
  <c r="U108" i="74"/>
  <c r="V104" i="74"/>
  <c r="Y100" i="74"/>
  <c r="AA96" i="74"/>
  <c r="W93" i="74"/>
  <c r="V89" i="74"/>
  <c r="Y85" i="74"/>
  <c r="U82" i="74"/>
  <c r="U78" i="74"/>
  <c r="X74" i="74"/>
  <c r="AA70" i="74"/>
  <c r="Z66" i="74"/>
  <c r="W63" i="74"/>
  <c r="AA59" i="74"/>
  <c r="X56" i="74"/>
  <c r="Y52" i="74"/>
  <c r="V49" i="74"/>
  <c r="Z45" i="74"/>
  <c r="W42" i="74"/>
  <c r="X38" i="74"/>
  <c r="U35" i="74"/>
  <c r="Y31" i="74"/>
  <c r="W29" i="74"/>
  <c r="V24" i="74"/>
  <c r="AA22" i="74"/>
  <c r="V19" i="74"/>
  <c r="Z14" i="74"/>
  <c r="Y11" i="74"/>
  <c r="X8" i="74"/>
  <c r="X5" i="74"/>
  <c r="F4" i="74"/>
  <c r="F30" i="74" s="1"/>
  <c r="U122" i="74"/>
  <c r="Y117" i="74"/>
  <c r="Y113" i="74"/>
  <c r="W109" i="74"/>
  <c r="V105" i="74"/>
  <c r="U101" i="74"/>
  <c r="U97" i="74"/>
  <c r="X92" i="74"/>
  <c r="Y88" i="74"/>
  <c r="W84" i="74"/>
  <c r="X80" i="74"/>
  <c r="V76" i="74"/>
  <c r="U72" i="74"/>
  <c r="U68" i="74"/>
  <c r="Z63" i="74"/>
  <c r="U60" i="74"/>
  <c r="Z55" i="74"/>
  <c r="V52" i="74"/>
  <c r="Y48" i="74"/>
  <c r="AA44" i="74"/>
  <c r="U41" i="74"/>
  <c r="X37" i="74"/>
  <c r="Z33" i="74"/>
  <c r="U30" i="74"/>
  <c r="Y28" i="74"/>
  <c r="V23" i="74"/>
  <c r="X21" i="74"/>
  <c r="W16" i="74"/>
  <c r="W11" i="74"/>
  <c r="U8" i="74"/>
  <c r="AA6" i="74"/>
  <c r="Z123" i="74"/>
  <c r="AA119" i="74"/>
  <c r="Y115" i="74"/>
  <c r="W111" i="74"/>
  <c r="V107" i="74"/>
  <c r="V103" i="74"/>
  <c r="U99" i="74"/>
  <c r="Z94" i="74"/>
  <c r="Z90" i="74"/>
  <c r="Y86" i="74"/>
  <c r="X82" i="74"/>
  <c r="W78" i="74"/>
  <c r="V74" i="74"/>
  <c r="Z69" i="74"/>
  <c r="AA65" i="74"/>
  <c r="U62" i="74"/>
  <c r="Z57" i="74"/>
  <c r="V54" i="74"/>
  <c r="Y50" i="74"/>
  <c r="Z46" i="74"/>
  <c r="U43" i="74"/>
  <c r="X39" i="74"/>
  <c r="X35" i="74"/>
  <c r="AA31" i="74"/>
  <c r="X29" i="74"/>
  <c r="AA27" i="74"/>
  <c r="V22" i="74"/>
  <c r="Z20" i="74"/>
  <c r="U17" i="74"/>
  <c r="Y15" i="74"/>
  <c r="U12" i="74"/>
  <c r="AA10" i="74"/>
  <c r="Y7" i="74"/>
  <c r="W4" i="74"/>
  <c r="W123" i="74"/>
  <c r="V119" i="74"/>
  <c r="Z114" i="74"/>
  <c r="AA110" i="74"/>
  <c r="Y106" i="74"/>
  <c r="Y102" i="74"/>
  <c r="V98" i="74"/>
  <c r="W94" i="74"/>
  <c r="U90" i="74"/>
  <c r="AA85" i="74"/>
  <c r="AA81" i="74"/>
  <c r="Y77" i="74"/>
  <c r="X73" i="74"/>
  <c r="W69" i="74"/>
  <c r="V65" i="74"/>
  <c r="V61" i="74"/>
  <c r="W57" i="74"/>
  <c r="Z53" i="74"/>
  <c r="AA49" i="74"/>
  <c r="V46" i="74"/>
  <c r="Y42" i="74"/>
  <c r="Y38" i="74"/>
  <c r="AA34" i="74"/>
  <c r="W31" i="74"/>
  <c r="V27" i="74"/>
  <c r="Z25" i="74"/>
  <c r="V20" i="74"/>
  <c r="AA18" i="74"/>
  <c r="V15" i="74"/>
  <c r="Z13" i="74"/>
  <c r="X10" i="74"/>
  <c r="V7" i="74"/>
  <c r="AA5" i="74"/>
  <c r="H4" i="74"/>
  <c r="H30" i="74" s="1"/>
  <c r="V120" i="74"/>
  <c r="V115" i="74"/>
  <c r="X110" i="74"/>
  <c r="W105" i="74"/>
  <c r="W100" i="74"/>
  <c r="X95" i="74"/>
  <c r="AA90" i="74"/>
  <c r="Z85" i="74"/>
  <c r="AA80" i="74"/>
  <c r="Z75" i="74"/>
  <c r="W71" i="74"/>
  <c r="W66" i="74"/>
  <c r="X61" i="74"/>
  <c r="U57" i="74"/>
  <c r="X52" i="74"/>
  <c r="V48" i="74"/>
  <c r="AA43" i="74"/>
  <c r="Z39" i="74"/>
  <c r="V35" i="74"/>
  <c r="AA30" i="74"/>
  <c r="Z28" i="74"/>
  <c r="Y26" i="74"/>
  <c r="X24" i="74"/>
  <c r="W22" i="74"/>
  <c r="U20" i="74"/>
  <c r="V18" i="74"/>
  <c r="V16" i="74"/>
  <c r="W14" i="74"/>
  <c r="X12" i="74"/>
  <c r="Z10" i="74"/>
  <c r="AA124" i="74"/>
  <c r="U120" i="74"/>
  <c r="Y114" i="74"/>
  <c r="Z109" i="74"/>
  <c r="U105" i="74"/>
  <c r="V100" i="74"/>
  <c r="W95" i="74"/>
  <c r="Y90" i="74"/>
  <c r="X85" i="74"/>
  <c r="Z80" i="74"/>
  <c r="Y75" i="74"/>
  <c r="V71" i="74"/>
  <c r="V66" i="74"/>
  <c r="W61" i="74"/>
  <c r="AA56" i="74"/>
  <c r="W52" i="74"/>
  <c r="U48" i="74"/>
  <c r="Z43" i="74"/>
  <c r="Y39" i="74"/>
  <c r="Z34" i="74"/>
  <c r="Y30" i="74"/>
  <c r="W28" i="74"/>
  <c r="X26" i="74"/>
  <c r="W24" i="74"/>
  <c r="U22" i="74"/>
  <c r="U18" i="74"/>
  <c r="U16" i="74"/>
  <c r="U14" i="74"/>
  <c r="W12" i="74"/>
  <c r="Y10" i="74"/>
  <c r="AA8" i="74"/>
  <c r="X122" i="74"/>
  <c r="W117" i="74"/>
  <c r="Y112" i="74"/>
  <c r="AA107" i="74"/>
  <c r="U103" i="74"/>
  <c r="AA97" i="74"/>
  <c r="X93" i="74"/>
  <c r="W88" i="74"/>
  <c r="X83" i="74"/>
  <c r="Y78" i="74"/>
  <c r="Y73" i="74"/>
  <c r="Y68" i="74"/>
  <c r="AA63" i="74"/>
  <c r="X59" i="74"/>
  <c r="AA54" i="74"/>
  <c r="Z50" i="74"/>
  <c r="U46" i="74"/>
  <c r="X41" i="74"/>
  <c r="W37" i="74"/>
  <c r="AA32" i="74"/>
  <c r="AA29" i="74"/>
  <c r="X27" i="74"/>
  <c r="W25" i="74"/>
  <c r="X23" i="74"/>
  <c r="V21" i="74"/>
  <c r="U19" i="74"/>
  <c r="W17" i="74"/>
  <c r="W15" i="74"/>
  <c r="W13" i="74"/>
  <c r="Z11" i="74"/>
  <c r="Z9" i="74"/>
  <c r="G4" i="74"/>
  <c r="G30" i="74" s="1"/>
  <c r="W122" i="74"/>
  <c r="V117" i="74"/>
  <c r="X112" i="74"/>
  <c r="Z107" i="74"/>
  <c r="AA102" i="74"/>
  <c r="Z97" i="74"/>
  <c r="AA92" i="74"/>
  <c r="V88" i="74"/>
  <c r="U83" i="74"/>
  <c r="X78" i="74"/>
  <c r="W73" i="74"/>
  <c r="X68" i="74"/>
  <c r="Y63" i="74"/>
  <c r="V59" i="74"/>
  <c r="Y54" i="74"/>
  <c r="X50" i="74"/>
  <c r="AA45" i="74"/>
  <c r="W41" i="74"/>
  <c r="V37" i="74"/>
  <c r="Z32" i="74"/>
  <c r="Z29" i="74"/>
  <c r="W27" i="74"/>
  <c r="V25" i="74"/>
  <c r="W23" i="74"/>
  <c r="U21" i="74"/>
  <c r="V17" i="74"/>
  <c r="U15" i="74"/>
  <c r="V13" i="74"/>
  <c r="V11" i="74"/>
  <c r="Y9" i="74"/>
  <c r="E4" i="74"/>
  <c r="E30" i="74" s="1"/>
  <c r="V124" i="74"/>
  <c r="X118" i="74"/>
  <c r="W112" i="74"/>
  <c r="V106" i="74"/>
  <c r="U100" i="74"/>
  <c r="U94" i="74"/>
  <c r="U88" i="74"/>
  <c r="V82" i="74"/>
  <c r="X75" i="74"/>
  <c r="Y69" i="74"/>
  <c r="X63" i="74"/>
  <c r="U58" i="74"/>
  <c r="U52" i="74"/>
  <c r="U47" i="74"/>
  <c r="V41" i="74"/>
  <c r="W36" i="74"/>
  <c r="X30" i="74"/>
  <c r="U25" i="74"/>
  <c r="AA17" i="74"/>
  <c r="W10" i="74"/>
  <c r="Y122" i="74"/>
  <c r="Y116" i="74"/>
  <c r="Y110" i="74"/>
  <c r="U104" i="74"/>
  <c r="U98" i="74"/>
  <c r="AA91" i="74"/>
  <c r="U86" i="74"/>
  <c r="Y79" i="74"/>
  <c r="U74" i="74"/>
  <c r="Z67" i="74"/>
  <c r="V62" i="74"/>
  <c r="Y55" i="74"/>
  <c r="AA50" i="74"/>
  <c r="U45" i="74"/>
  <c r="AA39" i="74"/>
  <c r="V34" i="74"/>
  <c r="Z24" i="74"/>
  <c r="W19" i="74"/>
  <c r="X14" i="74"/>
  <c r="AA9" i="74"/>
  <c r="W7" i="74"/>
  <c r="AA121" i="74"/>
  <c r="V116" i="74"/>
  <c r="X109" i="74"/>
  <c r="Z103" i="74"/>
  <c r="X97" i="74"/>
  <c r="Y91" i="74"/>
  <c r="V85" i="74"/>
  <c r="W79" i="74"/>
  <c r="Z72" i="74"/>
  <c r="AA66" i="74"/>
  <c r="Z60" i="74"/>
  <c r="W55" i="74"/>
  <c r="Z49" i="74"/>
  <c r="W44" i="74"/>
  <c r="V39" i="74"/>
  <c r="Y33" i="74"/>
  <c r="V29" i="74"/>
  <c r="AA21" i="74"/>
  <c r="AA16" i="74"/>
  <c r="W9" i="74"/>
  <c r="X121" i="74"/>
  <c r="Z115" i="74"/>
  <c r="V109" i="74"/>
  <c r="X103" i="74"/>
  <c r="V97" i="74"/>
  <c r="W91" i="74"/>
  <c r="U85" i="74"/>
  <c r="V79" i="74"/>
  <c r="X72" i="74"/>
  <c r="Y66" i="74"/>
  <c r="Y60" i="74"/>
  <c r="V55" i="74"/>
  <c r="X49" i="74"/>
  <c r="V44" i="74"/>
  <c r="W38" i="74"/>
  <c r="X33" i="74"/>
  <c r="U29" i="74"/>
  <c r="AA26" i="74"/>
  <c r="AA120" i="74"/>
  <c r="W115" i="74"/>
  <c r="U109" i="74"/>
  <c r="W103" i="74"/>
  <c r="Z96" i="74"/>
  <c r="V91" i="74"/>
  <c r="AA84" i="74"/>
  <c r="U79" i="74"/>
  <c r="W72" i="74"/>
  <c r="X66" i="74"/>
  <c r="X60" i="74"/>
  <c r="U55" i="74"/>
  <c r="W49" i="74"/>
  <c r="U44" i="74"/>
  <c r="V38" i="74"/>
  <c r="W33" i="74"/>
  <c r="Z26" i="74"/>
  <c r="W21" i="74"/>
  <c r="X16" i="74"/>
  <c r="AA11" i="74"/>
  <c r="U9" i="74"/>
  <c r="Z4" i="74"/>
  <c r="AA122" i="74"/>
  <c r="U114" i="74"/>
  <c r="U106" i="74"/>
  <c r="W98" i="74"/>
  <c r="W89" i="74"/>
  <c r="X81" i="74"/>
  <c r="W74" i="74"/>
  <c r="U65" i="74"/>
  <c r="Y57" i="74"/>
  <c r="U51" i="74"/>
  <c r="AA42" i="74"/>
  <c r="V36" i="74"/>
  <c r="AA19" i="74"/>
  <c r="Y16" i="74"/>
  <c r="X13" i="74"/>
  <c r="AA7" i="74"/>
  <c r="AA4" i="74"/>
  <c r="V122" i="74"/>
  <c r="Z113" i="74"/>
  <c r="AA105" i="74"/>
  <c r="Y97" i="74"/>
  <c r="U89" i="74"/>
  <c r="V81" i="74"/>
  <c r="AA72" i="74"/>
  <c r="AA64" i="74"/>
  <c r="X57" i="74"/>
  <c r="U50" i="74"/>
  <c r="Z42" i="74"/>
  <c r="Z35" i="74"/>
  <c r="Y29" i="74"/>
  <c r="Z19" i="74"/>
  <c r="U13" i="74"/>
  <c r="V10" i="74"/>
  <c r="Z7" i="74"/>
  <c r="Y4" i="74"/>
  <c r="Z120" i="74"/>
  <c r="X113" i="74"/>
  <c r="Z105" i="74"/>
  <c r="Y96" i="74"/>
  <c r="AA88" i="74"/>
  <c r="U81" i="74"/>
  <c r="V72" i="74"/>
  <c r="Z64" i="74"/>
  <c r="V57" i="74"/>
  <c r="U49" i="74"/>
  <c r="X42" i="74"/>
  <c r="W35" i="74"/>
  <c r="Z22" i="74"/>
  <c r="Y19" i="74"/>
  <c r="Y120" i="74"/>
  <c r="AA112" i="74"/>
  <c r="AA104" i="74"/>
  <c r="X96" i="74"/>
  <c r="Z88" i="74"/>
  <c r="Y80" i="74"/>
  <c r="Z71" i="74"/>
  <c r="W64" i="74"/>
  <c r="Z56" i="74"/>
  <c r="AA48" i="74"/>
  <c r="U42" i="74"/>
  <c r="Y34" i="74"/>
  <c r="AA25" i="74"/>
  <c r="Y22" i="74"/>
  <c r="U7" i="74"/>
  <c r="U4" i="74"/>
  <c r="X120" i="74"/>
  <c r="Z112" i="74"/>
  <c r="Z104" i="74"/>
  <c r="W96" i="74"/>
  <c r="X88" i="74"/>
  <c r="AA79" i="74"/>
  <c r="Y71" i="74"/>
  <c r="U64" i="74"/>
  <c r="Y56" i="74"/>
  <c r="Z48" i="74"/>
  <c r="AA41" i="74"/>
  <c r="X34" i="74"/>
  <c r="Y25" i="74"/>
  <c r="I4" i="74"/>
  <c r="I30" i="74" s="1"/>
  <c r="Y118" i="74"/>
  <c r="U111" i="74"/>
  <c r="AA101" i="74"/>
  <c r="X94" i="74"/>
  <c r="Z86" i="74"/>
  <c r="X77" i="74"/>
  <c r="AA69" i="74"/>
  <c r="Y62" i="74"/>
  <c r="U54" i="74"/>
  <c r="V47" i="74"/>
  <c r="W40" i="74"/>
  <c r="V32" i="74"/>
  <c r="V6" i="74"/>
  <c r="Z117" i="74"/>
  <c r="AA108" i="74"/>
  <c r="V101" i="74"/>
  <c r="Y93" i="74"/>
  <c r="V84" i="74"/>
  <c r="Z76" i="74"/>
  <c r="AA68" i="74"/>
  <c r="W60" i="74"/>
  <c r="X53" i="74"/>
  <c r="W46" i="74"/>
  <c r="U38" i="74"/>
  <c r="X31" i="74"/>
  <c r="X119" i="74"/>
  <c r="Y107" i="74"/>
  <c r="Y94" i="74"/>
  <c r="Z82" i="74"/>
  <c r="X69" i="74"/>
  <c r="X58" i="74"/>
  <c r="Y46" i="74"/>
  <c r="X36" i="74"/>
  <c r="U27" i="74"/>
  <c r="Y17" i="74"/>
  <c r="U119" i="74"/>
  <c r="U107" i="74"/>
  <c r="AA93" i="74"/>
  <c r="Y82" i="74"/>
  <c r="V69" i="74"/>
  <c r="W58" i="74"/>
  <c r="Y45" i="74"/>
  <c r="W34" i="74"/>
  <c r="X17" i="74"/>
  <c r="AA12" i="74"/>
  <c r="Y8" i="74"/>
  <c r="W118" i="74"/>
  <c r="AA106" i="74"/>
  <c r="Z93" i="74"/>
  <c r="W82" i="74"/>
  <c r="W68" i="74"/>
  <c r="W56" i="74"/>
  <c r="X45" i="74"/>
  <c r="U34" i="74"/>
  <c r="Z12" i="74"/>
  <c r="W8" i="74"/>
  <c r="X4" i="74"/>
  <c r="U124" i="74"/>
  <c r="X111" i="74"/>
  <c r="Z99" i="74"/>
  <c r="AA86" i="74"/>
  <c r="AA74" i="74"/>
  <c r="W62" i="74"/>
  <c r="W51" i="74"/>
  <c r="W39" i="74"/>
  <c r="AA14" i="74"/>
  <c r="U6" i="74"/>
  <c r="AA123" i="74"/>
  <c r="V111" i="74"/>
  <c r="Y99" i="74"/>
  <c r="V86" i="74"/>
  <c r="Z74" i="74"/>
  <c r="AA60" i="74"/>
  <c r="V51" i="74"/>
  <c r="AA37" i="74"/>
  <c r="AA28" i="74"/>
  <c r="AA23" i="74"/>
  <c r="Y18" i="74"/>
  <c r="Y14" i="74"/>
  <c r="U10" i="74"/>
  <c r="Y109" i="74"/>
  <c r="V92" i="74"/>
  <c r="Y76" i="74"/>
  <c r="Z59" i="74"/>
  <c r="Z44" i="74"/>
  <c r="V30" i="74"/>
  <c r="Y23" i="74"/>
  <c r="Y5" i="74"/>
  <c r="X108" i="74"/>
  <c r="U92" i="74"/>
  <c r="W76" i="74"/>
  <c r="Y59" i="74"/>
  <c r="Y43" i="74"/>
  <c r="W5" i="74"/>
  <c r="W108" i="74"/>
  <c r="Z91" i="74"/>
  <c r="W75" i="74"/>
  <c r="U59" i="74"/>
  <c r="X43" i="74"/>
  <c r="V5" i="74"/>
  <c r="W120" i="74"/>
  <c r="V102" i="74"/>
  <c r="V87" i="74"/>
  <c r="X70" i="74"/>
  <c r="AA53" i="74"/>
  <c r="X40" i="74"/>
  <c r="V9" i="74"/>
  <c r="AA117" i="74"/>
  <c r="X101" i="74"/>
  <c r="W85" i="74"/>
  <c r="V68" i="74"/>
  <c r="W53" i="74"/>
  <c r="Z37" i="74"/>
  <c r="Y20" i="74"/>
  <c r="V8" i="74"/>
  <c r="U117" i="74"/>
  <c r="W101" i="74"/>
  <c r="U84" i="74"/>
  <c r="AA67" i="74"/>
  <c r="AA52" i="74"/>
  <c r="Y37" i="74"/>
  <c r="W26" i="74"/>
  <c r="X20" i="74"/>
  <c r="W116" i="74"/>
  <c r="AA99" i="74"/>
  <c r="AA82" i="74"/>
  <c r="Z65" i="74"/>
  <c r="X51" i="74"/>
  <c r="Y36" i="74"/>
  <c r="Y13" i="74"/>
  <c r="V123" i="74"/>
  <c r="V95" i="74"/>
  <c r="U70" i="74"/>
  <c r="AA46" i="74"/>
  <c r="V26" i="74"/>
  <c r="Z119" i="74"/>
  <c r="AA94" i="74"/>
  <c r="U67" i="74"/>
  <c r="V45" i="74"/>
  <c r="U26" i="74"/>
  <c r="X7" i="74"/>
  <c r="Z116" i="74"/>
  <c r="X90" i="74"/>
  <c r="X65" i="74"/>
  <c r="AA40" i="74"/>
  <c r="Z15" i="74"/>
  <c r="Y6" i="74"/>
  <c r="V114" i="74"/>
  <c r="Y87" i="74"/>
  <c r="AA62" i="74"/>
  <c r="U40" i="74"/>
  <c r="U24" i="74"/>
  <c r="Z5" i="74"/>
  <c r="V112" i="74"/>
  <c r="U87" i="74"/>
  <c r="Z62" i="74"/>
  <c r="AA36" i="74"/>
  <c r="Z23" i="74"/>
  <c r="AA13" i="74"/>
  <c r="U5" i="74"/>
  <c r="U112" i="74"/>
  <c r="Z83" i="74"/>
  <c r="V60" i="74"/>
  <c r="Z36" i="74"/>
  <c r="Y12" i="74"/>
  <c r="D4" i="74"/>
  <c r="D30" i="74" s="1"/>
  <c r="AA103" i="74"/>
  <c r="Z77" i="74"/>
  <c r="Y53" i="74"/>
  <c r="V31" i="74"/>
  <c r="Z110" i="74"/>
  <c r="Y74" i="74"/>
  <c r="W32" i="74"/>
  <c r="V108" i="74"/>
  <c r="X71" i="74"/>
  <c r="U32" i="74"/>
  <c r="Z17" i="74"/>
  <c r="X106" i="74"/>
  <c r="U71" i="74"/>
  <c r="Z31" i="74"/>
  <c r="AA15" i="74"/>
  <c r="W104" i="74"/>
  <c r="U66" i="74"/>
  <c r="U31" i="74"/>
  <c r="X15" i="74"/>
  <c r="AA100" i="74"/>
  <c r="U63" i="74"/>
  <c r="V28" i="74"/>
  <c r="V12" i="74"/>
  <c r="X99" i="74"/>
  <c r="X55" i="74"/>
  <c r="AA89" i="74"/>
  <c r="Z51" i="74"/>
  <c r="Y83" i="74"/>
  <c r="AA47" i="74"/>
  <c r="X98" i="74"/>
  <c r="Y40" i="74"/>
  <c r="Y95" i="74"/>
  <c r="Y32" i="74"/>
  <c r="Z6" i="74"/>
  <c r="W92" i="74"/>
  <c r="X6" i="74"/>
  <c r="Z89" i="74"/>
  <c r="U28" i="74"/>
  <c r="W6" i="74"/>
  <c r="Z79" i="74"/>
  <c r="C4" i="74"/>
  <c r="C30" i="74" s="1"/>
  <c r="X79" i="74"/>
  <c r="AA77" i="74"/>
  <c r="W77" i="74"/>
  <c r="Z21" i="74"/>
  <c r="V77" i="74"/>
  <c r="V75" i="74"/>
  <c r="AA20" i="74"/>
  <c r="V63" i="74"/>
  <c r="Y58" i="74"/>
  <c r="X18" i="74"/>
  <c r="Y123" i="74"/>
  <c r="W54" i="74"/>
  <c r="Y47" i="74"/>
  <c r="V43" i="74"/>
  <c r="X123" i="74"/>
  <c r="AA116" i="74"/>
  <c r="X54" i="74"/>
  <c r="W18" i="74"/>
  <c r="U11" i="74"/>
  <c r="X9" i="74"/>
  <c r="X114" i="74"/>
  <c r="W114" i="74"/>
  <c r="Z100" i="74"/>
  <c r="U102" i="74"/>
  <c r="Z47" i="74"/>
  <c r="AA51" i="74"/>
  <c r="W48" i="74"/>
  <c r="Z40" i="74"/>
  <c r="U52" i="71"/>
  <c r="V78" i="71"/>
  <c r="W30" i="71"/>
  <c r="Z19" i="71"/>
  <c r="Z90" i="71"/>
  <c r="U109" i="71"/>
  <c r="Y69" i="71"/>
  <c r="Y108" i="71"/>
  <c r="Z98" i="71"/>
  <c r="V38" i="71"/>
  <c r="V107" i="71"/>
  <c r="AA37" i="71"/>
  <c r="U10" i="60"/>
  <c r="Z19" i="60"/>
  <c r="U27" i="75"/>
  <c r="V51" i="60"/>
  <c r="V57" i="60"/>
  <c r="AA116" i="60"/>
  <c r="Z51" i="60"/>
  <c r="Y19" i="60"/>
  <c r="Y29" i="60"/>
  <c r="AA34" i="60"/>
  <c r="W71" i="60"/>
  <c r="Z54" i="60"/>
  <c r="W110" i="60"/>
  <c r="Z55" i="60"/>
  <c r="W40" i="60"/>
  <c r="Z79" i="60"/>
  <c r="U33" i="60"/>
  <c r="V97" i="60"/>
  <c r="V44" i="60"/>
  <c r="V109" i="60"/>
  <c r="Y71" i="60"/>
  <c r="AA105" i="60"/>
  <c r="X106" i="60"/>
  <c r="Y74" i="60"/>
  <c r="U68" i="71"/>
  <c r="AA53" i="71"/>
  <c r="AA12" i="71"/>
  <c r="AA75" i="71"/>
  <c r="AA14" i="71"/>
  <c r="W12" i="71"/>
  <c r="Y48" i="71"/>
  <c r="W9" i="71"/>
  <c r="AA95" i="71"/>
  <c r="AA101" i="71"/>
  <c r="V41" i="71"/>
  <c r="AA97" i="71"/>
  <c r="AA118" i="75"/>
  <c r="Y18" i="60"/>
  <c r="Y72" i="75"/>
  <c r="W79" i="60"/>
  <c r="U70" i="60"/>
  <c r="W100" i="60"/>
  <c r="I30" i="60"/>
  <c r="U113" i="60"/>
  <c r="AA71" i="60"/>
  <c r="X30" i="60"/>
  <c r="Z30" i="60"/>
  <c r="V34" i="60"/>
  <c r="X35" i="60"/>
  <c r="Z6" i="60"/>
  <c r="U59" i="60"/>
  <c r="AA76" i="60"/>
  <c r="Y25" i="60"/>
  <c r="Y115" i="60"/>
  <c r="AA43" i="60"/>
  <c r="X4" i="60"/>
  <c r="X83" i="60"/>
  <c r="V36" i="60"/>
  <c r="AA40" i="60"/>
  <c r="W105" i="60"/>
  <c r="W47" i="60"/>
  <c r="X74" i="60"/>
  <c r="Y50" i="60"/>
  <c r="W109" i="60"/>
  <c r="V53" i="60"/>
  <c r="Y80" i="71"/>
  <c r="Z14" i="71"/>
  <c r="Y6" i="71"/>
  <c r="Z13" i="71"/>
  <c r="Z105" i="71"/>
  <c r="U12" i="71"/>
  <c r="AA39" i="71"/>
  <c r="Z9" i="71"/>
  <c r="V63" i="71"/>
  <c r="Z99" i="71"/>
  <c r="Z67" i="71"/>
  <c r="AA96" i="71"/>
  <c r="U40" i="71"/>
  <c r="Z23" i="71"/>
  <c r="Y115" i="71"/>
  <c r="U120" i="71"/>
  <c r="U105" i="71"/>
  <c r="W107" i="71"/>
  <c r="Y110" i="71"/>
  <c r="Y79" i="75"/>
  <c r="X6" i="60"/>
  <c r="V12" i="60"/>
  <c r="Z8" i="75"/>
  <c r="Y64" i="75"/>
  <c r="W31" i="75"/>
  <c r="X13" i="75"/>
  <c r="AA15" i="75"/>
  <c r="V65" i="75"/>
  <c r="X108" i="75"/>
  <c r="X52" i="75"/>
  <c r="X14" i="75"/>
  <c r="V20" i="75"/>
  <c r="AA39" i="75"/>
  <c r="U20" i="75"/>
  <c r="U8" i="75"/>
  <c r="AA53" i="75"/>
  <c r="W63" i="75"/>
  <c r="W119" i="75"/>
  <c r="Y27" i="75"/>
  <c r="Y124" i="75"/>
  <c r="W124" i="60"/>
  <c r="C30" i="60"/>
  <c r="X70" i="60"/>
  <c r="V87" i="60"/>
  <c r="X39" i="60"/>
  <c r="AA108" i="60"/>
  <c r="X50" i="60"/>
  <c r="Y116" i="60"/>
  <c r="X53" i="60"/>
  <c r="W112" i="60"/>
  <c r="V112" i="60"/>
  <c r="AA109" i="71"/>
  <c r="Y17" i="71"/>
  <c r="U74" i="71"/>
  <c r="V58" i="71"/>
  <c r="V54" i="71"/>
  <c r="AA30" i="71"/>
  <c r="AA13" i="71"/>
  <c r="Y122" i="71"/>
  <c r="V108" i="71"/>
  <c r="Z108" i="71"/>
  <c r="U110" i="71"/>
  <c r="Z113" i="71"/>
  <c r="U92" i="71"/>
  <c r="S157" i="64" a="1"/>
  <c r="S157" i="64" s="1"/>
  <c r="P157" i="64" a="1"/>
  <c r="P157" i="64" s="1"/>
  <c r="N157" i="64" a="1"/>
  <c r="N157" i="64" s="1"/>
  <c r="D8" i="64" s="1"/>
  <c r="H8" i="64" s="1"/>
  <c r="U16" i="71"/>
  <c r="V26" i="75"/>
  <c r="AA26" i="75"/>
  <c r="W94" i="60"/>
  <c r="X113" i="60"/>
  <c r="W92" i="60"/>
  <c r="AA12" i="75"/>
  <c r="X76" i="60"/>
  <c r="F30" i="60"/>
  <c r="W5" i="60"/>
  <c r="V47" i="60"/>
  <c r="X120" i="60"/>
  <c r="W123" i="60"/>
  <c r="U111" i="71"/>
  <c r="Z96" i="71"/>
  <c r="Z20" i="71"/>
  <c r="U83" i="71"/>
  <c r="W63" i="71"/>
  <c r="AA58" i="71"/>
  <c r="Z35" i="71"/>
  <c r="AA15" i="71"/>
  <c r="U116" i="71"/>
  <c r="Y113" i="71"/>
  <c r="W49" i="71"/>
  <c r="U80" i="71"/>
  <c r="W124" i="67"/>
  <c r="X121" i="67"/>
  <c r="Y118" i="67"/>
  <c r="Z115" i="67"/>
  <c r="AA112" i="67"/>
  <c r="U110" i="67"/>
  <c r="V107" i="67"/>
  <c r="W104" i="67"/>
  <c r="X101" i="67"/>
  <c r="Y98" i="67"/>
  <c r="Z95" i="67"/>
  <c r="AA92" i="67"/>
  <c r="U90" i="67"/>
  <c r="V87" i="67"/>
  <c r="W84" i="67"/>
  <c r="X81" i="67"/>
  <c r="Y78" i="67"/>
  <c r="Z75" i="67"/>
  <c r="AA72" i="67"/>
  <c r="U70" i="67"/>
  <c r="V67" i="67"/>
  <c r="W64" i="67"/>
  <c r="X61" i="67"/>
  <c r="Y58" i="67"/>
  <c r="Z55" i="67"/>
  <c r="AA52" i="67"/>
  <c r="U50" i="67"/>
  <c r="V47" i="67"/>
  <c r="W44" i="67"/>
  <c r="X41" i="67"/>
  <c r="Y38" i="67"/>
  <c r="Z35" i="67"/>
  <c r="AA32" i="67"/>
  <c r="AA122" i="67"/>
  <c r="U120" i="67"/>
  <c r="V117" i="67"/>
  <c r="W114" i="67"/>
  <c r="X111" i="67"/>
  <c r="U124" i="67"/>
  <c r="AA120" i="67"/>
  <c r="Z117" i="67"/>
  <c r="Y114" i="67"/>
  <c r="W111" i="67"/>
  <c r="W108" i="67"/>
  <c r="W105" i="67"/>
  <c r="AA123" i="67"/>
  <c r="Z120" i="67"/>
  <c r="Y117" i="67"/>
  <c r="X114" i="67"/>
  <c r="V111" i="67"/>
  <c r="V108" i="67"/>
  <c r="V105" i="67"/>
  <c r="V102" i="67"/>
  <c r="V99" i="67"/>
  <c r="V96" i="67"/>
  <c r="V93" i="67"/>
  <c r="V90" i="67"/>
  <c r="U87" i="67"/>
  <c r="U84" i="67"/>
  <c r="U81" i="67"/>
  <c r="U78" i="67"/>
  <c r="U75" i="67"/>
  <c r="U72" i="67"/>
  <c r="U69" i="67"/>
  <c r="U66" i="67"/>
  <c r="U63" i="67"/>
  <c r="U60" i="67"/>
  <c r="U57" i="67"/>
  <c r="U54" i="67"/>
  <c r="U51" i="67"/>
  <c r="U48" i="67"/>
  <c r="U45" i="67"/>
  <c r="U42" i="67"/>
  <c r="U39" i="67"/>
  <c r="U36" i="67"/>
  <c r="U33" i="67"/>
  <c r="U30" i="67"/>
  <c r="W27" i="67"/>
  <c r="Y24" i="67"/>
  <c r="X124" i="67"/>
  <c r="Y120" i="67"/>
  <c r="U117" i="67"/>
  <c r="Y113" i="67"/>
  <c r="V110" i="67"/>
  <c r="Z106" i="67"/>
  <c r="X103" i="67"/>
  <c r="W100" i="67"/>
  <c r="V97" i="67"/>
  <c r="U94" i="67"/>
  <c r="AA90" i="67"/>
  <c r="Z87" i="67"/>
  <c r="Y84" i="67"/>
  <c r="W81" i="67"/>
  <c r="V78" i="67"/>
  <c r="AA74" i="67"/>
  <c r="Z71" i="67"/>
  <c r="Y68" i="67"/>
  <c r="X65" i="67"/>
  <c r="W62" i="67"/>
  <c r="V59" i="67"/>
  <c r="U56" i="67"/>
  <c r="Z52" i="67"/>
  <c r="Y49" i="67"/>
  <c r="X46" i="67"/>
  <c r="W43" i="67"/>
  <c r="V40" i="67"/>
  <c r="U37" i="67"/>
  <c r="AA33" i="67"/>
  <c r="Z30" i="67"/>
  <c r="Z27" i="67"/>
  <c r="Z24" i="67"/>
  <c r="Z21" i="67"/>
  <c r="V17" i="67"/>
  <c r="X14" i="67"/>
  <c r="Z11" i="67"/>
  <c r="V7" i="67"/>
  <c r="X4" i="67"/>
  <c r="V124" i="67"/>
  <c r="X120" i="67"/>
  <c r="AA116" i="67"/>
  <c r="X113" i="67"/>
  <c r="AA109" i="67"/>
  <c r="Y106" i="67"/>
  <c r="W103" i="67"/>
  <c r="V100" i="67"/>
  <c r="U97" i="67"/>
  <c r="AA93" i="67"/>
  <c r="Z90" i="67"/>
  <c r="Y87" i="67"/>
  <c r="X84" i="67"/>
  <c r="V81" i="67"/>
  <c r="AA77" i="67"/>
  <c r="Z74" i="67"/>
  <c r="Y71" i="67"/>
  <c r="X68" i="67"/>
  <c r="W65" i="67"/>
  <c r="V62" i="67"/>
  <c r="U59" i="67"/>
  <c r="AA55" i="67"/>
  <c r="Y52" i="67"/>
  <c r="X49" i="67"/>
  <c r="W46" i="67"/>
  <c r="V43" i="67"/>
  <c r="U40" i="67"/>
  <c r="AA36" i="67"/>
  <c r="Z33" i="67"/>
  <c r="Y30" i="67"/>
  <c r="Y27" i="67"/>
  <c r="X24" i="67"/>
  <c r="Y21" i="67"/>
  <c r="AA18" i="67"/>
  <c r="U17" i="67"/>
  <c r="W14" i="67"/>
  <c r="Y11" i="67"/>
  <c r="AA8" i="67"/>
  <c r="U7" i="67"/>
  <c r="W4" i="67"/>
  <c r="Z123" i="67"/>
  <c r="W120" i="67"/>
  <c r="Z116" i="67"/>
  <c r="W113" i="67"/>
  <c r="Z109" i="67"/>
  <c r="X106" i="67"/>
  <c r="V103" i="67"/>
  <c r="U100" i="67"/>
  <c r="AA96" i="67"/>
  <c r="Z93" i="67"/>
  <c r="Y90" i="67"/>
  <c r="X87" i="67"/>
  <c r="V84" i="67"/>
  <c r="AA80" i="67"/>
  <c r="Z77" i="67"/>
  <c r="Y74" i="67"/>
  <c r="X71" i="67"/>
  <c r="W68" i="67"/>
  <c r="V65" i="67"/>
  <c r="U62" i="67"/>
  <c r="AA58" i="67"/>
  <c r="Y55" i="67"/>
  <c r="X52" i="67"/>
  <c r="W49" i="67"/>
  <c r="V46" i="67"/>
  <c r="U43" i="67"/>
  <c r="AA39" i="67"/>
  <c r="Z36" i="67"/>
  <c r="Y33" i="67"/>
  <c r="X30" i="67"/>
  <c r="X27" i="67"/>
  <c r="W24" i="67"/>
  <c r="X21" i="67"/>
  <c r="Z18" i="67"/>
  <c r="V14" i="67"/>
  <c r="X11" i="67"/>
  <c r="Z8" i="67"/>
  <c r="V4" i="67"/>
  <c r="Y123" i="67"/>
  <c r="V120" i="67"/>
  <c r="Y116" i="67"/>
  <c r="V113" i="67"/>
  <c r="Y109" i="67"/>
  <c r="W106" i="67"/>
  <c r="U103" i="67"/>
  <c r="AA99" i="67"/>
  <c r="Z96" i="67"/>
  <c r="Y93" i="67"/>
  <c r="X90" i="67"/>
  <c r="W87" i="67"/>
  <c r="AA83" i="67"/>
  <c r="Z80" i="67"/>
  <c r="Y77" i="67"/>
  <c r="X74" i="67"/>
  <c r="W71" i="67"/>
  <c r="V68" i="67"/>
  <c r="U65" i="67"/>
  <c r="AA61" i="67"/>
  <c r="Z58" i="67"/>
  <c r="X55" i="67"/>
  <c r="W52" i="67"/>
  <c r="V49" i="67"/>
  <c r="U46" i="67"/>
  <c r="AA42" i="67"/>
  <c r="Z39" i="67"/>
  <c r="Y36" i="67"/>
  <c r="X33" i="67"/>
  <c r="W30" i="67"/>
  <c r="V27" i="67"/>
  <c r="V24" i="67"/>
  <c r="W21" i="67"/>
  <c r="Y18" i="67"/>
  <c r="AA15" i="67"/>
  <c r="U14" i="67"/>
  <c r="W11" i="67"/>
  <c r="Y8" i="67"/>
  <c r="AA5" i="67"/>
  <c r="U4" i="67"/>
  <c r="V123" i="67"/>
  <c r="Y119" i="67"/>
  <c r="Z122" i="67"/>
  <c r="W119" i="67"/>
  <c r="AA115" i="67"/>
  <c r="W112" i="67"/>
  <c r="AA108" i="67"/>
  <c r="Y105" i="67"/>
  <c r="W102" i="67"/>
  <c r="U99" i="67"/>
  <c r="AA95" i="67"/>
  <c r="Y92" i="67"/>
  <c r="X89" i="67"/>
  <c r="W86" i="67"/>
  <c r="V83" i="67"/>
  <c r="U80" i="67"/>
  <c r="AA76" i="67"/>
  <c r="Z73" i="67"/>
  <c r="Y70" i="67"/>
  <c r="X67" i="67"/>
  <c r="V64" i="67"/>
  <c r="Y122" i="67"/>
  <c r="V119" i="67"/>
  <c r="Y115" i="67"/>
  <c r="V112" i="67"/>
  <c r="Z108" i="67"/>
  <c r="X105" i="67"/>
  <c r="U102" i="67"/>
  <c r="AA98" i="67"/>
  <c r="Y95" i="67"/>
  <c r="X92" i="67"/>
  <c r="U122" i="67"/>
  <c r="X118" i="67"/>
  <c r="U115" i="67"/>
  <c r="Y111" i="67"/>
  <c r="AA107" i="67"/>
  <c r="Y104" i="67"/>
  <c r="W101" i="67"/>
  <c r="V98" i="67"/>
  <c r="U95" i="67"/>
  <c r="AA91" i="67"/>
  <c r="Z88" i="67"/>
  <c r="Y85" i="67"/>
  <c r="X82" i="67"/>
  <c r="W79" i="67"/>
  <c r="V76" i="67"/>
  <c r="U73" i="67"/>
  <c r="Z69" i="67"/>
  <c r="Y66" i="67"/>
  <c r="X63" i="67"/>
  <c r="W60" i="67"/>
  <c r="V57" i="67"/>
  <c r="AA53" i="67"/>
  <c r="Z50" i="67"/>
  <c r="Y47" i="67"/>
  <c r="X44" i="67"/>
  <c r="V41" i="67"/>
  <c r="U38" i="67"/>
  <c r="AA34" i="67"/>
  <c r="Z31" i="67"/>
  <c r="Z29" i="67"/>
  <c r="Z26" i="67"/>
  <c r="Z23" i="67"/>
  <c r="AA20" i="67"/>
  <c r="U19" i="67"/>
  <c r="W16" i="67"/>
  <c r="Y13" i="67"/>
  <c r="AA10" i="67"/>
  <c r="U9" i="67"/>
  <c r="W6" i="67"/>
  <c r="U121" i="67"/>
  <c r="AA114" i="67"/>
  <c r="W109" i="67"/>
  <c r="V104" i="67"/>
  <c r="X99" i="67"/>
  <c r="Y94" i="67"/>
  <c r="Y89" i="67"/>
  <c r="W85" i="67"/>
  <c r="X80" i="67"/>
  <c r="W76" i="67"/>
  <c r="AA71" i="67"/>
  <c r="U67" i="67"/>
  <c r="Z62" i="67"/>
  <c r="V58" i="67"/>
  <c r="W54" i="67"/>
  <c r="V50" i="67"/>
  <c r="Y45" i="67"/>
  <c r="Y41" i="67"/>
  <c r="X37" i="67"/>
  <c r="Z32" i="67"/>
  <c r="Z25" i="67"/>
  <c r="U12" i="67"/>
  <c r="W10" i="67"/>
  <c r="V8" i="67"/>
  <c r="Y6" i="67"/>
  <c r="AA4" i="67"/>
  <c r="AA119" i="67"/>
  <c r="Z114" i="67"/>
  <c r="V109" i="67"/>
  <c r="U104" i="67"/>
  <c r="W99" i="67"/>
  <c r="X94" i="67"/>
  <c r="W89" i="67"/>
  <c r="V85" i="67"/>
  <c r="W80" i="67"/>
  <c r="U76" i="67"/>
  <c r="V71" i="67"/>
  <c r="AA66" i="67"/>
  <c r="Y62" i="67"/>
  <c r="U58" i="67"/>
  <c r="V54" i="67"/>
  <c r="AA49" i="67"/>
  <c r="X45" i="67"/>
  <c r="W41" i="67"/>
  <c r="W37" i="67"/>
  <c r="Y32" i="67"/>
  <c r="AA29" i="67"/>
  <c r="Y25" i="67"/>
  <c r="AA23" i="67"/>
  <c r="AA19" i="67"/>
  <c r="V10" i="67"/>
  <c r="U8" i="67"/>
  <c r="X6" i="67"/>
  <c r="Z4" i="67"/>
  <c r="Z119" i="67"/>
  <c r="V114" i="67"/>
  <c r="U109" i="67"/>
  <c r="AA103" i="67"/>
  <c r="Z98" i="67"/>
  <c r="W94" i="67"/>
  <c r="V89" i="67"/>
  <c r="U85" i="67"/>
  <c r="V80" i="67"/>
  <c r="AA75" i="67"/>
  <c r="U71" i="67"/>
  <c r="Z66" i="67"/>
  <c r="X62" i="67"/>
  <c r="AA57" i="67"/>
  <c r="Z53" i="67"/>
  <c r="Z49" i="67"/>
  <c r="W45" i="67"/>
  <c r="U41" i="67"/>
  <c r="V37" i="67"/>
  <c r="X32" i="67"/>
  <c r="Y29" i="67"/>
  <c r="AA27" i="67"/>
  <c r="X25" i="67"/>
  <c r="Y23" i="67"/>
  <c r="AA21" i="67"/>
  <c r="Z19" i="67"/>
  <c r="U10" i="67"/>
  <c r="V6" i="67"/>
  <c r="Y4" i="67"/>
  <c r="X119" i="67"/>
  <c r="U114" i="67"/>
  <c r="Y108" i="67"/>
  <c r="Z103" i="67"/>
  <c r="X98" i="67"/>
  <c r="V94" i="67"/>
  <c r="U89" i="67"/>
  <c r="AA84" i="67"/>
  <c r="AA79" i="67"/>
  <c r="Y75" i="67"/>
  <c r="AA70" i="67"/>
  <c r="X66" i="67"/>
  <c r="Z61" i="67"/>
  <c r="Z57" i="67"/>
  <c r="Y53" i="67"/>
  <c r="U49" i="67"/>
  <c r="V45" i="67"/>
  <c r="AA40" i="67"/>
  <c r="X36" i="67"/>
  <c r="W32" i="67"/>
  <c r="X29" i="67"/>
  <c r="U27" i="67"/>
  <c r="W25" i="67"/>
  <c r="X23" i="67"/>
  <c r="V21" i="67"/>
  <c r="Y19" i="67"/>
  <c r="AA17" i="67"/>
  <c r="Z15" i="67"/>
  <c r="U6" i="67"/>
  <c r="I4" i="67"/>
  <c r="I30" i="67" s="1"/>
  <c r="AA118" i="67"/>
  <c r="Z113" i="67"/>
  <c r="U108" i="67"/>
  <c r="AA102" i="67"/>
  <c r="U98" i="67"/>
  <c r="W93" i="67"/>
  <c r="Y88" i="67"/>
  <c r="Z83" i="67"/>
  <c r="Y79" i="67"/>
  <c r="W75" i="67"/>
  <c r="X70" i="67"/>
  <c r="V66" i="67"/>
  <c r="W61" i="67"/>
  <c r="X57" i="67"/>
  <c r="W53" i="67"/>
  <c r="Z48" i="67"/>
  <c r="Z44" i="67"/>
  <c r="Y40" i="67"/>
  <c r="V36" i="67"/>
  <c r="U32" i="67"/>
  <c r="V29" i="67"/>
  <c r="U25" i="67"/>
  <c r="V23" i="67"/>
  <c r="W19" i="67"/>
  <c r="Y17" i="67"/>
  <c r="X15" i="67"/>
  <c r="AA13" i="67"/>
  <c r="G4" i="67"/>
  <c r="G30" i="67" s="1"/>
  <c r="AA124" i="67"/>
  <c r="Z118" i="67"/>
  <c r="U113" i="67"/>
  <c r="Z107" i="67"/>
  <c r="Z102" i="67"/>
  <c r="AA97" i="67"/>
  <c r="U93" i="67"/>
  <c r="X88" i="67"/>
  <c r="Y83" i="67"/>
  <c r="X79" i="67"/>
  <c r="V75" i="67"/>
  <c r="W70" i="67"/>
  <c r="AA65" i="67"/>
  <c r="V61" i="67"/>
  <c r="W57" i="67"/>
  <c r="V53" i="67"/>
  <c r="Y48" i="67"/>
  <c r="Y44" i="67"/>
  <c r="X40" i="67"/>
  <c r="AA35" i="67"/>
  <c r="AA31" i="67"/>
  <c r="U29" i="67"/>
  <c r="U23" i="67"/>
  <c r="V19" i="67"/>
  <c r="X17" i="67"/>
  <c r="W15" i="67"/>
  <c r="Z13" i="67"/>
  <c r="AA9" i="67"/>
  <c r="F4" i="67"/>
  <c r="F30" i="67" s="1"/>
  <c r="Y124" i="67"/>
  <c r="V118" i="67"/>
  <c r="Y112" i="67"/>
  <c r="X107" i="67"/>
  <c r="X102" i="67"/>
  <c r="Y97" i="67"/>
  <c r="W92" i="67"/>
  <c r="V88" i="67"/>
  <c r="W83" i="67"/>
  <c r="U79" i="67"/>
  <c r="V74" i="67"/>
  <c r="AA69" i="67"/>
  <c r="Y65" i="67"/>
  <c r="AA60" i="67"/>
  <c r="Z56" i="67"/>
  <c r="V52" i="67"/>
  <c r="W48" i="67"/>
  <c r="U44" i="67"/>
  <c r="Y39" i="67"/>
  <c r="X35" i="67"/>
  <c r="X31" i="67"/>
  <c r="U15" i="67"/>
  <c r="W13" i="67"/>
  <c r="V11" i="67"/>
  <c r="Y9" i="67"/>
  <c r="AA7" i="67"/>
  <c r="Z5" i="67"/>
  <c r="D4" i="67"/>
  <c r="D30" i="67" s="1"/>
  <c r="W122" i="67"/>
  <c r="X116" i="67"/>
  <c r="U111" i="67"/>
  <c r="U106" i="67"/>
  <c r="U101" i="67"/>
  <c r="W96" i="67"/>
  <c r="X91" i="67"/>
  <c r="Y86" i="67"/>
  <c r="W82" i="67"/>
  <c r="X77" i="67"/>
  <c r="W73" i="67"/>
  <c r="AA68" i="67"/>
  <c r="U64" i="67"/>
  <c r="AA59" i="67"/>
  <c r="W55" i="67"/>
  <c r="X51" i="67"/>
  <c r="W47" i="67"/>
  <c r="Z42" i="67"/>
  <c r="Z38" i="67"/>
  <c r="Y34" i="67"/>
  <c r="V30" i="67"/>
  <c r="W28" i="67"/>
  <c r="X26" i="67"/>
  <c r="U24" i="67"/>
  <c r="W22" i="67"/>
  <c r="Y20" i="67"/>
  <c r="X18" i="67"/>
  <c r="AA16" i="67"/>
  <c r="U5" i="67"/>
  <c r="AA121" i="67"/>
  <c r="U112" i="67"/>
  <c r="X104" i="67"/>
  <c r="X95" i="67"/>
  <c r="AA87" i="67"/>
  <c r="Y80" i="67"/>
  <c r="Z72" i="67"/>
  <c r="Z64" i="67"/>
  <c r="W58" i="67"/>
  <c r="V51" i="67"/>
  <c r="Z43" i="67"/>
  <c r="Y37" i="67"/>
  <c r="W20" i="67"/>
  <c r="Y7" i="67"/>
  <c r="Z121" i="67"/>
  <c r="AA111" i="67"/>
  <c r="Y103" i="67"/>
  <c r="W95" i="67"/>
  <c r="AA86" i="67"/>
  <c r="Z79" i="67"/>
  <c r="Y72" i="67"/>
  <c r="Y64" i="67"/>
  <c r="Y57" i="67"/>
  <c r="AA50" i="67"/>
  <c r="Y43" i="67"/>
  <c r="W36" i="67"/>
  <c r="AA26" i="67"/>
  <c r="W23" i="67"/>
  <c r="V20" i="67"/>
  <c r="X7" i="67"/>
  <c r="H4" i="67"/>
  <c r="H30" i="67" s="1"/>
  <c r="Y121" i="67"/>
  <c r="Z111" i="67"/>
  <c r="Y102" i="67"/>
  <c r="V95" i="67"/>
  <c r="Z86" i="67"/>
  <c r="V79" i="67"/>
  <c r="X72" i="67"/>
  <c r="X64" i="67"/>
  <c r="AA56" i="67"/>
  <c r="Y50" i="67"/>
  <c r="X43" i="67"/>
  <c r="Y35" i="67"/>
  <c r="Y26" i="67"/>
  <c r="U20" i="67"/>
  <c r="X13" i="67"/>
  <c r="Z10" i="67"/>
  <c r="W7" i="67"/>
  <c r="E4" i="67"/>
  <c r="E30" i="67" s="1"/>
  <c r="W121" i="67"/>
  <c r="AA110" i="67"/>
  <c r="AA101" i="67"/>
  <c r="AA94" i="67"/>
  <c r="X86" i="67"/>
  <c r="AA78" i="67"/>
  <c r="W72" i="67"/>
  <c r="AA63" i="67"/>
  <c r="Y56" i="67"/>
  <c r="X50" i="67"/>
  <c r="Y42" i="67"/>
  <c r="W35" i="67"/>
  <c r="W26" i="67"/>
  <c r="AA22" i="67"/>
  <c r="Z16" i="67"/>
  <c r="V13" i="67"/>
  <c r="Y10" i="67"/>
  <c r="C4" i="67"/>
  <c r="C30" i="67" s="1"/>
  <c r="V121" i="67"/>
  <c r="Z110" i="67"/>
  <c r="Z101" i="67"/>
  <c r="Z94" i="67"/>
  <c r="V86" i="67"/>
  <c r="Z78" i="67"/>
  <c r="V72" i="67"/>
  <c r="Z63" i="67"/>
  <c r="X56" i="67"/>
  <c r="W50" i="67"/>
  <c r="X42" i="67"/>
  <c r="V35" i="67"/>
  <c r="V26" i="67"/>
  <c r="Z22" i="67"/>
  <c r="Y16" i="67"/>
  <c r="U13" i="67"/>
  <c r="X10" i="67"/>
  <c r="U119" i="67"/>
  <c r="Y110" i="67"/>
  <c r="Y101" i="67"/>
  <c r="X93" i="67"/>
  <c r="U86" i="67"/>
  <c r="X78" i="67"/>
  <c r="Z70" i="67"/>
  <c r="Y63" i="67"/>
  <c r="W56" i="67"/>
  <c r="AA48" i="67"/>
  <c r="W42" i="67"/>
  <c r="U35" i="67"/>
  <c r="W29" i="67"/>
  <c r="U26" i="67"/>
  <c r="Y22" i="67"/>
  <c r="X19" i="67"/>
  <c r="X16" i="67"/>
  <c r="W118" i="67"/>
  <c r="X110" i="67"/>
  <c r="V101" i="67"/>
  <c r="Z92" i="67"/>
  <c r="AA85" i="67"/>
  <c r="W78" i="67"/>
  <c r="V70" i="67"/>
  <c r="W63" i="67"/>
  <c r="V56" i="67"/>
  <c r="X48" i="67"/>
  <c r="V42" i="67"/>
  <c r="Z34" i="67"/>
  <c r="X22" i="67"/>
  <c r="V16" i="67"/>
  <c r="Z9" i="67"/>
  <c r="U118" i="67"/>
  <c r="W110" i="67"/>
  <c r="AA100" i="67"/>
  <c r="V92" i="67"/>
  <c r="Z85" i="67"/>
  <c r="W77" i="67"/>
  <c r="Y69" i="67"/>
  <c r="V63" i="67"/>
  <c r="V55" i="67"/>
  <c r="V48" i="67"/>
  <c r="AA41" i="67"/>
  <c r="X34" i="67"/>
  <c r="AA28" i="67"/>
  <c r="V22" i="67"/>
  <c r="U16" i="67"/>
  <c r="AA12" i="67"/>
  <c r="X9" i="67"/>
  <c r="AA6" i="67"/>
  <c r="AA117" i="67"/>
  <c r="X109" i="67"/>
  <c r="Z100" i="67"/>
  <c r="U92" i="67"/>
  <c r="X85" i="67"/>
  <c r="V77" i="67"/>
  <c r="X69" i="67"/>
  <c r="AA62" i="67"/>
  <c r="U55" i="67"/>
  <c r="AA47" i="67"/>
  <c r="Z41" i="67"/>
  <c r="W34" i="67"/>
  <c r="Z28" i="67"/>
  <c r="AA25" i="67"/>
  <c r="U22" i="67"/>
  <c r="X117" i="67"/>
  <c r="X108" i="67"/>
  <c r="Y100" i="67"/>
  <c r="Z91" i="67"/>
  <c r="Z84" i="67"/>
  <c r="U77" i="67"/>
  <c r="W69" i="67"/>
  <c r="Y61" i="67"/>
  <c r="AA54" i="67"/>
  <c r="Z47" i="67"/>
  <c r="Z40" i="67"/>
  <c r="V34" i="67"/>
  <c r="Y28" i="67"/>
  <c r="V25" i="67"/>
  <c r="W117" i="67"/>
  <c r="Y107" i="67"/>
  <c r="X100" i="67"/>
  <c r="Y91" i="67"/>
  <c r="X83" i="67"/>
  <c r="Z76" i="67"/>
  <c r="V69" i="67"/>
  <c r="U61" i="67"/>
  <c r="Z54" i="67"/>
  <c r="X47" i="67"/>
  <c r="W40" i="67"/>
  <c r="U34" i="67"/>
  <c r="X28" i="67"/>
  <c r="V15" i="67"/>
  <c r="X12" i="67"/>
  <c r="W116" i="67"/>
  <c r="W107" i="67"/>
  <c r="Z99" i="67"/>
  <c r="W91" i="67"/>
  <c r="U83" i="67"/>
  <c r="Y76" i="67"/>
  <c r="Z68" i="67"/>
  <c r="Z60" i="67"/>
  <c r="Y54" i="67"/>
  <c r="U47" i="67"/>
  <c r="X39" i="67"/>
  <c r="W33" i="67"/>
  <c r="V28" i="67"/>
  <c r="W18" i="67"/>
  <c r="W12" i="67"/>
  <c r="Y5" i="67"/>
  <c r="U116" i="67"/>
  <c r="AA106" i="67"/>
  <c r="W98" i="67"/>
  <c r="U91" i="67"/>
  <c r="Z82" i="67"/>
  <c r="X75" i="67"/>
  <c r="AA67" i="67"/>
  <c r="X60" i="67"/>
  <c r="X53" i="67"/>
  <c r="Z46" i="67"/>
  <c r="V39" i="67"/>
  <c r="V32" i="67"/>
  <c r="U107" i="67"/>
  <c r="U88" i="67"/>
  <c r="Z65" i="67"/>
  <c r="AA44" i="67"/>
  <c r="Z20" i="67"/>
  <c r="Y14" i="67"/>
  <c r="X96" i="67"/>
  <c r="AA89" i="67"/>
  <c r="V106" i="67"/>
  <c r="AA82" i="67"/>
  <c r="AA64" i="67"/>
  <c r="V44" i="67"/>
  <c r="X20" i="67"/>
  <c r="Z7" i="67"/>
  <c r="X122" i="67"/>
  <c r="Y31" i="67"/>
  <c r="W51" i="67"/>
  <c r="U21" i="67"/>
  <c r="AA46" i="67"/>
  <c r="AA113" i="67"/>
  <c r="Y46" i="67"/>
  <c r="AA105" i="67"/>
  <c r="Y82" i="67"/>
  <c r="Y60" i="67"/>
  <c r="AA43" i="67"/>
  <c r="Z12" i="67"/>
  <c r="Z6" i="67"/>
  <c r="W90" i="67"/>
  <c r="Z67" i="67"/>
  <c r="X8" i="67"/>
  <c r="Z105" i="67"/>
  <c r="V82" i="67"/>
  <c r="V60" i="67"/>
  <c r="W39" i="67"/>
  <c r="Y12" i="67"/>
  <c r="V12" i="67"/>
  <c r="AA73" i="67"/>
  <c r="U68" i="67"/>
  <c r="V115" i="67"/>
  <c r="Z112" i="67"/>
  <c r="W67" i="67"/>
  <c r="AA45" i="67"/>
  <c r="W8" i="67"/>
  <c r="U105" i="67"/>
  <c r="U82" i="67"/>
  <c r="Z59" i="67"/>
  <c r="AA38" i="67"/>
  <c r="V18" i="67"/>
  <c r="X5" i="67"/>
  <c r="AA104" i="67"/>
  <c r="AA81" i="67"/>
  <c r="Y59" i="67"/>
  <c r="X38" i="67"/>
  <c r="U18" i="67"/>
  <c r="W5" i="67"/>
  <c r="V122" i="67"/>
  <c r="Y73" i="67"/>
  <c r="W31" i="67"/>
  <c r="W9" i="67"/>
  <c r="AA88" i="67"/>
  <c r="AA14" i="67"/>
  <c r="Z104" i="67"/>
  <c r="Z81" i="67"/>
  <c r="X59" i="67"/>
  <c r="W38" i="67"/>
  <c r="AA11" i="67"/>
  <c r="V5" i="67"/>
  <c r="Z89" i="67"/>
  <c r="Z124" i="67"/>
  <c r="Y99" i="67"/>
  <c r="Y81" i="67"/>
  <c r="W59" i="67"/>
  <c r="V38" i="67"/>
  <c r="AA24" i="67"/>
  <c r="U11" i="67"/>
  <c r="U52" i="67"/>
  <c r="AA51" i="67"/>
  <c r="W115" i="67"/>
  <c r="Y67" i="67"/>
  <c r="X123" i="67"/>
  <c r="Z97" i="67"/>
  <c r="X76" i="67"/>
  <c r="X58" i="67"/>
  <c r="AA37" i="67"/>
  <c r="Y96" i="67"/>
  <c r="W123" i="67"/>
  <c r="X97" i="67"/>
  <c r="W74" i="67"/>
  <c r="X54" i="67"/>
  <c r="Z37" i="67"/>
  <c r="Z17" i="67"/>
  <c r="U28" i="67"/>
  <c r="U123" i="67"/>
  <c r="W97" i="67"/>
  <c r="U74" i="67"/>
  <c r="U53" i="67"/>
  <c r="V33" i="67"/>
  <c r="W17" i="67"/>
  <c r="V116" i="67"/>
  <c r="U96" i="67"/>
  <c r="X73" i="67"/>
  <c r="Z51" i="67"/>
  <c r="V31" i="67"/>
  <c r="Y15" i="67"/>
  <c r="V9" i="67"/>
  <c r="X115" i="67"/>
  <c r="V91" i="67"/>
  <c r="V73" i="67"/>
  <c r="Y51" i="67"/>
  <c r="U31" i="67"/>
  <c r="AA30" i="67"/>
  <c r="X112" i="67"/>
  <c r="W88" i="67"/>
  <c r="W66" i="67"/>
  <c r="Z45" i="67"/>
  <c r="Z14" i="67"/>
  <c r="X114" i="60"/>
  <c r="V25" i="60"/>
  <c r="AA82" i="71"/>
  <c r="Z62" i="60"/>
  <c r="V30" i="60"/>
  <c r="AA50" i="60"/>
  <c r="X82" i="60"/>
  <c r="V7" i="60"/>
  <c r="X38" i="60"/>
  <c r="Z41" i="60"/>
  <c r="AA118" i="60"/>
  <c r="W121" i="60"/>
  <c r="U104" i="75"/>
  <c r="Z99" i="75"/>
  <c r="X5" i="60"/>
  <c r="Y122" i="60"/>
  <c r="Z110" i="60"/>
  <c r="U121" i="60"/>
  <c r="Y78" i="75"/>
  <c r="W35" i="60"/>
  <c r="AA22" i="60"/>
  <c r="W36" i="60"/>
  <c r="Y107" i="75"/>
  <c r="V29" i="60"/>
  <c r="V90" i="71"/>
  <c r="V120" i="75"/>
  <c r="U54" i="60"/>
  <c r="U118" i="60"/>
  <c r="W35" i="75"/>
  <c r="U59" i="75"/>
  <c r="X97" i="75"/>
  <c r="U58" i="75"/>
  <c r="Y63" i="75"/>
  <c r="W64" i="60"/>
  <c r="V44" i="75"/>
  <c r="X120" i="75"/>
  <c r="Z8" i="60"/>
  <c r="Z91" i="60"/>
  <c r="U19" i="60"/>
  <c r="X108" i="60"/>
  <c r="X13" i="60"/>
  <c r="AA12" i="60"/>
  <c r="U7" i="60"/>
  <c r="Z101" i="60"/>
  <c r="X16" i="60"/>
  <c r="W88" i="60"/>
  <c r="Z12" i="60"/>
  <c r="Z42" i="60"/>
  <c r="AA42" i="60"/>
  <c r="Y45" i="60"/>
  <c r="W46" i="60"/>
  <c r="Y52" i="60"/>
  <c r="W44" i="60"/>
  <c r="X10" i="60"/>
  <c r="AA67" i="60"/>
  <c r="U86" i="60"/>
  <c r="AA68" i="60"/>
  <c r="X51" i="60"/>
  <c r="V74" i="60"/>
  <c r="Z112" i="60"/>
  <c r="Z53" i="60"/>
  <c r="V80" i="60"/>
  <c r="W56" i="60"/>
  <c r="W17" i="75"/>
  <c r="Y97" i="75"/>
  <c r="X19" i="75"/>
  <c r="Y108" i="75"/>
  <c r="Y57" i="75"/>
  <c r="Y14" i="75"/>
  <c r="AA102" i="75"/>
  <c r="Y73" i="75"/>
  <c r="X18" i="75"/>
  <c r="U14" i="75"/>
  <c r="W7" i="75"/>
  <c r="Z18" i="75"/>
  <c r="W108" i="75"/>
  <c r="U61" i="75"/>
  <c r="Y52" i="75"/>
  <c r="U29" i="75"/>
  <c r="AA120" i="75"/>
  <c r="W115" i="75"/>
  <c r="U54" i="75"/>
  <c r="U33" i="75"/>
  <c r="X100" i="75"/>
  <c r="Y75" i="75"/>
  <c r="Z75" i="75"/>
  <c r="U76" i="75"/>
  <c r="U64" i="75"/>
  <c r="W47" i="75"/>
  <c r="AA11" i="75"/>
  <c r="U97" i="75"/>
  <c r="Y94" i="75"/>
  <c r="Y112" i="75"/>
  <c r="Z28" i="75"/>
  <c r="U124" i="75"/>
  <c r="V61" i="75"/>
  <c r="U72" i="75"/>
  <c r="X10" i="75"/>
  <c r="U6" i="75"/>
  <c r="W116" i="75"/>
  <c r="Y4" i="75"/>
  <c r="W32" i="60"/>
  <c r="X8" i="60"/>
  <c r="AA110" i="60"/>
  <c r="AA21" i="60"/>
  <c r="V35" i="60"/>
  <c r="X22" i="60"/>
  <c r="Z97" i="60"/>
  <c r="V16" i="60"/>
  <c r="W48" i="60"/>
  <c r="X48" i="60"/>
  <c r="W52" i="60"/>
  <c r="X52" i="60"/>
  <c r="Y58" i="60"/>
  <c r="Y48" i="60"/>
  <c r="X12" i="60"/>
  <c r="U89" i="60"/>
  <c r="W72" i="60"/>
  <c r="V90" i="60"/>
  <c r="U38" i="60"/>
  <c r="AA5" i="60"/>
  <c r="V73" i="60"/>
  <c r="V55" i="60"/>
  <c r="AA8" i="60"/>
  <c r="U78" i="60"/>
  <c r="V18" i="60"/>
  <c r="U95" i="60"/>
  <c r="Z45" i="60"/>
  <c r="V111" i="60"/>
  <c r="V124" i="60"/>
  <c r="U83" i="60"/>
  <c r="AA117" i="60"/>
  <c r="Y4" i="71"/>
  <c r="U58" i="71"/>
  <c r="U27" i="71"/>
  <c r="Y111" i="71"/>
  <c r="Y101" i="71"/>
  <c r="Y27" i="71"/>
  <c r="Z26" i="71"/>
  <c r="Y90" i="71"/>
  <c r="W88" i="71"/>
  <c r="U34" i="71"/>
  <c r="Z61" i="71"/>
  <c r="U24" i="71"/>
  <c r="W95" i="71"/>
  <c r="AA64" i="71"/>
  <c r="Z54" i="71"/>
  <c r="Y40" i="71"/>
  <c r="Z17" i="71"/>
  <c r="X7" i="71"/>
  <c r="AA122" i="71"/>
  <c r="Y116" i="71"/>
  <c r="X68" i="71"/>
  <c r="W11" i="71"/>
  <c r="X94" i="71"/>
  <c r="Z11" i="71"/>
  <c r="AA67" i="71"/>
  <c r="X51" i="71"/>
  <c r="AA114" i="71"/>
  <c r="V53" i="71"/>
  <c r="U117" i="71"/>
  <c r="W56" i="71"/>
  <c r="Y120" i="71"/>
  <c r="X59" i="71"/>
  <c r="X113" i="71"/>
  <c r="V52" i="71"/>
  <c r="W109" i="71"/>
  <c r="AA100" i="71"/>
  <c r="W67" i="71"/>
  <c r="P87" i="64" a="1"/>
  <c r="P87" i="64" s="1"/>
  <c r="N87" i="64" a="1"/>
  <c r="N87" i="64" s="1"/>
  <c r="S87" i="64" a="1"/>
  <c r="S87" i="64" s="1"/>
  <c r="V18" i="75"/>
  <c r="AA113" i="75"/>
  <c r="U91" i="71"/>
  <c r="AA10" i="60"/>
  <c r="Y91" i="60"/>
  <c r="AA57" i="60"/>
  <c r="W28" i="60"/>
  <c r="Y82" i="60"/>
  <c r="Y49" i="60"/>
  <c r="V76" i="60"/>
  <c r="X43" i="60"/>
  <c r="AA4" i="60"/>
  <c r="U58" i="60"/>
  <c r="V111" i="75"/>
  <c r="V121" i="60"/>
  <c r="Z114" i="60"/>
  <c r="Y18" i="71"/>
  <c r="Y14" i="71"/>
  <c r="U18" i="71"/>
  <c r="Z12" i="71"/>
  <c r="V102" i="71"/>
  <c r="U42" i="71"/>
  <c r="AA41" i="71"/>
  <c r="Y21" i="71"/>
  <c r="V119" i="71"/>
  <c r="Y117" i="71"/>
  <c r="AA40" i="71"/>
  <c r="Y32" i="71"/>
  <c r="Z102" i="71"/>
  <c r="Z51" i="71"/>
  <c r="V12" i="71"/>
  <c r="AA59" i="71"/>
  <c r="Y45" i="71"/>
  <c r="V27" i="71"/>
  <c r="Y73" i="71"/>
  <c r="V99" i="71"/>
  <c r="Y13" i="71"/>
  <c r="AA91" i="71"/>
  <c r="U79" i="71"/>
  <c r="AA29" i="71"/>
  <c r="Z73" i="71"/>
  <c r="W43" i="71"/>
  <c r="U11" i="71"/>
  <c r="AA120" i="71"/>
  <c r="U20" i="71"/>
  <c r="U119" i="71"/>
  <c r="V40" i="71"/>
  <c r="U90" i="71"/>
  <c r="AA81" i="71"/>
  <c r="Y37" i="60"/>
  <c r="AA92" i="60"/>
  <c r="X54" i="60"/>
  <c r="V26" i="71"/>
  <c r="Y22" i="75"/>
  <c r="W114" i="75"/>
  <c r="Z103" i="75"/>
  <c r="Y26" i="75"/>
  <c r="U87" i="75"/>
  <c r="W82" i="75"/>
  <c r="W39" i="75"/>
  <c r="X33" i="60"/>
  <c r="V62" i="60"/>
  <c r="X117" i="60"/>
  <c r="V37" i="60"/>
  <c r="V38" i="60"/>
  <c r="Z113" i="60"/>
  <c r="Z55" i="71"/>
  <c r="V107" i="60"/>
  <c r="AA109" i="60"/>
  <c r="U60" i="71"/>
  <c r="W24" i="75"/>
  <c r="Y42" i="75"/>
  <c r="U19" i="75"/>
  <c r="X8" i="75"/>
  <c r="Z58" i="75"/>
  <c r="U109" i="75"/>
  <c r="Z9" i="75"/>
  <c r="V58" i="75"/>
  <c r="Z102" i="75"/>
  <c r="V4" i="60"/>
  <c r="Z106" i="60"/>
  <c r="X7" i="60"/>
  <c r="W120" i="60"/>
  <c r="Z121" i="60"/>
  <c r="Z120" i="60"/>
  <c r="W68" i="60"/>
  <c r="AA35" i="75"/>
  <c r="Y55" i="75"/>
  <c r="X102" i="75"/>
  <c r="U83" i="75"/>
  <c r="Y122" i="72"/>
  <c r="Z119" i="72"/>
  <c r="AA116" i="72"/>
  <c r="U114" i="72"/>
  <c r="V111" i="72"/>
  <c r="W108" i="72"/>
  <c r="X105" i="72"/>
  <c r="Y102" i="72"/>
  <c r="Z99" i="72"/>
  <c r="AA96" i="72"/>
  <c r="U94" i="72"/>
  <c r="V91" i="72"/>
  <c r="W88" i="72"/>
  <c r="X85" i="72"/>
  <c r="Y82" i="72"/>
  <c r="Z79" i="72"/>
  <c r="AA76" i="72"/>
  <c r="U74" i="72"/>
  <c r="V71" i="72"/>
  <c r="Z123" i="72"/>
  <c r="Z120" i="72"/>
  <c r="Z117" i="72"/>
  <c r="Z114" i="72"/>
  <c r="Z111" i="72"/>
  <c r="Z108" i="72"/>
  <c r="Z105" i="72"/>
  <c r="Z102" i="72"/>
  <c r="Y99" i="72"/>
  <c r="Y96" i="72"/>
  <c r="Y93" i="72"/>
  <c r="Y90" i="72"/>
  <c r="W122" i="72"/>
  <c r="W119" i="72"/>
  <c r="W116" i="72"/>
  <c r="W113" i="72"/>
  <c r="W110" i="72"/>
  <c r="W107" i="72"/>
  <c r="W104" i="72"/>
  <c r="W101" i="72"/>
  <c r="W98" i="72"/>
  <c r="W95" i="72"/>
  <c r="W92" i="72"/>
  <c r="W89" i="72"/>
  <c r="W86" i="72"/>
  <c r="W83" i="72"/>
  <c r="V122" i="72"/>
  <c r="AA118" i="72"/>
  <c r="Y115" i="72"/>
  <c r="W112" i="72"/>
  <c r="U109" i="72"/>
  <c r="Y105" i="72"/>
  <c r="V102" i="72"/>
  <c r="AA98" i="72"/>
  <c r="Y95" i="72"/>
  <c r="V92" i="72"/>
  <c r="AA88" i="72"/>
  <c r="Z85" i="72"/>
  <c r="X82" i="72"/>
  <c r="X79" i="72"/>
  <c r="X76" i="72"/>
  <c r="X73" i="72"/>
  <c r="X70" i="72"/>
  <c r="Y67" i="72"/>
  <c r="Z64" i="72"/>
  <c r="AA61" i="72"/>
  <c r="U59" i="72"/>
  <c r="V56" i="72"/>
  <c r="W53" i="72"/>
  <c r="X50" i="72"/>
  <c r="Y47" i="72"/>
  <c r="Z44" i="72"/>
  <c r="AA41" i="72"/>
  <c r="U39" i="72"/>
  <c r="V36" i="72"/>
  <c r="W33" i="72"/>
  <c r="X30" i="72"/>
  <c r="Z27" i="72"/>
  <c r="V23" i="72"/>
  <c r="X20" i="72"/>
  <c r="Z17" i="72"/>
  <c r="V13" i="72"/>
  <c r="X10" i="72"/>
  <c r="Z7" i="72"/>
  <c r="U122" i="72"/>
  <c r="Z118" i="72"/>
  <c r="X115" i="72"/>
  <c r="V112" i="72"/>
  <c r="AA108" i="72"/>
  <c r="W105" i="72"/>
  <c r="U102" i="72"/>
  <c r="Z98" i="72"/>
  <c r="X95" i="72"/>
  <c r="U92" i="72"/>
  <c r="Z88" i="72"/>
  <c r="Y85" i="72"/>
  <c r="W82" i="72"/>
  <c r="W79" i="72"/>
  <c r="W76" i="72"/>
  <c r="W73" i="72"/>
  <c r="W70" i="72"/>
  <c r="X67" i="72"/>
  <c r="Y64" i="72"/>
  <c r="Z61" i="72"/>
  <c r="AA58" i="72"/>
  <c r="U56" i="72"/>
  <c r="V53" i="72"/>
  <c r="W50" i="72"/>
  <c r="X47" i="72"/>
  <c r="Y44" i="72"/>
  <c r="AA124" i="72"/>
  <c r="Y121" i="72"/>
  <c r="W118" i="72"/>
  <c r="U115" i="72"/>
  <c r="Y111" i="72"/>
  <c r="V108" i="72"/>
  <c r="AA104" i="72"/>
  <c r="Y101" i="72"/>
  <c r="V98" i="72"/>
  <c r="AA94" i="72"/>
  <c r="Y91" i="72"/>
  <c r="V88" i="72"/>
  <c r="U85" i="72"/>
  <c r="AA81" i="72"/>
  <c r="AA78" i="72"/>
  <c r="AA75" i="72"/>
  <c r="AA72" i="72"/>
  <c r="AA69" i="72"/>
  <c r="U67" i="72"/>
  <c r="V64" i="72"/>
  <c r="V124" i="72"/>
  <c r="AA120" i="72"/>
  <c r="X117" i="72"/>
  <c r="V114" i="72"/>
  <c r="Z110" i="72"/>
  <c r="X107" i="72"/>
  <c r="U104" i="72"/>
  <c r="Z100" i="72"/>
  <c r="X97" i="72"/>
  <c r="V94" i="72"/>
  <c r="Z90" i="72"/>
  <c r="X87" i="72"/>
  <c r="W84" i="72"/>
  <c r="V81" i="72"/>
  <c r="V78" i="72"/>
  <c r="V75" i="72"/>
  <c r="V72" i="72"/>
  <c r="V69" i="72"/>
  <c r="W66" i="72"/>
  <c r="X63" i="72"/>
  <c r="Y60" i="72"/>
  <c r="Z57" i="72"/>
  <c r="AA54" i="72"/>
  <c r="U52" i="72"/>
  <c r="V49" i="72"/>
  <c r="W46" i="72"/>
  <c r="Y123" i="72"/>
  <c r="W120" i="72"/>
  <c r="U117" i="72"/>
  <c r="Y113" i="72"/>
  <c r="V110" i="72"/>
  <c r="AA106" i="72"/>
  <c r="Y103" i="72"/>
  <c r="W100" i="72"/>
  <c r="U97" i="72"/>
  <c r="X93" i="72"/>
  <c r="V90" i="72"/>
  <c r="U87" i="72"/>
  <c r="AA83" i="72"/>
  <c r="Z80" i="72"/>
  <c r="Z77" i="72"/>
  <c r="Z74" i="72"/>
  <c r="Z71" i="72"/>
  <c r="Z68" i="72"/>
  <c r="AA65" i="72"/>
  <c r="U63" i="72"/>
  <c r="V60" i="72"/>
  <c r="W57" i="72"/>
  <c r="X54" i="72"/>
  <c r="Y51" i="72"/>
  <c r="Z48" i="72"/>
  <c r="AA45" i="72"/>
  <c r="U43" i="72"/>
  <c r="V40" i="72"/>
  <c r="W37" i="72"/>
  <c r="X34" i="72"/>
  <c r="Y31" i="72"/>
  <c r="Z29" i="72"/>
  <c r="V25" i="72"/>
  <c r="X22" i="72"/>
  <c r="Z19" i="72"/>
  <c r="V15" i="72"/>
  <c r="X12" i="72"/>
  <c r="Z9" i="72"/>
  <c r="V5" i="72"/>
  <c r="E4" i="72"/>
  <c r="E30" i="72" s="1"/>
  <c r="W124" i="72"/>
  <c r="AA119" i="72"/>
  <c r="W115" i="72"/>
  <c r="AA110" i="72"/>
  <c r="X106" i="72"/>
  <c r="AA101" i="72"/>
  <c r="Y97" i="72"/>
  <c r="U93" i="72"/>
  <c r="Y88" i="72"/>
  <c r="X84" i="72"/>
  <c r="W80" i="72"/>
  <c r="V76" i="72"/>
  <c r="W72" i="72"/>
  <c r="W68" i="72"/>
  <c r="X64" i="72"/>
  <c r="AA60" i="72"/>
  <c r="V57" i="72"/>
  <c r="Z53" i="72"/>
  <c r="U50" i="72"/>
  <c r="Y46" i="72"/>
  <c r="V43" i="72"/>
  <c r="AA39" i="72"/>
  <c r="Z36" i="72"/>
  <c r="Y33" i="72"/>
  <c r="W30" i="72"/>
  <c r="U27" i="72"/>
  <c r="AA25" i="72"/>
  <c r="Y22" i="72"/>
  <c r="V19" i="72"/>
  <c r="Y14" i="72"/>
  <c r="W11" i="72"/>
  <c r="U8" i="72"/>
  <c r="Z6" i="72"/>
  <c r="U124" i="72"/>
  <c r="Y119" i="72"/>
  <c r="V115" i="72"/>
  <c r="Y110" i="72"/>
  <c r="W106" i="72"/>
  <c r="Z101" i="72"/>
  <c r="W97" i="72"/>
  <c r="AA92" i="72"/>
  <c r="X88" i="72"/>
  <c r="V84" i="72"/>
  <c r="V80" i="72"/>
  <c r="U76" i="72"/>
  <c r="U72" i="72"/>
  <c r="V68" i="72"/>
  <c r="W64" i="72"/>
  <c r="Z60" i="72"/>
  <c r="U57" i="72"/>
  <c r="Y53" i="72"/>
  <c r="AA49" i="72"/>
  <c r="X46" i="72"/>
  <c r="AA42" i="72"/>
  <c r="Z39" i="72"/>
  <c r="Y36" i="72"/>
  <c r="X33" i="72"/>
  <c r="V30" i="72"/>
  <c r="Z25" i="72"/>
  <c r="W22" i="72"/>
  <c r="U19" i="72"/>
  <c r="AA17" i="72"/>
  <c r="X14" i="72"/>
  <c r="V11" i="72"/>
  <c r="Y6" i="72"/>
  <c r="AA123" i="72"/>
  <c r="X119" i="72"/>
  <c r="AA114" i="72"/>
  <c r="X110" i="72"/>
  <c r="V106" i="72"/>
  <c r="X101" i="72"/>
  <c r="V97" i="72"/>
  <c r="Z92" i="72"/>
  <c r="U88" i="72"/>
  <c r="U84" i="72"/>
  <c r="U80" i="72"/>
  <c r="Z75" i="72"/>
  <c r="AA71" i="72"/>
  <c r="U68" i="72"/>
  <c r="U64" i="72"/>
  <c r="X60" i="72"/>
  <c r="AA56" i="72"/>
  <c r="X53" i="72"/>
  <c r="Z49" i="72"/>
  <c r="V46" i="72"/>
  <c r="Z42" i="72"/>
  <c r="Y39" i="72"/>
  <c r="X36" i="72"/>
  <c r="V33" i="72"/>
  <c r="U30" i="72"/>
  <c r="AA28" i="72"/>
  <c r="Y25" i="72"/>
  <c r="V22" i="72"/>
  <c r="Y17" i="72"/>
  <c r="W14" i="72"/>
  <c r="U11" i="72"/>
  <c r="AA9" i="72"/>
  <c r="X6" i="72"/>
  <c r="W121" i="72"/>
  <c r="Z116" i="72"/>
  <c r="Y112" i="72"/>
  <c r="AA107" i="72"/>
  <c r="X103" i="72"/>
  <c r="V99" i="72"/>
  <c r="Y94" i="72"/>
  <c r="U90" i="72"/>
  <c r="U86" i="72"/>
  <c r="Y81" i="72"/>
  <c r="Y77" i="72"/>
  <c r="Z73" i="72"/>
  <c r="Y69" i="72"/>
  <c r="V121" i="72"/>
  <c r="Y116" i="72"/>
  <c r="X112" i="72"/>
  <c r="Z107" i="72"/>
  <c r="W103" i="72"/>
  <c r="U99" i="72"/>
  <c r="X94" i="72"/>
  <c r="AA89" i="72"/>
  <c r="AA85" i="72"/>
  <c r="X81" i="72"/>
  <c r="X77" i="72"/>
  <c r="Y73" i="72"/>
  <c r="X69" i="72"/>
  <c r="Y65" i="72"/>
  <c r="U62" i="72"/>
  <c r="W58" i="72"/>
  <c r="Z54" i="72"/>
  <c r="V51" i="72"/>
  <c r="Z47" i="72"/>
  <c r="U44" i="72"/>
  <c r="AA40" i="72"/>
  <c r="Z37" i="72"/>
  <c r="Y34" i="72"/>
  <c r="W31" i="72"/>
  <c r="V29" i="72"/>
  <c r="Y24" i="72"/>
  <c r="W21" i="72"/>
  <c r="U18" i="72"/>
  <c r="Z16" i="72"/>
  <c r="X13" i="72"/>
  <c r="U10" i="72"/>
  <c r="AA8" i="72"/>
  <c r="Y5" i="72"/>
  <c r="F4" i="72"/>
  <c r="F30" i="72" s="1"/>
  <c r="W123" i="72"/>
  <c r="AA117" i="72"/>
  <c r="AA111" i="72"/>
  <c r="AA105" i="72"/>
  <c r="U100" i="72"/>
  <c r="AA93" i="72"/>
  <c r="Z87" i="72"/>
  <c r="Z82" i="72"/>
  <c r="V77" i="72"/>
  <c r="X71" i="72"/>
  <c r="Y66" i="72"/>
  <c r="V62" i="72"/>
  <c r="Y57" i="72"/>
  <c r="Z52" i="72"/>
  <c r="X48" i="72"/>
  <c r="V44" i="72"/>
  <c r="W40" i="72"/>
  <c r="AA35" i="72"/>
  <c r="V32" i="72"/>
  <c r="W29" i="72"/>
  <c r="W27" i="72"/>
  <c r="U25" i="72"/>
  <c r="W23" i="72"/>
  <c r="X21" i="72"/>
  <c r="X19" i="72"/>
  <c r="V17" i="72"/>
  <c r="X15" i="72"/>
  <c r="Y13" i="72"/>
  <c r="Y11" i="72"/>
  <c r="W9" i="72"/>
  <c r="X7" i="72"/>
  <c r="Z5" i="72"/>
  <c r="V123" i="72"/>
  <c r="Y117" i="72"/>
  <c r="X111" i="72"/>
  <c r="V105" i="72"/>
  <c r="AA99" i="72"/>
  <c r="Z93" i="72"/>
  <c r="Y87" i="72"/>
  <c r="V82" i="72"/>
  <c r="U77" i="72"/>
  <c r="W71" i="72"/>
  <c r="X66" i="72"/>
  <c r="Y61" i="72"/>
  <c r="X57" i="72"/>
  <c r="Y52" i="72"/>
  <c r="W48" i="72"/>
  <c r="AA43" i="72"/>
  <c r="U40" i="72"/>
  <c r="Z35" i="72"/>
  <c r="U32" i="72"/>
  <c r="U29" i="72"/>
  <c r="V27" i="72"/>
  <c r="U23" i="72"/>
  <c r="V21" i="72"/>
  <c r="W19" i="72"/>
  <c r="U17" i="72"/>
  <c r="W15" i="72"/>
  <c r="W13" i="72"/>
  <c r="X11" i="72"/>
  <c r="V9" i="72"/>
  <c r="W7" i="72"/>
  <c r="X5" i="72"/>
  <c r="U123" i="72"/>
  <c r="W117" i="72"/>
  <c r="W111" i="72"/>
  <c r="U105" i="72"/>
  <c r="X99" i="72"/>
  <c r="W93" i="72"/>
  <c r="W87" i="72"/>
  <c r="U82" i="72"/>
  <c r="Z76" i="72"/>
  <c r="U71" i="72"/>
  <c r="V66" i="72"/>
  <c r="X61" i="72"/>
  <c r="Z56" i="72"/>
  <c r="X52" i="72"/>
  <c r="V48" i="72"/>
  <c r="Z43" i="72"/>
  <c r="X39" i="72"/>
  <c r="Y35" i="72"/>
  <c r="AA31" i="72"/>
  <c r="U21" i="72"/>
  <c r="U15" i="72"/>
  <c r="U13" i="72"/>
  <c r="U9" i="72"/>
  <c r="V7" i="72"/>
  <c r="W5" i="72"/>
  <c r="Z121" i="72"/>
  <c r="AA115" i="72"/>
  <c r="Y109" i="72"/>
  <c r="AA103" i="72"/>
  <c r="AA97" i="72"/>
  <c r="Z91" i="72"/>
  <c r="X86" i="72"/>
  <c r="Y80" i="72"/>
  <c r="U75" i="72"/>
  <c r="U70" i="72"/>
  <c r="V65" i="72"/>
  <c r="U60" i="72"/>
  <c r="Z55" i="72"/>
  <c r="X51" i="72"/>
  <c r="U47" i="72"/>
  <c r="X42" i="72"/>
  <c r="Y38" i="72"/>
  <c r="AA34" i="72"/>
  <c r="AA30" i="72"/>
  <c r="Y28" i="72"/>
  <c r="Z26" i="72"/>
  <c r="AA24" i="72"/>
  <c r="Z20" i="72"/>
  <c r="AA18" i="72"/>
  <c r="AA12" i="72"/>
  <c r="AA4" i="72"/>
  <c r="U121" i="72"/>
  <c r="Y114" i="72"/>
  <c r="W109" i="72"/>
  <c r="V103" i="72"/>
  <c r="Z96" i="72"/>
  <c r="W91" i="72"/>
  <c r="W85" i="72"/>
  <c r="AA79" i="72"/>
  <c r="Y74" i="72"/>
  <c r="W69" i="72"/>
  <c r="AA64" i="72"/>
  <c r="Z59" i="72"/>
  <c r="X55" i="72"/>
  <c r="U51" i="72"/>
  <c r="Z46" i="72"/>
  <c r="V42" i="72"/>
  <c r="W38" i="72"/>
  <c r="W34" i="72"/>
  <c r="Y30" i="72"/>
  <c r="W28" i="72"/>
  <c r="X26" i="72"/>
  <c r="X24" i="72"/>
  <c r="Z22" i="72"/>
  <c r="W20" i="72"/>
  <c r="Y18" i="72"/>
  <c r="Y16" i="72"/>
  <c r="Z14" i="72"/>
  <c r="Y12" i="72"/>
  <c r="Z10" i="72"/>
  <c r="Z8" i="72"/>
  <c r="AA6" i="72"/>
  <c r="Y4" i="72"/>
  <c r="Y120" i="72"/>
  <c r="X114" i="72"/>
  <c r="V109" i="72"/>
  <c r="U103" i="72"/>
  <c r="X96" i="72"/>
  <c r="U91" i="72"/>
  <c r="V85" i="72"/>
  <c r="Y79" i="72"/>
  <c r="X74" i="72"/>
  <c r="U69" i="72"/>
  <c r="AA63" i="72"/>
  <c r="Y59" i="72"/>
  <c r="W55" i="72"/>
  <c r="AA50" i="72"/>
  <c r="U46" i="72"/>
  <c r="U42" i="72"/>
  <c r="V38" i="72"/>
  <c r="V34" i="72"/>
  <c r="V28" i="72"/>
  <c r="U120" i="72"/>
  <c r="Z113" i="72"/>
  <c r="U108" i="72"/>
  <c r="W102" i="72"/>
  <c r="U96" i="72"/>
  <c r="W90" i="72"/>
  <c r="Y84" i="72"/>
  <c r="Z78" i="72"/>
  <c r="AA73" i="72"/>
  <c r="X68" i="72"/>
  <c r="W63" i="72"/>
  <c r="V59" i="72"/>
  <c r="Y54" i="72"/>
  <c r="V50" i="72"/>
  <c r="X45" i="72"/>
  <c r="X41" i="72"/>
  <c r="Y37" i="72"/>
  <c r="Z33" i="72"/>
  <c r="U16" i="72"/>
  <c r="V8" i="72"/>
  <c r="U4" i="72"/>
  <c r="V120" i="72"/>
  <c r="U111" i="72"/>
  <c r="V101" i="72"/>
  <c r="Y92" i="72"/>
  <c r="Y83" i="72"/>
  <c r="X75" i="72"/>
  <c r="W67" i="72"/>
  <c r="W60" i="72"/>
  <c r="AA53" i="72"/>
  <c r="AA46" i="72"/>
  <c r="Y40" i="72"/>
  <c r="U34" i="72"/>
  <c r="X29" i="72"/>
  <c r="V26" i="72"/>
  <c r="Y23" i="72"/>
  <c r="Y20" i="72"/>
  <c r="V6" i="72"/>
  <c r="C4" i="72"/>
  <c r="C30" i="72" s="1"/>
  <c r="V119" i="72"/>
  <c r="U110" i="72"/>
  <c r="U101" i="72"/>
  <c r="X92" i="72"/>
  <c r="X83" i="72"/>
  <c r="W75" i="72"/>
  <c r="V67" i="72"/>
  <c r="AA59" i="72"/>
  <c r="U53" i="72"/>
  <c r="Z45" i="72"/>
  <c r="X40" i="72"/>
  <c r="AA33" i="72"/>
  <c r="U26" i="72"/>
  <c r="X23" i="72"/>
  <c r="V20" i="72"/>
  <c r="U6" i="72"/>
  <c r="U118" i="72"/>
  <c r="X108" i="72"/>
  <c r="W99" i="72"/>
  <c r="Z89" i="72"/>
  <c r="W81" i="72"/>
  <c r="U73" i="72"/>
  <c r="X65" i="72"/>
  <c r="X58" i="72"/>
  <c r="Z51" i="72"/>
  <c r="AA44" i="72"/>
  <c r="X38" i="72"/>
  <c r="X32" i="72"/>
  <c r="U28" i="72"/>
  <c r="X25" i="72"/>
  <c r="AA22" i="72"/>
  <c r="X8" i="72"/>
  <c r="V117" i="72"/>
  <c r="Y107" i="72"/>
  <c r="Y98" i="72"/>
  <c r="Y89" i="72"/>
  <c r="U81" i="72"/>
  <c r="Z72" i="72"/>
  <c r="W65" i="72"/>
  <c r="V58" i="72"/>
  <c r="W51" i="72"/>
  <c r="X44" i="72"/>
  <c r="U38" i="72"/>
  <c r="W32" i="72"/>
  <c r="W25" i="72"/>
  <c r="U22" i="72"/>
  <c r="W8" i="72"/>
  <c r="AA5" i="72"/>
  <c r="X116" i="72"/>
  <c r="V107" i="72"/>
  <c r="AA113" i="72"/>
  <c r="AA102" i="72"/>
  <c r="AA90" i="72"/>
  <c r="V79" i="72"/>
  <c r="V70" i="72"/>
  <c r="V61" i="72"/>
  <c r="V52" i="72"/>
  <c r="X43" i="72"/>
  <c r="U36" i="72"/>
  <c r="AA29" i="72"/>
  <c r="Z18" i="72"/>
  <c r="AA11" i="72"/>
  <c r="W4" i="72"/>
  <c r="X113" i="72"/>
  <c r="X102" i="72"/>
  <c r="X90" i="72"/>
  <c r="U79" i="72"/>
  <c r="Z69" i="72"/>
  <c r="U61" i="72"/>
  <c r="AA51" i="72"/>
  <c r="W43" i="72"/>
  <c r="X35" i="72"/>
  <c r="Y29" i="72"/>
  <c r="X18" i="72"/>
  <c r="Z11" i="72"/>
  <c r="V4" i="72"/>
  <c r="Y124" i="72"/>
  <c r="U113" i="72"/>
  <c r="Y100" i="72"/>
  <c r="V89" i="72"/>
  <c r="X78" i="72"/>
  <c r="Y68" i="72"/>
  <c r="W59" i="72"/>
  <c r="Y50" i="72"/>
  <c r="W42" i="72"/>
  <c r="V35" i="72"/>
  <c r="AA21" i="72"/>
  <c r="V18" i="72"/>
  <c r="V14" i="72"/>
  <c r="Y7" i="72"/>
  <c r="H4" i="72"/>
  <c r="H30" i="72" s="1"/>
  <c r="X123" i="72"/>
  <c r="Z112" i="72"/>
  <c r="V100" i="72"/>
  <c r="AA87" i="72"/>
  <c r="U78" i="72"/>
  <c r="Z67" i="72"/>
  <c r="Y58" i="72"/>
  <c r="X49" i="72"/>
  <c r="Y41" i="72"/>
  <c r="Z34" i="72"/>
  <c r="X28" i="72"/>
  <c r="Y21" i="72"/>
  <c r="Z122" i="72"/>
  <c r="AA109" i="72"/>
  <c r="U98" i="72"/>
  <c r="AA86" i="72"/>
  <c r="W77" i="72"/>
  <c r="Z66" i="72"/>
  <c r="AA57" i="72"/>
  <c r="U49" i="72"/>
  <c r="V41" i="72"/>
  <c r="AA32" i="72"/>
  <c r="W24" i="72"/>
  <c r="X120" i="72"/>
  <c r="U107" i="72"/>
  <c r="AA95" i="72"/>
  <c r="AA84" i="72"/>
  <c r="W74" i="72"/>
  <c r="Z63" i="72"/>
  <c r="AA55" i="72"/>
  <c r="AA47" i="72"/>
  <c r="V39" i="72"/>
  <c r="X31" i="72"/>
  <c r="X27" i="72"/>
  <c r="X16" i="72"/>
  <c r="Y118" i="72"/>
  <c r="Y106" i="72"/>
  <c r="V95" i="72"/>
  <c r="Z83" i="72"/>
  <c r="V73" i="72"/>
  <c r="V63" i="72"/>
  <c r="V55" i="72"/>
  <c r="V47" i="72"/>
  <c r="Z38" i="72"/>
  <c r="U31" i="72"/>
  <c r="Z23" i="72"/>
  <c r="V16" i="72"/>
  <c r="X9" i="72"/>
  <c r="Z124" i="72"/>
  <c r="U106" i="72"/>
  <c r="U89" i="72"/>
  <c r="X72" i="72"/>
  <c r="U58" i="72"/>
  <c r="V45" i="72"/>
  <c r="Z32" i="72"/>
  <c r="U14" i="72"/>
  <c r="W10" i="72"/>
  <c r="X124" i="72"/>
  <c r="Z104" i="72"/>
  <c r="V87" i="72"/>
  <c r="Y71" i="72"/>
  <c r="Y56" i="72"/>
  <c r="U45" i="72"/>
  <c r="Y32" i="72"/>
  <c r="AA26" i="72"/>
  <c r="V10" i="72"/>
  <c r="W6" i="72"/>
  <c r="AA122" i="72"/>
  <c r="Y104" i="72"/>
  <c r="Z86" i="72"/>
  <c r="AA70" i="72"/>
  <c r="X122" i="72"/>
  <c r="X104" i="72"/>
  <c r="Y86" i="72"/>
  <c r="Z70" i="72"/>
  <c r="W56" i="72"/>
  <c r="Y43" i="72"/>
  <c r="V31" i="72"/>
  <c r="W26" i="72"/>
  <c r="X121" i="72"/>
  <c r="Z103" i="72"/>
  <c r="Z84" i="72"/>
  <c r="AA68" i="72"/>
  <c r="U55" i="72"/>
  <c r="Z41" i="72"/>
  <c r="X17" i="72"/>
  <c r="Z13" i="72"/>
  <c r="X118" i="72"/>
  <c r="X100" i="72"/>
  <c r="U83" i="72"/>
  <c r="AA66" i="72"/>
  <c r="V54" i="72"/>
  <c r="U41" i="72"/>
  <c r="Z21" i="72"/>
  <c r="V118" i="72"/>
  <c r="X98" i="72"/>
  <c r="AA82" i="72"/>
  <c r="U66" i="72"/>
  <c r="U54" i="72"/>
  <c r="Z40" i="72"/>
  <c r="U116" i="72"/>
  <c r="W96" i="72"/>
  <c r="AA80" i="72"/>
  <c r="U65" i="72"/>
  <c r="W52" i="72"/>
  <c r="AA38" i="72"/>
  <c r="Z115" i="72"/>
  <c r="V96" i="72"/>
  <c r="X80" i="72"/>
  <c r="Y63" i="72"/>
  <c r="Z50" i="72"/>
  <c r="AA37" i="72"/>
  <c r="AA20" i="72"/>
  <c r="W12" i="72"/>
  <c r="X4" i="72"/>
  <c r="V113" i="72"/>
  <c r="U95" i="72"/>
  <c r="W78" i="72"/>
  <c r="Z62" i="72"/>
  <c r="W49" i="72"/>
  <c r="V37" i="72"/>
  <c r="V24" i="72"/>
  <c r="U12" i="72"/>
  <c r="G4" i="72"/>
  <c r="G30" i="72" s="1"/>
  <c r="AA100" i="72"/>
  <c r="AA67" i="72"/>
  <c r="W44" i="72"/>
  <c r="Z97" i="72"/>
  <c r="Z65" i="72"/>
  <c r="Y42" i="72"/>
  <c r="AA27" i="72"/>
  <c r="Z94" i="72"/>
  <c r="Y62" i="72"/>
  <c r="W39" i="72"/>
  <c r="Y8" i="72"/>
  <c r="I4" i="72"/>
  <c r="I30" i="72" s="1"/>
  <c r="W94" i="72"/>
  <c r="X62" i="72"/>
  <c r="X37" i="72"/>
  <c r="D4" i="72"/>
  <c r="D30" i="72" s="1"/>
  <c r="V93" i="72"/>
  <c r="W62" i="72"/>
  <c r="U37" i="72"/>
  <c r="W17" i="72"/>
  <c r="X91" i="72"/>
  <c r="X59" i="72"/>
  <c r="W36" i="72"/>
  <c r="Z12" i="72"/>
  <c r="X89" i="72"/>
  <c r="Z58" i="72"/>
  <c r="W35" i="72"/>
  <c r="AA16" i="72"/>
  <c r="V12" i="72"/>
  <c r="AA7" i="72"/>
  <c r="V116" i="72"/>
  <c r="Z81" i="72"/>
  <c r="W54" i="72"/>
  <c r="Z31" i="72"/>
  <c r="X109" i="72"/>
  <c r="AA74" i="72"/>
  <c r="U48" i="72"/>
  <c r="U24" i="72"/>
  <c r="AA19" i="72"/>
  <c r="AA91" i="72"/>
  <c r="W45" i="72"/>
  <c r="Y10" i="72"/>
  <c r="V86" i="72"/>
  <c r="W41" i="72"/>
  <c r="AA15" i="72"/>
  <c r="Y78" i="72"/>
  <c r="U35" i="72"/>
  <c r="U20" i="72"/>
  <c r="Y15" i="72"/>
  <c r="AA77" i="72"/>
  <c r="U33" i="72"/>
  <c r="Y76" i="72"/>
  <c r="Z30" i="72"/>
  <c r="Y9" i="72"/>
  <c r="Y75" i="72"/>
  <c r="AA14" i="72"/>
  <c r="Z4" i="72"/>
  <c r="V74" i="72"/>
  <c r="Z24" i="72"/>
  <c r="Y19" i="72"/>
  <c r="Y72" i="72"/>
  <c r="Y70" i="72"/>
  <c r="AA121" i="72"/>
  <c r="AA62" i="72"/>
  <c r="Z28" i="72"/>
  <c r="AA23" i="72"/>
  <c r="AA13" i="72"/>
  <c r="U119" i="72"/>
  <c r="W61" i="72"/>
  <c r="AA112" i="72"/>
  <c r="Y55" i="72"/>
  <c r="U7" i="72"/>
  <c r="AA48" i="72"/>
  <c r="Y48" i="72"/>
  <c r="W47" i="72"/>
  <c r="Y45" i="72"/>
  <c r="AA36" i="72"/>
  <c r="W18" i="72"/>
  <c r="AA10" i="72"/>
  <c r="U5" i="72"/>
  <c r="W114" i="72"/>
  <c r="W16" i="72"/>
  <c r="U112" i="72"/>
  <c r="Y27" i="72"/>
  <c r="Z106" i="72"/>
  <c r="Z15" i="72"/>
  <c r="Y49" i="72"/>
  <c r="Y108" i="72"/>
  <c r="V104" i="72"/>
  <c r="Z95" i="72"/>
  <c r="V83" i="72"/>
  <c r="X56" i="72"/>
  <c r="AA52" i="72"/>
  <c r="Y26" i="72"/>
  <c r="Z109" i="72"/>
  <c r="X62" i="60"/>
  <c r="W15" i="60"/>
  <c r="Y65" i="60"/>
  <c r="V105" i="60"/>
  <c r="Y35" i="60"/>
  <c r="Y103" i="60"/>
  <c r="AA95" i="60"/>
  <c r="W43" i="60"/>
  <c r="X25" i="60"/>
  <c r="AA9" i="60"/>
  <c r="V49" i="60"/>
  <c r="U50" i="60"/>
  <c r="X102" i="60"/>
  <c r="Z44" i="60"/>
  <c r="V117" i="60"/>
  <c r="V32" i="60"/>
  <c r="AA60" i="60"/>
  <c r="V61" i="60"/>
  <c r="V65" i="60"/>
  <c r="V98" i="60"/>
  <c r="U81" i="60"/>
  <c r="Y99" i="60"/>
  <c r="Y46" i="60"/>
  <c r="W9" i="60"/>
  <c r="AA81" i="60"/>
  <c r="U12" i="60"/>
  <c r="Y85" i="60"/>
  <c r="W25" i="60"/>
  <c r="U103" i="60"/>
  <c r="V52" i="60"/>
  <c r="X118" i="60"/>
  <c r="Z56" i="60"/>
  <c r="W63" i="60"/>
  <c r="Y31" i="60"/>
  <c r="AA88" i="60"/>
  <c r="AA64" i="60"/>
  <c r="AA124" i="60"/>
  <c r="Y123" i="60"/>
  <c r="AA49" i="60"/>
  <c r="W39" i="71"/>
  <c r="Y71" i="71"/>
  <c r="U57" i="71"/>
  <c r="AA111" i="71"/>
  <c r="V14" i="71"/>
  <c r="Y76" i="71"/>
  <c r="U50" i="71"/>
  <c r="Y11" i="71"/>
  <c r="AA31" i="71"/>
  <c r="Z78" i="71"/>
  <c r="W104" i="71"/>
  <c r="U15" i="71"/>
  <c r="W96" i="71"/>
  <c r="W76" i="71"/>
  <c r="X57" i="71"/>
  <c r="W122" i="71"/>
  <c r="V123" i="71"/>
  <c r="V59" i="71"/>
  <c r="V124" i="71"/>
  <c r="X62" i="71"/>
  <c r="X4" i="71"/>
  <c r="X119" i="71"/>
  <c r="AA57" i="71"/>
  <c r="Y106" i="71"/>
  <c r="U45" i="71"/>
  <c r="V28" i="60"/>
  <c r="W51" i="60"/>
  <c r="AA119" i="60"/>
  <c r="W119" i="60"/>
  <c r="AA41" i="60"/>
  <c r="AA46" i="60"/>
  <c r="V91" i="71"/>
  <c r="U44" i="71"/>
  <c r="X121" i="60"/>
  <c r="W8" i="60"/>
  <c r="X91" i="60"/>
  <c r="Z71" i="60"/>
  <c r="U94" i="60"/>
  <c r="W73" i="60"/>
  <c r="AA33" i="60"/>
  <c r="X28" i="60"/>
  <c r="V108" i="60"/>
  <c r="AA13" i="60"/>
  <c r="Z65" i="60"/>
  <c r="X64" i="60"/>
  <c r="W11" i="60"/>
  <c r="W25" i="75"/>
  <c r="V60" i="75"/>
  <c r="H30" i="60"/>
  <c r="AA93" i="60"/>
  <c r="AA90" i="71"/>
  <c r="X4" i="75"/>
  <c r="X5" i="75"/>
  <c r="Y24" i="75"/>
  <c r="U48" i="75"/>
  <c r="AA40" i="75"/>
  <c r="AA92" i="75"/>
  <c r="X22" i="75"/>
  <c r="AA98" i="75"/>
  <c r="AA74" i="60"/>
  <c r="X59" i="60"/>
  <c r="Z22" i="60"/>
  <c r="U92" i="60"/>
  <c r="Z34" i="60"/>
  <c r="X24" i="60"/>
  <c r="W97" i="71"/>
  <c r="V94" i="75"/>
  <c r="U41" i="75"/>
  <c r="AA9" i="75"/>
  <c r="AA28" i="75"/>
  <c r="AA8" i="75"/>
  <c r="AA51" i="75"/>
  <c r="U88" i="75"/>
  <c r="X75" i="75"/>
  <c r="W44" i="75"/>
  <c r="AA114" i="75"/>
  <c r="U56" i="75"/>
  <c r="Y6" i="75"/>
  <c r="V116" i="75"/>
  <c r="V52" i="75"/>
  <c r="X45" i="75"/>
  <c r="W66" i="75"/>
  <c r="AA121" i="75"/>
  <c r="U40" i="60"/>
  <c r="Z86" i="75"/>
  <c r="U25" i="75"/>
  <c r="V119" i="75"/>
  <c r="W14" i="60"/>
  <c r="V43" i="60"/>
  <c r="W65" i="60"/>
  <c r="Z94" i="60"/>
  <c r="AA58" i="60"/>
  <c r="AA23" i="60"/>
  <c r="Y53" i="60"/>
  <c r="Y85" i="75"/>
  <c r="V24" i="75"/>
  <c r="Y33" i="75"/>
  <c r="Y10" i="75"/>
  <c r="V14" i="75"/>
  <c r="W6" i="75"/>
  <c r="V66" i="75"/>
  <c r="Y45" i="75"/>
  <c r="Y76" i="75"/>
  <c r="W26" i="75"/>
  <c r="U36" i="75"/>
  <c r="U53" i="75"/>
  <c r="W123" i="75"/>
  <c r="AA36" i="75"/>
  <c r="AA85" i="75"/>
  <c r="AA22" i="75"/>
  <c r="Y80" i="75"/>
  <c r="AA124" i="75"/>
  <c r="W61" i="60"/>
  <c r="X32" i="60"/>
  <c r="X20" i="60"/>
  <c r="AA61" i="60"/>
  <c r="Z58" i="60"/>
  <c r="U53" i="60"/>
  <c r="W39" i="60"/>
  <c r="V67" i="60"/>
  <c r="W67" i="60"/>
  <c r="AA70" i="60"/>
  <c r="U71" i="60"/>
  <c r="V78" i="60"/>
  <c r="Z61" i="60"/>
  <c r="Z102" i="60"/>
  <c r="Z85" i="60"/>
  <c r="V104" i="60"/>
  <c r="U51" i="60"/>
  <c r="X86" i="60"/>
  <c r="Y66" i="60"/>
  <c r="AA15" i="60"/>
  <c r="U31" i="60"/>
  <c r="AA106" i="60"/>
  <c r="W55" i="60"/>
  <c r="V122" i="60"/>
  <c r="AA59" i="60"/>
  <c r="V5" i="60"/>
  <c r="X66" i="60"/>
  <c r="X34" i="60"/>
  <c r="AA91" i="60"/>
  <c r="W13" i="60"/>
  <c r="Z67" i="60"/>
  <c r="Y87" i="60"/>
  <c r="X98" i="60"/>
  <c r="W30" i="60"/>
  <c r="U29" i="71"/>
  <c r="Z59" i="71"/>
  <c r="U47" i="71"/>
  <c r="X67" i="71"/>
  <c r="W116" i="71"/>
  <c r="X16" i="71"/>
  <c r="U4" i="71"/>
  <c r="V82" i="71"/>
  <c r="U71" i="71"/>
  <c r="W55" i="71"/>
  <c r="V36" i="71"/>
  <c r="AA17" i="71"/>
  <c r="AA83" i="71"/>
  <c r="AA24" i="71"/>
  <c r="V109" i="71"/>
  <c r="X20" i="71"/>
  <c r="V100" i="71"/>
  <c r="X80" i="71"/>
  <c r="X60" i="71"/>
  <c r="W61" i="71"/>
  <c r="X123" i="71"/>
  <c r="W4" i="71"/>
  <c r="Y65" i="71"/>
  <c r="AA68" i="71"/>
  <c r="X122" i="71"/>
  <c r="Y33" i="71"/>
  <c r="U122" i="71"/>
  <c r="U61" i="71"/>
  <c r="U75" i="71"/>
  <c r="AA114" i="60"/>
  <c r="AA78" i="60"/>
  <c r="U22" i="71"/>
  <c r="F15" i="64"/>
  <c r="N80" i="64"/>
  <c r="C8" i="64" s="1"/>
  <c r="AA91" i="75"/>
  <c r="Y35" i="71"/>
  <c r="Y202" i="69"/>
  <c r="Z199" i="69"/>
  <c r="AA196" i="69"/>
  <c r="U194" i="69"/>
  <c r="V191" i="69"/>
  <c r="W188" i="69"/>
  <c r="X185" i="69"/>
  <c r="X202" i="69"/>
  <c r="Y199" i="69"/>
  <c r="Z196" i="69"/>
  <c r="AA193" i="69"/>
  <c r="U191" i="69"/>
  <c r="V188" i="69"/>
  <c r="W185" i="69"/>
  <c r="X182" i="69"/>
  <c r="Y179" i="69"/>
  <c r="AA201" i="69"/>
  <c r="Z198" i="69"/>
  <c r="Y195" i="69"/>
  <c r="X192" i="69"/>
  <c r="W189" i="69"/>
  <c r="V186" i="69"/>
  <c r="U183" i="69"/>
  <c r="U202" i="69"/>
  <c r="Y198" i="69"/>
  <c r="W195" i="69"/>
  <c r="U192" i="69"/>
  <c r="Z188" i="69"/>
  <c r="V185" i="69"/>
  <c r="U182" i="69"/>
  <c r="U179" i="69"/>
  <c r="V176" i="69"/>
  <c r="W173" i="69"/>
  <c r="X170" i="69"/>
  <c r="Y167" i="69"/>
  <c r="Z164" i="69"/>
  <c r="AA161" i="69"/>
  <c r="U159" i="69"/>
  <c r="V156" i="69"/>
  <c r="W153" i="69"/>
  <c r="X150" i="69"/>
  <c r="Y147" i="69"/>
  <c r="Z144" i="69"/>
  <c r="AA141" i="69"/>
  <c r="U139" i="69"/>
  <c r="V136" i="69"/>
  <c r="W133" i="69"/>
  <c r="X130" i="69"/>
  <c r="Y127" i="69"/>
  <c r="Z124" i="69"/>
  <c r="AA121" i="69"/>
  <c r="U119" i="69"/>
  <c r="V116" i="69"/>
  <c r="W113" i="69"/>
  <c r="X110" i="69"/>
  <c r="Y107" i="69"/>
  <c r="Z104" i="69"/>
  <c r="AA101" i="69"/>
  <c r="U99" i="69"/>
  <c r="V96" i="69"/>
  <c r="W93" i="69"/>
  <c r="X90" i="69"/>
  <c r="Y87" i="69"/>
  <c r="Z201" i="69"/>
  <c r="X198" i="69"/>
  <c r="V195" i="69"/>
  <c r="AA191" i="69"/>
  <c r="Y188" i="69"/>
  <c r="U185" i="69"/>
  <c r="AA181" i="69"/>
  <c r="AA178" i="69"/>
  <c r="U176" i="69"/>
  <c r="V173" i="69"/>
  <c r="W170" i="69"/>
  <c r="X167" i="69"/>
  <c r="Y164" i="69"/>
  <c r="Z161" i="69"/>
  <c r="AA158" i="69"/>
  <c r="U156" i="69"/>
  <c r="V153" i="69"/>
  <c r="W150" i="69"/>
  <c r="X147" i="69"/>
  <c r="Y144" i="69"/>
  <c r="Z141" i="69"/>
  <c r="AA138" i="69"/>
  <c r="U136" i="69"/>
  <c r="V133" i="69"/>
  <c r="W130" i="69"/>
  <c r="X127" i="69"/>
  <c r="Y124" i="69"/>
  <c r="Z121" i="69"/>
  <c r="AA118" i="69"/>
  <c r="U116" i="69"/>
  <c r="V113" i="69"/>
  <c r="W110" i="69"/>
  <c r="X107" i="69"/>
  <c r="Y104" i="69"/>
  <c r="Z101" i="69"/>
  <c r="AA98" i="69"/>
  <c r="U96" i="69"/>
  <c r="V93" i="69"/>
  <c r="W90" i="69"/>
  <c r="X87" i="69"/>
  <c r="Y84" i="69"/>
  <c r="Z81" i="69"/>
  <c r="AA78" i="69"/>
  <c r="U76" i="69"/>
  <c r="V73" i="69"/>
  <c r="W70" i="69"/>
  <c r="X67" i="69"/>
  <c r="Y64" i="69"/>
  <c r="AA58" i="69"/>
  <c r="U56" i="69"/>
  <c r="V53" i="69"/>
  <c r="W50" i="69"/>
  <c r="X47" i="69"/>
  <c r="Y44" i="69"/>
  <c r="Z41" i="69"/>
  <c r="AA38" i="69"/>
  <c r="U36" i="69"/>
  <c r="W30" i="69"/>
  <c r="Y27" i="69"/>
  <c r="AA24" i="69"/>
  <c r="U23" i="69"/>
  <c r="W20" i="69"/>
  <c r="Y17" i="69"/>
  <c r="AA14" i="69"/>
  <c r="U13" i="69"/>
  <c r="W10" i="69"/>
  <c r="Y7" i="69"/>
  <c r="AA4" i="69"/>
  <c r="X201" i="69"/>
  <c r="V198" i="69"/>
  <c r="AA194" i="69"/>
  <c r="Y191" i="69"/>
  <c r="U188" i="69"/>
  <c r="Z184" i="69"/>
  <c r="Y181" i="69"/>
  <c r="Y178" i="69"/>
  <c r="Z175" i="69"/>
  <c r="AA172" i="69"/>
  <c r="U170" i="69"/>
  <c r="V167" i="69"/>
  <c r="W164" i="69"/>
  <c r="X161" i="69"/>
  <c r="Y158" i="69"/>
  <c r="Z155" i="69"/>
  <c r="AA152" i="69"/>
  <c r="U150" i="69"/>
  <c r="V147" i="69"/>
  <c r="W144" i="69"/>
  <c r="X141" i="69"/>
  <c r="Y138" i="69"/>
  <c r="Z135" i="69"/>
  <c r="AA132" i="69"/>
  <c r="U130" i="69"/>
  <c r="Y203" i="69"/>
  <c r="W200" i="69"/>
  <c r="U197" i="69"/>
  <c r="X193" i="69"/>
  <c r="V190" i="69"/>
  <c r="AA186" i="69"/>
  <c r="Y183" i="69"/>
  <c r="X180" i="69"/>
  <c r="X177" i="69"/>
  <c r="Y174" i="69"/>
  <c r="Z171" i="69"/>
  <c r="AA168" i="69"/>
  <c r="U166" i="69"/>
  <c r="V163" i="69"/>
  <c r="W160" i="69"/>
  <c r="X157" i="69"/>
  <c r="Y154" i="69"/>
  <c r="Z151" i="69"/>
  <c r="AA148" i="69"/>
  <c r="U146" i="69"/>
  <c r="V143" i="69"/>
  <c r="W140" i="69"/>
  <c r="X137" i="69"/>
  <c r="Y134" i="69"/>
  <c r="Z131" i="69"/>
  <c r="AA128" i="69"/>
  <c r="U126" i="69"/>
  <c r="V123" i="69"/>
  <c r="W120" i="69"/>
  <c r="X117" i="69"/>
  <c r="Y114" i="69"/>
  <c r="Z111" i="69"/>
  <c r="AA108" i="69"/>
  <c r="U106" i="69"/>
  <c r="V103" i="69"/>
  <c r="W100" i="69"/>
  <c r="X97" i="69"/>
  <c r="Y94" i="69"/>
  <c r="Z91" i="69"/>
  <c r="AA88" i="69"/>
  <c r="U86" i="69"/>
  <c r="V83" i="69"/>
  <c r="W80" i="69"/>
  <c r="X77" i="69"/>
  <c r="Y74" i="69"/>
  <c r="Z71" i="69"/>
  <c r="AA68" i="69"/>
  <c r="U66" i="69"/>
  <c r="V63" i="69"/>
  <c r="W60" i="69"/>
  <c r="X57" i="69"/>
  <c r="Y54" i="69"/>
  <c r="Z51" i="69"/>
  <c r="AA48" i="69"/>
  <c r="U46" i="69"/>
  <c r="V43" i="69"/>
  <c r="W40" i="69"/>
  <c r="X37" i="69"/>
  <c r="Y34" i="69"/>
  <c r="Z31" i="69"/>
  <c r="AA29" i="69"/>
  <c r="U28" i="69"/>
  <c r="W25" i="69"/>
  <c r="Y22" i="69"/>
  <c r="AA19" i="69"/>
  <c r="U18" i="69"/>
  <c r="W15" i="69"/>
  <c r="Y12" i="69"/>
  <c r="AA9" i="69"/>
  <c r="U8" i="69"/>
  <c r="W5" i="69"/>
  <c r="F4" i="69"/>
  <c r="F30" i="69" s="1"/>
  <c r="W203" i="69"/>
  <c r="U200" i="69"/>
  <c r="X196" i="69"/>
  <c r="V193" i="69"/>
  <c r="AA189" i="69"/>
  <c r="Y186" i="69"/>
  <c r="W183" i="69"/>
  <c r="V180" i="69"/>
  <c r="V177" i="69"/>
  <c r="X171" i="69"/>
  <c r="Y168" i="69"/>
  <c r="Z165" i="69"/>
  <c r="AA162" i="69"/>
  <c r="U160" i="69"/>
  <c r="V157" i="69"/>
  <c r="W154" i="69"/>
  <c r="X151" i="69"/>
  <c r="Y148" i="69"/>
  <c r="Z145" i="69"/>
  <c r="AA142" i="69"/>
  <c r="U140" i="69"/>
  <c r="V137" i="69"/>
  <c r="W134" i="69"/>
  <c r="X131" i="69"/>
  <c r="Y128" i="69"/>
  <c r="Z125" i="69"/>
  <c r="AA122" i="69"/>
  <c r="U120" i="69"/>
  <c r="V117" i="69"/>
  <c r="W114" i="69"/>
  <c r="X111" i="69"/>
  <c r="Y108" i="69"/>
  <c r="Z105" i="69"/>
  <c r="AA102" i="69"/>
  <c r="U100" i="69"/>
  <c r="V97" i="69"/>
  <c r="W94" i="69"/>
  <c r="X91" i="69"/>
  <c r="Y88" i="69"/>
  <c r="U201" i="69"/>
  <c r="Y196" i="69"/>
  <c r="W192" i="69"/>
  <c r="Y187" i="69"/>
  <c r="W179" i="69"/>
  <c r="W175" i="69"/>
  <c r="Y171" i="69"/>
  <c r="AA167" i="69"/>
  <c r="AA163" i="69"/>
  <c r="V160" i="69"/>
  <c r="X156" i="69"/>
  <c r="X152" i="69"/>
  <c r="Z148" i="69"/>
  <c r="U145" i="69"/>
  <c r="U141" i="69"/>
  <c r="W137" i="69"/>
  <c r="Y133" i="69"/>
  <c r="Y129" i="69"/>
  <c r="V126" i="69"/>
  <c r="X122" i="69"/>
  <c r="Z118" i="69"/>
  <c r="W115" i="69"/>
  <c r="AA111" i="69"/>
  <c r="V108" i="69"/>
  <c r="X104" i="69"/>
  <c r="U101" i="69"/>
  <c r="Y97" i="69"/>
  <c r="V203" i="69"/>
  <c r="W198" i="69"/>
  <c r="Z193" i="69"/>
  <c r="V189" i="69"/>
  <c r="W184" i="69"/>
  <c r="U180" i="69"/>
  <c r="AA175" i="69"/>
  <c r="U172" i="69"/>
  <c r="U168" i="69"/>
  <c r="Z163" i="69"/>
  <c r="Z159" i="69"/>
  <c r="Y155" i="69"/>
  <c r="AA151" i="69"/>
  <c r="AA147" i="69"/>
  <c r="Z143" i="69"/>
  <c r="Z139" i="69"/>
  <c r="Y135" i="69"/>
  <c r="AA131" i="69"/>
  <c r="AA127" i="69"/>
  <c r="U124" i="69"/>
  <c r="X120" i="69"/>
  <c r="Y116" i="69"/>
  <c r="Z112" i="69"/>
  <c r="V109" i="69"/>
  <c r="W105" i="69"/>
  <c r="X101" i="69"/>
  <c r="AA97" i="69"/>
  <c r="U94" i="69"/>
  <c r="Y90" i="69"/>
  <c r="AA86" i="69"/>
  <c r="Z83" i="69"/>
  <c r="Y80" i="69"/>
  <c r="W77" i="69"/>
  <c r="V74" i="69"/>
  <c r="U71" i="69"/>
  <c r="AA67" i="69"/>
  <c r="Z64" i="69"/>
  <c r="X61" i="69"/>
  <c r="W58" i="69"/>
  <c r="V55" i="69"/>
  <c r="U52" i="69"/>
  <c r="Z48" i="69"/>
  <c r="Y45" i="69"/>
  <c r="X42" i="69"/>
  <c r="W39" i="69"/>
  <c r="V36" i="69"/>
  <c r="AA32" i="69"/>
  <c r="Y28" i="69"/>
  <c r="V25" i="69"/>
  <c r="Z20" i="69"/>
  <c r="W17" i="69"/>
  <c r="U14" i="69"/>
  <c r="AA12" i="69"/>
  <c r="X9" i="69"/>
  <c r="V6" i="69"/>
  <c r="U203" i="69"/>
  <c r="U198" i="69"/>
  <c r="Y193" i="69"/>
  <c r="U189" i="69"/>
  <c r="V184" i="69"/>
  <c r="AA179" i="69"/>
  <c r="Y175" i="69"/>
  <c r="AA171" i="69"/>
  <c r="Z167" i="69"/>
  <c r="Y163" i="69"/>
  <c r="Y159" i="69"/>
  <c r="X155" i="69"/>
  <c r="Y151" i="69"/>
  <c r="Z147" i="69"/>
  <c r="Y143" i="69"/>
  <c r="Y139" i="69"/>
  <c r="X135" i="69"/>
  <c r="Y131" i="69"/>
  <c r="Z127" i="69"/>
  <c r="AA123" i="69"/>
  <c r="V120" i="69"/>
  <c r="X116" i="69"/>
  <c r="Y112" i="69"/>
  <c r="U109" i="69"/>
  <c r="V105" i="69"/>
  <c r="W101" i="69"/>
  <c r="Z97" i="69"/>
  <c r="AA93" i="69"/>
  <c r="V90" i="69"/>
  <c r="Z86" i="69"/>
  <c r="Y83" i="69"/>
  <c r="X80" i="69"/>
  <c r="V77" i="69"/>
  <c r="U74" i="69"/>
  <c r="AA70" i="69"/>
  <c r="Z67" i="69"/>
  <c r="X64" i="69"/>
  <c r="W61" i="69"/>
  <c r="V58" i="69"/>
  <c r="U55" i="69"/>
  <c r="AA51" i="69"/>
  <c r="Y48" i="69"/>
  <c r="X45" i="69"/>
  <c r="W42" i="69"/>
  <c r="V39" i="69"/>
  <c r="AA35" i="69"/>
  <c r="Z32" i="69"/>
  <c r="X28" i="69"/>
  <c r="U25" i="69"/>
  <c r="AA23" i="69"/>
  <c r="Y20" i="69"/>
  <c r="V17" i="69"/>
  <c r="Z12" i="69"/>
  <c r="W9" i="69"/>
  <c r="U6" i="69"/>
  <c r="Z4" i="69"/>
  <c r="Z202" i="69"/>
  <c r="Z197" i="69"/>
  <c r="U193" i="69"/>
  <c r="X188" i="69"/>
  <c r="AA183" i="69"/>
  <c r="X179" i="69"/>
  <c r="V175" i="69"/>
  <c r="V171" i="69"/>
  <c r="U167" i="69"/>
  <c r="W163" i="69"/>
  <c r="W159" i="69"/>
  <c r="V155" i="69"/>
  <c r="V151" i="69"/>
  <c r="U147" i="69"/>
  <c r="W143" i="69"/>
  <c r="W139" i="69"/>
  <c r="V135" i="69"/>
  <c r="V131" i="69"/>
  <c r="V127" i="69"/>
  <c r="Y123" i="69"/>
  <c r="Z119" i="69"/>
  <c r="AA115" i="69"/>
  <c r="W112" i="69"/>
  <c r="X108" i="69"/>
  <c r="W201" i="69"/>
  <c r="V197" i="69"/>
  <c r="V192" i="69"/>
  <c r="W187" i="69"/>
  <c r="Z182" i="69"/>
  <c r="W178" i="69"/>
  <c r="X174" i="69"/>
  <c r="Y170" i="69"/>
  <c r="X166" i="69"/>
  <c r="X162" i="69"/>
  <c r="W158" i="69"/>
  <c r="X154" i="69"/>
  <c r="Y150" i="69"/>
  <c r="X146" i="69"/>
  <c r="X142" i="69"/>
  <c r="W138" i="69"/>
  <c r="X134" i="69"/>
  <c r="Y130" i="69"/>
  <c r="Y126" i="69"/>
  <c r="Z122" i="69"/>
  <c r="V119" i="69"/>
  <c r="V115" i="69"/>
  <c r="W111" i="69"/>
  <c r="Z107" i="69"/>
  <c r="AA103" i="69"/>
  <c r="V100" i="69"/>
  <c r="X96" i="69"/>
  <c r="Z92" i="69"/>
  <c r="W89" i="69"/>
  <c r="Z85" i="69"/>
  <c r="Y82" i="69"/>
  <c r="X79" i="69"/>
  <c r="W76" i="69"/>
  <c r="U73" i="69"/>
  <c r="AA69" i="69"/>
  <c r="Z66" i="69"/>
  <c r="Y63" i="69"/>
  <c r="X60" i="69"/>
  <c r="V57" i="69"/>
  <c r="U54" i="69"/>
  <c r="AA50" i="69"/>
  <c r="Y200" i="69"/>
  <c r="AA195" i="69"/>
  <c r="AA190" i="69"/>
  <c r="X186" i="69"/>
  <c r="Z181" i="69"/>
  <c r="Z177" i="69"/>
  <c r="Z173" i="69"/>
  <c r="Y169" i="69"/>
  <c r="Y165" i="69"/>
  <c r="Y161" i="69"/>
  <c r="Z157" i="69"/>
  <c r="Z153" i="69"/>
  <c r="Y149" i="69"/>
  <c r="Y145" i="69"/>
  <c r="Y141" i="69"/>
  <c r="Z137" i="69"/>
  <c r="Z133" i="69"/>
  <c r="X129" i="69"/>
  <c r="Y125" i="69"/>
  <c r="U122" i="69"/>
  <c r="V118" i="69"/>
  <c r="X114" i="69"/>
  <c r="Z110" i="69"/>
  <c r="V202" i="69"/>
  <c r="Z195" i="69"/>
  <c r="Z189" i="69"/>
  <c r="V183" i="69"/>
  <c r="Y177" i="69"/>
  <c r="X172" i="69"/>
  <c r="Z166" i="69"/>
  <c r="W161" i="69"/>
  <c r="Y156" i="69"/>
  <c r="AA150" i="69"/>
  <c r="X145" i="69"/>
  <c r="X140" i="69"/>
  <c r="AA134" i="69"/>
  <c r="W129" i="69"/>
  <c r="X124" i="69"/>
  <c r="X119" i="69"/>
  <c r="V114" i="69"/>
  <c r="Y109" i="69"/>
  <c r="AA104" i="69"/>
  <c r="X100" i="69"/>
  <c r="Z95" i="69"/>
  <c r="AA91" i="69"/>
  <c r="Z87" i="69"/>
  <c r="AA83" i="69"/>
  <c r="AA79" i="69"/>
  <c r="V76" i="69"/>
  <c r="X72" i="69"/>
  <c r="Z68" i="69"/>
  <c r="V65" i="69"/>
  <c r="V61" i="69"/>
  <c r="Y57" i="69"/>
  <c r="Z53" i="69"/>
  <c r="U50" i="69"/>
  <c r="Y46" i="69"/>
  <c r="U43" i="69"/>
  <c r="Y39" i="69"/>
  <c r="Z35" i="69"/>
  <c r="W32" i="69"/>
  <c r="Z29" i="69"/>
  <c r="W24" i="69"/>
  <c r="AA22" i="69"/>
  <c r="U17" i="69"/>
  <c r="Y15" i="69"/>
  <c r="U10" i="69"/>
  <c r="Y8" i="69"/>
  <c r="Y201" i="69"/>
  <c r="X195" i="69"/>
  <c r="Y189" i="69"/>
  <c r="AA182" i="69"/>
  <c r="W177" i="69"/>
  <c r="W172" i="69"/>
  <c r="Y166" i="69"/>
  <c r="V161" i="69"/>
  <c r="W156" i="69"/>
  <c r="Z150" i="69"/>
  <c r="W145" i="69"/>
  <c r="V140" i="69"/>
  <c r="Z134" i="69"/>
  <c r="V129" i="69"/>
  <c r="W124" i="69"/>
  <c r="W119" i="69"/>
  <c r="U114" i="69"/>
  <c r="X109" i="69"/>
  <c r="W104" i="69"/>
  <c r="AA99" i="69"/>
  <c r="Y95" i="69"/>
  <c r="Y91" i="69"/>
  <c r="W87" i="69"/>
  <c r="X83" i="69"/>
  <c r="Z79" i="69"/>
  <c r="AA75" i="69"/>
  <c r="W72" i="69"/>
  <c r="Y68" i="69"/>
  <c r="U65" i="69"/>
  <c r="U61" i="69"/>
  <c r="W57" i="69"/>
  <c r="Y53" i="69"/>
  <c r="AA49" i="69"/>
  <c r="X46" i="69"/>
  <c r="AA42" i="69"/>
  <c r="X39" i="69"/>
  <c r="Y35" i="69"/>
  <c r="V32" i="69"/>
  <c r="Y29" i="69"/>
  <c r="V24" i="69"/>
  <c r="Z22" i="69"/>
  <c r="X15" i="69"/>
  <c r="AA13" i="69"/>
  <c r="X8" i="69"/>
  <c r="AA6" i="69"/>
  <c r="V201" i="69"/>
  <c r="U195" i="69"/>
  <c r="X189" i="69"/>
  <c r="Y182" i="69"/>
  <c r="U177" i="69"/>
  <c r="V172" i="69"/>
  <c r="W166" i="69"/>
  <c r="U161" i="69"/>
  <c r="AA155" i="69"/>
  <c r="V150" i="69"/>
  <c r="V145" i="69"/>
  <c r="AA139" i="69"/>
  <c r="V134" i="69"/>
  <c r="U129" i="69"/>
  <c r="V124" i="69"/>
  <c r="Y118" i="69"/>
  <c r="AA113" i="69"/>
  <c r="W109" i="69"/>
  <c r="V104" i="69"/>
  <c r="Z99" i="69"/>
  <c r="X95" i="69"/>
  <c r="W91" i="69"/>
  <c r="V87" i="69"/>
  <c r="W83" i="69"/>
  <c r="Y79" i="69"/>
  <c r="Z75" i="69"/>
  <c r="V72" i="69"/>
  <c r="X68" i="69"/>
  <c r="AA64" i="69"/>
  <c r="AA60" i="69"/>
  <c r="U57" i="69"/>
  <c r="X53" i="69"/>
  <c r="Z49" i="69"/>
  <c r="W46" i="69"/>
  <c r="Z42" i="69"/>
  <c r="U39" i="69"/>
  <c r="X35" i="69"/>
  <c r="U32" i="69"/>
  <c r="X29" i="69"/>
  <c r="U24" i="69"/>
  <c r="X22" i="69"/>
  <c r="V15" i="69"/>
  <c r="Z13" i="69"/>
  <c r="W8" i="69"/>
  <c r="Z6" i="69"/>
  <c r="AA200" i="69"/>
  <c r="Z194" i="69"/>
  <c r="AA188" i="69"/>
  <c r="W182" i="69"/>
  <c r="AA176" i="69"/>
  <c r="W171" i="69"/>
  <c r="V166" i="69"/>
  <c r="AA160" i="69"/>
  <c r="W155" i="69"/>
  <c r="AA149" i="69"/>
  <c r="AA144" i="69"/>
  <c r="X139" i="69"/>
  <c r="U134" i="69"/>
  <c r="Z128" i="69"/>
  <c r="Z123" i="69"/>
  <c r="X118" i="69"/>
  <c r="Z113" i="69"/>
  <c r="Z108" i="69"/>
  <c r="U104" i="69"/>
  <c r="Y99" i="69"/>
  <c r="W95" i="69"/>
  <c r="V91" i="69"/>
  <c r="U87" i="69"/>
  <c r="U83" i="69"/>
  <c r="W79" i="69"/>
  <c r="Y75" i="69"/>
  <c r="U72" i="69"/>
  <c r="W68" i="69"/>
  <c r="W64" i="69"/>
  <c r="Z60" i="69"/>
  <c r="AA56" i="69"/>
  <c r="W53" i="69"/>
  <c r="Y49" i="69"/>
  <c r="V46" i="69"/>
  <c r="Y42" i="69"/>
  <c r="Z38" i="69"/>
  <c r="W35" i="69"/>
  <c r="AA31" i="69"/>
  <c r="W29" i="69"/>
  <c r="AA27" i="69"/>
  <c r="W22" i="69"/>
  <c r="AA20" i="69"/>
  <c r="U15" i="69"/>
  <c r="Y13" i="69"/>
  <c r="V8" i="69"/>
  <c r="Y6" i="69"/>
  <c r="X200" i="69"/>
  <c r="X194" i="69"/>
  <c r="Z187" i="69"/>
  <c r="X181" i="69"/>
  <c r="Y176" i="69"/>
  <c r="AA170" i="69"/>
  <c r="X165" i="69"/>
  <c r="Y160" i="69"/>
  <c r="AA154" i="69"/>
  <c r="X149" i="69"/>
  <c r="V144" i="69"/>
  <c r="Z138" i="69"/>
  <c r="X133" i="69"/>
  <c r="W128" i="69"/>
  <c r="W123" i="69"/>
  <c r="U118" i="69"/>
  <c r="X113" i="69"/>
  <c r="V200" i="69"/>
  <c r="W194" i="69"/>
  <c r="X187" i="69"/>
  <c r="W181" i="69"/>
  <c r="X176" i="69"/>
  <c r="Z170" i="69"/>
  <c r="W165" i="69"/>
  <c r="X160" i="69"/>
  <c r="Z154" i="69"/>
  <c r="W149" i="69"/>
  <c r="U144" i="69"/>
  <c r="X138" i="69"/>
  <c r="U133" i="69"/>
  <c r="V128" i="69"/>
  <c r="U123" i="69"/>
  <c r="AA117" i="69"/>
  <c r="U113" i="69"/>
  <c r="AA107" i="69"/>
  <c r="X103" i="69"/>
  <c r="V99" i="69"/>
  <c r="AA94" i="69"/>
  <c r="Z90" i="69"/>
  <c r="W86" i="69"/>
  <c r="X82" i="69"/>
  <c r="Z78" i="69"/>
  <c r="V75" i="69"/>
  <c r="X71" i="69"/>
  <c r="Y67" i="69"/>
  <c r="AA63" i="69"/>
  <c r="U60" i="69"/>
  <c r="X56" i="69"/>
  <c r="Z52" i="69"/>
  <c r="V49" i="69"/>
  <c r="W45" i="69"/>
  <c r="AA41" i="69"/>
  <c r="W38" i="69"/>
  <c r="AA34" i="69"/>
  <c r="W31" i="69"/>
  <c r="W27" i="69"/>
  <c r="AA25" i="69"/>
  <c r="U20" i="69"/>
  <c r="Y18" i="69"/>
  <c r="V13" i="69"/>
  <c r="Y11" i="69"/>
  <c r="W4" i="69"/>
  <c r="AA199" i="69"/>
  <c r="V194" i="69"/>
  <c r="V187" i="69"/>
  <c r="V181" i="69"/>
  <c r="W176" i="69"/>
  <c r="V170" i="69"/>
  <c r="V165" i="69"/>
  <c r="AA159" i="69"/>
  <c r="V154" i="69"/>
  <c r="V149" i="69"/>
  <c r="AA143" i="69"/>
  <c r="V138" i="69"/>
  <c r="Z132" i="69"/>
  <c r="U128" i="69"/>
  <c r="Y122" i="69"/>
  <c r="Z117" i="69"/>
  <c r="AA112" i="69"/>
  <c r="W107" i="69"/>
  <c r="X199" i="69"/>
  <c r="W193" i="69"/>
  <c r="U187" i="69"/>
  <c r="U181" i="69"/>
  <c r="X175" i="69"/>
  <c r="AA169" i="69"/>
  <c r="U165" i="69"/>
  <c r="X159" i="69"/>
  <c r="U154" i="69"/>
  <c r="U149" i="69"/>
  <c r="X143" i="69"/>
  <c r="U138" i="69"/>
  <c r="Y132" i="69"/>
  <c r="W127" i="69"/>
  <c r="W122" i="69"/>
  <c r="Y117" i="69"/>
  <c r="X112" i="69"/>
  <c r="V107" i="69"/>
  <c r="U103" i="69"/>
  <c r="Y98" i="69"/>
  <c r="X94" i="69"/>
  <c r="AA89" i="69"/>
  <c r="AA85" i="69"/>
  <c r="V82" i="69"/>
  <c r="X78" i="69"/>
  <c r="AA74" i="69"/>
  <c r="V71" i="69"/>
  <c r="V67" i="69"/>
  <c r="X63" i="69"/>
  <c r="Z59" i="69"/>
  <c r="V56" i="69"/>
  <c r="X52" i="69"/>
  <c r="X48" i="69"/>
  <c r="U45" i="69"/>
  <c r="X41" i="69"/>
  <c r="U38" i="69"/>
  <c r="X34" i="69"/>
  <c r="U31" i="69"/>
  <c r="U27" i="69"/>
  <c r="Y25" i="69"/>
  <c r="Z23" i="69"/>
  <c r="W18" i="69"/>
  <c r="Z16" i="69"/>
  <c r="W11" i="69"/>
  <c r="Z9" i="69"/>
  <c r="U4" i="69"/>
  <c r="W199" i="69"/>
  <c r="AA192" i="69"/>
  <c r="Z186" i="69"/>
  <c r="AA180" i="69"/>
  <c r="U175" i="69"/>
  <c r="Z169" i="69"/>
  <c r="AA164" i="69"/>
  <c r="V159" i="69"/>
  <c r="AA153" i="69"/>
  <c r="X148" i="69"/>
  <c r="U143" i="69"/>
  <c r="AA137" i="69"/>
  <c r="X132" i="69"/>
  <c r="U127" i="69"/>
  <c r="V122" i="69"/>
  <c r="W117" i="69"/>
  <c r="V112" i="69"/>
  <c r="U107" i="69"/>
  <c r="Z102" i="69"/>
  <c r="X98" i="69"/>
  <c r="V94" i="69"/>
  <c r="Z89" i="69"/>
  <c r="Y85" i="69"/>
  <c r="U82" i="69"/>
  <c r="W78" i="69"/>
  <c r="Z74" i="69"/>
  <c r="Z70" i="69"/>
  <c r="U67" i="69"/>
  <c r="W63" i="69"/>
  <c r="Y59" i="69"/>
  <c r="AA55" i="69"/>
  <c r="W52" i="69"/>
  <c r="W48" i="69"/>
  <c r="AA44" i="69"/>
  <c r="W41" i="69"/>
  <c r="AA37" i="69"/>
  <c r="W34" i="69"/>
  <c r="AA30" i="69"/>
  <c r="X25" i="69"/>
  <c r="Y23" i="69"/>
  <c r="V18" i="69"/>
  <c r="Y16" i="69"/>
  <c r="V11" i="69"/>
  <c r="Y9" i="69"/>
  <c r="AA7" i="69"/>
  <c r="I4" i="69"/>
  <c r="I30" i="69" s="1"/>
  <c r="AA197" i="69"/>
  <c r="X191" i="69"/>
  <c r="Z185" i="69"/>
  <c r="Z179" i="69"/>
  <c r="U174" i="69"/>
  <c r="U169" i="69"/>
  <c r="X163" i="69"/>
  <c r="U158" i="69"/>
  <c r="Z152" i="69"/>
  <c r="W147" i="69"/>
  <c r="V142" i="69"/>
  <c r="Z136" i="69"/>
  <c r="W131" i="69"/>
  <c r="W126" i="69"/>
  <c r="V121" i="69"/>
  <c r="W116" i="69"/>
  <c r="U111" i="69"/>
  <c r="X106" i="69"/>
  <c r="V102" i="69"/>
  <c r="W97" i="69"/>
  <c r="U93" i="69"/>
  <c r="U89" i="69"/>
  <c r="U85" i="69"/>
  <c r="W81" i="69"/>
  <c r="Z77" i="69"/>
  <c r="Z73" i="69"/>
  <c r="U70" i="69"/>
  <c r="W66" i="69"/>
  <c r="Y62" i="69"/>
  <c r="U59" i="69"/>
  <c r="W55" i="69"/>
  <c r="W51" i="69"/>
  <c r="Z47" i="69"/>
  <c r="V44" i="69"/>
  <c r="Z40" i="69"/>
  <c r="V37" i="69"/>
  <c r="Z33" i="69"/>
  <c r="V30" i="69"/>
  <c r="Z28" i="69"/>
  <c r="AA26" i="69"/>
  <c r="X21" i="69"/>
  <c r="U16" i="69"/>
  <c r="X14" i="69"/>
  <c r="V7" i="69"/>
  <c r="Z5" i="69"/>
  <c r="D4" i="69"/>
  <c r="D30" i="69" s="1"/>
  <c r="Y192" i="69"/>
  <c r="Y180" i="69"/>
  <c r="W169" i="69"/>
  <c r="X158" i="69"/>
  <c r="V148" i="69"/>
  <c r="U137" i="69"/>
  <c r="Z126" i="69"/>
  <c r="AA116" i="69"/>
  <c r="AA106" i="69"/>
  <c r="Y100" i="69"/>
  <c r="Y92" i="69"/>
  <c r="X85" i="69"/>
  <c r="U80" i="69"/>
  <c r="X73" i="69"/>
  <c r="AA66" i="69"/>
  <c r="Y61" i="69"/>
  <c r="Z54" i="69"/>
  <c r="V48" i="69"/>
  <c r="W43" i="69"/>
  <c r="AA36" i="69"/>
  <c r="Z30" i="69"/>
  <c r="AA21" i="69"/>
  <c r="U19" i="69"/>
  <c r="V10" i="69"/>
  <c r="H4" i="69"/>
  <c r="H30" i="69" s="1"/>
  <c r="Z191" i="69"/>
  <c r="W180" i="69"/>
  <c r="V169" i="69"/>
  <c r="V158" i="69"/>
  <c r="U148" i="69"/>
  <c r="AA136" i="69"/>
  <c r="X126" i="69"/>
  <c r="Z116" i="69"/>
  <c r="Z106" i="69"/>
  <c r="X99" i="69"/>
  <c r="X92" i="69"/>
  <c r="W85" i="69"/>
  <c r="V79" i="69"/>
  <c r="W73" i="69"/>
  <c r="Y66" i="69"/>
  <c r="Y60" i="69"/>
  <c r="X54" i="69"/>
  <c r="U48" i="69"/>
  <c r="V42" i="69"/>
  <c r="Z36" i="69"/>
  <c r="Y30" i="69"/>
  <c r="Z27" i="69"/>
  <c r="Z21" i="69"/>
  <c r="AA18" i="69"/>
  <c r="G4" i="69"/>
  <c r="G30" i="69" s="1"/>
  <c r="W191" i="69"/>
  <c r="V179" i="69"/>
  <c r="Z168" i="69"/>
  <c r="AA157" i="69"/>
  <c r="AA146" i="69"/>
  <c r="Y136" i="69"/>
  <c r="AA125" i="69"/>
  <c r="Z115" i="69"/>
  <c r="Y106" i="69"/>
  <c r="W99" i="69"/>
  <c r="W92" i="69"/>
  <c r="V85" i="69"/>
  <c r="U79" i="69"/>
  <c r="AA72" i="69"/>
  <c r="X66" i="69"/>
  <c r="V60" i="69"/>
  <c r="W54" i="69"/>
  <c r="AA47" i="69"/>
  <c r="U42" i="69"/>
  <c r="Y36" i="69"/>
  <c r="X30" i="69"/>
  <c r="X27" i="69"/>
  <c r="Z24" i="69"/>
  <c r="Y21" i="69"/>
  <c r="Z18" i="69"/>
  <c r="E4" i="69"/>
  <c r="E30" i="69" s="1"/>
  <c r="AA203" i="69"/>
  <c r="Z190" i="69"/>
  <c r="Z178" i="69"/>
  <c r="X168" i="69"/>
  <c r="Y157" i="69"/>
  <c r="Z146" i="69"/>
  <c r="X136" i="69"/>
  <c r="X125" i="69"/>
  <c r="Y115" i="69"/>
  <c r="W106" i="69"/>
  <c r="Z98" i="69"/>
  <c r="V92" i="69"/>
  <c r="AA84" i="69"/>
  <c r="Y78" i="69"/>
  <c r="Z72" i="69"/>
  <c r="V66" i="69"/>
  <c r="AA59" i="69"/>
  <c r="V54" i="69"/>
  <c r="Y47" i="69"/>
  <c r="Y41" i="69"/>
  <c r="X36" i="69"/>
  <c r="U30" i="69"/>
  <c r="V27" i="69"/>
  <c r="Y24" i="69"/>
  <c r="W21" i="69"/>
  <c r="X18" i="69"/>
  <c r="AA15" i="69"/>
  <c r="X12" i="69"/>
  <c r="C4" i="69"/>
  <c r="C30" i="69" s="1"/>
  <c r="X203" i="69"/>
  <c r="X190" i="69"/>
  <c r="V178" i="69"/>
  <c r="V168" i="69"/>
  <c r="U157" i="69"/>
  <c r="W146" i="69"/>
  <c r="AA135" i="69"/>
  <c r="V125" i="69"/>
  <c r="U115" i="69"/>
  <c r="AA105" i="69"/>
  <c r="V98" i="69"/>
  <c r="U91" i="69"/>
  <c r="X84" i="69"/>
  <c r="U78" i="69"/>
  <c r="AA71" i="69"/>
  <c r="Z65" i="69"/>
  <c r="W59" i="69"/>
  <c r="U53" i="69"/>
  <c r="V47" i="69"/>
  <c r="U41" i="69"/>
  <c r="V35" i="69"/>
  <c r="U21" i="69"/>
  <c r="V12" i="69"/>
  <c r="U9" i="69"/>
  <c r="X6" i="69"/>
  <c r="AA202" i="69"/>
  <c r="W190" i="69"/>
  <c r="U178" i="69"/>
  <c r="W167" i="69"/>
  <c r="AA156" i="69"/>
  <c r="V146" i="69"/>
  <c r="W135" i="69"/>
  <c r="U125" i="69"/>
  <c r="AA114" i="69"/>
  <c r="Y105" i="69"/>
  <c r="U98" i="69"/>
  <c r="AA90" i="69"/>
  <c r="W84" i="69"/>
  <c r="Y71" i="69"/>
  <c r="Y65" i="69"/>
  <c r="V59" i="69"/>
  <c r="AA52" i="69"/>
  <c r="U47" i="69"/>
  <c r="AA40" i="69"/>
  <c r="U35" i="69"/>
  <c r="U12" i="69"/>
  <c r="W6" i="69"/>
  <c r="Z200" i="69"/>
  <c r="AA187" i="69"/>
  <c r="Z176" i="69"/>
  <c r="AA165" i="69"/>
  <c r="U155" i="69"/>
  <c r="X144" i="69"/>
  <c r="AA133" i="69"/>
  <c r="X123" i="69"/>
  <c r="Y113" i="69"/>
  <c r="U105" i="69"/>
  <c r="AA96" i="69"/>
  <c r="Y89" i="69"/>
  <c r="U84" i="69"/>
  <c r="U77" i="69"/>
  <c r="Y70" i="69"/>
  <c r="W65" i="69"/>
  <c r="Y58" i="69"/>
  <c r="V52" i="69"/>
  <c r="Z46" i="69"/>
  <c r="X40" i="69"/>
  <c r="V34" i="69"/>
  <c r="Y26" i="69"/>
  <c r="X23" i="69"/>
  <c r="AA198" i="69"/>
  <c r="AA185" i="69"/>
  <c r="V174" i="69"/>
  <c r="U164" i="69"/>
  <c r="U153" i="69"/>
  <c r="W142" i="69"/>
  <c r="U132" i="69"/>
  <c r="W121" i="69"/>
  <c r="V111" i="69"/>
  <c r="W103" i="69"/>
  <c r="W96" i="69"/>
  <c r="Z88" i="69"/>
  <c r="W82" i="69"/>
  <c r="Y76" i="69"/>
  <c r="Z69" i="69"/>
  <c r="Z63" i="69"/>
  <c r="AA57" i="69"/>
  <c r="V51" i="69"/>
  <c r="V45" i="69"/>
  <c r="AA39" i="69"/>
  <c r="Y33" i="69"/>
  <c r="V26" i="69"/>
  <c r="Z17" i="69"/>
  <c r="W14" i="69"/>
  <c r="X11" i="69"/>
  <c r="AA8" i="69"/>
  <c r="Y5" i="69"/>
  <c r="X197" i="69"/>
  <c r="AA184" i="69"/>
  <c r="Z162" i="69"/>
  <c r="W152" i="69"/>
  <c r="W141" i="69"/>
  <c r="AA130" i="69"/>
  <c r="AA120" i="69"/>
  <c r="Y110" i="69"/>
  <c r="X102" i="69"/>
  <c r="V95" i="69"/>
  <c r="W88" i="69"/>
  <c r="Y81" i="69"/>
  <c r="X75" i="69"/>
  <c r="X69" i="69"/>
  <c r="AA62" i="69"/>
  <c r="Z56" i="69"/>
  <c r="Z50" i="69"/>
  <c r="X44" i="69"/>
  <c r="Y38" i="69"/>
  <c r="W33" i="69"/>
  <c r="V5" i="69"/>
  <c r="X184" i="69"/>
  <c r="U163" i="69"/>
  <c r="Z142" i="69"/>
  <c r="W125" i="69"/>
  <c r="W108" i="69"/>
  <c r="Z93" i="69"/>
  <c r="X81" i="69"/>
  <c r="V70" i="69"/>
  <c r="Z58" i="69"/>
  <c r="U49" i="69"/>
  <c r="Y37" i="69"/>
  <c r="W28" i="69"/>
  <c r="W12" i="69"/>
  <c r="W7" i="69"/>
  <c r="U184" i="69"/>
  <c r="Y162" i="69"/>
  <c r="Y142" i="69"/>
  <c r="AA124" i="69"/>
  <c r="U108" i="69"/>
  <c r="Y93" i="69"/>
  <c r="V81" i="69"/>
  <c r="Y69" i="69"/>
  <c r="X58" i="69"/>
  <c r="W47" i="69"/>
  <c r="W37" i="69"/>
  <c r="V28" i="69"/>
  <c r="AA17" i="69"/>
  <c r="U7" i="69"/>
  <c r="Z183" i="69"/>
  <c r="W162" i="69"/>
  <c r="U142" i="69"/>
  <c r="Y121" i="69"/>
  <c r="V106" i="69"/>
  <c r="X93" i="69"/>
  <c r="U81" i="69"/>
  <c r="W69" i="69"/>
  <c r="U58" i="69"/>
  <c r="AA46" i="69"/>
  <c r="U37" i="69"/>
  <c r="X17" i="69"/>
  <c r="AA11" i="69"/>
  <c r="Z203" i="69"/>
  <c r="V182" i="69"/>
  <c r="V162" i="69"/>
  <c r="V141" i="69"/>
  <c r="X121" i="69"/>
  <c r="X105" i="69"/>
  <c r="AA92" i="69"/>
  <c r="AA80" i="69"/>
  <c r="V69" i="69"/>
  <c r="Z57" i="69"/>
  <c r="AA45" i="69"/>
  <c r="W36" i="69"/>
  <c r="Z11" i="69"/>
  <c r="W202" i="69"/>
  <c r="Z180" i="69"/>
  <c r="U162" i="69"/>
  <c r="AA140" i="69"/>
  <c r="U121" i="69"/>
  <c r="Z103" i="69"/>
  <c r="U92" i="69"/>
  <c r="Z80" i="69"/>
  <c r="U69" i="69"/>
  <c r="Y56" i="69"/>
  <c r="Z45" i="69"/>
  <c r="Z34" i="69"/>
  <c r="V22" i="69"/>
  <c r="AA16" i="69"/>
  <c r="U11" i="69"/>
  <c r="V199" i="69"/>
  <c r="X178" i="69"/>
  <c r="Z160" i="69"/>
  <c r="Z140" i="69"/>
  <c r="Z120" i="69"/>
  <c r="Y103" i="69"/>
  <c r="U90" i="69"/>
  <c r="V80" i="69"/>
  <c r="V68" i="69"/>
  <c r="W56" i="69"/>
  <c r="Z44" i="69"/>
  <c r="U34" i="69"/>
  <c r="U22" i="69"/>
  <c r="X16" i="69"/>
  <c r="AA5" i="69"/>
  <c r="U199" i="69"/>
  <c r="AA177" i="69"/>
  <c r="Z158" i="69"/>
  <c r="Y140" i="69"/>
  <c r="Y120" i="69"/>
  <c r="Y102" i="69"/>
  <c r="X89" i="69"/>
  <c r="V78" i="69"/>
  <c r="U68" i="69"/>
  <c r="Z55" i="69"/>
  <c r="W44" i="69"/>
  <c r="AA33" i="69"/>
  <c r="Z26" i="69"/>
  <c r="W16" i="69"/>
  <c r="X5" i="69"/>
  <c r="Y197" i="69"/>
  <c r="AA174" i="69"/>
  <c r="W157" i="69"/>
  <c r="V139" i="69"/>
  <c r="AA119" i="69"/>
  <c r="W102" i="69"/>
  <c r="V89" i="69"/>
  <c r="Y77" i="69"/>
  <c r="W67" i="69"/>
  <c r="Y55" i="69"/>
  <c r="U44" i="69"/>
  <c r="X33" i="69"/>
  <c r="X26" i="69"/>
  <c r="V21" i="69"/>
  <c r="V16" i="69"/>
  <c r="AA10" i="69"/>
  <c r="U5" i="69"/>
  <c r="W197" i="69"/>
  <c r="Z174" i="69"/>
  <c r="Z156" i="69"/>
  <c r="Y137" i="69"/>
  <c r="Y119" i="69"/>
  <c r="U102" i="69"/>
  <c r="X88" i="69"/>
  <c r="AA76" i="69"/>
  <c r="AA65" i="69"/>
  <c r="X55" i="69"/>
  <c r="AA43" i="69"/>
  <c r="U33" i="69"/>
  <c r="W26" i="69"/>
  <c r="Z10" i="69"/>
  <c r="W196" i="69"/>
  <c r="AA173" i="69"/>
  <c r="Y153" i="69"/>
  <c r="W136" i="69"/>
  <c r="W118" i="69"/>
  <c r="Y101" i="69"/>
  <c r="V88" i="69"/>
  <c r="Z76" i="69"/>
  <c r="X65" i="69"/>
  <c r="AA54" i="69"/>
  <c r="Z43" i="69"/>
  <c r="Y32" i="69"/>
  <c r="U26" i="69"/>
  <c r="X20" i="69"/>
  <c r="Z15" i="69"/>
  <c r="Y10" i="69"/>
  <c r="V196" i="69"/>
  <c r="X173" i="69"/>
  <c r="X153" i="69"/>
  <c r="U135" i="69"/>
  <c r="U117" i="69"/>
  <c r="V101" i="69"/>
  <c r="U88" i="69"/>
  <c r="X76" i="69"/>
  <c r="V64" i="69"/>
  <c r="AA53" i="69"/>
  <c r="Y43" i="69"/>
  <c r="X32" i="69"/>
  <c r="V20" i="69"/>
  <c r="X10" i="69"/>
  <c r="Y4" i="69"/>
  <c r="U196" i="69"/>
  <c r="U173" i="69"/>
  <c r="Y152" i="69"/>
  <c r="W132" i="69"/>
  <c r="X115" i="69"/>
  <c r="AA100" i="69"/>
  <c r="AA87" i="69"/>
  <c r="W75" i="69"/>
  <c r="U64" i="69"/>
  <c r="Y52" i="69"/>
  <c r="X43" i="69"/>
  <c r="Y31" i="69"/>
  <c r="Z25" i="69"/>
  <c r="Z14" i="69"/>
  <c r="V9" i="69"/>
  <c r="X4" i="69"/>
  <c r="Z192" i="69"/>
  <c r="Y172" i="69"/>
  <c r="U152" i="69"/>
  <c r="U131" i="69"/>
  <c r="U112" i="69"/>
  <c r="W98" i="69"/>
  <c r="X86" i="69"/>
  <c r="X74" i="69"/>
  <c r="Z62" i="69"/>
  <c r="X51" i="69"/>
  <c r="Y40" i="69"/>
  <c r="V31" i="69"/>
  <c r="Z19" i="69"/>
  <c r="V14" i="69"/>
  <c r="Z172" i="69"/>
  <c r="AA126" i="69"/>
  <c r="Z82" i="69"/>
  <c r="V50" i="69"/>
  <c r="X24" i="69"/>
  <c r="Z8" i="69"/>
  <c r="W186" i="69"/>
  <c r="AA28" i="69"/>
  <c r="U171" i="69"/>
  <c r="Z114" i="69"/>
  <c r="AA81" i="69"/>
  <c r="X49" i="69"/>
  <c r="Y96" i="69"/>
  <c r="Y86" i="69"/>
  <c r="X13" i="69"/>
  <c r="V86" i="69"/>
  <c r="W13" i="69"/>
  <c r="Z84" i="69"/>
  <c r="X169" i="69"/>
  <c r="Y111" i="69"/>
  <c r="U75" i="69"/>
  <c r="W49" i="69"/>
  <c r="W23" i="69"/>
  <c r="Y51" i="69"/>
  <c r="W168" i="69"/>
  <c r="AA110" i="69"/>
  <c r="W74" i="69"/>
  <c r="V41" i="69"/>
  <c r="V23" i="69"/>
  <c r="Z7" i="69"/>
  <c r="W148" i="69"/>
  <c r="Z130" i="69"/>
  <c r="V130" i="69"/>
  <c r="U186" i="69"/>
  <c r="AA129" i="69"/>
  <c r="U51" i="69"/>
  <c r="Y185" i="69"/>
  <c r="V84" i="69"/>
  <c r="Y50" i="69"/>
  <c r="AA166" i="69"/>
  <c r="V110" i="69"/>
  <c r="AA73" i="69"/>
  <c r="V40" i="69"/>
  <c r="X7" i="69"/>
  <c r="AA95" i="69"/>
  <c r="X164" i="69"/>
  <c r="U110" i="69"/>
  <c r="Y73" i="69"/>
  <c r="U40" i="69"/>
  <c r="Y19" i="69"/>
  <c r="V4" i="69"/>
  <c r="Y14" i="69"/>
  <c r="V62" i="69"/>
  <c r="U190" i="69"/>
  <c r="Z129" i="69"/>
  <c r="V164" i="69"/>
  <c r="AA109" i="69"/>
  <c r="Y72" i="69"/>
  <c r="Z39" i="69"/>
  <c r="X19" i="69"/>
  <c r="W62" i="69"/>
  <c r="V152" i="69"/>
  <c r="Z109" i="69"/>
  <c r="W71" i="69"/>
  <c r="X38" i="69"/>
  <c r="W19" i="69"/>
  <c r="Y146" i="69"/>
  <c r="W151" i="69"/>
  <c r="Z100" i="69"/>
  <c r="X70" i="69"/>
  <c r="V38" i="69"/>
  <c r="V19" i="69"/>
  <c r="U151" i="69"/>
  <c r="U97" i="69"/>
  <c r="U63" i="69"/>
  <c r="Z37" i="69"/>
  <c r="X59" i="69"/>
  <c r="Z149" i="69"/>
  <c r="Z96" i="69"/>
  <c r="X62" i="69"/>
  <c r="X31" i="69"/>
  <c r="Y194" i="69"/>
  <c r="AA145" i="69"/>
  <c r="U95" i="69"/>
  <c r="U62" i="69"/>
  <c r="V29" i="69"/>
  <c r="Y190" i="69"/>
  <c r="V132" i="69"/>
  <c r="Z94" i="69"/>
  <c r="AA61" i="69"/>
  <c r="U29" i="69"/>
  <c r="Y184" i="69"/>
  <c r="X128" i="69"/>
  <c r="AA82" i="69"/>
  <c r="X50" i="69"/>
  <c r="U84" i="75"/>
  <c r="V69" i="60"/>
  <c r="Z90" i="60"/>
  <c r="Y29" i="71"/>
  <c r="W96" i="75"/>
  <c r="U48" i="60"/>
  <c r="U15" i="60"/>
  <c r="Y102" i="75"/>
  <c r="AA54" i="75"/>
  <c r="Z52" i="60"/>
  <c r="X27" i="60"/>
  <c r="X17" i="60"/>
  <c r="V75" i="60"/>
  <c r="Z24" i="60"/>
  <c r="U106" i="60"/>
  <c r="X84" i="60"/>
  <c r="W69" i="60"/>
  <c r="X65" i="60"/>
  <c r="Z105" i="60"/>
  <c r="V54" i="60"/>
  <c r="W49" i="75"/>
  <c r="U47" i="75"/>
  <c r="Z76" i="75"/>
  <c r="X77" i="75"/>
  <c r="W80" i="75"/>
  <c r="AA47" i="75"/>
  <c r="W32" i="75"/>
  <c r="W41" i="75"/>
  <c r="W55" i="75"/>
  <c r="Y81" i="75"/>
  <c r="X55" i="75"/>
  <c r="W87" i="75"/>
  <c r="U11" i="75"/>
  <c r="AA82" i="60"/>
  <c r="Z36" i="60"/>
  <c r="Z63" i="60"/>
  <c r="AA47" i="60"/>
  <c r="AA18" i="75"/>
  <c r="Z91" i="75"/>
  <c r="Z7" i="75"/>
  <c r="U7" i="75"/>
  <c r="V21" i="75"/>
  <c r="Z98" i="75"/>
  <c r="V80" i="75"/>
  <c r="V13" i="75"/>
  <c r="Y101" i="60"/>
  <c r="Y54" i="60"/>
  <c r="X14" i="60"/>
  <c r="Z76" i="60"/>
  <c r="V99" i="60"/>
  <c r="Z29" i="60"/>
  <c r="X9" i="75"/>
  <c r="V32" i="75"/>
  <c r="U85" i="75"/>
  <c r="Y44" i="75"/>
  <c r="Z40" i="75"/>
  <c r="AA29" i="75"/>
  <c r="W122" i="75"/>
  <c r="Z95" i="75"/>
  <c r="Z85" i="75"/>
  <c r="W81" i="75"/>
  <c r="V64" i="75"/>
  <c r="Y28" i="75"/>
  <c r="Y39" i="75"/>
  <c r="Y56" i="75"/>
  <c r="W91" i="75"/>
  <c r="V40" i="75"/>
  <c r="Y25" i="75"/>
  <c r="Y70" i="75"/>
  <c r="Y31" i="75"/>
  <c r="W41" i="60"/>
  <c r="Y44" i="60"/>
  <c r="W33" i="60"/>
  <c r="Z74" i="60"/>
  <c r="X67" i="60"/>
  <c r="Z123" i="60"/>
  <c r="X61" i="60"/>
  <c r="Y12" i="60"/>
  <c r="Y47" i="60"/>
  <c r="Z73" i="60"/>
  <c r="AA77" i="60"/>
  <c r="U84" i="60"/>
  <c r="U66" i="60"/>
  <c r="Z20" i="60"/>
  <c r="U108" i="60"/>
  <c r="U90" i="60"/>
  <c r="Z109" i="60"/>
  <c r="X55" i="60"/>
  <c r="V13" i="60"/>
  <c r="U91" i="60"/>
  <c r="V70" i="60"/>
  <c r="Y17" i="60"/>
  <c r="V93" i="60"/>
  <c r="U35" i="60"/>
  <c r="X111" i="60"/>
  <c r="X58" i="60"/>
  <c r="D30" i="60"/>
  <c r="V63" i="60"/>
  <c r="V8" i="60"/>
  <c r="Y69" i="60"/>
  <c r="AA94" i="60"/>
  <c r="U16" i="60"/>
  <c r="X90" i="60"/>
  <c r="W108" i="60"/>
  <c r="Y123" i="71"/>
  <c r="X93" i="71"/>
  <c r="AA10" i="71"/>
  <c r="X6" i="71"/>
  <c r="X26" i="71"/>
  <c r="X77" i="71"/>
  <c r="X52" i="71"/>
  <c r="X73" i="71"/>
  <c r="V46" i="71"/>
  <c r="V101" i="71"/>
  <c r="AA72" i="71"/>
  <c r="X90" i="71"/>
  <c r="W85" i="71"/>
  <c r="X25" i="71"/>
  <c r="X117" i="71"/>
  <c r="X91" i="71"/>
  <c r="W87" i="71"/>
  <c r="X5" i="71"/>
  <c r="X10" i="71"/>
  <c r="AA116" i="71"/>
  <c r="AA9" i="71"/>
  <c r="X31" i="71"/>
  <c r="U8" i="71"/>
  <c r="W82" i="71"/>
  <c r="Y15" i="71"/>
  <c r="Y22" i="71"/>
  <c r="Y24" i="71"/>
  <c r="W103" i="71"/>
  <c r="Z48" i="71"/>
  <c r="U17" i="71"/>
  <c r="Z41" i="71"/>
  <c r="AA62" i="71"/>
  <c r="W81" i="71"/>
  <c r="U64" i="71"/>
  <c r="AA61" i="71"/>
  <c r="U124" i="71"/>
  <c r="Z5" i="71"/>
  <c r="W5" i="71"/>
  <c r="U38" i="71"/>
  <c r="AA16" i="71"/>
  <c r="W48" i="71"/>
  <c r="U36" i="71"/>
  <c r="U76" i="71"/>
  <c r="V6" i="71"/>
  <c r="AA92" i="71"/>
  <c r="V88" i="71"/>
  <c r="AA76" i="71"/>
  <c r="W60" i="71"/>
  <c r="U41" i="71"/>
  <c r="W31" i="71"/>
  <c r="W40" i="71"/>
  <c r="Y7" i="71"/>
  <c r="Y88" i="71"/>
  <c r="Y26" i="71"/>
  <c r="Y114" i="71"/>
  <c r="Z27" i="71"/>
  <c r="Z104" i="71"/>
  <c r="AA63" i="71"/>
  <c r="X64" i="71"/>
  <c r="V4" i="71"/>
  <c r="X65" i="71"/>
  <c r="V7" i="71"/>
  <c r="Z68" i="71"/>
  <c r="U72" i="71"/>
  <c r="V121" i="71"/>
  <c r="Y63" i="71"/>
  <c r="X112" i="71"/>
  <c r="AA110" i="71"/>
  <c r="Z24" i="71"/>
  <c r="W118" i="60"/>
  <c r="X29" i="60"/>
  <c r="Z27" i="60"/>
  <c r="X57" i="60"/>
  <c r="V82" i="60"/>
  <c r="W10" i="75"/>
  <c r="V28" i="71"/>
  <c r="Z25" i="71"/>
  <c r="Z31" i="60"/>
  <c r="U89" i="71"/>
  <c r="G30" i="60"/>
  <c r="AA24" i="75"/>
  <c r="U55" i="75"/>
  <c r="V45" i="60"/>
  <c r="Z118" i="60"/>
  <c r="AA77" i="75"/>
  <c r="Z47" i="75"/>
  <c r="W40" i="75"/>
  <c r="Z101" i="75"/>
  <c r="Z38" i="75"/>
  <c r="Y8" i="60"/>
  <c r="X49" i="75"/>
  <c r="Z39" i="75"/>
  <c r="AA31" i="75"/>
  <c r="V72" i="75"/>
  <c r="U28" i="75"/>
  <c r="X46" i="75"/>
  <c r="U30" i="75"/>
  <c r="AA7" i="75"/>
  <c r="AA52" i="60"/>
  <c r="Y81" i="60"/>
  <c r="U60" i="60"/>
  <c r="AA97" i="75"/>
  <c r="W85" i="75"/>
  <c r="U108" i="75"/>
  <c r="U21" i="75"/>
  <c r="X119" i="75"/>
  <c r="U74" i="75"/>
  <c r="U45" i="75"/>
  <c r="AA93" i="75"/>
  <c r="V33" i="75"/>
  <c r="U15" i="75"/>
  <c r="Z100" i="75"/>
  <c r="AA100" i="75"/>
  <c r="U101" i="75"/>
  <c r="W90" i="75"/>
  <c r="U86" i="75"/>
  <c r="AA30" i="75"/>
  <c r="X124" i="75"/>
  <c r="AA42" i="75"/>
  <c r="Y43" i="75"/>
  <c r="U113" i="75"/>
  <c r="Z15" i="75"/>
  <c r="W78" i="75"/>
  <c r="W86" i="75"/>
  <c r="Z84" i="75"/>
  <c r="AA17" i="75"/>
  <c r="Z99" i="60"/>
  <c r="Y78" i="60"/>
  <c r="AA20" i="60"/>
  <c r="Y84" i="60"/>
  <c r="X45" i="60"/>
  <c r="Y6" i="60"/>
  <c r="X81" i="60"/>
  <c r="Y26" i="60"/>
  <c r="W45" i="60"/>
  <c r="X87" i="60"/>
  <c r="W75" i="60"/>
  <c r="Z69" i="60"/>
  <c r="X23" i="60"/>
  <c r="V56" i="60"/>
  <c r="Y79" i="60"/>
  <c r="AA79" i="60"/>
  <c r="W83" i="60"/>
  <c r="Z70" i="60"/>
  <c r="Y22" i="60"/>
  <c r="V113" i="60"/>
  <c r="V115" i="60"/>
  <c r="Z59" i="60"/>
  <c r="V15" i="60"/>
  <c r="AA73" i="60"/>
  <c r="W97" i="60"/>
  <c r="Y38" i="60"/>
  <c r="Z115" i="60"/>
  <c r="Y61" i="60"/>
  <c r="W66" i="60"/>
  <c r="V11" i="60"/>
  <c r="Z72" i="60"/>
  <c r="V40" i="60"/>
  <c r="AA97" i="60"/>
  <c r="AA17" i="60"/>
  <c r="X73" i="60"/>
  <c r="W93" i="60"/>
  <c r="Y56" i="60"/>
  <c r="U88" i="60"/>
  <c r="Y107" i="71"/>
  <c r="Y56" i="71"/>
  <c r="AA33" i="71"/>
  <c r="Y64" i="71"/>
  <c r="U53" i="71"/>
  <c r="Y109" i="71"/>
  <c r="U103" i="71"/>
  <c r="Y50" i="71"/>
  <c r="U6" i="71"/>
  <c r="AA99" i="71"/>
  <c r="AA98" i="71"/>
  <c r="U65" i="71"/>
  <c r="U31" i="71"/>
  <c r="U9" i="71"/>
  <c r="W14" i="71"/>
  <c r="V60" i="71"/>
  <c r="W54" i="71"/>
  <c r="AA32" i="71"/>
  <c r="U70" i="71"/>
  <c r="V37" i="71"/>
  <c r="Y23" i="71"/>
  <c r="Z45" i="71"/>
  <c r="AA78" i="71"/>
  <c r="Y30" i="71"/>
  <c r="V68" i="71"/>
  <c r="AA25" i="71"/>
  <c r="V116" i="71"/>
  <c r="Z53" i="71"/>
  <c r="V87" i="71"/>
  <c r="Y12" i="71"/>
  <c r="Y37" i="71"/>
  <c r="Z109" i="71"/>
  <c r="U54" i="71"/>
  <c r="W42" i="71"/>
  <c r="X85" i="71"/>
  <c r="Z7" i="71"/>
  <c r="Y20" i="71"/>
  <c r="V8" i="71"/>
  <c r="X99" i="71"/>
  <c r="Y94" i="71"/>
  <c r="X82" i="71"/>
  <c r="AA65" i="71"/>
  <c r="AA45" i="71"/>
  <c r="Y36" i="71"/>
  <c r="AA44" i="71"/>
  <c r="V9" i="71"/>
  <c r="Y93" i="71"/>
  <c r="V120" i="71"/>
  <c r="V29" i="71"/>
  <c r="AA108" i="71"/>
  <c r="AA88" i="71"/>
  <c r="U67" i="71"/>
  <c r="Y67" i="71"/>
  <c r="U7" i="71"/>
  <c r="Y68" i="71"/>
  <c r="V10" i="71"/>
  <c r="AA71" i="71"/>
  <c r="W13" i="71"/>
  <c r="X75" i="71"/>
  <c r="X66" i="71"/>
  <c r="Y124" i="71"/>
  <c r="X115" i="71"/>
  <c r="W106" i="71"/>
  <c r="V33" i="69" l="1"/>
  <c r="Y173" i="69"/>
  <c r="Z61" i="69"/>
  <c r="X183" i="69"/>
  <c r="M15" i="66" a="1"/>
  <c r="F7" i="66" s="1"/>
  <c r="E8" i="64"/>
  <c r="M15" i="64"/>
  <c r="F7" i="64"/>
  <c r="AA77" i="69"/>
  <c r="W174" i="69"/>
  <c r="M15" i="66" l="1"/>
  <c r="N15" i="66" s="1" a="1"/>
  <c r="N15" i="66" s="1"/>
  <c r="C7" i="66" s="1"/>
  <c r="G7" i="66"/>
  <c r="D7" i="66"/>
  <c r="D7" i="64"/>
  <c r="G7" i="64"/>
  <c r="N15" i="64" a="1"/>
  <c r="N15" i="64" s="1"/>
  <c r="C7" i="64" s="1"/>
  <c r="E7" i="64" s="1"/>
  <c r="P15" i="64" a="1"/>
  <c r="P15" i="64" s="1"/>
  <c r="S15" i="64" a="1"/>
  <c r="S15" i="64" s="1"/>
  <c r="H7" i="66" l="1"/>
  <c r="H7" i="64"/>
  <c r="E7" i="6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<sst xmlns="http://schemas.openxmlformats.org/spreadsheetml/2006/main" count="22596" uniqueCount="278">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</sst>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0" fontId="25" fillId="0" borderId="11" xfId="0" applyFont="1" applyFill="1" applyBorder="1" applyAlignment="1">
      <alignment horizontal="center" vertical="top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G22" sqref="G22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s">
        <v>277</v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6" t="str">
        <f>D10</f>
        <v>Bet Type</v>
      </c>
      <c r="B17" s="58"/>
      <c r="C17" s="177" t="e">
        <f>1/D17</f>
        <v>#DIV/0!</v>
      </c>
      <c r="D17" s="179"/>
      <c r="E17" s="10" t="s">
        <v>50</v>
      </c>
      <c r="F17" s="19"/>
      <c r="H17" s="3"/>
      <c r="I17" s="22"/>
      <c r="J17" s="5"/>
    </row>
    <row r="18" spans="1:10" x14ac:dyDescent="0.3">
      <c r="A18" s="176"/>
      <c r="B18" s="58"/>
      <c r="C18" s="178"/>
      <c r="D18" s="180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6" t="str">
        <f>D12</f>
        <v>Buy Feature</v>
      </c>
      <c r="B21" s="58"/>
      <c r="C21" s="177">
        <f>1/D21</f>
        <v>1</v>
      </c>
      <c r="D21" s="181">
        <v>1</v>
      </c>
      <c r="E21" s="10" t="s">
        <v>50</v>
      </c>
      <c r="F21" s="19"/>
      <c r="H21" s="3"/>
      <c r="I21" s="22"/>
      <c r="J21" s="5"/>
    </row>
    <row r="22" spans="1:10" x14ac:dyDescent="0.3">
      <c r="A22" s="176"/>
      <c r="B22" s="58"/>
      <c r="C22" s="178"/>
      <c r="D22" s="182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2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 x14ac:dyDescent="0.3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 x14ac:dyDescent="0.3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 x14ac:dyDescent="0.3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 x14ac:dyDescent="0.3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 x14ac:dyDescent="0.3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 x14ac:dyDescent="0.3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 x14ac:dyDescent="0.3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 x14ac:dyDescent="0.3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 x14ac:dyDescent="0.3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 x14ac:dyDescent="0.3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 x14ac:dyDescent="0.3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G15" sqref="G15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2" t="s">
        <v>267</v>
      </c>
      <c r="C4" s="16" t="s">
        <v>259</v>
      </c>
      <c r="D4" s="26"/>
    </row>
    <row r="5" spans="2:4" x14ac:dyDescent="0.3">
      <c r="B5" s="44" t="s">
        <v>268</v>
      </c>
      <c r="C5" s="173">
        <v>4000</v>
      </c>
      <c r="D5" s="174"/>
    </row>
    <row r="6" spans="2:4" x14ac:dyDescent="0.3">
      <c r="B6" s="44" t="s">
        <v>269</v>
      </c>
      <c r="C6" s="62">
        <v>0</v>
      </c>
      <c r="D6" s="174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2" t="s">
        <v>267</v>
      </c>
      <c r="C10" s="16" t="s">
        <v>259</v>
      </c>
      <c r="D10" s="26"/>
    </row>
    <row r="11" spans="2:4" x14ac:dyDescent="0.3">
      <c r="B11" s="44" t="s">
        <v>274</v>
      </c>
      <c r="C11" s="173">
        <v>15000</v>
      </c>
      <c r="D11" s="174"/>
    </row>
    <row r="12" spans="2:4" x14ac:dyDescent="0.3">
      <c r="B12" s="44" t="s">
        <v>276</v>
      </c>
      <c r="C12" s="62">
        <v>0</v>
      </c>
      <c r="D12" s="174"/>
    </row>
    <row r="13" spans="2:4" x14ac:dyDescent="0.3">
      <c r="B13" s="44" t="s">
        <v>275</v>
      </c>
      <c r="C13" s="62">
        <v>0</v>
      </c>
      <c r="D13" s="174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2" t="s">
        <v>267</v>
      </c>
      <c r="C17" s="16" t="s">
        <v>259</v>
      </c>
    </row>
    <row r="18" spans="2:3" x14ac:dyDescent="0.3">
      <c r="B18" s="44" t="s">
        <v>274</v>
      </c>
      <c r="C18" s="173">
        <v>12000</v>
      </c>
    </row>
    <row r="19" spans="2:3" x14ac:dyDescent="0.3">
      <c r="B19" s="44" t="s">
        <v>276</v>
      </c>
      <c r="C19" s="62">
        <v>0</v>
      </c>
    </row>
    <row r="20" spans="2:3" x14ac:dyDescent="0.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 x14ac:dyDescent="0.3">
      <c r="A153" s="186" t="s">
        <v>91</v>
      </c>
      <c r="B153" s="186"/>
      <c r="C153" s="186"/>
      <c r="D153" s="186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 x14ac:dyDescent="0.3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 x14ac:dyDescent="0.3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 x14ac:dyDescent="0.3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 x14ac:dyDescent="0.3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 x14ac:dyDescent="0.3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 x14ac:dyDescent="0.3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 x14ac:dyDescent="0.3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 x14ac:dyDescent="0.3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 x14ac:dyDescent="0.3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 x14ac:dyDescent="0.3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 x14ac:dyDescent="0.3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 x14ac:dyDescent="0.3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 x14ac:dyDescent="0.3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 x14ac:dyDescent="0.3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 x14ac:dyDescent="0.3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 x14ac:dyDescent="0.3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 x14ac:dyDescent="0.3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9" t="s">
        <v>194</v>
      </c>
      <c r="C5" s="189" t="s">
        <v>55</v>
      </c>
      <c r="D5" s="21" t="s">
        <v>195</v>
      </c>
      <c r="E5" s="194"/>
      <c r="F5" s="65"/>
      <c r="G5" s="192" t="e">
        <f>SUM(F5:F6)/E5*$C$2</f>
        <v>#DIV/0!</v>
      </c>
      <c r="H5" s="66"/>
    </row>
    <row r="6" spans="1:8" x14ac:dyDescent="0.3">
      <c r="B6" s="188"/>
      <c r="C6" s="188"/>
      <c r="D6" s="4" t="s">
        <v>196</v>
      </c>
      <c r="E6" s="195"/>
      <c r="F6" s="67"/>
      <c r="G6" s="193"/>
      <c r="H6" s="66"/>
    </row>
    <row r="7" spans="1:8" x14ac:dyDescent="0.3">
      <c r="A7" s="26"/>
      <c r="B7" s="189" t="s">
        <v>197</v>
      </c>
      <c r="C7" s="189" t="s">
        <v>55</v>
      </c>
      <c r="D7" s="21" t="s">
        <v>195</v>
      </c>
      <c r="E7" s="194"/>
      <c r="F7" s="67"/>
      <c r="G7" s="192" t="e">
        <f>SUM(F7:F8)/E7*$C$2</f>
        <v>#DIV/0!</v>
      </c>
      <c r="H7" s="66"/>
    </row>
    <row r="8" spans="1:8" x14ac:dyDescent="0.3">
      <c r="B8" s="188"/>
      <c r="C8" s="188"/>
      <c r="D8" s="4" t="s">
        <v>196</v>
      </c>
      <c r="E8" s="195"/>
      <c r="F8" s="67"/>
      <c r="G8" s="193"/>
      <c r="H8" s="66"/>
    </row>
    <row r="9" spans="1:8" x14ac:dyDescent="0.3">
      <c r="A9" s="26"/>
      <c r="B9" s="187" t="s">
        <v>198</v>
      </c>
      <c r="C9" s="189" t="s">
        <v>91</v>
      </c>
      <c r="D9" s="21" t="s">
        <v>195</v>
      </c>
      <c r="E9" s="190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8"/>
      <c r="C10" s="188"/>
      <c r="D10" s="4" t="s">
        <v>196</v>
      </c>
      <c r="E10" s="191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topLeftCell="A48" zoomScaleNormal="100" workbookViewId="0">
      <selection activeCell="G67" sqref="G67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2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7">
        <v>0</v>
      </c>
      <c r="K4" s="34"/>
      <c r="L4" s="15" cm="1">
        <f t="array" ref="L4:L203">_xlfn.SEQUENCE(200)</f>
        <v>1</v>
      </c>
      <c r="M4" s="156" t="s">
        <v>29</v>
      </c>
      <c r="N4" s="156" t="s">
        <v>24</v>
      </c>
      <c r="O4" s="156" t="s">
        <v>238</v>
      </c>
      <c r="P4" s="156" t="s">
        <v>236</v>
      </c>
      <c r="Q4" s="156" t="s">
        <v>21</v>
      </c>
      <c r="R4" s="156" t="s">
        <v>26</v>
      </c>
      <c r="S4" s="157" t="s">
        <v>89</v>
      </c>
      <c r="U4" s="158">
        <f>VLOOKUP(M4, $A$4:$J$29, 10, 0)</f>
        <v>12</v>
      </c>
      <c r="V4" s="158">
        <f t="shared" ref="V4:V67" si="1">VLOOKUP(N4, $A$4:$J$29, 10, 0)</f>
        <v>8</v>
      </c>
      <c r="W4" s="158">
        <f t="shared" ref="W4:W67" si="2">VLOOKUP(O4, $A$4:$J$29, 10, 0)</f>
        <v>21</v>
      </c>
      <c r="X4" s="158">
        <f t="shared" ref="X4:X67" si="3">VLOOKUP(P4, $A$4:$J$29, 10, 0)</f>
        <v>20</v>
      </c>
      <c r="Y4" s="158">
        <f t="shared" ref="Y4:Y67" si="4">VLOOKUP(Q4, $A$4:$J$29, 10, 0)</f>
        <v>3</v>
      </c>
      <c r="Z4" s="158">
        <f t="shared" ref="Z4:Z67" si="5">VLOOKUP(R4, $A$4:$J$29, 10, 0)</f>
        <v>9</v>
      </c>
      <c r="AA4" s="158">
        <f t="shared" ref="AA4:AA67" si="6">VLOOKUP(S4, $A$4:$J$29, 10, 0)</f>
        <v>7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33822</v>
      </c>
      <c r="AN4" s="10">
        <v>42180</v>
      </c>
      <c r="AO4" s="10">
        <v>36435</v>
      </c>
      <c r="AP4" s="10">
        <v>30133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7">COUNTIF(M$4:M$304,$A5)</f>
        <v>6</v>
      </c>
      <c r="D5" s="10">
        <f t="shared" ref="D5:D29" si="8">COUNTIF(N$4:N$304,$A5)</f>
        <v>2</v>
      </c>
      <c r="E5" s="10">
        <f t="shared" ref="E5:E29" si="9">COUNTIF(O$4:O$304,$A5)</f>
        <v>2</v>
      </c>
      <c r="F5" s="10">
        <f t="shared" ref="F5:F29" si="10">COUNTIF(P$4:P$304,$A5)</f>
        <v>2</v>
      </c>
      <c r="G5" s="10">
        <f t="shared" ref="G5:G29" si="11">COUNTIF(Q$4:Q$304,$A5)</f>
        <v>2</v>
      </c>
      <c r="H5" s="10">
        <f t="shared" ref="H5:H29" si="12">COUNTIF(R$4:R$304,$A5)</f>
        <v>3</v>
      </c>
      <c r="I5" s="10">
        <f t="shared" ref="I5:I29" si="13">COUNTIF(S$4:S$304,$A5)</f>
        <v>3</v>
      </c>
      <c r="J5" s="4">
        <v>1</v>
      </c>
      <c r="K5" s="34"/>
      <c r="L5" s="14">
        <v>2</v>
      </c>
      <c r="M5" s="38" t="s">
        <v>20</v>
      </c>
      <c r="N5" s="38" t="s">
        <v>232</v>
      </c>
      <c r="O5" s="38" t="s">
        <v>18</v>
      </c>
      <c r="P5" s="38" t="s">
        <v>20</v>
      </c>
      <c r="Q5" s="38" t="s">
        <v>24</v>
      </c>
      <c r="R5" s="38" t="s">
        <v>28</v>
      </c>
      <c r="S5" s="24" t="s">
        <v>26</v>
      </c>
      <c r="U5" s="158">
        <f t="shared" ref="U5:U68" si="14">VLOOKUP(M5, $A$4:$J$29, 10, 0)</f>
        <v>2</v>
      </c>
      <c r="V5" s="158">
        <f t="shared" si="1"/>
        <v>18</v>
      </c>
      <c r="W5" s="158">
        <f t="shared" si="2"/>
        <v>5</v>
      </c>
      <c r="X5" s="158">
        <f t="shared" si="3"/>
        <v>2</v>
      </c>
      <c r="Y5" s="158">
        <f t="shared" si="4"/>
        <v>8</v>
      </c>
      <c r="Z5" s="158">
        <f t="shared" si="5"/>
        <v>11</v>
      </c>
      <c r="AA5" s="158">
        <f t="shared" si="6"/>
        <v>9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23735</v>
      </c>
      <c r="AM5" s="37">
        <v>26467</v>
      </c>
      <c r="AN5" s="37">
        <v>26591</v>
      </c>
      <c r="AO5" s="37">
        <v>33273</v>
      </c>
      <c r="AP5" s="37">
        <v>30534</v>
      </c>
      <c r="AQ5" s="37">
        <v>40327</v>
      </c>
      <c r="AR5" s="37">
        <v>40327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7"/>
        <v>2</v>
      </c>
      <c r="D6" s="153">
        <f t="shared" si="8"/>
        <v>1</v>
      </c>
      <c r="E6" s="153">
        <f t="shared" si="9"/>
        <v>1</v>
      </c>
      <c r="F6" s="153">
        <f t="shared" si="10"/>
        <v>2</v>
      </c>
      <c r="G6" s="153">
        <f t="shared" si="11"/>
        <v>2</v>
      </c>
      <c r="H6" s="153">
        <f t="shared" si="12"/>
        <v>2</v>
      </c>
      <c r="I6" s="153">
        <f t="shared" si="13"/>
        <v>2</v>
      </c>
      <c r="J6" s="151">
        <v>2</v>
      </c>
      <c r="L6" s="15">
        <v>3</v>
      </c>
      <c r="M6" s="38" t="s">
        <v>89</v>
      </c>
      <c r="N6" s="38" t="s">
        <v>238</v>
      </c>
      <c r="O6" s="38" t="s">
        <v>18</v>
      </c>
      <c r="P6" s="38" t="s">
        <v>236</v>
      </c>
      <c r="Q6" s="38" t="s">
        <v>64</v>
      </c>
      <c r="R6" s="38" t="s">
        <v>226</v>
      </c>
      <c r="S6" s="24" t="s">
        <v>64</v>
      </c>
      <c r="U6" s="158">
        <f t="shared" si="14"/>
        <v>7</v>
      </c>
      <c r="V6" s="158">
        <f t="shared" si="1"/>
        <v>21</v>
      </c>
      <c r="W6" s="158">
        <f t="shared" si="2"/>
        <v>5</v>
      </c>
      <c r="X6" s="158">
        <f t="shared" si="3"/>
        <v>20</v>
      </c>
      <c r="Y6" s="158">
        <f t="shared" si="4"/>
        <v>6</v>
      </c>
      <c r="Z6" s="158">
        <f t="shared" si="5"/>
        <v>15</v>
      </c>
      <c r="AA6" s="158">
        <f t="shared" si="6"/>
        <v>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7594</v>
      </c>
      <c r="AM6" s="154">
        <v>7831</v>
      </c>
      <c r="AN6" s="154">
        <v>7167</v>
      </c>
      <c r="AO6" s="154">
        <v>10274</v>
      </c>
      <c r="AP6" s="154">
        <v>5164</v>
      </c>
      <c r="AQ6" s="154">
        <v>6092</v>
      </c>
      <c r="AR6" s="154">
        <v>6126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7"/>
        <v>6</v>
      </c>
      <c r="D7" s="153">
        <f t="shared" si="8"/>
        <v>12</v>
      </c>
      <c r="E7" s="153">
        <f t="shared" si="9"/>
        <v>10</v>
      </c>
      <c r="F7" s="153">
        <f t="shared" si="10"/>
        <v>12</v>
      </c>
      <c r="G7" s="153">
        <f t="shared" si="11"/>
        <v>16</v>
      </c>
      <c r="H7" s="153">
        <f t="shared" si="12"/>
        <v>12</v>
      </c>
      <c r="I7" s="153">
        <f t="shared" si="13"/>
        <v>15</v>
      </c>
      <c r="J7" s="151">
        <v>3</v>
      </c>
      <c r="L7" s="14">
        <v>4</v>
      </c>
      <c r="M7" s="38" t="s">
        <v>29</v>
      </c>
      <c r="N7" s="38" t="s">
        <v>238</v>
      </c>
      <c r="O7" s="38" t="s">
        <v>226</v>
      </c>
      <c r="P7" s="38" t="s">
        <v>18</v>
      </c>
      <c r="Q7" s="38" t="s">
        <v>64</v>
      </c>
      <c r="R7" s="38" t="s">
        <v>26</v>
      </c>
      <c r="S7" s="24" t="s">
        <v>64</v>
      </c>
      <c r="U7" s="158">
        <f t="shared" si="14"/>
        <v>12</v>
      </c>
      <c r="V7" s="158">
        <f t="shared" si="1"/>
        <v>21</v>
      </c>
      <c r="W7" s="158">
        <f t="shared" si="2"/>
        <v>15</v>
      </c>
      <c r="X7" s="158">
        <f t="shared" si="3"/>
        <v>5</v>
      </c>
      <c r="Y7" s="158">
        <f t="shared" si="4"/>
        <v>6</v>
      </c>
      <c r="Z7" s="158">
        <f t="shared" si="5"/>
        <v>9</v>
      </c>
      <c r="AA7" s="158">
        <f t="shared" si="6"/>
        <v>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11881</v>
      </c>
      <c r="AM7" s="154">
        <v>13425</v>
      </c>
      <c r="AN7" s="154">
        <v>10508</v>
      </c>
      <c r="AO7" s="154">
        <v>10421</v>
      </c>
      <c r="AP7" s="154">
        <v>9137</v>
      </c>
      <c r="AQ7" s="154">
        <v>13705</v>
      </c>
      <c r="AR7" s="154">
        <v>13783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7"/>
        <v>11</v>
      </c>
      <c r="D8" s="153">
        <f t="shared" si="8"/>
        <v>10</v>
      </c>
      <c r="E8" s="153">
        <f t="shared" si="9"/>
        <v>10</v>
      </c>
      <c r="F8" s="153">
        <f t="shared" si="10"/>
        <v>12</v>
      </c>
      <c r="G8" s="153">
        <f t="shared" si="11"/>
        <v>9</v>
      </c>
      <c r="H8" s="153">
        <f t="shared" si="12"/>
        <v>7</v>
      </c>
      <c r="I8" s="153">
        <f t="shared" si="13"/>
        <v>8</v>
      </c>
      <c r="J8" s="151">
        <v>4</v>
      </c>
      <c r="L8" s="15">
        <v>5</v>
      </c>
      <c r="M8" s="38" t="s">
        <v>26</v>
      </c>
      <c r="N8" s="38" t="s">
        <v>21</v>
      </c>
      <c r="O8" s="38" t="s">
        <v>27</v>
      </c>
      <c r="P8" s="38" t="s">
        <v>29</v>
      </c>
      <c r="Q8" s="38" t="s">
        <v>21</v>
      </c>
      <c r="R8" s="38" t="s">
        <v>28</v>
      </c>
      <c r="S8" s="24" t="s">
        <v>64</v>
      </c>
      <c r="U8" s="158">
        <f t="shared" si="14"/>
        <v>9</v>
      </c>
      <c r="V8" s="158">
        <f t="shared" si="1"/>
        <v>3</v>
      </c>
      <c r="W8" s="158">
        <f t="shared" si="2"/>
        <v>10</v>
      </c>
      <c r="X8" s="158">
        <f t="shared" si="3"/>
        <v>12</v>
      </c>
      <c r="Y8" s="158">
        <f t="shared" si="4"/>
        <v>3</v>
      </c>
      <c r="Z8" s="158">
        <f t="shared" si="5"/>
        <v>11</v>
      </c>
      <c r="AA8" s="158">
        <f t="shared" si="6"/>
        <v>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32308</v>
      </c>
      <c r="AM8" s="154">
        <v>53993</v>
      </c>
      <c r="AN8" s="154">
        <v>30500</v>
      </c>
      <c r="AO8" s="154">
        <v>46965</v>
      </c>
      <c r="AP8" s="154">
        <v>4369</v>
      </c>
      <c r="AQ8" s="154">
        <v>15228</v>
      </c>
      <c r="AR8" s="154">
        <v>15314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7"/>
        <v>9</v>
      </c>
      <c r="D9" s="153">
        <f t="shared" si="8"/>
        <v>7</v>
      </c>
      <c r="E9" s="153">
        <f t="shared" si="9"/>
        <v>16</v>
      </c>
      <c r="F9" s="153">
        <f t="shared" si="10"/>
        <v>22</v>
      </c>
      <c r="G9" s="153">
        <f t="shared" si="11"/>
        <v>10</v>
      </c>
      <c r="H9" s="153">
        <f t="shared" si="12"/>
        <v>18</v>
      </c>
      <c r="I9" s="153">
        <f t="shared" si="13"/>
        <v>22</v>
      </c>
      <c r="J9" s="151">
        <v>5</v>
      </c>
      <c r="L9" s="14">
        <v>6</v>
      </c>
      <c r="M9" s="38" t="s">
        <v>18</v>
      </c>
      <c r="N9" s="38" t="s">
        <v>27</v>
      </c>
      <c r="O9" s="38" t="s">
        <v>26</v>
      </c>
      <c r="P9" s="38" t="s">
        <v>89</v>
      </c>
      <c r="Q9" s="38" t="s">
        <v>224</v>
      </c>
      <c r="R9" s="38" t="s">
        <v>21</v>
      </c>
      <c r="S9" s="24" t="s">
        <v>64</v>
      </c>
      <c r="U9" s="158">
        <f t="shared" si="14"/>
        <v>5</v>
      </c>
      <c r="V9" s="158">
        <f t="shared" si="1"/>
        <v>10</v>
      </c>
      <c r="W9" s="158">
        <f t="shared" si="2"/>
        <v>9</v>
      </c>
      <c r="X9" s="158">
        <f t="shared" si="3"/>
        <v>7</v>
      </c>
      <c r="Y9" s="158">
        <f t="shared" si="4"/>
        <v>14</v>
      </c>
      <c r="Z9" s="158">
        <f t="shared" si="5"/>
        <v>3</v>
      </c>
      <c r="AA9" s="158">
        <f t="shared" si="6"/>
        <v>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95203</v>
      </c>
      <c r="AM9" s="154">
        <v>137486</v>
      </c>
      <c r="AN9" s="154">
        <v>98936</v>
      </c>
      <c r="AO9" s="154">
        <v>121084</v>
      </c>
      <c r="AP9" s="154">
        <v>112420</v>
      </c>
      <c r="AQ9" s="154">
        <v>110147</v>
      </c>
      <c r="AR9" s="154">
        <v>110771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7"/>
        <v>10</v>
      </c>
      <c r="D10" s="153">
        <f t="shared" si="8"/>
        <v>20</v>
      </c>
      <c r="E10" s="153">
        <f t="shared" si="9"/>
        <v>13</v>
      </c>
      <c r="F10" s="153">
        <f t="shared" si="10"/>
        <v>13</v>
      </c>
      <c r="G10" s="153">
        <f t="shared" si="11"/>
        <v>21</v>
      </c>
      <c r="H10" s="153">
        <f t="shared" si="12"/>
        <v>13</v>
      </c>
      <c r="I10" s="153">
        <f t="shared" si="13"/>
        <v>16</v>
      </c>
      <c r="J10" s="151">
        <v>6</v>
      </c>
      <c r="L10" s="15">
        <v>7</v>
      </c>
      <c r="M10" s="38" t="s">
        <v>26</v>
      </c>
      <c r="N10" s="38" t="s">
        <v>27</v>
      </c>
      <c r="O10" s="38" t="s">
        <v>28</v>
      </c>
      <c r="P10" s="38" t="s">
        <v>28</v>
      </c>
      <c r="Q10" s="38" t="s">
        <v>27</v>
      </c>
      <c r="R10" s="38" t="s">
        <v>27</v>
      </c>
      <c r="S10" s="24" t="s">
        <v>89</v>
      </c>
      <c r="U10" s="158">
        <f t="shared" si="14"/>
        <v>9</v>
      </c>
      <c r="V10" s="158">
        <f t="shared" si="1"/>
        <v>10</v>
      </c>
      <c r="W10" s="158">
        <f t="shared" si="2"/>
        <v>11</v>
      </c>
      <c r="X10" s="158">
        <f t="shared" si="3"/>
        <v>11</v>
      </c>
      <c r="Y10" s="158">
        <f t="shared" si="4"/>
        <v>10</v>
      </c>
      <c r="Z10" s="158">
        <f t="shared" si="5"/>
        <v>10</v>
      </c>
      <c r="AA10" s="158">
        <f t="shared" si="6"/>
        <v>7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147805</v>
      </c>
      <c r="AM10" s="154">
        <v>35210</v>
      </c>
      <c r="AN10" s="154">
        <v>129167</v>
      </c>
      <c r="AO10" s="154">
        <v>34343</v>
      </c>
      <c r="AP10" s="154">
        <v>46080</v>
      </c>
      <c r="AQ10" s="154">
        <v>38069</v>
      </c>
      <c r="AR10" s="154">
        <v>38285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7"/>
        <v>23</v>
      </c>
      <c r="D11" s="153">
        <f t="shared" si="8"/>
        <v>6</v>
      </c>
      <c r="E11" s="153">
        <f t="shared" si="9"/>
        <v>16</v>
      </c>
      <c r="F11" s="153">
        <f t="shared" si="10"/>
        <v>19</v>
      </c>
      <c r="G11" s="153">
        <f t="shared" si="11"/>
        <v>12</v>
      </c>
      <c r="H11" s="153">
        <f t="shared" si="12"/>
        <v>22</v>
      </c>
      <c r="I11" s="153">
        <f t="shared" si="13"/>
        <v>26</v>
      </c>
      <c r="J11" s="151">
        <v>7</v>
      </c>
      <c r="L11" s="14">
        <v>8</v>
      </c>
      <c r="M11" s="38" t="s">
        <v>26</v>
      </c>
      <c r="N11" s="38" t="s">
        <v>18</v>
      </c>
      <c r="O11" s="38" t="s">
        <v>28</v>
      </c>
      <c r="P11" s="38" t="s">
        <v>29</v>
      </c>
      <c r="Q11" s="38" t="s">
        <v>64</v>
      </c>
      <c r="R11" s="38" t="s">
        <v>27</v>
      </c>
      <c r="S11" s="24" t="s">
        <v>18</v>
      </c>
      <c r="U11" s="158">
        <f t="shared" si="14"/>
        <v>9</v>
      </c>
      <c r="V11" s="158">
        <f t="shared" si="1"/>
        <v>5</v>
      </c>
      <c r="W11" s="158">
        <f t="shared" si="2"/>
        <v>11</v>
      </c>
      <c r="X11" s="158">
        <f t="shared" si="3"/>
        <v>12</v>
      </c>
      <c r="Y11" s="158">
        <f t="shared" si="4"/>
        <v>6</v>
      </c>
      <c r="Z11" s="158">
        <f t="shared" si="5"/>
        <v>10</v>
      </c>
      <c r="AA11" s="158">
        <f t="shared" si="6"/>
        <v>5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33683</v>
      </c>
      <c r="AM11" s="154">
        <v>132422</v>
      </c>
      <c r="AN11" s="154">
        <v>30123</v>
      </c>
      <c r="AO11" s="154">
        <v>136200</v>
      </c>
      <c r="AP11" s="154">
        <v>135858</v>
      </c>
      <c r="AQ11" s="154">
        <v>158875</v>
      </c>
      <c r="AR11" s="154">
        <v>159774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7"/>
        <v>11</v>
      </c>
      <c r="D12" s="10">
        <f t="shared" si="8"/>
        <v>20</v>
      </c>
      <c r="E12" s="10">
        <f t="shared" si="9"/>
        <v>12</v>
      </c>
      <c r="F12" s="10">
        <f t="shared" si="10"/>
        <v>12</v>
      </c>
      <c r="G12" s="10">
        <f t="shared" si="11"/>
        <v>21</v>
      </c>
      <c r="H12" s="10">
        <f t="shared" si="12"/>
        <v>14</v>
      </c>
      <c r="I12" s="10">
        <f t="shared" si="13"/>
        <v>17</v>
      </c>
      <c r="J12" s="4">
        <v>8</v>
      </c>
      <c r="L12" s="15">
        <v>9</v>
      </c>
      <c r="M12" s="38" t="s">
        <v>21</v>
      </c>
      <c r="N12" s="38" t="s">
        <v>17</v>
      </c>
      <c r="O12" s="38" t="s">
        <v>68</v>
      </c>
      <c r="P12" s="38" t="s">
        <v>21</v>
      </c>
      <c r="Q12" s="38" t="s">
        <v>64</v>
      </c>
      <c r="R12" s="38" t="s">
        <v>26</v>
      </c>
      <c r="S12" s="24" t="s">
        <v>26</v>
      </c>
      <c r="U12" s="158">
        <f t="shared" si="14"/>
        <v>3</v>
      </c>
      <c r="V12" s="158">
        <f t="shared" si="1"/>
        <v>4</v>
      </c>
      <c r="W12" s="158">
        <f t="shared" si="2"/>
        <v>0</v>
      </c>
      <c r="X12" s="158">
        <f t="shared" si="3"/>
        <v>3</v>
      </c>
      <c r="Y12" s="158">
        <f t="shared" si="4"/>
        <v>6</v>
      </c>
      <c r="Z12" s="158">
        <f t="shared" si="5"/>
        <v>9</v>
      </c>
      <c r="AA12" s="158">
        <f t="shared" si="6"/>
        <v>9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172492</v>
      </c>
      <c r="AM12" s="37">
        <v>72128</v>
      </c>
      <c r="AN12" s="37">
        <v>168289</v>
      </c>
      <c r="AO12" s="37">
        <v>71036</v>
      </c>
      <c r="AP12" s="37">
        <v>57998</v>
      </c>
      <c r="AQ12" s="37">
        <v>57357</v>
      </c>
      <c r="AR12" s="37">
        <v>57682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7"/>
        <v>40</v>
      </c>
      <c r="D13" s="10">
        <f t="shared" si="8"/>
        <v>6</v>
      </c>
      <c r="E13" s="10">
        <f t="shared" si="9"/>
        <v>15</v>
      </c>
      <c r="F13" s="10">
        <f t="shared" si="10"/>
        <v>17</v>
      </c>
      <c r="G13" s="10">
        <f t="shared" si="11"/>
        <v>10</v>
      </c>
      <c r="H13" s="10">
        <f t="shared" si="12"/>
        <v>22</v>
      </c>
      <c r="I13" s="10">
        <f t="shared" si="13"/>
        <v>27</v>
      </c>
      <c r="J13" s="4">
        <v>9</v>
      </c>
      <c r="L13" s="15">
        <v>10</v>
      </c>
      <c r="M13" s="156" t="s">
        <v>28</v>
      </c>
      <c r="N13" s="156" t="s">
        <v>24</v>
      </c>
      <c r="O13" s="156" t="s">
        <v>17</v>
      </c>
      <c r="P13" s="156" t="s">
        <v>28</v>
      </c>
      <c r="Q13" s="156" t="s">
        <v>226</v>
      </c>
      <c r="R13" s="156" t="s">
        <v>64</v>
      </c>
      <c r="S13" s="157" t="s">
        <v>24</v>
      </c>
      <c r="U13" s="158">
        <f t="shared" si="14"/>
        <v>11</v>
      </c>
      <c r="V13" s="158">
        <f t="shared" si="1"/>
        <v>8</v>
      </c>
      <c r="W13" s="158">
        <f t="shared" si="2"/>
        <v>4</v>
      </c>
      <c r="X13" s="158">
        <f t="shared" si="3"/>
        <v>11</v>
      </c>
      <c r="Y13" s="158">
        <f t="shared" si="4"/>
        <v>15</v>
      </c>
      <c r="Z13" s="158">
        <f t="shared" si="5"/>
        <v>6</v>
      </c>
      <c r="AA13" s="158">
        <f t="shared" si="6"/>
        <v>8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57365</v>
      </c>
      <c r="AM13" s="37">
        <v>113345</v>
      </c>
      <c r="AN13" s="37">
        <v>59814</v>
      </c>
      <c r="AO13" s="37">
        <v>110956</v>
      </c>
      <c r="AP13" s="37">
        <v>164062</v>
      </c>
      <c r="AQ13" s="37">
        <v>138572</v>
      </c>
      <c r="AR13" s="37">
        <v>139357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7"/>
        <v>11</v>
      </c>
      <c r="D14" s="10">
        <f t="shared" si="8"/>
        <v>34</v>
      </c>
      <c r="E14" s="10">
        <f t="shared" si="9"/>
        <v>19</v>
      </c>
      <c r="F14" s="10">
        <f t="shared" si="10"/>
        <v>12</v>
      </c>
      <c r="G14" s="10">
        <f t="shared" si="11"/>
        <v>26</v>
      </c>
      <c r="H14" s="10">
        <f t="shared" si="12"/>
        <v>12</v>
      </c>
      <c r="I14" s="10">
        <f t="shared" si="13"/>
        <v>15</v>
      </c>
      <c r="J14" s="4">
        <v>10</v>
      </c>
      <c r="L14" s="14">
        <v>11</v>
      </c>
      <c r="M14" s="38" t="s">
        <v>28</v>
      </c>
      <c r="N14" s="38" t="s">
        <v>29</v>
      </c>
      <c r="O14" s="38" t="s">
        <v>18</v>
      </c>
      <c r="P14" s="38" t="s">
        <v>26</v>
      </c>
      <c r="Q14" s="38" t="s">
        <v>238</v>
      </c>
      <c r="R14" s="38" t="s">
        <v>17</v>
      </c>
      <c r="S14" s="24" t="s">
        <v>19</v>
      </c>
      <c r="U14" s="158">
        <f t="shared" si="14"/>
        <v>11</v>
      </c>
      <c r="V14" s="158">
        <f t="shared" si="1"/>
        <v>12</v>
      </c>
      <c r="W14" s="158">
        <f t="shared" si="2"/>
        <v>5</v>
      </c>
      <c r="X14" s="158">
        <f t="shared" si="3"/>
        <v>9</v>
      </c>
      <c r="Y14" s="158">
        <f t="shared" si="4"/>
        <v>21</v>
      </c>
      <c r="Z14" s="158">
        <f t="shared" si="5"/>
        <v>4</v>
      </c>
      <c r="AA14" s="158">
        <f t="shared" si="6"/>
        <v>1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177493</v>
      </c>
      <c r="AM14" s="37">
        <v>91441</v>
      </c>
      <c r="AN14" s="37">
        <v>159505</v>
      </c>
      <c r="AO14" s="37">
        <v>101710</v>
      </c>
      <c r="AP14" s="37">
        <v>87394</v>
      </c>
      <c r="AQ14" s="37">
        <v>83753</v>
      </c>
      <c r="AR14" s="37">
        <v>84227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7"/>
        <v>37</v>
      </c>
      <c r="D15" s="10">
        <f t="shared" si="8"/>
        <v>4</v>
      </c>
      <c r="E15" s="10">
        <f t="shared" si="9"/>
        <v>19</v>
      </c>
      <c r="F15" s="10">
        <f t="shared" si="10"/>
        <v>26</v>
      </c>
      <c r="G15" s="10">
        <f t="shared" si="11"/>
        <v>11</v>
      </c>
      <c r="H15" s="10">
        <f t="shared" si="12"/>
        <v>26</v>
      </c>
      <c r="I15" s="10">
        <f t="shared" si="13"/>
        <v>32</v>
      </c>
      <c r="J15" s="4">
        <v>11</v>
      </c>
      <c r="L15" s="15">
        <v>12</v>
      </c>
      <c r="M15" s="38" t="s">
        <v>89</v>
      </c>
      <c r="N15" s="38" t="s">
        <v>224</v>
      </c>
      <c r="O15" s="38" t="s">
        <v>29</v>
      </c>
      <c r="P15" s="38" t="s">
        <v>64</v>
      </c>
      <c r="Q15" s="38" t="s">
        <v>228</v>
      </c>
      <c r="R15" s="38" t="s">
        <v>232</v>
      </c>
      <c r="S15" s="24" t="s">
        <v>21</v>
      </c>
      <c r="U15" s="158">
        <f t="shared" si="14"/>
        <v>7</v>
      </c>
      <c r="V15" s="158">
        <f t="shared" si="1"/>
        <v>14</v>
      </c>
      <c r="W15" s="158">
        <f t="shared" si="2"/>
        <v>12</v>
      </c>
      <c r="X15" s="158">
        <f t="shared" si="3"/>
        <v>6</v>
      </c>
      <c r="Y15" s="158">
        <f t="shared" si="4"/>
        <v>16</v>
      </c>
      <c r="Z15" s="158">
        <f t="shared" si="5"/>
        <v>18</v>
      </c>
      <c r="AA15" s="158">
        <f t="shared" si="6"/>
        <v>3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103405</v>
      </c>
      <c r="AM15" s="37">
        <v>142431</v>
      </c>
      <c r="AN15" s="37">
        <v>96943</v>
      </c>
      <c r="AO15" s="37">
        <v>145447</v>
      </c>
      <c r="AP15" s="37">
        <v>180350</v>
      </c>
      <c r="AQ15" s="37">
        <v>191870</v>
      </c>
      <c r="AR15" s="37">
        <v>192955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7"/>
        <v>34</v>
      </c>
      <c r="D16" s="10">
        <f t="shared" si="8"/>
        <v>23</v>
      </c>
      <c r="E16" s="10">
        <f t="shared" si="9"/>
        <v>16</v>
      </c>
      <c r="F16" s="10">
        <f t="shared" si="10"/>
        <v>14</v>
      </c>
      <c r="G16" s="10">
        <f t="shared" si="11"/>
        <v>19</v>
      </c>
      <c r="H16" s="10">
        <f t="shared" si="12"/>
        <v>13</v>
      </c>
      <c r="I16" s="10">
        <f t="shared" si="13"/>
        <v>16</v>
      </c>
      <c r="J16" s="4">
        <v>12</v>
      </c>
      <c r="L16" s="14">
        <v>13</v>
      </c>
      <c r="M16" s="38" t="s">
        <v>64</v>
      </c>
      <c r="N16" s="38" t="s">
        <v>238</v>
      </c>
      <c r="O16" s="38" t="s">
        <v>28</v>
      </c>
      <c r="P16" s="38" t="s">
        <v>18</v>
      </c>
      <c r="Q16" s="38" t="s">
        <v>17</v>
      </c>
      <c r="R16" s="38" t="s">
        <v>28</v>
      </c>
      <c r="S16" s="24" t="s">
        <v>26</v>
      </c>
      <c r="U16" s="158">
        <f t="shared" si="14"/>
        <v>6</v>
      </c>
      <c r="V16" s="158">
        <f t="shared" si="1"/>
        <v>21</v>
      </c>
      <c r="W16" s="158">
        <f t="shared" si="2"/>
        <v>11</v>
      </c>
      <c r="X16" s="158">
        <f t="shared" si="3"/>
        <v>5</v>
      </c>
      <c r="Y16" s="158">
        <f t="shared" si="4"/>
        <v>4</v>
      </c>
      <c r="Z16" s="158">
        <f t="shared" si="5"/>
        <v>11</v>
      </c>
      <c r="AA16" s="158">
        <f t="shared" si="6"/>
        <v>9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137036</v>
      </c>
      <c r="AM16" s="37">
        <v>118055</v>
      </c>
      <c r="AN16" s="37">
        <v>116773</v>
      </c>
      <c r="AO16" s="37">
        <v>118442</v>
      </c>
      <c r="AP16" s="37">
        <v>125926</v>
      </c>
      <c r="AQ16" s="37">
        <v>140603</v>
      </c>
      <c r="AR16" s="37">
        <v>141399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7"/>
        <v>0</v>
      </c>
      <c r="D17" s="153">
        <f t="shared" si="8"/>
        <v>0</v>
      </c>
      <c r="E17" s="153">
        <f t="shared" si="9"/>
        <v>0</v>
      </c>
      <c r="F17" s="153">
        <f t="shared" si="10"/>
        <v>0</v>
      </c>
      <c r="G17" s="153">
        <f t="shared" si="11"/>
        <v>0</v>
      </c>
      <c r="H17" s="153">
        <f t="shared" si="12"/>
        <v>0</v>
      </c>
      <c r="I17" s="153">
        <f t="shared" si="13"/>
        <v>0</v>
      </c>
      <c r="J17" s="151">
        <v>13</v>
      </c>
      <c r="L17" s="15">
        <v>14</v>
      </c>
      <c r="M17" s="38" t="s">
        <v>21</v>
      </c>
      <c r="N17" s="38" t="s">
        <v>226</v>
      </c>
      <c r="O17" s="38" t="s">
        <v>17</v>
      </c>
      <c r="P17" s="38" t="s">
        <v>17</v>
      </c>
      <c r="Q17" s="38" t="s">
        <v>28</v>
      </c>
      <c r="R17" s="38" t="s">
        <v>21</v>
      </c>
      <c r="S17" s="24" t="s">
        <v>89</v>
      </c>
      <c r="U17" s="158">
        <f t="shared" si="14"/>
        <v>3</v>
      </c>
      <c r="V17" s="158">
        <f t="shared" si="1"/>
        <v>15</v>
      </c>
      <c r="W17" s="158">
        <f t="shared" si="2"/>
        <v>4</v>
      </c>
      <c r="X17" s="158">
        <f t="shared" si="3"/>
        <v>4</v>
      </c>
      <c r="Y17" s="158">
        <f t="shared" si="4"/>
        <v>11</v>
      </c>
      <c r="Z17" s="158">
        <f t="shared" si="5"/>
        <v>3</v>
      </c>
      <c r="AA17" s="158">
        <f t="shared" si="6"/>
        <v>7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187</v>
      </c>
      <c r="AN17" s="154">
        <v>186</v>
      </c>
      <c r="AO17" s="154">
        <v>265</v>
      </c>
      <c r="AP17" s="154">
        <v>59</v>
      </c>
      <c r="AQ17" s="154">
        <v>34</v>
      </c>
      <c r="AR17" s="154">
        <v>0</v>
      </c>
      <c r="AS17" s="151">
        <v>13</v>
      </c>
    </row>
    <row r="18" spans="1:45" s="148" customFormat="1" ht="15.9" customHeight="1" x14ac:dyDescent="0.3">
      <c r="A18" s="154" t="str">
        <v>G2</v>
      </c>
      <c r="B18" s="151" t="str">
        <v>Golden M2</v>
      </c>
      <c r="C18" s="153">
        <f t="shared" si="7"/>
        <v>0</v>
      </c>
      <c r="D18" s="153">
        <f t="shared" si="8"/>
        <v>4</v>
      </c>
      <c r="E18" s="153">
        <f t="shared" si="9"/>
        <v>4</v>
      </c>
      <c r="F18" s="153">
        <f t="shared" si="10"/>
        <v>3</v>
      </c>
      <c r="G18" s="153">
        <f t="shared" si="11"/>
        <v>4</v>
      </c>
      <c r="H18" s="153">
        <f t="shared" si="12"/>
        <v>3</v>
      </c>
      <c r="I18" s="153">
        <f t="shared" si="13"/>
        <v>0</v>
      </c>
      <c r="J18" s="151">
        <v>14</v>
      </c>
      <c r="K18" s="32"/>
      <c r="L18" s="14">
        <v>15</v>
      </c>
      <c r="M18" s="38" t="s">
        <v>18</v>
      </c>
      <c r="N18" s="38" t="s">
        <v>228</v>
      </c>
      <c r="O18" s="38" t="s">
        <v>24</v>
      </c>
      <c r="P18" s="38" t="s">
        <v>232</v>
      </c>
      <c r="Q18" s="38" t="s">
        <v>29</v>
      </c>
      <c r="R18" s="38" t="s">
        <v>21</v>
      </c>
      <c r="S18" s="24" t="s">
        <v>28</v>
      </c>
      <c r="T18" s="1"/>
      <c r="U18" s="158">
        <f t="shared" si="14"/>
        <v>5</v>
      </c>
      <c r="V18" s="158">
        <f t="shared" si="1"/>
        <v>16</v>
      </c>
      <c r="W18" s="158">
        <f t="shared" si="2"/>
        <v>8</v>
      </c>
      <c r="X18" s="158">
        <f t="shared" si="3"/>
        <v>18</v>
      </c>
      <c r="Y18" s="158">
        <f t="shared" si="4"/>
        <v>12</v>
      </c>
      <c r="Z18" s="158">
        <f t="shared" si="5"/>
        <v>3</v>
      </c>
      <c r="AA18" s="158">
        <f t="shared" si="6"/>
        <v>11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321</v>
      </c>
      <c r="AN18" s="154">
        <v>272</v>
      </c>
      <c r="AO18" s="154">
        <v>269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7"/>
        <v>0</v>
      </c>
      <c r="D19" s="153">
        <f t="shared" si="8"/>
        <v>4</v>
      </c>
      <c r="E19" s="153">
        <f t="shared" si="9"/>
        <v>4</v>
      </c>
      <c r="F19" s="153">
        <f t="shared" si="10"/>
        <v>3</v>
      </c>
      <c r="G19" s="153">
        <f t="shared" si="11"/>
        <v>2</v>
      </c>
      <c r="H19" s="153">
        <f t="shared" si="12"/>
        <v>1</v>
      </c>
      <c r="I19" s="153">
        <f t="shared" si="13"/>
        <v>0</v>
      </c>
      <c r="J19" s="151">
        <v>15</v>
      </c>
      <c r="K19" s="42"/>
      <c r="L19" s="15">
        <v>16</v>
      </c>
      <c r="M19" s="38" t="s">
        <v>28</v>
      </c>
      <c r="N19" s="38" t="s">
        <v>29</v>
      </c>
      <c r="O19" s="38" t="s">
        <v>230</v>
      </c>
      <c r="P19" s="38" t="s">
        <v>228</v>
      </c>
      <c r="Q19" s="38" t="s">
        <v>18</v>
      </c>
      <c r="R19" s="38" t="s">
        <v>28</v>
      </c>
      <c r="S19" s="24" t="s">
        <v>24</v>
      </c>
      <c r="U19" s="158">
        <f t="shared" si="14"/>
        <v>11</v>
      </c>
      <c r="V19" s="158">
        <f t="shared" si="1"/>
        <v>12</v>
      </c>
      <c r="W19" s="158">
        <f t="shared" si="2"/>
        <v>17</v>
      </c>
      <c r="X19" s="158">
        <f t="shared" si="3"/>
        <v>16</v>
      </c>
      <c r="Y19" s="158">
        <f t="shared" si="4"/>
        <v>5</v>
      </c>
      <c r="Z19" s="158">
        <f t="shared" si="5"/>
        <v>11</v>
      </c>
      <c r="AA19" s="158">
        <f t="shared" si="6"/>
        <v>8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1291</v>
      </c>
      <c r="AN19" s="154">
        <v>790</v>
      </c>
      <c r="AO19" s="154">
        <v>1213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7"/>
        <v>0</v>
      </c>
      <c r="D20" s="153">
        <f t="shared" si="8"/>
        <v>3</v>
      </c>
      <c r="E20" s="153">
        <f t="shared" si="9"/>
        <v>6</v>
      </c>
      <c r="F20" s="153">
        <f t="shared" si="10"/>
        <v>5</v>
      </c>
      <c r="G20" s="153">
        <f t="shared" si="11"/>
        <v>3</v>
      </c>
      <c r="H20" s="153">
        <f t="shared" si="12"/>
        <v>4</v>
      </c>
      <c r="I20" s="153">
        <f t="shared" si="13"/>
        <v>0</v>
      </c>
      <c r="J20" s="151">
        <v>16</v>
      </c>
      <c r="L20" s="14">
        <v>17</v>
      </c>
      <c r="M20" s="38" t="s">
        <v>26</v>
      </c>
      <c r="N20" s="38" t="s">
        <v>64</v>
      </c>
      <c r="O20" s="38" t="s">
        <v>234</v>
      </c>
      <c r="P20" s="38" t="s">
        <v>24</v>
      </c>
      <c r="Q20" s="38" t="s">
        <v>64</v>
      </c>
      <c r="R20" s="38" t="s">
        <v>26</v>
      </c>
      <c r="S20" s="24" t="s">
        <v>18</v>
      </c>
      <c r="U20" s="158">
        <f t="shared" si="14"/>
        <v>9</v>
      </c>
      <c r="V20" s="158">
        <f t="shared" si="1"/>
        <v>6</v>
      </c>
      <c r="W20" s="158">
        <f t="shared" si="2"/>
        <v>19</v>
      </c>
      <c r="X20" s="158">
        <f t="shared" si="3"/>
        <v>8</v>
      </c>
      <c r="Y20" s="158">
        <f t="shared" si="4"/>
        <v>6</v>
      </c>
      <c r="Z20" s="158">
        <f t="shared" si="5"/>
        <v>9</v>
      </c>
      <c r="AA20" s="158">
        <f t="shared" si="6"/>
        <v>5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3287</v>
      </c>
      <c r="AN20" s="154">
        <v>2562</v>
      </c>
      <c r="AO20" s="154">
        <v>3126</v>
      </c>
      <c r="AP20" s="154">
        <v>1280</v>
      </c>
      <c r="AQ20" s="154">
        <v>624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7"/>
        <v>0</v>
      </c>
      <c r="D21" s="153">
        <f t="shared" si="8"/>
        <v>8</v>
      </c>
      <c r="E21" s="153">
        <f t="shared" si="9"/>
        <v>4</v>
      </c>
      <c r="F21" s="153">
        <f t="shared" si="10"/>
        <v>3</v>
      </c>
      <c r="G21" s="153">
        <f t="shared" si="11"/>
        <v>6</v>
      </c>
      <c r="H21" s="153">
        <f t="shared" si="12"/>
        <v>3</v>
      </c>
      <c r="I21" s="153">
        <f t="shared" si="13"/>
        <v>0</v>
      </c>
      <c r="J21" s="151">
        <v>17</v>
      </c>
      <c r="L21" s="15">
        <v>18</v>
      </c>
      <c r="M21" s="38" t="s">
        <v>29</v>
      </c>
      <c r="N21" s="38" t="s">
        <v>18</v>
      </c>
      <c r="O21" s="38" t="s">
        <v>26</v>
      </c>
      <c r="P21" s="38" t="s">
        <v>17</v>
      </c>
      <c r="Q21" s="38" t="s">
        <v>29</v>
      </c>
      <c r="R21" s="38" t="s">
        <v>89</v>
      </c>
      <c r="S21" s="24" t="s">
        <v>27</v>
      </c>
      <c r="U21" s="158">
        <f t="shared" si="14"/>
        <v>12</v>
      </c>
      <c r="V21" s="158">
        <f t="shared" si="1"/>
        <v>5</v>
      </c>
      <c r="W21" s="158">
        <f t="shared" si="2"/>
        <v>9</v>
      </c>
      <c r="X21" s="158">
        <f t="shared" si="3"/>
        <v>4</v>
      </c>
      <c r="Y21" s="158">
        <f t="shared" si="4"/>
        <v>12</v>
      </c>
      <c r="Z21" s="158">
        <f t="shared" si="5"/>
        <v>7</v>
      </c>
      <c r="AA21" s="158">
        <f t="shared" si="6"/>
        <v>10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842</v>
      </c>
      <c r="AN21" s="154">
        <v>3344</v>
      </c>
      <c r="AO21" s="154">
        <v>887</v>
      </c>
      <c r="AP21" s="154">
        <v>525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7"/>
        <v>0</v>
      </c>
      <c r="D22" s="153">
        <f t="shared" si="8"/>
        <v>2</v>
      </c>
      <c r="E22" s="153">
        <f t="shared" si="9"/>
        <v>5</v>
      </c>
      <c r="F22" s="153">
        <f t="shared" si="10"/>
        <v>4</v>
      </c>
      <c r="G22" s="153">
        <f t="shared" si="11"/>
        <v>3</v>
      </c>
      <c r="H22" s="153">
        <f t="shared" si="12"/>
        <v>4</v>
      </c>
      <c r="I22" s="153">
        <f t="shared" si="13"/>
        <v>0</v>
      </c>
      <c r="J22" s="151">
        <v>18</v>
      </c>
      <c r="L22" s="15">
        <v>19</v>
      </c>
      <c r="M22" s="156" t="s">
        <v>19</v>
      </c>
      <c r="N22" s="156" t="s">
        <v>27</v>
      </c>
      <c r="O22" s="156" t="s">
        <v>21</v>
      </c>
      <c r="P22" s="156" t="s">
        <v>29</v>
      </c>
      <c r="Q22" s="156" t="s">
        <v>29</v>
      </c>
      <c r="R22" s="156" t="s">
        <v>28</v>
      </c>
      <c r="S22" s="157" t="s">
        <v>28</v>
      </c>
      <c r="U22" s="158">
        <f t="shared" si="14"/>
        <v>1</v>
      </c>
      <c r="V22" s="158">
        <f t="shared" si="1"/>
        <v>10</v>
      </c>
      <c r="W22" s="158">
        <f t="shared" si="2"/>
        <v>3</v>
      </c>
      <c r="X22" s="158">
        <f t="shared" si="3"/>
        <v>12</v>
      </c>
      <c r="Y22" s="158">
        <f t="shared" si="4"/>
        <v>12</v>
      </c>
      <c r="Z22" s="158">
        <f t="shared" si="5"/>
        <v>11</v>
      </c>
      <c r="AA22" s="158">
        <f t="shared" si="6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3166</v>
      </c>
      <c r="AN22" s="154">
        <v>780</v>
      </c>
      <c r="AO22" s="154">
        <v>3516</v>
      </c>
      <c r="AP22" s="154">
        <v>1547</v>
      </c>
      <c r="AQ22" s="154">
        <v>899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7"/>
        <v>0</v>
      </c>
      <c r="D23" s="10">
        <f t="shared" si="8"/>
        <v>8</v>
      </c>
      <c r="E23" s="10">
        <f t="shared" si="9"/>
        <v>4</v>
      </c>
      <c r="F23" s="10">
        <f t="shared" si="10"/>
        <v>2</v>
      </c>
      <c r="G23" s="10">
        <f t="shared" si="11"/>
        <v>6</v>
      </c>
      <c r="H23" s="10">
        <f t="shared" si="12"/>
        <v>3</v>
      </c>
      <c r="I23" s="10">
        <f t="shared" si="13"/>
        <v>0</v>
      </c>
      <c r="J23" s="4">
        <v>19</v>
      </c>
      <c r="L23" s="14">
        <v>20</v>
      </c>
      <c r="M23" s="38" t="s">
        <v>29</v>
      </c>
      <c r="N23" s="38" t="s">
        <v>21</v>
      </c>
      <c r="O23" s="38" t="s">
        <v>240</v>
      </c>
      <c r="P23" s="38" t="s">
        <v>27</v>
      </c>
      <c r="Q23" s="38" t="s">
        <v>24</v>
      </c>
      <c r="R23" s="38" t="s">
        <v>24</v>
      </c>
      <c r="S23" s="24" t="s">
        <v>26</v>
      </c>
      <c r="U23" s="158">
        <f t="shared" si="14"/>
        <v>12</v>
      </c>
      <c r="V23" s="158">
        <f t="shared" si="1"/>
        <v>3</v>
      </c>
      <c r="W23" s="158">
        <f t="shared" si="2"/>
        <v>22</v>
      </c>
      <c r="X23" s="158">
        <f t="shared" si="3"/>
        <v>10</v>
      </c>
      <c r="Y23" s="158">
        <f t="shared" si="4"/>
        <v>8</v>
      </c>
      <c r="Z23" s="158">
        <f t="shared" si="5"/>
        <v>8</v>
      </c>
      <c r="AA23" s="158">
        <f t="shared" si="6"/>
        <v>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1725</v>
      </c>
      <c r="AN23" s="37">
        <v>4357</v>
      </c>
      <c r="AO23" s="37">
        <v>1834</v>
      </c>
      <c r="AP23" s="37">
        <v>660</v>
      </c>
      <c r="AQ23" s="37">
        <v>325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7"/>
        <v>0</v>
      </c>
      <c r="D24" s="10">
        <f t="shared" si="8"/>
        <v>2</v>
      </c>
      <c r="E24" s="10">
        <f t="shared" si="9"/>
        <v>5</v>
      </c>
      <c r="F24" s="10">
        <f t="shared" si="10"/>
        <v>4</v>
      </c>
      <c r="G24" s="10">
        <f t="shared" si="11"/>
        <v>2</v>
      </c>
      <c r="H24" s="10">
        <f t="shared" si="12"/>
        <v>5</v>
      </c>
      <c r="I24" s="10">
        <f t="shared" si="13"/>
        <v>0</v>
      </c>
      <c r="J24" s="4">
        <v>20</v>
      </c>
      <c r="L24" s="15">
        <v>21</v>
      </c>
      <c r="M24" s="38" t="s">
        <v>29</v>
      </c>
      <c r="N24" s="38" t="s">
        <v>27</v>
      </c>
      <c r="O24" s="38" t="s">
        <v>236</v>
      </c>
      <c r="P24" s="38" t="s">
        <v>89</v>
      </c>
      <c r="Q24" s="38" t="s">
        <v>26</v>
      </c>
      <c r="R24" s="38" t="s">
        <v>240</v>
      </c>
      <c r="S24" s="24" t="s">
        <v>68</v>
      </c>
      <c r="U24" s="158">
        <f t="shared" si="14"/>
        <v>12</v>
      </c>
      <c r="V24" s="158">
        <f t="shared" si="1"/>
        <v>10</v>
      </c>
      <c r="W24" s="158">
        <f t="shared" si="2"/>
        <v>20</v>
      </c>
      <c r="X24" s="158">
        <f t="shared" si="3"/>
        <v>7</v>
      </c>
      <c r="Y24" s="158">
        <f t="shared" si="4"/>
        <v>9</v>
      </c>
      <c r="Z24" s="158">
        <f t="shared" si="5"/>
        <v>22</v>
      </c>
      <c r="AA24" s="158">
        <f t="shared" si="6"/>
        <v>0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2710</v>
      </c>
      <c r="AN24" s="37">
        <v>1549</v>
      </c>
      <c r="AO24" s="37">
        <v>2865</v>
      </c>
      <c r="AP24" s="37">
        <v>1868</v>
      </c>
      <c r="AQ24" s="37">
        <v>784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7"/>
        <v>0</v>
      </c>
      <c r="D25" s="10">
        <f t="shared" si="8"/>
        <v>12</v>
      </c>
      <c r="E25" s="10">
        <f t="shared" si="9"/>
        <v>6</v>
      </c>
      <c r="F25" s="10">
        <f t="shared" si="10"/>
        <v>3</v>
      </c>
      <c r="G25" s="10">
        <f t="shared" si="11"/>
        <v>6</v>
      </c>
      <c r="H25" s="10">
        <f t="shared" si="12"/>
        <v>3</v>
      </c>
      <c r="I25" s="10">
        <f t="shared" si="13"/>
        <v>0</v>
      </c>
      <c r="J25" s="4">
        <v>21</v>
      </c>
      <c r="L25" s="14">
        <v>22</v>
      </c>
      <c r="M25" s="38" t="s">
        <v>26</v>
      </c>
      <c r="N25" s="38" t="s">
        <v>17</v>
      </c>
      <c r="O25" s="38" t="s">
        <v>27</v>
      </c>
      <c r="P25" s="38" t="s">
        <v>20</v>
      </c>
      <c r="Q25" s="38" t="s">
        <v>238</v>
      </c>
      <c r="R25" s="38" t="s">
        <v>28</v>
      </c>
      <c r="S25" s="24" t="s">
        <v>64</v>
      </c>
      <c r="U25" s="158">
        <f t="shared" si="14"/>
        <v>9</v>
      </c>
      <c r="V25" s="158">
        <f t="shared" si="1"/>
        <v>4</v>
      </c>
      <c r="W25" s="158">
        <f t="shared" si="2"/>
        <v>10</v>
      </c>
      <c r="X25" s="158">
        <f t="shared" si="3"/>
        <v>2</v>
      </c>
      <c r="Y25" s="158">
        <f t="shared" si="4"/>
        <v>21</v>
      </c>
      <c r="Z25" s="158">
        <f t="shared" si="5"/>
        <v>11</v>
      </c>
      <c r="AA25" s="158">
        <f t="shared" si="6"/>
        <v>6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2186</v>
      </c>
      <c r="AN25" s="37">
        <v>4130</v>
      </c>
      <c r="AO25" s="37">
        <v>2626</v>
      </c>
      <c r="AP25" s="37">
        <v>995</v>
      </c>
      <c r="AQ25" s="37">
        <v>474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7"/>
        <v>0</v>
      </c>
      <c r="D26" s="10">
        <f t="shared" si="8"/>
        <v>2</v>
      </c>
      <c r="E26" s="10">
        <f t="shared" si="9"/>
        <v>6</v>
      </c>
      <c r="F26" s="10">
        <f t="shared" si="10"/>
        <v>6</v>
      </c>
      <c r="G26" s="10">
        <f t="shared" si="11"/>
        <v>3</v>
      </c>
      <c r="H26" s="10">
        <f t="shared" si="12"/>
        <v>6</v>
      </c>
      <c r="I26" s="10">
        <f t="shared" si="13"/>
        <v>0</v>
      </c>
      <c r="J26" s="4">
        <v>22</v>
      </c>
      <c r="L26" s="15">
        <v>23</v>
      </c>
      <c r="M26" s="38" t="s">
        <v>26</v>
      </c>
      <c r="N26" s="38" t="s">
        <v>234</v>
      </c>
      <c r="O26" s="38" t="s">
        <v>27</v>
      </c>
      <c r="P26" s="38" t="s">
        <v>28</v>
      </c>
      <c r="Q26" s="38" t="s">
        <v>29</v>
      </c>
      <c r="R26" s="38" t="s">
        <v>21</v>
      </c>
      <c r="S26" s="24" t="s">
        <v>21</v>
      </c>
      <c r="U26" s="158">
        <f t="shared" si="14"/>
        <v>9</v>
      </c>
      <c r="V26" s="158">
        <f t="shared" si="1"/>
        <v>19</v>
      </c>
      <c r="W26" s="158">
        <f t="shared" si="2"/>
        <v>10</v>
      </c>
      <c r="X26" s="158">
        <f t="shared" si="3"/>
        <v>11</v>
      </c>
      <c r="Y26" s="158">
        <f t="shared" si="4"/>
        <v>12</v>
      </c>
      <c r="Z26" s="158">
        <f t="shared" si="5"/>
        <v>3</v>
      </c>
      <c r="AA26" s="158">
        <f t="shared" si="6"/>
        <v>3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3406</v>
      </c>
      <c r="AN26" s="37">
        <v>2510</v>
      </c>
      <c r="AO26" s="37">
        <v>3755</v>
      </c>
      <c r="AP26" s="37">
        <v>2053</v>
      </c>
      <c r="AQ26" s="37">
        <v>1086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7"/>
        <v>0</v>
      </c>
      <c r="D27" s="10">
        <f t="shared" si="8"/>
        <v>8</v>
      </c>
      <c r="E27" s="10">
        <f t="shared" si="9"/>
        <v>5</v>
      </c>
      <c r="F27" s="10">
        <f t="shared" si="10"/>
        <v>3</v>
      </c>
      <c r="G27" s="10">
        <f t="shared" si="11"/>
        <v>5</v>
      </c>
      <c r="H27" s="10">
        <f t="shared" si="12"/>
        <v>3</v>
      </c>
      <c r="I27" s="10">
        <f t="shared" si="13"/>
        <v>0</v>
      </c>
      <c r="J27" s="4">
        <v>23</v>
      </c>
      <c r="L27" s="14">
        <v>24</v>
      </c>
      <c r="M27" s="38" t="s">
        <v>64</v>
      </c>
      <c r="N27" s="38" t="s">
        <v>24</v>
      </c>
      <c r="O27" s="38" t="s">
        <v>26</v>
      </c>
      <c r="P27" s="38" t="s">
        <v>21</v>
      </c>
      <c r="Q27" s="38" t="s">
        <v>89</v>
      </c>
      <c r="R27" s="38" t="s">
        <v>29</v>
      </c>
      <c r="S27" s="24" t="s">
        <v>26</v>
      </c>
      <c r="U27" s="158">
        <f t="shared" si="14"/>
        <v>6</v>
      </c>
      <c r="V27" s="158">
        <f t="shared" si="1"/>
        <v>8</v>
      </c>
      <c r="W27" s="158">
        <f t="shared" si="2"/>
        <v>9</v>
      </c>
      <c r="X27" s="158">
        <f t="shared" si="3"/>
        <v>3</v>
      </c>
      <c r="Y27" s="158">
        <f t="shared" si="4"/>
        <v>7</v>
      </c>
      <c r="Z27" s="158">
        <f t="shared" si="5"/>
        <v>12</v>
      </c>
      <c r="AA27" s="158">
        <f t="shared" si="6"/>
        <v>9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2823</v>
      </c>
      <c r="AN27" s="37">
        <v>3024</v>
      </c>
      <c r="AO27" s="37">
        <v>3058</v>
      </c>
      <c r="AP27" s="37">
        <v>1434</v>
      </c>
      <c r="AQ27" s="37">
        <v>796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7"/>
        <v>0</v>
      </c>
      <c r="D28" s="153">
        <f t="shared" si="8"/>
        <v>0</v>
      </c>
      <c r="E28" s="153">
        <f t="shared" si="9"/>
        <v>0</v>
      </c>
      <c r="F28" s="153">
        <f t="shared" si="10"/>
        <v>0</v>
      </c>
      <c r="G28" s="153">
        <f t="shared" si="11"/>
        <v>0</v>
      </c>
      <c r="H28" s="153">
        <f t="shared" si="12"/>
        <v>0</v>
      </c>
      <c r="I28" s="153">
        <f t="shared" si="13"/>
        <v>0</v>
      </c>
      <c r="J28" s="151">
        <v>24</v>
      </c>
      <c r="L28" s="15">
        <v>25</v>
      </c>
      <c r="M28" s="38" t="s">
        <v>26</v>
      </c>
      <c r="N28" s="38" t="s">
        <v>27</v>
      </c>
      <c r="O28" s="38" t="s">
        <v>17</v>
      </c>
      <c r="P28" s="38" t="s">
        <v>18</v>
      </c>
      <c r="Q28" s="38" t="s">
        <v>27</v>
      </c>
      <c r="R28" s="38" t="s">
        <v>234</v>
      </c>
      <c r="S28" s="24" t="s">
        <v>24</v>
      </c>
      <c r="U28" s="158">
        <f t="shared" si="14"/>
        <v>9</v>
      </c>
      <c r="V28" s="158">
        <f t="shared" si="1"/>
        <v>10</v>
      </c>
      <c r="W28" s="158">
        <f t="shared" si="2"/>
        <v>4</v>
      </c>
      <c r="X28" s="158">
        <f t="shared" si="3"/>
        <v>5</v>
      </c>
      <c r="Y28" s="158">
        <f t="shared" si="4"/>
        <v>10</v>
      </c>
      <c r="Z28" s="158">
        <f t="shared" si="5"/>
        <v>19</v>
      </c>
      <c r="AA28" s="158">
        <f t="shared" si="6"/>
        <v>8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7"/>
        <v>0</v>
      </c>
      <c r="D29" s="153">
        <f t="shared" si="8"/>
        <v>0</v>
      </c>
      <c r="E29" s="153">
        <f t="shared" si="9"/>
        <v>0</v>
      </c>
      <c r="F29" s="153">
        <f t="shared" si="10"/>
        <v>0</v>
      </c>
      <c r="G29" s="153">
        <f t="shared" si="11"/>
        <v>0</v>
      </c>
      <c r="H29" s="153">
        <f t="shared" si="12"/>
        <v>0</v>
      </c>
      <c r="I29" s="153">
        <f t="shared" si="13"/>
        <v>0</v>
      </c>
      <c r="J29" s="151">
        <v>25</v>
      </c>
      <c r="L29" s="14">
        <v>26</v>
      </c>
      <c r="M29" s="38" t="s">
        <v>89</v>
      </c>
      <c r="N29" s="38" t="s">
        <v>24</v>
      </c>
      <c r="O29" s="38" t="s">
        <v>24</v>
      </c>
      <c r="P29" s="38" t="s">
        <v>28</v>
      </c>
      <c r="Q29" s="38" t="s">
        <v>234</v>
      </c>
      <c r="R29" s="38" t="s">
        <v>224</v>
      </c>
      <c r="S29" s="24" t="s">
        <v>24</v>
      </c>
      <c r="U29" s="158">
        <f t="shared" si="14"/>
        <v>7</v>
      </c>
      <c r="V29" s="158">
        <f t="shared" si="1"/>
        <v>8</v>
      </c>
      <c r="W29" s="158">
        <f t="shared" si="2"/>
        <v>8</v>
      </c>
      <c r="X29" s="158">
        <f t="shared" si="3"/>
        <v>11</v>
      </c>
      <c r="Y29" s="158">
        <f t="shared" si="4"/>
        <v>19</v>
      </c>
      <c r="Z29" s="158">
        <f t="shared" si="5"/>
        <v>14</v>
      </c>
      <c r="AA29" s="158">
        <f t="shared" si="6"/>
        <v>8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48"/>
      <c r="B30" s="148"/>
      <c r="C30" s="170">
        <f>SUM(C4:C29)</f>
        <v>200</v>
      </c>
      <c r="D30" s="170">
        <f t="shared" ref="D30:I30" si="15">SUM(D4:D29)</f>
        <v>200</v>
      </c>
      <c r="E30" s="170">
        <f t="shared" si="15"/>
        <v>200</v>
      </c>
      <c r="F30" s="170">
        <f t="shared" si="15"/>
        <v>200</v>
      </c>
      <c r="G30" s="170">
        <f t="shared" si="15"/>
        <v>200</v>
      </c>
      <c r="H30" s="170">
        <f t="shared" si="15"/>
        <v>200</v>
      </c>
      <c r="I30" s="170">
        <f t="shared" si="15"/>
        <v>200</v>
      </c>
      <c r="J30" s="13"/>
      <c r="L30" s="15">
        <v>27</v>
      </c>
      <c r="M30" s="38" t="s">
        <v>29</v>
      </c>
      <c r="N30" s="38" t="s">
        <v>21</v>
      </c>
      <c r="O30" s="38" t="s">
        <v>89</v>
      </c>
      <c r="P30" s="38" t="s">
        <v>228</v>
      </c>
      <c r="Q30" s="38" t="s">
        <v>68</v>
      </c>
      <c r="R30" s="38" t="s">
        <v>18</v>
      </c>
      <c r="S30" s="24" t="s">
        <v>24</v>
      </c>
      <c r="U30" s="158">
        <f t="shared" si="14"/>
        <v>12</v>
      </c>
      <c r="V30" s="158">
        <f t="shared" si="1"/>
        <v>3</v>
      </c>
      <c r="W30" s="158">
        <f t="shared" si="2"/>
        <v>7</v>
      </c>
      <c r="X30" s="158">
        <f t="shared" si="3"/>
        <v>16</v>
      </c>
      <c r="Y30" s="158">
        <f t="shared" si="4"/>
        <v>0</v>
      </c>
      <c r="Z30" s="158">
        <f t="shared" si="5"/>
        <v>5</v>
      </c>
      <c r="AA30" s="158">
        <f t="shared" si="6"/>
        <v>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s">
        <v>26</v>
      </c>
      <c r="N31" s="156" t="s">
        <v>89</v>
      </c>
      <c r="O31" s="156" t="s">
        <v>26</v>
      </c>
      <c r="P31" s="156" t="s">
        <v>89</v>
      </c>
      <c r="Q31" s="156" t="s">
        <v>18</v>
      </c>
      <c r="R31" s="156" t="s">
        <v>18</v>
      </c>
      <c r="S31" s="157" t="s">
        <v>24</v>
      </c>
      <c r="U31" s="158">
        <f t="shared" si="14"/>
        <v>9</v>
      </c>
      <c r="V31" s="158">
        <f t="shared" si="1"/>
        <v>7</v>
      </c>
      <c r="W31" s="158">
        <f t="shared" si="2"/>
        <v>9</v>
      </c>
      <c r="X31" s="158">
        <f t="shared" si="3"/>
        <v>7</v>
      </c>
      <c r="Y31" s="158">
        <f t="shared" si="4"/>
        <v>5</v>
      </c>
      <c r="Z31" s="158">
        <f t="shared" si="5"/>
        <v>5</v>
      </c>
      <c r="AA31" s="158">
        <f t="shared" si="6"/>
        <v>8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28</v>
      </c>
      <c r="N32" s="38" t="s">
        <v>64</v>
      </c>
      <c r="O32" s="38" t="s">
        <v>17</v>
      </c>
      <c r="P32" s="38" t="s">
        <v>228</v>
      </c>
      <c r="Q32" s="38" t="s">
        <v>230</v>
      </c>
      <c r="R32" s="38" t="s">
        <v>19</v>
      </c>
      <c r="S32" s="24" t="s">
        <v>28</v>
      </c>
      <c r="U32" s="158">
        <f t="shared" si="14"/>
        <v>11</v>
      </c>
      <c r="V32" s="158">
        <f t="shared" si="1"/>
        <v>6</v>
      </c>
      <c r="W32" s="158">
        <f t="shared" si="2"/>
        <v>4</v>
      </c>
      <c r="X32" s="158">
        <f t="shared" si="3"/>
        <v>16</v>
      </c>
      <c r="Y32" s="158">
        <f t="shared" si="4"/>
        <v>17</v>
      </c>
      <c r="Z32" s="158">
        <f t="shared" si="5"/>
        <v>1</v>
      </c>
      <c r="AA32" s="158">
        <f t="shared" si="6"/>
        <v>11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7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s">
        <v>19</v>
      </c>
      <c r="N33" s="38" t="s">
        <v>64</v>
      </c>
      <c r="O33" s="38" t="s">
        <v>29</v>
      </c>
      <c r="P33" s="38" t="s">
        <v>27</v>
      </c>
      <c r="Q33" s="38" t="s">
        <v>17</v>
      </c>
      <c r="R33" s="38" t="s">
        <v>236</v>
      </c>
      <c r="S33" s="24" t="s">
        <v>89</v>
      </c>
      <c r="U33" s="158">
        <f t="shared" si="14"/>
        <v>1</v>
      </c>
      <c r="V33" s="158">
        <f t="shared" si="1"/>
        <v>6</v>
      </c>
      <c r="W33" s="158">
        <f t="shared" si="2"/>
        <v>12</v>
      </c>
      <c r="X33" s="158">
        <f t="shared" si="3"/>
        <v>10</v>
      </c>
      <c r="Y33" s="158">
        <f t="shared" si="4"/>
        <v>4</v>
      </c>
      <c r="Z33" s="158">
        <f t="shared" si="5"/>
        <v>20</v>
      </c>
      <c r="AA33" s="158">
        <f t="shared" si="6"/>
        <v>7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33822</v>
      </c>
      <c r="AN33" s="10">
        <v>42180</v>
      </c>
      <c r="AO33" s="10">
        <v>36435</v>
      </c>
      <c r="AP33" s="10">
        <v>30133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29</v>
      </c>
      <c r="N34" s="38" t="s">
        <v>24</v>
      </c>
      <c r="O34" s="38" t="s">
        <v>26</v>
      </c>
      <c r="P34" s="38" t="s">
        <v>28</v>
      </c>
      <c r="Q34" s="38" t="s">
        <v>18</v>
      </c>
      <c r="R34" s="38" t="s">
        <v>29</v>
      </c>
      <c r="S34" s="24" t="s">
        <v>26</v>
      </c>
      <c r="U34" s="158">
        <f t="shared" si="14"/>
        <v>12</v>
      </c>
      <c r="V34" s="158">
        <f t="shared" si="1"/>
        <v>8</v>
      </c>
      <c r="W34" s="158">
        <f t="shared" si="2"/>
        <v>9</v>
      </c>
      <c r="X34" s="158">
        <f t="shared" si="3"/>
        <v>11</v>
      </c>
      <c r="Y34" s="158">
        <f t="shared" si="4"/>
        <v>5</v>
      </c>
      <c r="Z34" s="158">
        <f t="shared" si="5"/>
        <v>12</v>
      </c>
      <c r="AA34" s="158">
        <f t="shared" si="6"/>
        <v>9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23735</v>
      </c>
      <c r="AM34" s="37">
        <v>26467</v>
      </c>
      <c r="AN34" s="37">
        <v>26591</v>
      </c>
      <c r="AO34" s="37">
        <v>33273</v>
      </c>
      <c r="AP34" s="37">
        <v>30534</v>
      </c>
      <c r="AQ34" s="37">
        <v>40327</v>
      </c>
      <c r="AR34" s="37">
        <v>40327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17</v>
      </c>
      <c r="N35" s="38" t="s">
        <v>89</v>
      </c>
      <c r="O35" s="38" t="s">
        <v>28</v>
      </c>
      <c r="P35" s="38" t="s">
        <v>29</v>
      </c>
      <c r="Q35" s="38" t="s">
        <v>24</v>
      </c>
      <c r="R35" s="38" t="s">
        <v>89</v>
      </c>
      <c r="S35" s="24" t="s">
        <v>18</v>
      </c>
      <c r="U35" s="158">
        <f t="shared" si="14"/>
        <v>4</v>
      </c>
      <c r="V35" s="158">
        <f t="shared" si="1"/>
        <v>7</v>
      </c>
      <c r="W35" s="158">
        <f t="shared" si="2"/>
        <v>11</v>
      </c>
      <c r="X35" s="158">
        <f t="shared" si="3"/>
        <v>12</v>
      </c>
      <c r="Y35" s="158">
        <f t="shared" si="4"/>
        <v>8</v>
      </c>
      <c r="Z35" s="158">
        <f t="shared" si="5"/>
        <v>7</v>
      </c>
      <c r="AA35" s="158">
        <f t="shared" si="6"/>
        <v>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7594</v>
      </c>
      <c r="AM35" s="154">
        <v>7831</v>
      </c>
      <c r="AN35" s="154">
        <v>7167</v>
      </c>
      <c r="AO35" s="154">
        <v>10274</v>
      </c>
      <c r="AP35" s="154">
        <v>5164</v>
      </c>
      <c r="AQ35" s="154">
        <v>6092</v>
      </c>
      <c r="AR35" s="154">
        <v>6126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26</v>
      </c>
      <c r="N36" s="38" t="s">
        <v>29</v>
      </c>
      <c r="O36" s="38" t="s">
        <v>228</v>
      </c>
      <c r="P36" s="38" t="s">
        <v>28</v>
      </c>
      <c r="Q36" s="38" t="s">
        <v>242</v>
      </c>
      <c r="R36" s="38" t="s">
        <v>26</v>
      </c>
      <c r="S36" s="24" t="s">
        <v>29</v>
      </c>
      <c r="U36" s="158">
        <f t="shared" si="14"/>
        <v>9</v>
      </c>
      <c r="V36" s="158">
        <f t="shared" si="1"/>
        <v>12</v>
      </c>
      <c r="W36" s="158">
        <f t="shared" si="2"/>
        <v>16</v>
      </c>
      <c r="X36" s="158">
        <f t="shared" si="3"/>
        <v>11</v>
      </c>
      <c r="Y36" s="158">
        <f t="shared" si="4"/>
        <v>23</v>
      </c>
      <c r="Z36" s="158">
        <f t="shared" si="5"/>
        <v>9</v>
      </c>
      <c r="AA36" s="158">
        <f t="shared" si="6"/>
        <v>12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11881</v>
      </c>
      <c r="AM36" s="154">
        <v>13425</v>
      </c>
      <c r="AN36" s="154">
        <v>10508</v>
      </c>
      <c r="AO36" s="154">
        <v>10421</v>
      </c>
      <c r="AP36" s="154">
        <v>9137</v>
      </c>
      <c r="AQ36" s="154">
        <v>13705</v>
      </c>
      <c r="AR36" s="154">
        <v>13783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26</v>
      </c>
      <c r="N37" s="38" t="s">
        <v>234</v>
      </c>
      <c r="O37" s="38" t="s">
        <v>29</v>
      </c>
      <c r="P37" s="38" t="s">
        <v>64</v>
      </c>
      <c r="Q37" s="38" t="s">
        <v>64</v>
      </c>
      <c r="R37" s="38" t="s">
        <v>28</v>
      </c>
      <c r="S37" s="24" t="s">
        <v>89</v>
      </c>
      <c r="U37" s="158">
        <f t="shared" si="14"/>
        <v>9</v>
      </c>
      <c r="V37" s="158">
        <f t="shared" si="1"/>
        <v>19</v>
      </c>
      <c r="W37" s="158">
        <f t="shared" si="2"/>
        <v>12</v>
      </c>
      <c r="X37" s="158">
        <f t="shared" si="3"/>
        <v>6</v>
      </c>
      <c r="Y37" s="158">
        <f t="shared" si="4"/>
        <v>6</v>
      </c>
      <c r="Z37" s="158">
        <f t="shared" si="5"/>
        <v>11</v>
      </c>
      <c r="AA37" s="158">
        <f t="shared" si="6"/>
        <v>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32308</v>
      </c>
      <c r="AM37" s="154">
        <v>53993</v>
      </c>
      <c r="AN37" s="154">
        <v>30500</v>
      </c>
      <c r="AO37" s="154">
        <v>46965</v>
      </c>
      <c r="AP37" s="154">
        <v>4369</v>
      </c>
      <c r="AQ37" s="154">
        <v>15228</v>
      </c>
      <c r="AR37" s="154">
        <v>15314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27</v>
      </c>
      <c r="N38" s="38" t="s">
        <v>242</v>
      </c>
      <c r="O38" s="38" t="s">
        <v>28</v>
      </c>
      <c r="P38" s="38" t="s">
        <v>27</v>
      </c>
      <c r="Q38" s="38" t="s">
        <v>27</v>
      </c>
      <c r="R38" s="38" t="s">
        <v>27</v>
      </c>
      <c r="S38" s="24" t="s">
        <v>28</v>
      </c>
      <c r="U38" s="158">
        <f t="shared" si="14"/>
        <v>10</v>
      </c>
      <c r="V38" s="158">
        <f t="shared" si="1"/>
        <v>23</v>
      </c>
      <c r="W38" s="158">
        <f t="shared" si="2"/>
        <v>11</v>
      </c>
      <c r="X38" s="158">
        <f t="shared" si="3"/>
        <v>10</v>
      </c>
      <c r="Y38" s="158">
        <f t="shared" si="4"/>
        <v>10</v>
      </c>
      <c r="Z38" s="158">
        <f t="shared" si="5"/>
        <v>10</v>
      </c>
      <c r="AA38" s="158">
        <f t="shared" si="6"/>
        <v>11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95203</v>
      </c>
      <c r="AM38" s="154">
        <v>137486</v>
      </c>
      <c r="AN38" s="154">
        <v>98936</v>
      </c>
      <c r="AO38" s="154">
        <v>121084</v>
      </c>
      <c r="AP38" s="154">
        <v>112420</v>
      </c>
      <c r="AQ38" s="154">
        <v>110147</v>
      </c>
      <c r="AR38" s="154">
        <v>110771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224</v>
      </c>
      <c r="O39" s="38" t="s">
        <v>24</v>
      </c>
      <c r="P39" s="38" t="s">
        <v>18</v>
      </c>
      <c r="Q39" s="38" t="s">
        <v>27</v>
      </c>
      <c r="R39" s="38" t="s">
        <v>28</v>
      </c>
      <c r="S39" s="24" t="s">
        <v>18</v>
      </c>
      <c r="U39" s="158">
        <f t="shared" si="14"/>
        <v>9</v>
      </c>
      <c r="V39" s="158">
        <f t="shared" si="1"/>
        <v>14</v>
      </c>
      <c r="W39" s="158">
        <f t="shared" si="2"/>
        <v>8</v>
      </c>
      <c r="X39" s="158">
        <f t="shared" si="3"/>
        <v>5</v>
      </c>
      <c r="Y39" s="158">
        <f t="shared" si="4"/>
        <v>10</v>
      </c>
      <c r="Z39" s="158">
        <f t="shared" si="5"/>
        <v>11</v>
      </c>
      <c r="AA39" s="158">
        <f t="shared" si="6"/>
        <v>5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147805</v>
      </c>
      <c r="AM39" s="154">
        <v>35210</v>
      </c>
      <c r="AN39" s="154">
        <v>129167</v>
      </c>
      <c r="AO39" s="154">
        <v>34343</v>
      </c>
      <c r="AP39" s="154">
        <v>46080</v>
      </c>
      <c r="AQ39" s="154">
        <v>38069</v>
      </c>
      <c r="AR39" s="154">
        <v>38285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s">
        <v>28</v>
      </c>
      <c r="N40" s="156" t="s">
        <v>26</v>
      </c>
      <c r="O40" s="156" t="s">
        <v>26</v>
      </c>
      <c r="P40" s="156" t="s">
        <v>29</v>
      </c>
      <c r="Q40" s="156" t="s">
        <v>26</v>
      </c>
      <c r="R40" s="156" t="s">
        <v>21</v>
      </c>
      <c r="S40" s="157" t="s">
        <v>24</v>
      </c>
      <c r="U40" s="158">
        <f t="shared" si="14"/>
        <v>11</v>
      </c>
      <c r="V40" s="158">
        <f t="shared" si="1"/>
        <v>9</v>
      </c>
      <c r="W40" s="158">
        <f t="shared" si="2"/>
        <v>9</v>
      </c>
      <c r="X40" s="158">
        <f t="shared" si="3"/>
        <v>12</v>
      </c>
      <c r="Y40" s="158">
        <f t="shared" si="4"/>
        <v>9</v>
      </c>
      <c r="Z40" s="158">
        <f t="shared" si="5"/>
        <v>3</v>
      </c>
      <c r="AA40" s="158">
        <f t="shared" si="6"/>
        <v>8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33683</v>
      </c>
      <c r="AM40" s="154">
        <v>132422</v>
      </c>
      <c r="AN40" s="154">
        <v>30123</v>
      </c>
      <c r="AO40" s="154">
        <v>136200</v>
      </c>
      <c r="AP40" s="154">
        <v>135858</v>
      </c>
      <c r="AQ40" s="154">
        <v>158875</v>
      </c>
      <c r="AR40" s="154">
        <v>159774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28</v>
      </c>
      <c r="N41" s="38" t="s">
        <v>230</v>
      </c>
      <c r="O41" s="38" t="s">
        <v>29</v>
      </c>
      <c r="P41" s="38" t="s">
        <v>238</v>
      </c>
      <c r="Q41" s="38" t="s">
        <v>29</v>
      </c>
      <c r="R41" s="38" t="s">
        <v>89</v>
      </c>
      <c r="S41" s="24" t="s">
        <v>29</v>
      </c>
      <c r="U41" s="158">
        <f t="shared" si="14"/>
        <v>11</v>
      </c>
      <c r="V41" s="158">
        <f t="shared" si="1"/>
        <v>17</v>
      </c>
      <c r="W41" s="158">
        <f t="shared" si="2"/>
        <v>12</v>
      </c>
      <c r="X41" s="158">
        <f t="shared" si="3"/>
        <v>21</v>
      </c>
      <c r="Y41" s="158">
        <f t="shared" si="4"/>
        <v>12</v>
      </c>
      <c r="Z41" s="158">
        <f t="shared" si="5"/>
        <v>7</v>
      </c>
      <c r="AA41" s="158">
        <f t="shared" si="6"/>
        <v>12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172492</v>
      </c>
      <c r="AM41" s="37">
        <v>72128</v>
      </c>
      <c r="AN41" s="37">
        <v>168289</v>
      </c>
      <c r="AO41" s="37">
        <v>71036</v>
      </c>
      <c r="AP41" s="37">
        <v>57998</v>
      </c>
      <c r="AQ41" s="37">
        <v>57357</v>
      </c>
      <c r="AR41" s="37">
        <v>57682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26</v>
      </c>
      <c r="O42" s="38" t="s">
        <v>238</v>
      </c>
      <c r="P42" s="38" t="s">
        <v>29</v>
      </c>
      <c r="Q42" s="38" t="s">
        <v>24</v>
      </c>
      <c r="R42" s="38" t="s">
        <v>89</v>
      </c>
      <c r="S42" s="24" t="s">
        <v>21</v>
      </c>
      <c r="U42" s="158">
        <f t="shared" si="14"/>
        <v>9</v>
      </c>
      <c r="V42" s="158">
        <f t="shared" si="1"/>
        <v>9</v>
      </c>
      <c r="W42" s="158">
        <f t="shared" si="2"/>
        <v>21</v>
      </c>
      <c r="X42" s="158">
        <f t="shared" si="3"/>
        <v>12</v>
      </c>
      <c r="Y42" s="158">
        <f t="shared" si="4"/>
        <v>8</v>
      </c>
      <c r="Z42" s="158">
        <f t="shared" si="5"/>
        <v>7</v>
      </c>
      <c r="AA42" s="158">
        <f t="shared" si="6"/>
        <v>3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57365</v>
      </c>
      <c r="AM42" s="37">
        <v>113345</v>
      </c>
      <c r="AN42" s="37">
        <v>59814</v>
      </c>
      <c r="AO42" s="37">
        <v>110956</v>
      </c>
      <c r="AP42" s="37">
        <v>164062</v>
      </c>
      <c r="AQ42" s="37">
        <v>138572</v>
      </c>
      <c r="AR42" s="37">
        <v>139357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17</v>
      </c>
      <c r="N43" s="38" t="s">
        <v>29</v>
      </c>
      <c r="O43" s="38" t="s">
        <v>224</v>
      </c>
      <c r="P43" s="38" t="s">
        <v>28</v>
      </c>
      <c r="Q43" s="38" t="s">
        <v>64</v>
      </c>
      <c r="R43" s="38" t="s">
        <v>27</v>
      </c>
      <c r="S43" s="24" t="s">
        <v>28</v>
      </c>
      <c r="U43" s="158">
        <f t="shared" si="14"/>
        <v>4</v>
      </c>
      <c r="V43" s="158">
        <f t="shared" si="1"/>
        <v>12</v>
      </c>
      <c r="W43" s="158">
        <f t="shared" si="2"/>
        <v>14</v>
      </c>
      <c r="X43" s="158">
        <f t="shared" si="3"/>
        <v>11</v>
      </c>
      <c r="Y43" s="158">
        <f t="shared" si="4"/>
        <v>6</v>
      </c>
      <c r="Z43" s="158">
        <f t="shared" si="5"/>
        <v>10</v>
      </c>
      <c r="AA43" s="158">
        <f t="shared" si="6"/>
        <v>11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177493</v>
      </c>
      <c r="AM43" s="37">
        <v>91441</v>
      </c>
      <c r="AN43" s="37">
        <v>159505</v>
      </c>
      <c r="AO43" s="37">
        <v>101710</v>
      </c>
      <c r="AP43" s="37">
        <v>87394</v>
      </c>
      <c r="AQ43" s="37">
        <v>83753</v>
      </c>
      <c r="AR43" s="37">
        <v>84227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240</v>
      </c>
      <c r="O44" s="38" t="s">
        <v>236</v>
      </c>
      <c r="P44" s="38" t="s">
        <v>17</v>
      </c>
      <c r="Q44" s="38" t="s">
        <v>21</v>
      </c>
      <c r="R44" s="38" t="s">
        <v>89</v>
      </c>
      <c r="S44" s="24" t="s">
        <v>89</v>
      </c>
      <c r="U44" s="158">
        <f t="shared" si="14"/>
        <v>7</v>
      </c>
      <c r="V44" s="158">
        <f t="shared" si="1"/>
        <v>22</v>
      </c>
      <c r="W44" s="158">
        <f t="shared" si="2"/>
        <v>20</v>
      </c>
      <c r="X44" s="158">
        <f t="shared" si="3"/>
        <v>4</v>
      </c>
      <c r="Y44" s="158">
        <f t="shared" si="4"/>
        <v>3</v>
      </c>
      <c r="Z44" s="158">
        <f t="shared" si="5"/>
        <v>7</v>
      </c>
      <c r="AA44" s="158">
        <f t="shared" si="6"/>
        <v>7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103405</v>
      </c>
      <c r="AM44" s="37">
        <v>142431</v>
      </c>
      <c r="AN44" s="37">
        <v>96943</v>
      </c>
      <c r="AO44" s="37">
        <v>145447</v>
      </c>
      <c r="AP44" s="37">
        <v>180350</v>
      </c>
      <c r="AQ44" s="37">
        <v>191870</v>
      </c>
      <c r="AR44" s="37">
        <v>192955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27</v>
      </c>
      <c r="N45" s="38" t="s">
        <v>64</v>
      </c>
      <c r="O45" s="38" t="s">
        <v>24</v>
      </c>
      <c r="P45" s="38" t="s">
        <v>89</v>
      </c>
      <c r="Q45" s="38" t="s">
        <v>240</v>
      </c>
      <c r="R45" s="38" t="s">
        <v>238</v>
      </c>
      <c r="S45" s="24" t="s">
        <v>27</v>
      </c>
      <c r="U45" s="158">
        <f t="shared" si="14"/>
        <v>10</v>
      </c>
      <c r="V45" s="158">
        <f t="shared" si="1"/>
        <v>6</v>
      </c>
      <c r="W45" s="158">
        <f t="shared" si="2"/>
        <v>8</v>
      </c>
      <c r="X45" s="158">
        <f t="shared" si="3"/>
        <v>7</v>
      </c>
      <c r="Y45" s="158">
        <f t="shared" si="4"/>
        <v>22</v>
      </c>
      <c r="Z45" s="158">
        <f t="shared" si="5"/>
        <v>21</v>
      </c>
      <c r="AA45" s="158">
        <f t="shared" si="6"/>
        <v>10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137036</v>
      </c>
      <c r="AM45" s="37">
        <v>118055</v>
      </c>
      <c r="AN45" s="37">
        <v>116773</v>
      </c>
      <c r="AO45" s="37">
        <v>118442</v>
      </c>
      <c r="AP45" s="37">
        <v>125926</v>
      </c>
      <c r="AQ45" s="37">
        <v>140603</v>
      </c>
      <c r="AR45" s="37">
        <v>141399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29</v>
      </c>
      <c r="N46" s="38" t="s">
        <v>27</v>
      </c>
      <c r="O46" s="38" t="s">
        <v>27</v>
      </c>
      <c r="P46" s="38" t="s">
        <v>18</v>
      </c>
      <c r="Q46" s="38" t="s">
        <v>29</v>
      </c>
      <c r="R46" s="38" t="s">
        <v>26</v>
      </c>
      <c r="S46" s="24" t="s">
        <v>18</v>
      </c>
      <c r="U46" s="158">
        <f t="shared" si="14"/>
        <v>12</v>
      </c>
      <c r="V46" s="158">
        <f t="shared" si="1"/>
        <v>10</v>
      </c>
      <c r="W46" s="158">
        <f t="shared" si="2"/>
        <v>10</v>
      </c>
      <c r="X46" s="158">
        <f t="shared" si="3"/>
        <v>5</v>
      </c>
      <c r="Y46" s="158">
        <f t="shared" si="4"/>
        <v>12</v>
      </c>
      <c r="Z46" s="158">
        <f t="shared" si="5"/>
        <v>9</v>
      </c>
      <c r="AA46" s="158">
        <f t="shared" si="6"/>
        <v>5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187</v>
      </c>
      <c r="AN46" s="154">
        <v>186</v>
      </c>
      <c r="AO46" s="154">
        <v>265</v>
      </c>
      <c r="AP46" s="154">
        <v>59</v>
      </c>
      <c r="AQ46" s="154">
        <v>34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28</v>
      </c>
      <c r="N47" s="38" t="s">
        <v>21</v>
      </c>
      <c r="O47" s="38" t="s">
        <v>64</v>
      </c>
      <c r="P47" s="38" t="s">
        <v>26</v>
      </c>
      <c r="Q47" s="38" t="s">
        <v>89</v>
      </c>
      <c r="R47" s="38" t="s">
        <v>64</v>
      </c>
      <c r="S47" s="24" t="s">
        <v>29</v>
      </c>
      <c r="U47" s="158">
        <f t="shared" si="14"/>
        <v>11</v>
      </c>
      <c r="V47" s="158">
        <f t="shared" si="1"/>
        <v>3</v>
      </c>
      <c r="W47" s="158">
        <f t="shared" si="2"/>
        <v>6</v>
      </c>
      <c r="X47" s="158">
        <f t="shared" si="3"/>
        <v>9</v>
      </c>
      <c r="Y47" s="158">
        <f t="shared" si="4"/>
        <v>7</v>
      </c>
      <c r="Z47" s="158">
        <f t="shared" si="5"/>
        <v>6</v>
      </c>
      <c r="AA47" s="158">
        <f t="shared" si="6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321</v>
      </c>
      <c r="AN47" s="154">
        <v>272</v>
      </c>
      <c r="AO47" s="154">
        <v>269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29</v>
      </c>
      <c r="N48" s="38" t="s">
        <v>64</v>
      </c>
      <c r="O48" s="38" t="s">
        <v>21</v>
      </c>
      <c r="P48" s="38" t="s">
        <v>18</v>
      </c>
      <c r="Q48" s="38" t="s">
        <v>27</v>
      </c>
      <c r="R48" s="38" t="s">
        <v>19</v>
      </c>
      <c r="S48" s="24" t="s">
        <v>64</v>
      </c>
      <c r="U48" s="158">
        <f t="shared" si="14"/>
        <v>12</v>
      </c>
      <c r="V48" s="158">
        <f t="shared" si="1"/>
        <v>6</v>
      </c>
      <c r="W48" s="158">
        <f t="shared" si="2"/>
        <v>3</v>
      </c>
      <c r="X48" s="158">
        <f t="shared" si="3"/>
        <v>5</v>
      </c>
      <c r="Y48" s="158">
        <f t="shared" si="4"/>
        <v>10</v>
      </c>
      <c r="Z48" s="158">
        <f t="shared" si="5"/>
        <v>1</v>
      </c>
      <c r="AA48" s="158">
        <f t="shared" si="6"/>
        <v>6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1291</v>
      </c>
      <c r="AN48" s="154">
        <v>790</v>
      </c>
      <c r="AO48" s="154">
        <v>1213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s">
        <v>27</v>
      </c>
      <c r="N49" s="156" t="s">
        <v>234</v>
      </c>
      <c r="O49" s="156" t="s">
        <v>64</v>
      </c>
      <c r="P49" s="156" t="s">
        <v>224</v>
      </c>
      <c r="Q49" s="156" t="s">
        <v>24</v>
      </c>
      <c r="R49" s="156" t="s">
        <v>27</v>
      </c>
      <c r="S49" s="157" t="s">
        <v>64</v>
      </c>
      <c r="U49" s="158">
        <f t="shared" si="14"/>
        <v>10</v>
      </c>
      <c r="V49" s="158">
        <f t="shared" si="1"/>
        <v>19</v>
      </c>
      <c r="W49" s="158">
        <f t="shared" si="2"/>
        <v>6</v>
      </c>
      <c r="X49" s="158">
        <f t="shared" si="3"/>
        <v>14</v>
      </c>
      <c r="Y49" s="158">
        <f t="shared" si="4"/>
        <v>8</v>
      </c>
      <c r="Z49" s="158">
        <f t="shared" si="5"/>
        <v>10</v>
      </c>
      <c r="AA49" s="158">
        <f t="shared" si="6"/>
        <v>6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3287</v>
      </c>
      <c r="AN49" s="154">
        <v>2562</v>
      </c>
      <c r="AO49" s="154">
        <v>3126</v>
      </c>
      <c r="AP49" s="154">
        <v>1280</v>
      </c>
      <c r="AQ49" s="154">
        <v>624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29</v>
      </c>
      <c r="N50" s="38" t="s">
        <v>27</v>
      </c>
      <c r="O50" s="38" t="s">
        <v>64</v>
      </c>
      <c r="P50" s="38" t="s">
        <v>18</v>
      </c>
      <c r="Q50" s="38" t="s">
        <v>24</v>
      </c>
      <c r="R50" s="38" t="s">
        <v>21</v>
      </c>
      <c r="S50" s="24" t="s">
        <v>64</v>
      </c>
      <c r="U50" s="158">
        <f t="shared" si="14"/>
        <v>12</v>
      </c>
      <c r="V50" s="158">
        <f t="shared" si="1"/>
        <v>10</v>
      </c>
      <c r="W50" s="158">
        <f t="shared" si="2"/>
        <v>6</v>
      </c>
      <c r="X50" s="158">
        <f t="shared" si="3"/>
        <v>5</v>
      </c>
      <c r="Y50" s="158">
        <f t="shared" si="4"/>
        <v>8</v>
      </c>
      <c r="Z50" s="158">
        <f t="shared" si="5"/>
        <v>3</v>
      </c>
      <c r="AA50" s="158">
        <f t="shared" si="6"/>
        <v>6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842</v>
      </c>
      <c r="AN50" s="154">
        <v>3344</v>
      </c>
      <c r="AO50" s="154">
        <v>887</v>
      </c>
      <c r="AP50" s="154">
        <v>525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26</v>
      </c>
      <c r="N51" s="38" t="s">
        <v>29</v>
      </c>
      <c r="O51" s="38" t="s">
        <v>18</v>
      </c>
      <c r="P51" s="38" t="s">
        <v>18</v>
      </c>
      <c r="Q51" s="38" t="s">
        <v>238</v>
      </c>
      <c r="R51" s="38" t="s">
        <v>28</v>
      </c>
      <c r="S51" s="24" t="s">
        <v>64</v>
      </c>
      <c r="U51" s="158">
        <f t="shared" si="14"/>
        <v>9</v>
      </c>
      <c r="V51" s="158">
        <f t="shared" si="1"/>
        <v>12</v>
      </c>
      <c r="W51" s="158">
        <f t="shared" si="2"/>
        <v>5</v>
      </c>
      <c r="X51" s="158">
        <f t="shared" si="3"/>
        <v>5</v>
      </c>
      <c r="Y51" s="158">
        <f t="shared" si="4"/>
        <v>21</v>
      </c>
      <c r="Z51" s="158">
        <f t="shared" si="5"/>
        <v>11</v>
      </c>
      <c r="AA51" s="158">
        <f t="shared" si="6"/>
        <v>6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3166</v>
      </c>
      <c r="AN51" s="154">
        <v>780</v>
      </c>
      <c r="AO51" s="154">
        <v>3516</v>
      </c>
      <c r="AP51" s="154">
        <v>1547</v>
      </c>
      <c r="AQ51" s="154">
        <v>899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17</v>
      </c>
      <c r="N52" s="38" t="s">
        <v>27</v>
      </c>
      <c r="O52" s="38" t="s">
        <v>26</v>
      </c>
      <c r="P52" s="38" t="s">
        <v>27</v>
      </c>
      <c r="Q52" s="38" t="s">
        <v>27</v>
      </c>
      <c r="R52" s="38" t="s">
        <v>28</v>
      </c>
      <c r="S52" s="24" t="s">
        <v>89</v>
      </c>
      <c r="U52" s="158">
        <f t="shared" si="14"/>
        <v>4</v>
      </c>
      <c r="V52" s="158">
        <f t="shared" si="1"/>
        <v>10</v>
      </c>
      <c r="W52" s="158">
        <f t="shared" si="2"/>
        <v>9</v>
      </c>
      <c r="X52" s="158">
        <f t="shared" si="3"/>
        <v>10</v>
      </c>
      <c r="Y52" s="158">
        <f t="shared" si="4"/>
        <v>10</v>
      </c>
      <c r="Z52" s="158">
        <f t="shared" si="5"/>
        <v>11</v>
      </c>
      <c r="AA52" s="158">
        <f t="shared" si="6"/>
        <v>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1725</v>
      </c>
      <c r="AN52" s="37">
        <v>4357</v>
      </c>
      <c r="AO52" s="37">
        <v>1834</v>
      </c>
      <c r="AP52" s="37">
        <v>660</v>
      </c>
      <c r="AQ52" s="37">
        <v>325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26</v>
      </c>
      <c r="N53" s="38" t="s">
        <v>240</v>
      </c>
      <c r="O53" s="38" t="s">
        <v>27</v>
      </c>
      <c r="P53" s="38" t="s">
        <v>27</v>
      </c>
      <c r="Q53" s="38" t="s">
        <v>26</v>
      </c>
      <c r="R53" s="38" t="s">
        <v>28</v>
      </c>
      <c r="S53" s="24" t="s">
        <v>26</v>
      </c>
      <c r="U53" s="158">
        <f t="shared" si="14"/>
        <v>9</v>
      </c>
      <c r="V53" s="158">
        <f t="shared" si="1"/>
        <v>22</v>
      </c>
      <c r="W53" s="158">
        <f t="shared" si="2"/>
        <v>10</v>
      </c>
      <c r="X53" s="158">
        <f t="shared" si="3"/>
        <v>10</v>
      </c>
      <c r="Y53" s="158">
        <f t="shared" si="4"/>
        <v>9</v>
      </c>
      <c r="Z53" s="158">
        <f t="shared" si="5"/>
        <v>11</v>
      </c>
      <c r="AA53" s="158">
        <f t="shared" si="6"/>
        <v>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2710</v>
      </c>
      <c r="AN53" s="37">
        <v>1549</v>
      </c>
      <c r="AO53" s="37">
        <v>2865</v>
      </c>
      <c r="AP53" s="37">
        <v>1868</v>
      </c>
      <c r="AQ53" s="37">
        <v>784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24</v>
      </c>
      <c r="N54" s="38" t="s">
        <v>29</v>
      </c>
      <c r="O54" s="38" t="s">
        <v>28</v>
      </c>
      <c r="P54" s="38" t="s">
        <v>240</v>
      </c>
      <c r="Q54" s="38" t="s">
        <v>224</v>
      </c>
      <c r="R54" s="38" t="s">
        <v>29</v>
      </c>
      <c r="S54" s="24" t="s">
        <v>18</v>
      </c>
      <c r="U54" s="158">
        <f t="shared" si="14"/>
        <v>8</v>
      </c>
      <c r="V54" s="158">
        <f t="shared" si="1"/>
        <v>12</v>
      </c>
      <c r="W54" s="158">
        <f t="shared" si="2"/>
        <v>11</v>
      </c>
      <c r="X54" s="158">
        <f t="shared" si="3"/>
        <v>22</v>
      </c>
      <c r="Y54" s="158">
        <f t="shared" si="4"/>
        <v>14</v>
      </c>
      <c r="Z54" s="158">
        <f t="shared" si="5"/>
        <v>12</v>
      </c>
      <c r="AA54" s="158">
        <f t="shared" si="6"/>
        <v>5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2186</v>
      </c>
      <c r="AN54" s="37">
        <v>4130</v>
      </c>
      <c r="AO54" s="37">
        <v>2626</v>
      </c>
      <c r="AP54" s="37">
        <v>995</v>
      </c>
      <c r="AQ54" s="37">
        <v>474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64</v>
      </c>
      <c r="N55" s="38" t="s">
        <v>238</v>
      </c>
      <c r="O55" s="38" t="s">
        <v>89</v>
      </c>
      <c r="P55" s="38" t="s">
        <v>89</v>
      </c>
      <c r="Q55" s="38" t="s">
        <v>29</v>
      </c>
      <c r="R55" s="38" t="s">
        <v>24</v>
      </c>
      <c r="S55" s="24" t="s">
        <v>28</v>
      </c>
      <c r="U55" s="158">
        <f t="shared" si="14"/>
        <v>6</v>
      </c>
      <c r="V55" s="158">
        <f t="shared" si="1"/>
        <v>21</v>
      </c>
      <c r="W55" s="158">
        <f t="shared" si="2"/>
        <v>7</v>
      </c>
      <c r="X55" s="158">
        <f t="shared" si="3"/>
        <v>7</v>
      </c>
      <c r="Y55" s="158">
        <f t="shared" si="4"/>
        <v>12</v>
      </c>
      <c r="Z55" s="158">
        <f t="shared" si="5"/>
        <v>8</v>
      </c>
      <c r="AA55" s="158">
        <f t="shared" si="6"/>
        <v>11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3406</v>
      </c>
      <c r="AN55" s="37">
        <v>2510</v>
      </c>
      <c r="AO55" s="37">
        <v>3755</v>
      </c>
      <c r="AP55" s="37">
        <v>2053</v>
      </c>
      <c r="AQ55" s="37">
        <v>1086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89</v>
      </c>
      <c r="N56" s="38" t="s">
        <v>64</v>
      </c>
      <c r="O56" s="38" t="s">
        <v>29</v>
      </c>
      <c r="P56" s="38" t="s">
        <v>28</v>
      </c>
      <c r="Q56" s="38" t="s">
        <v>26</v>
      </c>
      <c r="R56" s="38" t="s">
        <v>89</v>
      </c>
      <c r="S56" s="24" t="s">
        <v>28</v>
      </c>
      <c r="U56" s="158">
        <f t="shared" si="14"/>
        <v>7</v>
      </c>
      <c r="V56" s="158">
        <f t="shared" si="1"/>
        <v>6</v>
      </c>
      <c r="W56" s="158">
        <f t="shared" si="2"/>
        <v>12</v>
      </c>
      <c r="X56" s="158">
        <f t="shared" si="3"/>
        <v>11</v>
      </c>
      <c r="Y56" s="158">
        <f t="shared" si="4"/>
        <v>9</v>
      </c>
      <c r="Z56" s="158">
        <f t="shared" si="5"/>
        <v>7</v>
      </c>
      <c r="AA56" s="158">
        <f t="shared" si="6"/>
        <v>11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2823</v>
      </c>
      <c r="AN56" s="37">
        <v>3024</v>
      </c>
      <c r="AO56" s="37">
        <v>3058</v>
      </c>
      <c r="AP56" s="37">
        <v>1434</v>
      </c>
      <c r="AQ56" s="37">
        <v>796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24</v>
      </c>
      <c r="N57" s="38" t="s">
        <v>17</v>
      </c>
      <c r="O57" s="38" t="s">
        <v>18</v>
      </c>
      <c r="P57" s="38" t="s">
        <v>26</v>
      </c>
      <c r="Q57" s="38" t="s">
        <v>234</v>
      </c>
      <c r="R57" s="38" t="s">
        <v>240</v>
      </c>
      <c r="S57" s="24" t="s">
        <v>28</v>
      </c>
      <c r="U57" s="158">
        <f t="shared" si="14"/>
        <v>8</v>
      </c>
      <c r="V57" s="158">
        <f t="shared" si="1"/>
        <v>4</v>
      </c>
      <c r="W57" s="158">
        <f t="shared" si="2"/>
        <v>5</v>
      </c>
      <c r="X57" s="158">
        <f t="shared" si="3"/>
        <v>9</v>
      </c>
      <c r="Y57" s="158">
        <f t="shared" si="4"/>
        <v>19</v>
      </c>
      <c r="Z57" s="158">
        <f t="shared" si="5"/>
        <v>22</v>
      </c>
      <c r="AA57" s="158">
        <f t="shared" si="6"/>
        <v>11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s">
        <v>64</v>
      </c>
      <c r="N58" s="156" t="s">
        <v>230</v>
      </c>
      <c r="O58" s="156" t="s">
        <v>28</v>
      </c>
      <c r="P58" s="156" t="s">
        <v>89</v>
      </c>
      <c r="Q58" s="156" t="s">
        <v>29</v>
      </c>
      <c r="R58" s="156" t="s">
        <v>26</v>
      </c>
      <c r="S58" s="157" t="s">
        <v>28</v>
      </c>
      <c r="U58" s="158">
        <f t="shared" si="14"/>
        <v>6</v>
      </c>
      <c r="V58" s="158">
        <f t="shared" si="1"/>
        <v>17</v>
      </c>
      <c r="W58" s="158">
        <f t="shared" si="2"/>
        <v>11</v>
      </c>
      <c r="X58" s="158">
        <f t="shared" si="3"/>
        <v>7</v>
      </c>
      <c r="Y58" s="158">
        <f t="shared" si="4"/>
        <v>12</v>
      </c>
      <c r="Z58" s="158">
        <f t="shared" si="5"/>
        <v>9</v>
      </c>
      <c r="AA58" s="158">
        <f t="shared" si="6"/>
        <v>11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28</v>
      </c>
      <c r="N59" s="38" t="s">
        <v>29</v>
      </c>
      <c r="O59" s="38" t="s">
        <v>28</v>
      </c>
      <c r="P59" s="38" t="s">
        <v>238</v>
      </c>
      <c r="Q59" s="38" t="s">
        <v>21</v>
      </c>
      <c r="R59" s="38" t="s">
        <v>240</v>
      </c>
      <c r="S59" s="24" t="s">
        <v>21</v>
      </c>
      <c r="U59" s="158">
        <f t="shared" si="14"/>
        <v>11</v>
      </c>
      <c r="V59" s="158">
        <f t="shared" si="1"/>
        <v>12</v>
      </c>
      <c r="W59" s="158">
        <f t="shared" si="2"/>
        <v>11</v>
      </c>
      <c r="X59" s="158">
        <f t="shared" si="3"/>
        <v>21</v>
      </c>
      <c r="Y59" s="158">
        <f t="shared" si="4"/>
        <v>3</v>
      </c>
      <c r="Z59" s="158">
        <f t="shared" si="5"/>
        <v>22</v>
      </c>
      <c r="AA59" s="158">
        <f t="shared" si="6"/>
        <v>3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26</v>
      </c>
      <c r="N60" s="38" t="s">
        <v>27</v>
      </c>
      <c r="O60" s="38" t="s">
        <v>89</v>
      </c>
      <c r="P60" s="38" t="s">
        <v>21</v>
      </c>
      <c r="Q60" s="38" t="s">
        <v>18</v>
      </c>
      <c r="R60" s="38" t="s">
        <v>17</v>
      </c>
      <c r="S60" s="24" t="s">
        <v>29</v>
      </c>
      <c r="U60" s="158">
        <f t="shared" si="14"/>
        <v>9</v>
      </c>
      <c r="V60" s="158">
        <f t="shared" si="1"/>
        <v>10</v>
      </c>
      <c r="W60" s="158">
        <f t="shared" si="2"/>
        <v>7</v>
      </c>
      <c r="X60" s="158">
        <f t="shared" si="3"/>
        <v>3</v>
      </c>
      <c r="Y60" s="158">
        <f t="shared" si="4"/>
        <v>5</v>
      </c>
      <c r="Z60" s="158">
        <f t="shared" si="5"/>
        <v>4</v>
      </c>
      <c r="AA60" s="158">
        <f t="shared" si="6"/>
        <v>12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27</v>
      </c>
      <c r="N61" s="38" t="s">
        <v>18</v>
      </c>
      <c r="O61" s="38" t="s">
        <v>21</v>
      </c>
      <c r="P61" s="38" t="s">
        <v>27</v>
      </c>
      <c r="Q61" s="38" t="s">
        <v>64</v>
      </c>
      <c r="R61" s="38" t="s">
        <v>28</v>
      </c>
      <c r="S61" s="24" t="s">
        <v>18</v>
      </c>
      <c r="U61" s="158">
        <f t="shared" si="14"/>
        <v>10</v>
      </c>
      <c r="V61" s="158">
        <f t="shared" si="1"/>
        <v>5</v>
      </c>
      <c r="W61" s="158">
        <f t="shared" si="2"/>
        <v>3</v>
      </c>
      <c r="X61" s="158">
        <f t="shared" si="3"/>
        <v>10</v>
      </c>
      <c r="Y61" s="158">
        <f t="shared" si="4"/>
        <v>6</v>
      </c>
      <c r="Z61" s="158">
        <f t="shared" si="5"/>
        <v>11</v>
      </c>
      <c r="AA61" s="158">
        <f t="shared" si="6"/>
        <v>5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64</v>
      </c>
      <c r="N62" s="38" t="s">
        <v>27</v>
      </c>
      <c r="O62" s="38" t="s">
        <v>27</v>
      </c>
      <c r="P62" s="38" t="s">
        <v>64</v>
      </c>
      <c r="Q62" s="38" t="s">
        <v>21</v>
      </c>
      <c r="R62" s="38" t="s">
        <v>89</v>
      </c>
      <c r="S62" s="24" t="s">
        <v>18</v>
      </c>
      <c r="U62" s="158">
        <f t="shared" si="14"/>
        <v>6</v>
      </c>
      <c r="V62" s="158">
        <f t="shared" si="1"/>
        <v>10</v>
      </c>
      <c r="W62" s="158">
        <f t="shared" si="2"/>
        <v>10</v>
      </c>
      <c r="X62" s="158">
        <f t="shared" si="3"/>
        <v>6</v>
      </c>
      <c r="Y62" s="158">
        <f t="shared" si="4"/>
        <v>3</v>
      </c>
      <c r="Z62" s="158">
        <f t="shared" si="5"/>
        <v>7</v>
      </c>
      <c r="AA62" s="158">
        <f t="shared" si="6"/>
        <v>5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33822</v>
      </c>
      <c r="AN62" s="10">
        <v>42180</v>
      </c>
      <c r="AO62" s="10">
        <v>36435</v>
      </c>
      <c r="AP62" s="10">
        <v>30133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26</v>
      </c>
      <c r="N63" s="38" t="s">
        <v>27</v>
      </c>
      <c r="O63" s="38" t="s">
        <v>18</v>
      </c>
      <c r="P63" s="38" t="s">
        <v>29</v>
      </c>
      <c r="Q63" s="38" t="s">
        <v>29</v>
      </c>
      <c r="R63" s="38" t="s">
        <v>236</v>
      </c>
      <c r="S63" s="24" t="s">
        <v>18</v>
      </c>
      <c r="U63" s="158">
        <f t="shared" si="14"/>
        <v>9</v>
      </c>
      <c r="V63" s="158">
        <f t="shared" si="1"/>
        <v>10</v>
      </c>
      <c r="W63" s="158">
        <f t="shared" si="2"/>
        <v>5</v>
      </c>
      <c r="X63" s="158">
        <f t="shared" si="3"/>
        <v>12</v>
      </c>
      <c r="Y63" s="158">
        <f t="shared" si="4"/>
        <v>12</v>
      </c>
      <c r="Z63" s="158">
        <f t="shared" si="5"/>
        <v>20</v>
      </c>
      <c r="AA63" s="158">
        <f t="shared" si="6"/>
        <v>5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23735</v>
      </c>
      <c r="AM63" s="37">
        <v>26467</v>
      </c>
      <c r="AN63" s="37">
        <v>26591</v>
      </c>
      <c r="AO63" s="37">
        <v>33273</v>
      </c>
      <c r="AP63" s="37">
        <v>30534</v>
      </c>
      <c r="AQ63" s="37">
        <v>40327</v>
      </c>
      <c r="AR63" s="37">
        <v>40327</v>
      </c>
      <c r="AS63" s="4">
        <v>1</v>
      </c>
    </row>
    <row r="64" spans="2:45" ht="16.5" customHeight="1" x14ac:dyDescent="0.3">
      <c r="L64" s="15">
        <v>61</v>
      </c>
      <c r="M64" s="38" t="s">
        <v>27</v>
      </c>
      <c r="N64" s="38" t="s">
        <v>21</v>
      </c>
      <c r="O64" s="38" t="s">
        <v>224</v>
      </c>
      <c r="P64" s="38" t="s">
        <v>24</v>
      </c>
      <c r="Q64" s="38" t="s">
        <v>89</v>
      </c>
      <c r="R64" s="38" t="s">
        <v>26</v>
      </c>
      <c r="S64" s="24" t="s">
        <v>18</v>
      </c>
      <c r="U64" s="158">
        <f t="shared" si="14"/>
        <v>10</v>
      </c>
      <c r="V64" s="158">
        <f t="shared" si="1"/>
        <v>3</v>
      </c>
      <c r="W64" s="158">
        <f t="shared" si="2"/>
        <v>14</v>
      </c>
      <c r="X64" s="158">
        <f t="shared" si="3"/>
        <v>8</v>
      </c>
      <c r="Y64" s="158">
        <f t="shared" si="4"/>
        <v>7</v>
      </c>
      <c r="Z64" s="158">
        <f t="shared" si="5"/>
        <v>9</v>
      </c>
      <c r="AA64" s="158">
        <f t="shared" si="6"/>
        <v>5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7594</v>
      </c>
      <c r="AM64" s="154">
        <v>7831</v>
      </c>
      <c r="AN64" s="154">
        <v>7167</v>
      </c>
      <c r="AO64" s="154">
        <v>10274</v>
      </c>
      <c r="AP64" s="154">
        <v>5164</v>
      </c>
      <c r="AQ64" s="154">
        <v>6092</v>
      </c>
      <c r="AR64" s="154">
        <v>6126</v>
      </c>
      <c r="AS64" s="151">
        <v>2</v>
      </c>
    </row>
    <row r="65" spans="2:45" ht="16.5" customHeight="1" x14ac:dyDescent="0.3">
      <c r="L65" s="14">
        <v>62</v>
      </c>
      <c r="M65" s="38" t="s">
        <v>20</v>
      </c>
      <c r="N65" s="38" t="s">
        <v>27</v>
      </c>
      <c r="O65" s="38" t="s">
        <v>28</v>
      </c>
      <c r="P65" s="38" t="s">
        <v>28</v>
      </c>
      <c r="Q65" s="38" t="s">
        <v>18</v>
      </c>
      <c r="R65" s="38" t="s">
        <v>18</v>
      </c>
      <c r="S65" s="24" t="s">
        <v>26</v>
      </c>
      <c r="U65" s="158">
        <f t="shared" si="14"/>
        <v>2</v>
      </c>
      <c r="V65" s="158">
        <f t="shared" si="1"/>
        <v>10</v>
      </c>
      <c r="W65" s="158">
        <f t="shared" si="2"/>
        <v>11</v>
      </c>
      <c r="X65" s="158">
        <f t="shared" si="3"/>
        <v>11</v>
      </c>
      <c r="Y65" s="158">
        <f t="shared" si="4"/>
        <v>5</v>
      </c>
      <c r="Z65" s="158">
        <f t="shared" si="5"/>
        <v>5</v>
      </c>
      <c r="AA65" s="158">
        <f t="shared" si="6"/>
        <v>9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11881</v>
      </c>
      <c r="AM65" s="154">
        <v>13425</v>
      </c>
      <c r="AN65" s="154">
        <v>10508</v>
      </c>
      <c r="AO65" s="154">
        <v>10421</v>
      </c>
      <c r="AP65" s="154">
        <v>9137</v>
      </c>
      <c r="AQ65" s="154">
        <v>13705</v>
      </c>
      <c r="AR65" s="154">
        <v>13783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21</v>
      </c>
      <c r="N66" s="38" t="s">
        <v>27</v>
      </c>
      <c r="O66" s="38" t="s">
        <v>238</v>
      </c>
      <c r="P66" s="38" t="s">
        <v>24</v>
      </c>
      <c r="Q66" s="38" t="s">
        <v>64</v>
      </c>
      <c r="R66" s="38" t="s">
        <v>28</v>
      </c>
      <c r="S66" s="24" t="s">
        <v>21</v>
      </c>
      <c r="U66" s="158">
        <f t="shared" si="14"/>
        <v>3</v>
      </c>
      <c r="V66" s="158">
        <f t="shared" si="1"/>
        <v>10</v>
      </c>
      <c r="W66" s="158">
        <f t="shared" si="2"/>
        <v>21</v>
      </c>
      <c r="X66" s="158">
        <f t="shared" si="3"/>
        <v>8</v>
      </c>
      <c r="Y66" s="158">
        <f t="shared" si="4"/>
        <v>6</v>
      </c>
      <c r="Z66" s="158">
        <f t="shared" si="5"/>
        <v>11</v>
      </c>
      <c r="AA66" s="158">
        <f t="shared" si="6"/>
        <v>3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32308</v>
      </c>
      <c r="AM66" s="154">
        <v>53993</v>
      </c>
      <c r="AN66" s="154">
        <v>30500</v>
      </c>
      <c r="AO66" s="154">
        <v>46965</v>
      </c>
      <c r="AP66" s="154">
        <v>4369</v>
      </c>
      <c r="AQ66" s="154">
        <v>15228</v>
      </c>
      <c r="AR66" s="154">
        <v>15314</v>
      </c>
      <c r="AS66" s="151">
        <v>4</v>
      </c>
    </row>
    <row r="67" spans="2:45" ht="16.5" customHeight="1" x14ac:dyDescent="0.3">
      <c r="B67" s="163">
        <v>0</v>
      </c>
      <c r="C67" s="161">
        <v>1000</v>
      </c>
      <c r="L67" s="15">
        <v>64</v>
      </c>
      <c r="M67" s="156" t="s">
        <v>26</v>
      </c>
      <c r="N67" s="156" t="s">
        <v>238</v>
      </c>
      <c r="O67" s="156" t="s">
        <v>24</v>
      </c>
      <c r="P67" s="156" t="s">
        <v>18</v>
      </c>
      <c r="Q67" s="156" t="s">
        <v>29</v>
      </c>
      <c r="R67" s="156" t="s">
        <v>64</v>
      </c>
      <c r="S67" s="157" t="s">
        <v>27</v>
      </c>
      <c r="U67" s="158">
        <f t="shared" si="14"/>
        <v>9</v>
      </c>
      <c r="V67" s="158">
        <f t="shared" si="1"/>
        <v>21</v>
      </c>
      <c r="W67" s="158">
        <f t="shared" si="2"/>
        <v>8</v>
      </c>
      <c r="X67" s="158">
        <f t="shared" si="3"/>
        <v>5</v>
      </c>
      <c r="Y67" s="158">
        <f t="shared" si="4"/>
        <v>12</v>
      </c>
      <c r="Z67" s="158">
        <f t="shared" si="5"/>
        <v>6</v>
      </c>
      <c r="AA67" s="158">
        <f t="shared" si="6"/>
        <v>10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95203</v>
      </c>
      <c r="AM67" s="154">
        <v>137486</v>
      </c>
      <c r="AN67" s="154">
        <v>98936</v>
      </c>
      <c r="AO67" s="154">
        <v>121084</v>
      </c>
      <c r="AP67" s="154">
        <v>112420</v>
      </c>
      <c r="AQ67" s="154">
        <v>110147</v>
      </c>
      <c r="AR67" s="154">
        <v>110771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24</v>
      </c>
      <c r="N68" s="38" t="s">
        <v>24</v>
      </c>
      <c r="O68" s="38" t="s">
        <v>28</v>
      </c>
      <c r="P68" s="38" t="s">
        <v>26</v>
      </c>
      <c r="Q68" s="38" t="s">
        <v>19</v>
      </c>
      <c r="R68" s="38" t="s">
        <v>242</v>
      </c>
      <c r="S68" s="24" t="s">
        <v>27</v>
      </c>
      <c r="U68" s="158">
        <f t="shared" si="14"/>
        <v>8</v>
      </c>
      <c r="V68" s="158">
        <f t="shared" ref="V68:V131" si="16">VLOOKUP(N68, $A$4:$J$29, 10, 0)</f>
        <v>8</v>
      </c>
      <c r="W68" s="158">
        <f t="shared" ref="W68:W131" si="17">VLOOKUP(O68, $A$4:$J$29, 10, 0)</f>
        <v>11</v>
      </c>
      <c r="X68" s="158">
        <f t="shared" ref="X68:X131" si="18">VLOOKUP(P68, $A$4:$J$29, 10, 0)</f>
        <v>9</v>
      </c>
      <c r="Y68" s="158">
        <f t="shared" ref="Y68:Y131" si="19">VLOOKUP(Q68, $A$4:$J$29, 10, 0)</f>
        <v>1</v>
      </c>
      <c r="Z68" s="158">
        <f t="shared" ref="Z68:Z131" si="20">VLOOKUP(R68, $A$4:$J$29, 10, 0)</f>
        <v>23</v>
      </c>
      <c r="AA68" s="158">
        <f t="shared" ref="AA68:AA131" si="21">VLOOKUP(S68, $A$4:$J$29, 10, 0)</f>
        <v>10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147805</v>
      </c>
      <c r="AM68" s="154">
        <v>35210</v>
      </c>
      <c r="AN68" s="154">
        <v>129167</v>
      </c>
      <c r="AO68" s="154">
        <v>34343</v>
      </c>
      <c r="AP68" s="154">
        <v>46080</v>
      </c>
      <c r="AQ68" s="154">
        <v>38069</v>
      </c>
      <c r="AR68" s="154">
        <v>38285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5">
        <v>66</v>
      </c>
      <c r="M69" s="38" t="s">
        <v>28</v>
      </c>
      <c r="N69" s="38" t="s">
        <v>21</v>
      </c>
      <c r="O69" s="38" t="s">
        <v>24</v>
      </c>
      <c r="P69" s="38" t="s">
        <v>240</v>
      </c>
      <c r="Q69" s="38" t="s">
        <v>234</v>
      </c>
      <c r="R69" s="38" t="s">
        <v>64</v>
      </c>
      <c r="S69" s="24" t="s">
        <v>27</v>
      </c>
      <c r="U69" s="158">
        <f t="shared" ref="U69:U132" si="22">VLOOKUP(M69, $A$4:$J$29, 10, 0)</f>
        <v>11</v>
      </c>
      <c r="V69" s="158">
        <f t="shared" si="16"/>
        <v>3</v>
      </c>
      <c r="W69" s="158">
        <f t="shared" si="17"/>
        <v>8</v>
      </c>
      <c r="X69" s="158">
        <f t="shared" si="18"/>
        <v>22</v>
      </c>
      <c r="Y69" s="158">
        <f t="shared" si="19"/>
        <v>19</v>
      </c>
      <c r="Z69" s="158">
        <f t="shared" si="20"/>
        <v>6</v>
      </c>
      <c r="AA69" s="158">
        <f t="shared" si="21"/>
        <v>10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33683</v>
      </c>
      <c r="AM69" s="154">
        <v>132422</v>
      </c>
      <c r="AN69" s="154">
        <v>30123</v>
      </c>
      <c r="AO69" s="154">
        <v>136200</v>
      </c>
      <c r="AP69" s="154">
        <v>135858</v>
      </c>
      <c r="AQ69" s="154">
        <v>158875</v>
      </c>
      <c r="AR69" s="154">
        <v>159774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4">
        <v>67</v>
      </c>
      <c r="M70" s="38" t="s">
        <v>29</v>
      </c>
      <c r="N70" s="38" t="s">
        <v>20</v>
      </c>
      <c r="O70" s="38" t="s">
        <v>64</v>
      </c>
      <c r="P70" s="38" t="s">
        <v>21</v>
      </c>
      <c r="Q70" s="38" t="s">
        <v>64</v>
      </c>
      <c r="R70" s="38" t="s">
        <v>234</v>
      </c>
      <c r="S70" s="24" t="s">
        <v>27</v>
      </c>
      <c r="U70" s="158">
        <f t="shared" si="22"/>
        <v>12</v>
      </c>
      <c r="V70" s="158">
        <f t="shared" si="16"/>
        <v>2</v>
      </c>
      <c r="W70" s="158">
        <f t="shared" si="17"/>
        <v>6</v>
      </c>
      <c r="X70" s="158">
        <f t="shared" si="18"/>
        <v>3</v>
      </c>
      <c r="Y70" s="158">
        <f t="shared" si="19"/>
        <v>6</v>
      </c>
      <c r="Z70" s="158">
        <f t="shared" si="20"/>
        <v>19</v>
      </c>
      <c r="AA70" s="158">
        <f t="shared" si="21"/>
        <v>10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172492</v>
      </c>
      <c r="AM70" s="37">
        <v>72128</v>
      </c>
      <c r="AN70" s="37">
        <v>168289</v>
      </c>
      <c r="AO70" s="37">
        <v>71036</v>
      </c>
      <c r="AP70" s="37">
        <v>57998</v>
      </c>
      <c r="AQ70" s="37">
        <v>57357</v>
      </c>
      <c r="AR70" s="37">
        <v>57682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s">
        <v>89</v>
      </c>
      <c r="N71" s="38" t="s">
        <v>234</v>
      </c>
      <c r="O71" s="38" t="s">
        <v>21</v>
      </c>
      <c r="P71" s="38" t="s">
        <v>19</v>
      </c>
      <c r="Q71" s="38" t="s">
        <v>89</v>
      </c>
      <c r="R71" s="38" t="s">
        <v>28</v>
      </c>
      <c r="S71" s="24" t="s">
        <v>28</v>
      </c>
      <c r="U71" s="158">
        <f t="shared" si="22"/>
        <v>7</v>
      </c>
      <c r="V71" s="158">
        <f t="shared" si="16"/>
        <v>19</v>
      </c>
      <c r="W71" s="158">
        <f t="shared" si="17"/>
        <v>3</v>
      </c>
      <c r="X71" s="158">
        <f t="shared" si="18"/>
        <v>1</v>
      </c>
      <c r="Y71" s="158">
        <f t="shared" si="19"/>
        <v>7</v>
      </c>
      <c r="Z71" s="158">
        <f t="shared" si="20"/>
        <v>11</v>
      </c>
      <c r="AA71" s="158">
        <f t="shared" si="21"/>
        <v>11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57365</v>
      </c>
      <c r="AM71" s="37">
        <v>113345</v>
      </c>
      <c r="AN71" s="37">
        <v>59814</v>
      </c>
      <c r="AO71" s="37">
        <v>110956</v>
      </c>
      <c r="AP71" s="37">
        <v>164062</v>
      </c>
      <c r="AQ71" s="37">
        <v>138572</v>
      </c>
      <c r="AR71" s="37">
        <v>139357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89</v>
      </c>
      <c r="N72" s="38" t="s">
        <v>27</v>
      </c>
      <c r="O72" s="38" t="s">
        <v>17</v>
      </c>
      <c r="P72" s="38" t="s">
        <v>89</v>
      </c>
      <c r="Q72" s="38" t="s">
        <v>27</v>
      </c>
      <c r="R72" s="38" t="s">
        <v>18</v>
      </c>
      <c r="S72" s="24" t="s">
        <v>64</v>
      </c>
      <c r="U72" s="158">
        <f t="shared" si="22"/>
        <v>7</v>
      </c>
      <c r="V72" s="158">
        <f t="shared" si="16"/>
        <v>10</v>
      </c>
      <c r="W72" s="158">
        <f t="shared" si="17"/>
        <v>4</v>
      </c>
      <c r="X72" s="158">
        <f t="shared" si="18"/>
        <v>7</v>
      </c>
      <c r="Y72" s="158">
        <f t="shared" si="19"/>
        <v>10</v>
      </c>
      <c r="Z72" s="158">
        <f t="shared" si="20"/>
        <v>5</v>
      </c>
      <c r="AA72" s="158">
        <f t="shared" si="21"/>
        <v>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177493</v>
      </c>
      <c r="AM72" s="37">
        <v>91441</v>
      </c>
      <c r="AN72" s="37">
        <v>159505</v>
      </c>
      <c r="AO72" s="37">
        <v>101710</v>
      </c>
      <c r="AP72" s="37">
        <v>87394</v>
      </c>
      <c r="AQ72" s="37">
        <v>83753</v>
      </c>
      <c r="AR72" s="37">
        <v>84227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27</v>
      </c>
      <c r="N73" s="38" t="s">
        <v>27</v>
      </c>
      <c r="O73" s="38" t="s">
        <v>27</v>
      </c>
      <c r="P73" s="38" t="s">
        <v>17</v>
      </c>
      <c r="Q73" s="38" t="s">
        <v>20</v>
      </c>
      <c r="R73" s="38" t="s">
        <v>230</v>
      </c>
      <c r="S73" s="24" t="s">
        <v>18</v>
      </c>
      <c r="U73" s="158">
        <f t="shared" si="22"/>
        <v>10</v>
      </c>
      <c r="V73" s="158">
        <f t="shared" si="16"/>
        <v>10</v>
      </c>
      <c r="W73" s="158">
        <f t="shared" si="17"/>
        <v>10</v>
      </c>
      <c r="X73" s="158">
        <f t="shared" si="18"/>
        <v>4</v>
      </c>
      <c r="Y73" s="158">
        <f t="shared" si="19"/>
        <v>2</v>
      </c>
      <c r="Z73" s="158">
        <f t="shared" si="20"/>
        <v>17</v>
      </c>
      <c r="AA73" s="158">
        <f t="shared" si="21"/>
        <v>5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103405</v>
      </c>
      <c r="AM73" s="37">
        <v>142431</v>
      </c>
      <c r="AN73" s="37">
        <v>96943</v>
      </c>
      <c r="AO73" s="37">
        <v>145447</v>
      </c>
      <c r="AP73" s="37">
        <v>180350</v>
      </c>
      <c r="AQ73" s="37">
        <v>191870</v>
      </c>
      <c r="AR73" s="37">
        <v>192955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26</v>
      </c>
      <c r="N74" s="38" t="s">
        <v>236</v>
      </c>
      <c r="O74" s="38" t="s">
        <v>18</v>
      </c>
      <c r="P74" s="38" t="s">
        <v>64</v>
      </c>
      <c r="Q74" s="38" t="s">
        <v>234</v>
      </c>
      <c r="R74" s="38" t="s">
        <v>29</v>
      </c>
      <c r="S74" s="24" t="s">
        <v>89</v>
      </c>
      <c r="U74" s="158">
        <f t="shared" si="22"/>
        <v>9</v>
      </c>
      <c r="V74" s="158">
        <f t="shared" si="16"/>
        <v>20</v>
      </c>
      <c r="W74" s="158">
        <f t="shared" si="17"/>
        <v>5</v>
      </c>
      <c r="X74" s="158">
        <f t="shared" si="18"/>
        <v>6</v>
      </c>
      <c r="Y74" s="158">
        <f t="shared" si="19"/>
        <v>19</v>
      </c>
      <c r="Z74" s="158">
        <f t="shared" si="20"/>
        <v>12</v>
      </c>
      <c r="AA74" s="158">
        <f t="shared" si="21"/>
        <v>7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137036</v>
      </c>
      <c r="AM74" s="37">
        <v>118055</v>
      </c>
      <c r="AN74" s="37">
        <v>116773</v>
      </c>
      <c r="AO74" s="37">
        <v>118442</v>
      </c>
      <c r="AP74" s="37">
        <v>125926</v>
      </c>
      <c r="AQ74" s="37">
        <v>140603</v>
      </c>
      <c r="AR74" s="37">
        <v>141399</v>
      </c>
      <c r="AS74" s="4">
        <v>12</v>
      </c>
    </row>
    <row r="75" spans="2:45" ht="16.5" customHeight="1" x14ac:dyDescent="0.3">
      <c r="L75" s="15">
        <v>72</v>
      </c>
      <c r="M75" s="38" t="s">
        <v>26</v>
      </c>
      <c r="N75" s="38" t="s">
        <v>238</v>
      </c>
      <c r="O75" s="38" t="s">
        <v>18</v>
      </c>
      <c r="P75" s="38" t="s">
        <v>242</v>
      </c>
      <c r="Q75" s="38" t="s">
        <v>21</v>
      </c>
      <c r="R75" s="38" t="s">
        <v>18</v>
      </c>
      <c r="S75" s="24" t="s">
        <v>28</v>
      </c>
      <c r="U75" s="158">
        <f t="shared" si="22"/>
        <v>9</v>
      </c>
      <c r="V75" s="158">
        <f t="shared" si="16"/>
        <v>21</v>
      </c>
      <c r="W75" s="158">
        <f t="shared" si="17"/>
        <v>5</v>
      </c>
      <c r="X75" s="158">
        <f t="shared" si="18"/>
        <v>23</v>
      </c>
      <c r="Y75" s="158">
        <f t="shared" si="19"/>
        <v>3</v>
      </c>
      <c r="Z75" s="158">
        <f t="shared" si="20"/>
        <v>5</v>
      </c>
      <c r="AA75" s="158">
        <f t="shared" si="21"/>
        <v>11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187</v>
      </c>
      <c r="AN75" s="154">
        <v>186</v>
      </c>
      <c r="AO75" s="154">
        <v>265</v>
      </c>
      <c r="AP75" s="154">
        <v>59</v>
      </c>
      <c r="AQ75" s="154">
        <v>34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s">
        <v>19</v>
      </c>
      <c r="N76" s="156" t="s">
        <v>29</v>
      </c>
      <c r="O76" s="156" t="s">
        <v>27</v>
      </c>
      <c r="P76" s="156" t="s">
        <v>26</v>
      </c>
      <c r="Q76" s="156" t="s">
        <v>89</v>
      </c>
      <c r="R76" s="156" t="s">
        <v>89</v>
      </c>
      <c r="S76" s="157" t="s">
        <v>21</v>
      </c>
      <c r="U76" s="158">
        <f t="shared" si="22"/>
        <v>1</v>
      </c>
      <c r="V76" s="158">
        <f t="shared" si="16"/>
        <v>12</v>
      </c>
      <c r="W76" s="158">
        <f t="shared" si="17"/>
        <v>10</v>
      </c>
      <c r="X76" s="158">
        <f t="shared" si="18"/>
        <v>9</v>
      </c>
      <c r="Y76" s="158">
        <f t="shared" si="19"/>
        <v>7</v>
      </c>
      <c r="Z76" s="158">
        <f t="shared" si="20"/>
        <v>7</v>
      </c>
      <c r="AA76" s="158">
        <f t="shared" si="21"/>
        <v>3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321</v>
      </c>
      <c r="AN76" s="154">
        <v>272</v>
      </c>
      <c r="AO76" s="154">
        <v>269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29</v>
      </c>
      <c r="N77" s="38" t="s">
        <v>29</v>
      </c>
      <c r="O77" s="38" t="s">
        <v>24</v>
      </c>
      <c r="P77" s="38" t="s">
        <v>236</v>
      </c>
      <c r="Q77" s="38" t="s">
        <v>89</v>
      </c>
      <c r="R77" s="38" t="s">
        <v>27</v>
      </c>
      <c r="S77" s="24" t="s">
        <v>24</v>
      </c>
      <c r="U77" s="158">
        <f t="shared" si="22"/>
        <v>12</v>
      </c>
      <c r="V77" s="158">
        <f t="shared" si="16"/>
        <v>12</v>
      </c>
      <c r="W77" s="158">
        <f t="shared" si="17"/>
        <v>8</v>
      </c>
      <c r="X77" s="158">
        <f t="shared" si="18"/>
        <v>20</v>
      </c>
      <c r="Y77" s="158">
        <f t="shared" si="19"/>
        <v>7</v>
      </c>
      <c r="Z77" s="158">
        <f t="shared" si="20"/>
        <v>10</v>
      </c>
      <c r="AA77" s="158">
        <f t="shared" si="21"/>
        <v>8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1291</v>
      </c>
      <c r="AN77" s="154">
        <v>790</v>
      </c>
      <c r="AO77" s="154">
        <v>1213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26</v>
      </c>
      <c r="N78" s="38" t="s">
        <v>226</v>
      </c>
      <c r="O78" s="38" t="s">
        <v>232</v>
      </c>
      <c r="P78" s="38" t="s">
        <v>26</v>
      </c>
      <c r="Q78" s="38" t="s">
        <v>28</v>
      </c>
      <c r="R78" s="38" t="s">
        <v>26</v>
      </c>
      <c r="S78" s="24" t="s">
        <v>26</v>
      </c>
      <c r="U78" s="158">
        <f t="shared" si="22"/>
        <v>9</v>
      </c>
      <c r="V78" s="158">
        <f t="shared" si="16"/>
        <v>15</v>
      </c>
      <c r="W78" s="158">
        <f t="shared" si="17"/>
        <v>18</v>
      </c>
      <c r="X78" s="158">
        <f t="shared" si="18"/>
        <v>9</v>
      </c>
      <c r="Y78" s="158">
        <f t="shared" si="19"/>
        <v>11</v>
      </c>
      <c r="Z78" s="158">
        <f t="shared" si="20"/>
        <v>9</v>
      </c>
      <c r="AA78" s="158">
        <f t="shared" si="21"/>
        <v>9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3287</v>
      </c>
      <c r="AN78" s="154">
        <v>2562</v>
      </c>
      <c r="AO78" s="154">
        <v>3126</v>
      </c>
      <c r="AP78" s="154">
        <v>1280</v>
      </c>
      <c r="AQ78" s="154">
        <v>624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29</v>
      </c>
      <c r="N79" s="38" t="s">
        <v>27</v>
      </c>
      <c r="O79" s="38" t="s">
        <v>226</v>
      </c>
      <c r="P79" s="38" t="s">
        <v>28</v>
      </c>
      <c r="Q79" s="38" t="s">
        <v>18</v>
      </c>
      <c r="R79" s="38" t="s">
        <v>20</v>
      </c>
      <c r="S79" s="24" t="s">
        <v>29</v>
      </c>
      <c r="U79" s="158">
        <f t="shared" si="22"/>
        <v>12</v>
      </c>
      <c r="V79" s="158">
        <f t="shared" si="16"/>
        <v>10</v>
      </c>
      <c r="W79" s="158">
        <f t="shared" si="17"/>
        <v>15</v>
      </c>
      <c r="X79" s="158">
        <f t="shared" si="18"/>
        <v>11</v>
      </c>
      <c r="Y79" s="158">
        <f t="shared" si="19"/>
        <v>5</v>
      </c>
      <c r="Z79" s="158">
        <f t="shared" si="20"/>
        <v>2</v>
      </c>
      <c r="AA79" s="158">
        <f t="shared" si="21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842</v>
      </c>
      <c r="AN79" s="154">
        <v>3344</v>
      </c>
      <c r="AO79" s="154">
        <v>887</v>
      </c>
      <c r="AP79" s="154">
        <v>525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29</v>
      </c>
      <c r="N80" s="38" t="s">
        <v>26</v>
      </c>
      <c r="O80" s="38" t="s">
        <v>64</v>
      </c>
      <c r="P80" s="38" t="s">
        <v>242</v>
      </c>
      <c r="Q80" s="38" t="s">
        <v>24</v>
      </c>
      <c r="R80" s="38" t="s">
        <v>24</v>
      </c>
      <c r="S80" s="24" t="s">
        <v>28</v>
      </c>
      <c r="U80" s="158">
        <f t="shared" si="22"/>
        <v>12</v>
      </c>
      <c r="V80" s="158">
        <f t="shared" si="16"/>
        <v>9</v>
      </c>
      <c r="W80" s="158">
        <f t="shared" si="17"/>
        <v>6</v>
      </c>
      <c r="X80" s="158">
        <f t="shared" si="18"/>
        <v>23</v>
      </c>
      <c r="Y80" s="158">
        <f t="shared" si="19"/>
        <v>8</v>
      </c>
      <c r="Z80" s="158">
        <f t="shared" si="20"/>
        <v>8</v>
      </c>
      <c r="AA80" s="158">
        <f t="shared" si="21"/>
        <v>11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3166</v>
      </c>
      <c r="AN80" s="154">
        <v>780</v>
      </c>
      <c r="AO80" s="154">
        <v>3516</v>
      </c>
      <c r="AP80" s="154">
        <v>1547</v>
      </c>
      <c r="AQ80" s="154">
        <v>899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26</v>
      </c>
      <c r="N81" s="38" t="s">
        <v>238</v>
      </c>
      <c r="O81" s="38" t="s">
        <v>29</v>
      </c>
      <c r="P81" s="38" t="s">
        <v>240</v>
      </c>
      <c r="Q81" s="38" t="s">
        <v>24</v>
      </c>
      <c r="R81" s="38" t="s">
        <v>64</v>
      </c>
      <c r="S81" s="24" t="s">
        <v>27</v>
      </c>
      <c r="U81" s="158">
        <f t="shared" si="22"/>
        <v>9</v>
      </c>
      <c r="V81" s="158">
        <f t="shared" si="16"/>
        <v>21</v>
      </c>
      <c r="W81" s="158">
        <f t="shared" si="17"/>
        <v>12</v>
      </c>
      <c r="X81" s="158">
        <f t="shared" si="18"/>
        <v>22</v>
      </c>
      <c r="Y81" s="158">
        <f t="shared" si="19"/>
        <v>8</v>
      </c>
      <c r="Z81" s="158">
        <f t="shared" si="20"/>
        <v>6</v>
      </c>
      <c r="AA81" s="158">
        <f t="shared" si="21"/>
        <v>10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1725</v>
      </c>
      <c r="AN81" s="37">
        <v>4357</v>
      </c>
      <c r="AO81" s="37">
        <v>1834</v>
      </c>
      <c r="AP81" s="37">
        <v>660</v>
      </c>
      <c r="AQ81" s="37">
        <v>325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19</v>
      </c>
      <c r="N82" s="38" t="s">
        <v>26</v>
      </c>
      <c r="O82" s="38" t="s">
        <v>234</v>
      </c>
      <c r="P82" s="38" t="s">
        <v>29</v>
      </c>
      <c r="Q82" s="38" t="s">
        <v>24</v>
      </c>
      <c r="R82" s="38" t="s">
        <v>18</v>
      </c>
      <c r="S82" s="24" t="s">
        <v>18</v>
      </c>
      <c r="U82" s="158">
        <f t="shared" si="22"/>
        <v>1</v>
      </c>
      <c r="V82" s="158">
        <f t="shared" si="16"/>
        <v>9</v>
      </c>
      <c r="W82" s="158">
        <f t="shared" si="17"/>
        <v>19</v>
      </c>
      <c r="X82" s="158">
        <f t="shared" si="18"/>
        <v>12</v>
      </c>
      <c r="Y82" s="158">
        <f t="shared" si="19"/>
        <v>8</v>
      </c>
      <c r="Z82" s="158">
        <f t="shared" si="20"/>
        <v>5</v>
      </c>
      <c r="AA82" s="158">
        <f t="shared" si="21"/>
        <v>5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2710</v>
      </c>
      <c r="AN82" s="37">
        <v>1549</v>
      </c>
      <c r="AO82" s="37">
        <v>2865</v>
      </c>
      <c r="AP82" s="37">
        <v>1868</v>
      </c>
      <c r="AQ82" s="37">
        <v>784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236</v>
      </c>
      <c r="O83" s="38" t="s">
        <v>27</v>
      </c>
      <c r="P83" s="38" t="s">
        <v>240</v>
      </c>
      <c r="Q83" s="38" t="s">
        <v>230</v>
      </c>
      <c r="R83" s="38" t="s">
        <v>21</v>
      </c>
      <c r="S83" s="24" t="s">
        <v>18</v>
      </c>
      <c r="U83" s="158">
        <f t="shared" si="22"/>
        <v>11</v>
      </c>
      <c r="V83" s="158">
        <f t="shared" si="16"/>
        <v>20</v>
      </c>
      <c r="W83" s="158">
        <f t="shared" si="17"/>
        <v>10</v>
      </c>
      <c r="X83" s="158">
        <f t="shared" si="18"/>
        <v>22</v>
      </c>
      <c r="Y83" s="158">
        <f t="shared" si="19"/>
        <v>17</v>
      </c>
      <c r="Z83" s="158">
        <f t="shared" si="20"/>
        <v>3</v>
      </c>
      <c r="AA83" s="158">
        <f t="shared" si="21"/>
        <v>5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2186</v>
      </c>
      <c r="AN83" s="37">
        <v>4130</v>
      </c>
      <c r="AO83" s="37">
        <v>2626</v>
      </c>
      <c r="AP83" s="37">
        <v>995</v>
      </c>
      <c r="AQ83" s="37">
        <v>474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89</v>
      </c>
      <c r="N84" s="38" t="s">
        <v>27</v>
      </c>
      <c r="O84" s="38" t="s">
        <v>27</v>
      </c>
      <c r="P84" s="38" t="s">
        <v>26</v>
      </c>
      <c r="Q84" s="38" t="s">
        <v>27</v>
      </c>
      <c r="R84" s="38" t="s">
        <v>232</v>
      </c>
      <c r="S84" s="24" t="s">
        <v>18</v>
      </c>
      <c r="U84" s="158">
        <f t="shared" si="22"/>
        <v>7</v>
      </c>
      <c r="V84" s="158">
        <f t="shared" si="16"/>
        <v>10</v>
      </c>
      <c r="W84" s="158">
        <f t="shared" si="17"/>
        <v>10</v>
      </c>
      <c r="X84" s="158">
        <f t="shared" si="18"/>
        <v>9</v>
      </c>
      <c r="Y84" s="158">
        <f t="shared" si="19"/>
        <v>10</v>
      </c>
      <c r="Z84" s="158">
        <f t="shared" si="20"/>
        <v>18</v>
      </c>
      <c r="AA84" s="158">
        <f t="shared" si="21"/>
        <v>5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3406</v>
      </c>
      <c r="AN84" s="37">
        <v>2510</v>
      </c>
      <c r="AO84" s="37">
        <v>3755</v>
      </c>
      <c r="AP84" s="37">
        <v>2053</v>
      </c>
      <c r="AQ84" s="37">
        <v>1086</v>
      </c>
      <c r="AR84" s="37">
        <v>0</v>
      </c>
      <c r="AS84" s="4">
        <v>22</v>
      </c>
    </row>
    <row r="85" spans="12:45" x14ac:dyDescent="0.3">
      <c r="L85" s="15">
        <v>82</v>
      </c>
      <c r="M85" s="156" t="s">
        <v>29</v>
      </c>
      <c r="N85" s="156" t="s">
        <v>68</v>
      </c>
      <c r="O85" s="156" t="s">
        <v>228</v>
      </c>
      <c r="P85" s="156" t="s">
        <v>28</v>
      </c>
      <c r="Q85" s="156" t="s">
        <v>234</v>
      </c>
      <c r="R85" s="156" t="s">
        <v>228</v>
      </c>
      <c r="S85" s="157" t="s">
        <v>18</v>
      </c>
      <c r="U85" s="158">
        <f t="shared" si="22"/>
        <v>12</v>
      </c>
      <c r="V85" s="158">
        <f t="shared" si="16"/>
        <v>0</v>
      </c>
      <c r="W85" s="158">
        <f t="shared" si="17"/>
        <v>16</v>
      </c>
      <c r="X85" s="158">
        <f t="shared" si="18"/>
        <v>11</v>
      </c>
      <c r="Y85" s="158">
        <f t="shared" si="19"/>
        <v>19</v>
      </c>
      <c r="Z85" s="158">
        <f t="shared" si="20"/>
        <v>16</v>
      </c>
      <c r="AA85" s="158">
        <f t="shared" si="21"/>
        <v>5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2823</v>
      </c>
      <c r="AN85" s="37">
        <v>3024</v>
      </c>
      <c r="AO85" s="37">
        <v>3058</v>
      </c>
      <c r="AP85" s="37">
        <v>1434</v>
      </c>
      <c r="AQ85" s="37">
        <v>796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64</v>
      </c>
      <c r="N86" s="38" t="s">
        <v>64</v>
      </c>
      <c r="O86" s="38" t="s">
        <v>89</v>
      </c>
      <c r="P86" s="38" t="s">
        <v>28</v>
      </c>
      <c r="Q86" s="38" t="s">
        <v>64</v>
      </c>
      <c r="R86" s="38" t="s">
        <v>26</v>
      </c>
      <c r="S86" s="24" t="s">
        <v>89</v>
      </c>
      <c r="U86" s="158">
        <f t="shared" si="22"/>
        <v>6</v>
      </c>
      <c r="V86" s="158">
        <f t="shared" si="16"/>
        <v>6</v>
      </c>
      <c r="W86" s="158">
        <f t="shared" si="17"/>
        <v>7</v>
      </c>
      <c r="X86" s="158">
        <f t="shared" si="18"/>
        <v>11</v>
      </c>
      <c r="Y86" s="158">
        <f t="shared" si="19"/>
        <v>6</v>
      </c>
      <c r="Z86" s="158">
        <f t="shared" si="20"/>
        <v>9</v>
      </c>
      <c r="AA86" s="158">
        <f t="shared" si="21"/>
        <v>7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29</v>
      </c>
      <c r="N87" s="38" t="s">
        <v>230</v>
      </c>
      <c r="O87" s="38" t="s">
        <v>64</v>
      </c>
      <c r="P87" s="38" t="s">
        <v>21</v>
      </c>
      <c r="Q87" s="38" t="s">
        <v>27</v>
      </c>
      <c r="R87" s="38" t="s">
        <v>24</v>
      </c>
      <c r="S87" s="24" t="s">
        <v>24</v>
      </c>
      <c r="U87" s="158">
        <f t="shared" si="22"/>
        <v>12</v>
      </c>
      <c r="V87" s="158">
        <f t="shared" si="16"/>
        <v>17</v>
      </c>
      <c r="W87" s="158">
        <f t="shared" si="17"/>
        <v>6</v>
      </c>
      <c r="X87" s="158">
        <f t="shared" si="18"/>
        <v>3</v>
      </c>
      <c r="Y87" s="158">
        <f t="shared" si="19"/>
        <v>10</v>
      </c>
      <c r="Z87" s="158">
        <f t="shared" si="20"/>
        <v>8</v>
      </c>
      <c r="AA87" s="158">
        <f t="shared" si="21"/>
        <v>8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26</v>
      </c>
      <c r="N88" s="38" t="s">
        <v>29</v>
      </c>
      <c r="O88" s="38" t="s">
        <v>240</v>
      </c>
      <c r="P88" s="38" t="s">
        <v>27</v>
      </c>
      <c r="Q88" s="38" t="s">
        <v>26</v>
      </c>
      <c r="R88" s="38" t="s">
        <v>18</v>
      </c>
      <c r="S88" s="24" t="s">
        <v>28</v>
      </c>
      <c r="U88" s="158">
        <f t="shared" si="22"/>
        <v>9</v>
      </c>
      <c r="V88" s="158">
        <f t="shared" si="16"/>
        <v>12</v>
      </c>
      <c r="W88" s="158">
        <f t="shared" si="17"/>
        <v>22</v>
      </c>
      <c r="X88" s="158">
        <f t="shared" si="18"/>
        <v>10</v>
      </c>
      <c r="Y88" s="158">
        <f t="shared" si="19"/>
        <v>9</v>
      </c>
      <c r="Z88" s="158">
        <f t="shared" si="20"/>
        <v>5</v>
      </c>
      <c r="AA88" s="158">
        <f t="shared" si="21"/>
        <v>11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28</v>
      </c>
      <c r="N89" s="38" t="s">
        <v>29</v>
      </c>
      <c r="O89" s="38" t="s">
        <v>232</v>
      </c>
      <c r="P89" s="38" t="s">
        <v>24</v>
      </c>
      <c r="Q89" s="38" t="s">
        <v>24</v>
      </c>
      <c r="R89" s="38" t="s">
        <v>29</v>
      </c>
      <c r="S89" s="24" t="s">
        <v>26</v>
      </c>
      <c r="U89" s="158">
        <f t="shared" si="22"/>
        <v>11</v>
      </c>
      <c r="V89" s="158">
        <f t="shared" si="16"/>
        <v>12</v>
      </c>
      <c r="W89" s="158">
        <f t="shared" si="17"/>
        <v>18</v>
      </c>
      <c r="X89" s="158">
        <f t="shared" si="18"/>
        <v>8</v>
      </c>
      <c r="Y89" s="158">
        <f t="shared" si="19"/>
        <v>8</v>
      </c>
      <c r="Z89" s="158">
        <f t="shared" si="20"/>
        <v>12</v>
      </c>
      <c r="AA89" s="158">
        <f t="shared" si="21"/>
        <v>9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17</v>
      </c>
      <c r="N90" s="38" t="s">
        <v>29</v>
      </c>
      <c r="O90" s="38" t="s">
        <v>28</v>
      </c>
      <c r="P90" s="38" t="s">
        <v>240</v>
      </c>
      <c r="Q90" s="38" t="s">
        <v>89</v>
      </c>
      <c r="R90" s="38" t="s">
        <v>17</v>
      </c>
      <c r="S90" s="24" t="s">
        <v>89</v>
      </c>
      <c r="U90" s="158">
        <f t="shared" si="22"/>
        <v>4</v>
      </c>
      <c r="V90" s="158">
        <f t="shared" si="16"/>
        <v>12</v>
      </c>
      <c r="W90" s="158">
        <f t="shared" si="17"/>
        <v>11</v>
      </c>
      <c r="X90" s="158">
        <f t="shared" si="18"/>
        <v>22</v>
      </c>
      <c r="Y90" s="158">
        <f t="shared" si="19"/>
        <v>7</v>
      </c>
      <c r="Z90" s="158">
        <f t="shared" si="20"/>
        <v>4</v>
      </c>
      <c r="AA90" s="158">
        <f t="shared" si="21"/>
        <v>7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28</v>
      </c>
      <c r="N91" s="38" t="s">
        <v>17</v>
      </c>
      <c r="O91" s="38" t="s">
        <v>28</v>
      </c>
      <c r="P91" s="38" t="s">
        <v>21</v>
      </c>
      <c r="Q91" s="38" t="s">
        <v>17</v>
      </c>
      <c r="R91" s="38" t="s">
        <v>89</v>
      </c>
      <c r="S91" s="24" t="s">
        <v>64</v>
      </c>
      <c r="U91" s="158">
        <f t="shared" si="22"/>
        <v>11</v>
      </c>
      <c r="V91" s="158">
        <f t="shared" si="16"/>
        <v>4</v>
      </c>
      <c r="W91" s="158">
        <f t="shared" si="17"/>
        <v>11</v>
      </c>
      <c r="X91" s="158">
        <f t="shared" si="18"/>
        <v>3</v>
      </c>
      <c r="Y91" s="158">
        <f t="shared" si="19"/>
        <v>4</v>
      </c>
      <c r="Z91" s="158">
        <f t="shared" si="20"/>
        <v>7</v>
      </c>
      <c r="AA91" s="158">
        <f t="shared" si="21"/>
        <v>6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33822</v>
      </c>
      <c r="AN91" s="10">
        <v>42180</v>
      </c>
      <c r="AO91" s="10">
        <v>36435</v>
      </c>
      <c r="AP91" s="10">
        <v>30133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234</v>
      </c>
      <c r="O92" s="38" t="s">
        <v>29</v>
      </c>
      <c r="P92" s="38" t="s">
        <v>26</v>
      </c>
      <c r="Q92" s="38" t="s">
        <v>228</v>
      </c>
      <c r="R92" s="38" t="s">
        <v>27</v>
      </c>
      <c r="S92" s="24" t="s">
        <v>21</v>
      </c>
      <c r="U92" s="158">
        <f t="shared" si="22"/>
        <v>12</v>
      </c>
      <c r="V92" s="158">
        <f t="shared" si="16"/>
        <v>19</v>
      </c>
      <c r="W92" s="158">
        <f t="shared" si="17"/>
        <v>12</v>
      </c>
      <c r="X92" s="158">
        <f t="shared" si="18"/>
        <v>9</v>
      </c>
      <c r="Y92" s="158">
        <f t="shared" si="19"/>
        <v>16</v>
      </c>
      <c r="Z92" s="158">
        <f t="shared" si="20"/>
        <v>10</v>
      </c>
      <c r="AA92" s="158">
        <f t="shared" si="21"/>
        <v>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23735</v>
      </c>
      <c r="AM92" s="37">
        <v>26467</v>
      </c>
      <c r="AN92" s="37">
        <v>26591</v>
      </c>
      <c r="AO92" s="37">
        <v>33273</v>
      </c>
      <c r="AP92" s="37">
        <v>30534</v>
      </c>
      <c r="AQ92" s="37">
        <v>40327</v>
      </c>
      <c r="AR92" s="37">
        <v>40327</v>
      </c>
      <c r="AS92" s="4">
        <v>1</v>
      </c>
    </row>
    <row r="93" spans="12:45" x14ac:dyDescent="0.3">
      <c r="L93" s="15">
        <v>90</v>
      </c>
      <c r="M93" s="38" t="s">
        <v>24</v>
      </c>
      <c r="N93" s="38" t="s">
        <v>17</v>
      </c>
      <c r="O93" s="38" t="s">
        <v>24</v>
      </c>
      <c r="P93" s="38" t="s">
        <v>89</v>
      </c>
      <c r="Q93" s="38" t="s">
        <v>26</v>
      </c>
      <c r="R93" s="38" t="s">
        <v>89</v>
      </c>
      <c r="S93" s="24" t="s">
        <v>18</v>
      </c>
      <c r="U93" s="158">
        <f t="shared" si="22"/>
        <v>8</v>
      </c>
      <c r="V93" s="158">
        <f t="shared" si="16"/>
        <v>4</v>
      </c>
      <c r="W93" s="158">
        <f t="shared" si="17"/>
        <v>8</v>
      </c>
      <c r="X93" s="158">
        <f t="shared" si="18"/>
        <v>7</v>
      </c>
      <c r="Y93" s="158">
        <f t="shared" si="19"/>
        <v>9</v>
      </c>
      <c r="Z93" s="158">
        <f t="shared" si="20"/>
        <v>7</v>
      </c>
      <c r="AA93" s="158">
        <f t="shared" si="21"/>
        <v>5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7594</v>
      </c>
      <c r="AM93" s="154">
        <v>7831</v>
      </c>
      <c r="AN93" s="154">
        <v>7167</v>
      </c>
      <c r="AO93" s="154">
        <v>10274</v>
      </c>
      <c r="AP93" s="154">
        <v>5164</v>
      </c>
      <c r="AQ93" s="154">
        <v>6092</v>
      </c>
      <c r="AR93" s="154">
        <v>6126</v>
      </c>
      <c r="AS93" s="151">
        <v>2</v>
      </c>
    </row>
    <row r="94" spans="12:45" x14ac:dyDescent="0.3">
      <c r="L94" s="15">
        <v>91</v>
      </c>
      <c r="M94" s="156" t="s">
        <v>26</v>
      </c>
      <c r="N94" s="156" t="s">
        <v>28</v>
      </c>
      <c r="O94" s="156" t="s">
        <v>89</v>
      </c>
      <c r="P94" s="156" t="s">
        <v>232</v>
      </c>
      <c r="Q94" s="156" t="s">
        <v>27</v>
      </c>
      <c r="R94" s="156" t="s">
        <v>240</v>
      </c>
      <c r="S94" s="157" t="s">
        <v>89</v>
      </c>
      <c r="U94" s="158">
        <f t="shared" si="22"/>
        <v>9</v>
      </c>
      <c r="V94" s="158">
        <f t="shared" si="16"/>
        <v>11</v>
      </c>
      <c r="W94" s="158">
        <f t="shared" si="17"/>
        <v>7</v>
      </c>
      <c r="X94" s="158">
        <f t="shared" si="18"/>
        <v>18</v>
      </c>
      <c r="Y94" s="158">
        <f t="shared" si="19"/>
        <v>10</v>
      </c>
      <c r="Z94" s="158">
        <f t="shared" si="20"/>
        <v>22</v>
      </c>
      <c r="AA94" s="158">
        <f t="shared" si="21"/>
        <v>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11881</v>
      </c>
      <c r="AM94" s="154">
        <v>13425</v>
      </c>
      <c r="AN94" s="154">
        <v>10508</v>
      </c>
      <c r="AO94" s="154">
        <v>10421</v>
      </c>
      <c r="AP94" s="154">
        <v>9137</v>
      </c>
      <c r="AQ94" s="154">
        <v>13705</v>
      </c>
      <c r="AR94" s="154">
        <v>13783</v>
      </c>
      <c r="AS94" s="151">
        <v>3</v>
      </c>
    </row>
    <row r="95" spans="12:45" x14ac:dyDescent="0.3">
      <c r="L95" s="14">
        <v>92</v>
      </c>
      <c r="M95" s="38" t="s">
        <v>26</v>
      </c>
      <c r="N95" s="38" t="s">
        <v>27</v>
      </c>
      <c r="O95" s="38" t="s">
        <v>20</v>
      </c>
      <c r="P95" s="38" t="s">
        <v>27</v>
      </c>
      <c r="Q95" s="38" t="s">
        <v>27</v>
      </c>
      <c r="R95" s="38" t="s">
        <v>24</v>
      </c>
      <c r="S95" s="24" t="s">
        <v>24</v>
      </c>
      <c r="U95" s="158">
        <f t="shared" si="22"/>
        <v>9</v>
      </c>
      <c r="V95" s="158">
        <f t="shared" si="16"/>
        <v>10</v>
      </c>
      <c r="W95" s="158">
        <f t="shared" si="17"/>
        <v>2</v>
      </c>
      <c r="X95" s="158">
        <f t="shared" si="18"/>
        <v>10</v>
      </c>
      <c r="Y95" s="158">
        <f t="shared" si="19"/>
        <v>10</v>
      </c>
      <c r="Z95" s="158">
        <f t="shared" si="20"/>
        <v>8</v>
      </c>
      <c r="AA95" s="158">
        <f t="shared" si="21"/>
        <v>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32308</v>
      </c>
      <c r="AM95" s="154">
        <v>53993</v>
      </c>
      <c r="AN95" s="154">
        <v>30500</v>
      </c>
      <c r="AO95" s="154">
        <v>46965</v>
      </c>
      <c r="AP95" s="154">
        <v>4369</v>
      </c>
      <c r="AQ95" s="154">
        <v>15228</v>
      </c>
      <c r="AR95" s="154">
        <v>15314</v>
      </c>
      <c r="AS95" s="151">
        <v>4</v>
      </c>
    </row>
    <row r="96" spans="12:45" x14ac:dyDescent="0.3">
      <c r="L96" s="15">
        <v>93</v>
      </c>
      <c r="M96" s="38" t="s">
        <v>89</v>
      </c>
      <c r="N96" s="38" t="s">
        <v>89</v>
      </c>
      <c r="O96" s="38" t="s">
        <v>29</v>
      </c>
      <c r="P96" s="38" t="s">
        <v>230</v>
      </c>
      <c r="Q96" s="38" t="s">
        <v>64</v>
      </c>
      <c r="R96" s="38" t="s">
        <v>17</v>
      </c>
      <c r="S96" s="24" t="s">
        <v>26</v>
      </c>
      <c r="U96" s="158">
        <f t="shared" si="22"/>
        <v>7</v>
      </c>
      <c r="V96" s="158">
        <f t="shared" si="16"/>
        <v>7</v>
      </c>
      <c r="W96" s="158">
        <f t="shared" si="17"/>
        <v>12</v>
      </c>
      <c r="X96" s="158">
        <f t="shared" si="18"/>
        <v>17</v>
      </c>
      <c r="Y96" s="158">
        <f t="shared" si="19"/>
        <v>6</v>
      </c>
      <c r="Z96" s="158">
        <f t="shared" si="20"/>
        <v>4</v>
      </c>
      <c r="AA96" s="158">
        <f t="shared" si="21"/>
        <v>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95203</v>
      </c>
      <c r="AM96" s="154">
        <v>137486</v>
      </c>
      <c r="AN96" s="154">
        <v>98936</v>
      </c>
      <c r="AO96" s="154">
        <v>121084</v>
      </c>
      <c r="AP96" s="154">
        <v>112420</v>
      </c>
      <c r="AQ96" s="154">
        <v>110147</v>
      </c>
      <c r="AR96" s="154">
        <v>110771</v>
      </c>
      <c r="AS96" s="151">
        <v>5</v>
      </c>
    </row>
    <row r="97" spans="12:45" x14ac:dyDescent="0.3">
      <c r="L97" s="14">
        <v>94</v>
      </c>
      <c r="M97" s="38" t="s">
        <v>24</v>
      </c>
      <c r="N97" s="38" t="s">
        <v>18</v>
      </c>
      <c r="O97" s="38" t="s">
        <v>238</v>
      </c>
      <c r="P97" s="38" t="s">
        <v>18</v>
      </c>
      <c r="Q97" s="38" t="s">
        <v>27</v>
      </c>
      <c r="R97" s="38" t="s">
        <v>224</v>
      </c>
      <c r="S97" s="24" t="s">
        <v>18</v>
      </c>
      <c r="U97" s="158">
        <f t="shared" si="22"/>
        <v>8</v>
      </c>
      <c r="V97" s="158">
        <f t="shared" si="16"/>
        <v>5</v>
      </c>
      <c r="W97" s="158">
        <f t="shared" si="17"/>
        <v>21</v>
      </c>
      <c r="X97" s="158">
        <f t="shared" si="18"/>
        <v>5</v>
      </c>
      <c r="Y97" s="158">
        <f t="shared" si="19"/>
        <v>10</v>
      </c>
      <c r="Z97" s="158">
        <f t="shared" si="20"/>
        <v>14</v>
      </c>
      <c r="AA97" s="158">
        <f t="shared" si="21"/>
        <v>5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147805</v>
      </c>
      <c r="AM97" s="154">
        <v>35210</v>
      </c>
      <c r="AN97" s="154">
        <v>129167</v>
      </c>
      <c r="AO97" s="154">
        <v>34343</v>
      </c>
      <c r="AP97" s="154">
        <v>46080</v>
      </c>
      <c r="AQ97" s="154">
        <v>38069</v>
      </c>
      <c r="AR97" s="154">
        <v>38285</v>
      </c>
      <c r="AS97" s="151">
        <v>6</v>
      </c>
    </row>
    <row r="98" spans="12:45" x14ac:dyDescent="0.3">
      <c r="L98" s="15">
        <v>95</v>
      </c>
      <c r="M98" s="38" t="s">
        <v>29</v>
      </c>
      <c r="N98" s="38" t="s">
        <v>89</v>
      </c>
      <c r="O98" s="38" t="s">
        <v>89</v>
      </c>
      <c r="P98" s="38" t="s">
        <v>18</v>
      </c>
      <c r="Q98" s="38" t="s">
        <v>238</v>
      </c>
      <c r="R98" s="38" t="s">
        <v>28</v>
      </c>
      <c r="S98" s="24" t="s">
        <v>29</v>
      </c>
      <c r="U98" s="158">
        <f t="shared" si="22"/>
        <v>12</v>
      </c>
      <c r="V98" s="158">
        <f t="shared" si="16"/>
        <v>7</v>
      </c>
      <c r="W98" s="158">
        <f t="shared" si="17"/>
        <v>7</v>
      </c>
      <c r="X98" s="158">
        <f t="shared" si="18"/>
        <v>5</v>
      </c>
      <c r="Y98" s="158">
        <f t="shared" si="19"/>
        <v>21</v>
      </c>
      <c r="Z98" s="158">
        <f t="shared" si="20"/>
        <v>11</v>
      </c>
      <c r="AA98" s="158">
        <f t="shared" si="21"/>
        <v>12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33683</v>
      </c>
      <c r="AM98" s="154">
        <v>132422</v>
      </c>
      <c r="AN98" s="154">
        <v>30123</v>
      </c>
      <c r="AO98" s="154">
        <v>136200</v>
      </c>
      <c r="AP98" s="154">
        <v>135858</v>
      </c>
      <c r="AQ98" s="154">
        <v>158875</v>
      </c>
      <c r="AR98" s="154">
        <v>159774</v>
      </c>
      <c r="AS98" s="151">
        <v>7</v>
      </c>
    </row>
    <row r="99" spans="12:45" x14ac:dyDescent="0.3">
      <c r="L99" s="14">
        <v>96</v>
      </c>
      <c r="M99" s="38" t="s">
        <v>64</v>
      </c>
      <c r="N99" s="38" t="s">
        <v>230</v>
      </c>
      <c r="O99" s="38" t="s">
        <v>242</v>
      </c>
      <c r="P99" s="38" t="s">
        <v>26</v>
      </c>
      <c r="Q99" s="38" t="s">
        <v>242</v>
      </c>
      <c r="R99" s="38" t="s">
        <v>242</v>
      </c>
      <c r="S99" s="24" t="s">
        <v>28</v>
      </c>
      <c r="U99" s="158">
        <f t="shared" si="22"/>
        <v>6</v>
      </c>
      <c r="V99" s="158">
        <f t="shared" si="16"/>
        <v>17</v>
      </c>
      <c r="W99" s="158">
        <f t="shared" si="17"/>
        <v>23</v>
      </c>
      <c r="X99" s="158">
        <f t="shared" si="18"/>
        <v>9</v>
      </c>
      <c r="Y99" s="158">
        <f t="shared" si="19"/>
        <v>23</v>
      </c>
      <c r="Z99" s="158">
        <f t="shared" si="20"/>
        <v>23</v>
      </c>
      <c r="AA99" s="158">
        <f t="shared" si="2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172492</v>
      </c>
      <c r="AM99" s="37">
        <v>72128</v>
      </c>
      <c r="AN99" s="37">
        <v>168289</v>
      </c>
      <c r="AO99" s="37">
        <v>71036</v>
      </c>
      <c r="AP99" s="37">
        <v>57998</v>
      </c>
      <c r="AQ99" s="37">
        <v>57357</v>
      </c>
      <c r="AR99" s="37">
        <v>57682</v>
      </c>
      <c r="AS99" s="4">
        <v>8</v>
      </c>
    </row>
    <row r="100" spans="12:45" x14ac:dyDescent="0.3">
      <c r="L100" s="15">
        <v>97</v>
      </c>
      <c r="M100" s="38" t="s">
        <v>18</v>
      </c>
      <c r="N100" s="38" t="s">
        <v>24</v>
      </c>
      <c r="O100" s="38" t="s">
        <v>232</v>
      </c>
      <c r="P100" s="38" t="s">
        <v>26</v>
      </c>
      <c r="Q100" s="38" t="s">
        <v>64</v>
      </c>
      <c r="R100" s="38" t="s">
        <v>28</v>
      </c>
      <c r="S100" s="24" t="s">
        <v>21</v>
      </c>
      <c r="U100" s="158">
        <f t="shared" si="22"/>
        <v>5</v>
      </c>
      <c r="V100" s="158">
        <f t="shared" si="16"/>
        <v>8</v>
      </c>
      <c r="W100" s="158">
        <f t="shared" si="17"/>
        <v>18</v>
      </c>
      <c r="X100" s="158">
        <f t="shared" si="18"/>
        <v>9</v>
      </c>
      <c r="Y100" s="158">
        <f t="shared" si="19"/>
        <v>6</v>
      </c>
      <c r="Z100" s="158">
        <f t="shared" si="20"/>
        <v>11</v>
      </c>
      <c r="AA100" s="158">
        <f t="shared" si="21"/>
        <v>3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57365</v>
      </c>
      <c r="AM100" s="37">
        <v>113345</v>
      </c>
      <c r="AN100" s="37">
        <v>59814</v>
      </c>
      <c r="AO100" s="37">
        <v>110956</v>
      </c>
      <c r="AP100" s="37">
        <v>164062</v>
      </c>
      <c r="AQ100" s="37">
        <v>138572</v>
      </c>
      <c r="AR100" s="37">
        <v>139357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27</v>
      </c>
      <c r="O101" s="38" t="s">
        <v>26</v>
      </c>
      <c r="P101" s="38" t="s">
        <v>89</v>
      </c>
      <c r="Q101" s="38" t="s">
        <v>232</v>
      </c>
      <c r="R101" s="38" t="s">
        <v>232</v>
      </c>
      <c r="S101" s="24" t="s">
        <v>19</v>
      </c>
      <c r="U101" s="158">
        <f t="shared" si="22"/>
        <v>7</v>
      </c>
      <c r="V101" s="158">
        <f t="shared" si="16"/>
        <v>10</v>
      </c>
      <c r="W101" s="158">
        <f t="shared" si="17"/>
        <v>9</v>
      </c>
      <c r="X101" s="158">
        <f t="shared" si="18"/>
        <v>7</v>
      </c>
      <c r="Y101" s="158">
        <f t="shared" si="19"/>
        <v>18</v>
      </c>
      <c r="Z101" s="158">
        <f t="shared" si="20"/>
        <v>18</v>
      </c>
      <c r="AA101" s="158">
        <f t="shared" si="21"/>
        <v>1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177493</v>
      </c>
      <c r="AM101" s="37">
        <v>91441</v>
      </c>
      <c r="AN101" s="37">
        <v>159505</v>
      </c>
      <c r="AO101" s="37">
        <v>101710</v>
      </c>
      <c r="AP101" s="37">
        <v>87394</v>
      </c>
      <c r="AQ101" s="37">
        <v>83753</v>
      </c>
      <c r="AR101" s="37">
        <v>84227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28</v>
      </c>
      <c r="O102" s="38" t="s">
        <v>18</v>
      </c>
      <c r="P102" s="38" t="s">
        <v>232</v>
      </c>
      <c r="Q102" s="38" t="s">
        <v>24</v>
      </c>
      <c r="R102" s="38" t="s">
        <v>27</v>
      </c>
      <c r="S102" s="24" t="s">
        <v>26</v>
      </c>
      <c r="U102" s="158">
        <f t="shared" si="22"/>
        <v>7</v>
      </c>
      <c r="V102" s="158">
        <f t="shared" si="16"/>
        <v>11</v>
      </c>
      <c r="W102" s="158">
        <f t="shared" si="17"/>
        <v>5</v>
      </c>
      <c r="X102" s="158">
        <f t="shared" si="18"/>
        <v>18</v>
      </c>
      <c r="Y102" s="158">
        <f t="shared" si="19"/>
        <v>8</v>
      </c>
      <c r="Z102" s="158">
        <f t="shared" si="20"/>
        <v>10</v>
      </c>
      <c r="AA102" s="158">
        <f t="shared" si="21"/>
        <v>9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103405</v>
      </c>
      <c r="AM102" s="37">
        <v>142431</v>
      </c>
      <c r="AN102" s="37">
        <v>96943</v>
      </c>
      <c r="AO102" s="37">
        <v>145447</v>
      </c>
      <c r="AP102" s="37">
        <v>180350</v>
      </c>
      <c r="AQ102" s="37">
        <v>191870</v>
      </c>
      <c r="AR102" s="37">
        <v>192955</v>
      </c>
      <c r="AS102" s="4">
        <v>11</v>
      </c>
    </row>
    <row r="103" spans="12:45" x14ac:dyDescent="0.3">
      <c r="L103" s="15">
        <v>100</v>
      </c>
      <c r="M103" s="156" t="s">
        <v>28</v>
      </c>
      <c r="N103" s="156" t="s">
        <v>29</v>
      </c>
      <c r="O103" s="156" t="s">
        <v>17</v>
      </c>
      <c r="P103" s="156" t="s">
        <v>17</v>
      </c>
      <c r="Q103" s="156" t="s">
        <v>89</v>
      </c>
      <c r="R103" s="156" t="s">
        <v>19</v>
      </c>
      <c r="S103" s="157" t="s">
        <v>28</v>
      </c>
      <c r="U103" s="158">
        <f t="shared" si="22"/>
        <v>11</v>
      </c>
      <c r="V103" s="158">
        <f t="shared" si="16"/>
        <v>12</v>
      </c>
      <c r="W103" s="158">
        <f t="shared" si="17"/>
        <v>4</v>
      </c>
      <c r="X103" s="158">
        <f t="shared" si="18"/>
        <v>4</v>
      </c>
      <c r="Y103" s="158">
        <f t="shared" si="19"/>
        <v>7</v>
      </c>
      <c r="Z103" s="158">
        <f t="shared" si="20"/>
        <v>1</v>
      </c>
      <c r="AA103" s="158">
        <f t="shared" si="21"/>
        <v>11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137036</v>
      </c>
      <c r="AM103" s="37">
        <v>118055</v>
      </c>
      <c r="AN103" s="37">
        <v>116773</v>
      </c>
      <c r="AO103" s="37">
        <v>118442</v>
      </c>
      <c r="AP103" s="37">
        <v>125926</v>
      </c>
      <c r="AQ103" s="37">
        <v>140603</v>
      </c>
      <c r="AR103" s="37">
        <v>141399</v>
      </c>
      <c r="AS103" s="4">
        <v>12</v>
      </c>
    </row>
    <row r="104" spans="12:45" x14ac:dyDescent="0.3">
      <c r="L104" s="14">
        <v>101</v>
      </c>
      <c r="M104" s="38" t="s">
        <v>24</v>
      </c>
      <c r="N104" s="38" t="s">
        <v>64</v>
      </c>
      <c r="O104" s="38" t="s">
        <v>242</v>
      </c>
      <c r="P104" s="38" t="s">
        <v>29</v>
      </c>
      <c r="Q104" s="38" t="s">
        <v>26</v>
      </c>
      <c r="R104" s="38" t="s">
        <v>64</v>
      </c>
      <c r="S104" s="24" t="s">
        <v>18</v>
      </c>
      <c r="U104" s="158">
        <f t="shared" si="22"/>
        <v>8</v>
      </c>
      <c r="V104" s="158">
        <f t="shared" si="16"/>
        <v>6</v>
      </c>
      <c r="W104" s="158">
        <f t="shared" si="17"/>
        <v>23</v>
      </c>
      <c r="X104" s="158">
        <f t="shared" si="18"/>
        <v>12</v>
      </c>
      <c r="Y104" s="158">
        <f t="shared" si="19"/>
        <v>9</v>
      </c>
      <c r="Z104" s="158">
        <f t="shared" si="20"/>
        <v>6</v>
      </c>
      <c r="AA104" s="158">
        <f t="shared" si="21"/>
        <v>5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187</v>
      </c>
      <c r="AN104" s="154">
        <v>186</v>
      </c>
      <c r="AO104" s="154">
        <v>265</v>
      </c>
      <c r="AP104" s="154">
        <v>59</v>
      </c>
      <c r="AQ104" s="154">
        <v>34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89</v>
      </c>
      <c r="N105" s="38" t="s">
        <v>29</v>
      </c>
      <c r="O105" s="38" t="s">
        <v>18</v>
      </c>
      <c r="P105" s="38" t="s">
        <v>17</v>
      </c>
      <c r="Q105" s="38" t="s">
        <v>26</v>
      </c>
      <c r="R105" s="38" t="s">
        <v>21</v>
      </c>
      <c r="S105" s="24" t="s">
        <v>27</v>
      </c>
      <c r="U105" s="158">
        <f t="shared" si="22"/>
        <v>7</v>
      </c>
      <c r="V105" s="158">
        <f t="shared" si="16"/>
        <v>12</v>
      </c>
      <c r="W105" s="158">
        <f t="shared" si="17"/>
        <v>5</v>
      </c>
      <c r="X105" s="158">
        <f t="shared" si="18"/>
        <v>4</v>
      </c>
      <c r="Y105" s="158">
        <f t="shared" si="19"/>
        <v>9</v>
      </c>
      <c r="Z105" s="158">
        <f t="shared" si="20"/>
        <v>3</v>
      </c>
      <c r="AA105" s="158">
        <f t="shared" si="21"/>
        <v>10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321</v>
      </c>
      <c r="AN105" s="154">
        <v>272</v>
      </c>
      <c r="AO105" s="154">
        <v>269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18</v>
      </c>
      <c r="N106" s="38" t="s">
        <v>230</v>
      </c>
      <c r="O106" s="38" t="s">
        <v>29</v>
      </c>
      <c r="P106" s="38" t="s">
        <v>28</v>
      </c>
      <c r="Q106" s="38" t="s">
        <v>29</v>
      </c>
      <c r="R106" s="38" t="s">
        <v>68</v>
      </c>
      <c r="S106" s="24" t="s">
        <v>26</v>
      </c>
      <c r="U106" s="158">
        <f t="shared" si="22"/>
        <v>5</v>
      </c>
      <c r="V106" s="158">
        <f t="shared" si="16"/>
        <v>17</v>
      </c>
      <c r="W106" s="158">
        <f t="shared" si="17"/>
        <v>12</v>
      </c>
      <c r="X106" s="158">
        <f t="shared" si="18"/>
        <v>11</v>
      </c>
      <c r="Y106" s="158">
        <f t="shared" si="19"/>
        <v>12</v>
      </c>
      <c r="Z106" s="158">
        <f t="shared" si="20"/>
        <v>0</v>
      </c>
      <c r="AA106" s="158">
        <f t="shared" si="21"/>
        <v>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1291</v>
      </c>
      <c r="AN106" s="154">
        <v>790</v>
      </c>
      <c r="AO106" s="154">
        <v>1213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24</v>
      </c>
      <c r="N107" s="38" t="s">
        <v>242</v>
      </c>
      <c r="O107" s="38" t="s">
        <v>27</v>
      </c>
      <c r="P107" s="38" t="s">
        <v>29</v>
      </c>
      <c r="Q107" s="38" t="s">
        <v>24</v>
      </c>
      <c r="R107" s="38" t="s">
        <v>232</v>
      </c>
      <c r="S107" s="24" t="s">
        <v>26</v>
      </c>
      <c r="U107" s="158">
        <f t="shared" si="22"/>
        <v>8</v>
      </c>
      <c r="V107" s="158">
        <f t="shared" si="16"/>
        <v>23</v>
      </c>
      <c r="W107" s="158">
        <f t="shared" si="17"/>
        <v>10</v>
      </c>
      <c r="X107" s="158">
        <f t="shared" si="18"/>
        <v>12</v>
      </c>
      <c r="Y107" s="158">
        <f t="shared" si="19"/>
        <v>8</v>
      </c>
      <c r="Z107" s="158">
        <f t="shared" si="20"/>
        <v>18</v>
      </c>
      <c r="AA107" s="158">
        <f t="shared" si="21"/>
        <v>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3287</v>
      </c>
      <c r="AN107" s="154">
        <v>2562</v>
      </c>
      <c r="AO107" s="154">
        <v>3126</v>
      </c>
      <c r="AP107" s="154">
        <v>1280</v>
      </c>
      <c r="AQ107" s="154">
        <v>624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17</v>
      </c>
      <c r="N108" s="38" t="s">
        <v>27</v>
      </c>
      <c r="O108" s="38" t="s">
        <v>18</v>
      </c>
      <c r="P108" s="38" t="s">
        <v>28</v>
      </c>
      <c r="Q108" s="38" t="s">
        <v>26</v>
      </c>
      <c r="R108" s="38" t="s">
        <v>89</v>
      </c>
      <c r="S108" s="24" t="s">
        <v>26</v>
      </c>
      <c r="U108" s="158">
        <f t="shared" si="22"/>
        <v>4</v>
      </c>
      <c r="V108" s="158">
        <f t="shared" si="16"/>
        <v>10</v>
      </c>
      <c r="W108" s="158">
        <f t="shared" si="17"/>
        <v>5</v>
      </c>
      <c r="X108" s="158">
        <f t="shared" si="18"/>
        <v>11</v>
      </c>
      <c r="Y108" s="158">
        <f t="shared" si="19"/>
        <v>9</v>
      </c>
      <c r="Z108" s="158">
        <f t="shared" si="20"/>
        <v>7</v>
      </c>
      <c r="AA108" s="158">
        <f t="shared" si="21"/>
        <v>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842</v>
      </c>
      <c r="AN108" s="154">
        <v>3344</v>
      </c>
      <c r="AO108" s="154">
        <v>887</v>
      </c>
      <c r="AP108" s="154">
        <v>525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28</v>
      </c>
      <c r="N109" s="38" t="s">
        <v>89</v>
      </c>
      <c r="O109" s="38" t="s">
        <v>18</v>
      </c>
      <c r="P109" s="38" t="s">
        <v>24</v>
      </c>
      <c r="Q109" s="38" t="s">
        <v>242</v>
      </c>
      <c r="R109" s="38" t="s">
        <v>24</v>
      </c>
      <c r="S109" s="24" t="s">
        <v>26</v>
      </c>
      <c r="U109" s="158">
        <f t="shared" si="22"/>
        <v>11</v>
      </c>
      <c r="V109" s="158">
        <f t="shared" si="16"/>
        <v>7</v>
      </c>
      <c r="W109" s="158">
        <f t="shared" si="17"/>
        <v>5</v>
      </c>
      <c r="X109" s="158">
        <f t="shared" si="18"/>
        <v>8</v>
      </c>
      <c r="Y109" s="158">
        <f t="shared" si="19"/>
        <v>23</v>
      </c>
      <c r="Z109" s="158">
        <f t="shared" si="20"/>
        <v>8</v>
      </c>
      <c r="AA109" s="158">
        <f t="shared" si="21"/>
        <v>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3166</v>
      </c>
      <c r="AN109" s="154">
        <v>780</v>
      </c>
      <c r="AO109" s="154">
        <v>3516</v>
      </c>
      <c r="AP109" s="154">
        <v>1547</v>
      </c>
      <c r="AQ109" s="154">
        <v>899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18</v>
      </c>
      <c r="N110" s="38" t="s">
        <v>24</v>
      </c>
      <c r="O110" s="38" t="s">
        <v>234</v>
      </c>
      <c r="P110" s="38" t="s">
        <v>226</v>
      </c>
      <c r="Q110" s="38" t="s">
        <v>28</v>
      </c>
      <c r="R110" s="38" t="s">
        <v>26</v>
      </c>
      <c r="S110" s="24" t="s">
        <v>89</v>
      </c>
      <c r="U110" s="158">
        <f t="shared" si="22"/>
        <v>5</v>
      </c>
      <c r="V110" s="158">
        <f t="shared" si="16"/>
        <v>8</v>
      </c>
      <c r="W110" s="158">
        <f t="shared" si="17"/>
        <v>19</v>
      </c>
      <c r="X110" s="158">
        <f t="shared" si="18"/>
        <v>15</v>
      </c>
      <c r="Y110" s="158">
        <f t="shared" si="19"/>
        <v>11</v>
      </c>
      <c r="Z110" s="158">
        <f t="shared" si="20"/>
        <v>9</v>
      </c>
      <c r="AA110" s="158">
        <f t="shared" si="21"/>
        <v>7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1725</v>
      </c>
      <c r="AN110" s="37">
        <v>4357</v>
      </c>
      <c r="AO110" s="37">
        <v>1834</v>
      </c>
      <c r="AP110" s="37">
        <v>660</v>
      </c>
      <c r="AQ110" s="37">
        <v>325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24</v>
      </c>
      <c r="O111" s="38" t="s">
        <v>28</v>
      </c>
      <c r="P111" s="38" t="s">
        <v>26</v>
      </c>
      <c r="Q111" s="38" t="s">
        <v>230</v>
      </c>
      <c r="R111" s="38" t="s">
        <v>26</v>
      </c>
      <c r="S111" s="24" t="s">
        <v>19</v>
      </c>
      <c r="U111" s="158">
        <f t="shared" si="22"/>
        <v>12</v>
      </c>
      <c r="V111" s="158">
        <f t="shared" si="16"/>
        <v>8</v>
      </c>
      <c r="W111" s="158">
        <f t="shared" si="17"/>
        <v>11</v>
      </c>
      <c r="X111" s="158">
        <f t="shared" si="18"/>
        <v>9</v>
      </c>
      <c r="Y111" s="158">
        <f t="shared" si="19"/>
        <v>17</v>
      </c>
      <c r="Z111" s="158">
        <f t="shared" si="20"/>
        <v>9</v>
      </c>
      <c r="AA111" s="158">
        <f t="shared" si="21"/>
        <v>1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2710</v>
      </c>
      <c r="AN111" s="37">
        <v>1549</v>
      </c>
      <c r="AO111" s="37">
        <v>2865</v>
      </c>
      <c r="AP111" s="37">
        <v>1868</v>
      </c>
      <c r="AQ111" s="37">
        <v>784</v>
      </c>
      <c r="AR111" s="37">
        <v>0</v>
      </c>
      <c r="AS111" s="4">
        <v>20</v>
      </c>
    </row>
    <row r="112" spans="12:45" x14ac:dyDescent="0.3">
      <c r="L112" s="15">
        <v>109</v>
      </c>
      <c r="M112" s="156" t="s">
        <v>21</v>
      </c>
      <c r="N112" s="156" t="s">
        <v>21</v>
      </c>
      <c r="O112" s="156" t="s">
        <v>27</v>
      </c>
      <c r="P112" s="156" t="s">
        <v>18</v>
      </c>
      <c r="Q112" s="156" t="s">
        <v>89</v>
      </c>
      <c r="R112" s="156" t="s">
        <v>234</v>
      </c>
      <c r="S112" s="157" t="s">
        <v>28</v>
      </c>
      <c r="U112" s="158">
        <f t="shared" si="22"/>
        <v>3</v>
      </c>
      <c r="V112" s="158">
        <f t="shared" si="16"/>
        <v>3</v>
      </c>
      <c r="W112" s="158">
        <f t="shared" si="17"/>
        <v>10</v>
      </c>
      <c r="X112" s="158">
        <f t="shared" si="18"/>
        <v>5</v>
      </c>
      <c r="Y112" s="158">
        <f t="shared" si="19"/>
        <v>7</v>
      </c>
      <c r="Z112" s="158">
        <f t="shared" si="20"/>
        <v>19</v>
      </c>
      <c r="AA112" s="158">
        <f t="shared" si="21"/>
        <v>11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2186</v>
      </c>
      <c r="AN112" s="37">
        <v>4130</v>
      </c>
      <c r="AO112" s="37">
        <v>2626</v>
      </c>
      <c r="AP112" s="37">
        <v>995</v>
      </c>
      <c r="AQ112" s="37">
        <v>474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24</v>
      </c>
      <c r="N113" s="38" t="s">
        <v>27</v>
      </c>
      <c r="O113" s="38" t="s">
        <v>17</v>
      </c>
      <c r="P113" s="38" t="s">
        <v>17</v>
      </c>
      <c r="Q113" s="38" t="s">
        <v>238</v>
      </c>
      <c r="R113" s="38" t="s">
        <v>28</v>
      </c>
      <c r="S113" s="24" t="s">
        <v>29</v>
      </c>
      <c r="U113" s="158">
        <f t="shared" si="22"/>
        <v>8</v>
      </c>
      <c r="V113" s="158">
        <f t="shared" si="16"/>
        <v>10</v>
      </c>
      <c r="W113" s="158">
        <f t="shared" si="17"/>
        <v>4</v>
      </c>
      <c r="X113" s="158">
        <f t="shared" si="18"/>
        <v>4</v>
      </c>
      <c r="Y113" s="158">
        <f t="shared" si="19"/>
        <v>21</v>
      </c>
      <c r="Z113" s="158">
        <f t="shared" si="20"/>
        <v>11</v>
      </c>
      <c r="AA113" s="158">
        <f t="shared" si="21"/>
        <v>12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3406</v>
      </c>
      <c r="AN113" s="37">
        <v>2510</v>
      </c>
      <c r="AO113" s="37">
        <v>3755</v>
      </c>
      <c r="AP113" s="37">
        <v>2053</v>
      </c>
      <c r="AQ113" s="37">
        <v>1086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24</v>
      </c>
      <c r="O114" s="38" t="s">
        <v>26</v>
      </c>
      <c r="P114" s="38" t="s">
        <v>24</v>
      </c>
      <c r="Q114" s="38" t="s">
        <v>27</v>
      </c>
      <c r="R114" s="38" t="s">
        <v>236</v>
      </c>
      <c r="S114" s="24" t="s">
        <v>17</v>
      </c>
      <c r="U114" s="158">
        <f t="shared" si="22"/>
        <v>5</v>
      </c>
      <c r="V114" s="158">
        <f t="shared" si="16"/>
        <v>8</v>
      </c>
      <c r="W114" s="158">
        <f t="shared" si="17"/>
        <v>9</v>
      </c>
      <c r="X114" s="158">
        <f t="shared" si="18"/>
        <v>8</v>
      </c>
      <c r="Y114" s="158">
        <f t="shared" si="19"/>
        <v>10</v>
      </c>
      <c r="Z114" s="158">
        <f t="shared" si="20"/>
        <v>20</v>
      </c>
      <c r="AA114" s="158">
        <f t="shared" si="21"/>
        <v>4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2823</v>
      </c>
      <c r="AN114" s="37">
        <v>3024</v>
      </c>
      <c r="AO114" s="37">
        <v>3058</v>
      </c>
      <c r="AP114" s="37">
        <v>1434</v>
      </c>
      <c r="AQ114" s="37">
        <v>796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242</v>
      </c>
      <c r="O115" s="38" t="s">
        <v>29</v>
      </c>
      <c r="P115" s="38" t="s">
        <v>230</v>
      </c>
      <c r="Q115" s="38" t="s">
        <v>28</v>
      </c>
      <c r="R115" s="38" t="s">
        <v>26</v>
      </c>
      <c r="S115" s="24" t="s">
        <v>17</v>
      </c>
      <c r="U115" s="158">
        <f t="shared" si="22"/>
        <v>9</v>
      </c>
      <c r="V115" s="158">
        <f t="shared" si="16"/>
        <v>23</v>
      </c>
      <c r="W115" s="158">
        <f t="shared" si="17"/>
        <v>12</v>
      </c>
      <c r="X115" s="158">
        <f t="shared" si="18"/>
        <v>17</v>
      </c>
      <c r="Y115" s="158">
        <f t="shared" si="19"/>
        <v>11</v>
      </c>
      <c r="Z115" s="158">
        <f t="shared" si="20"/>
        <v>9</v>
      </c>
      <c r="AA115" s="158">
        <f t="shared" si="21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28</v>
      </c>
      <c r="N116" s="38" t="s">
        <v>29</v>
      </c>
      <c r="O116" s="38" t="s">
        <v>18</v>
      </c>
      <c r="P116" s="38" t="s">
        <v>230</v>
      </c>
      <c r="Q116" s="38" t="s">
        <v>21</v>
      </c>
      <c r="R116" s="38" t="s">
        <v>64</v>
      </c>
      <c r="S116" s="24" t="s">
        <v>17</v>
      </c>
      <c r="U116" s="158">
        <f t="shared" si="22"/>
        <v>11</v>
      </c>
      <c r="V116" s="158">
        <f t="shared" si="16"/>
        <v>12</v>
      </c>
      <c r="W116" s="158">
        <f t="shared" si="17"/>
        <v>5</v>
      </c>
      <c r="X116" s="158">
        <f t="shared" si="18"/>
        <v>17</v>
      </c>
      <c r="Y116" s="158">
        <f t="shared" si="19"/>
        <v>3</v>
      </c>
      <c r="Z116" s="158">
        <f t="shared" si="20"/>
        <v>6</v>
      </c>
      <c r="AA116" s="158">
        <f t="shared" si="21"/>
        <v>4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27</v>
      </c>
      <c r="N117" s="38" t="s">
        <v>64</v>
      </c>
      <c r="O117" s="38" t="s">
        <v>228</v>
      </c>
      <c r="P117" s="38" t="s">
        <v>89</v>
      </c>
      <c r="Q117" s="38" t="s">
        <v>21</v>
      </c>
      <c r="R117" s="38" t="s">
        <v>64</v>
      </c>
      <c r="S117" s="24" t="s">
        <v>17</v>
      </c>
      <c r="U117" s="158">
        <f t="shared" si="22"/>
        <v>10</v>
      </c>
      <c r="V117" s="158">
        <f t="shared" si="16"/>
        <v>6</v>
      </c>
      <c r="W117" s="158">
        <f t="shared" si="17"/>
        <v>16</v>
      </c>
      <c r="X117" s="158">
        <f t="shared" si="18"/>
        <v>7</v>
      </c>
      <c r="Y117" s="158">
        <f t="shared" si="19"/>
        <v>3</v>
      </c>
      <c r="Z117" s="158">
        <f t="shared" si="20"/>
        <v>6</v>
      </c>
      <c r="AA117" s="158">
        <f t="shared" si="21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28</v>
      </c>
      <c r="N118" s="38" t="s">
        <v>29</v>
      </c>
      <c r="O118" s="38" t="s">
        <v>89</v>
      </c>
      <c r="P118" s="38" t="s">
        <v>26</v>
      </c>
      <c r="Q118" s="38" t="s">
        <v>27</v>
      </c>
      <c r="R118" s="38" t="s">
        <v>24</v>
      </c>
      <c r="S118" s="24" t="s">
        <v>89</v>
      </c>
      <c r="U118" s="158">
        <f t="shared" si="22"/>
        <v>11</v>
      </c>
      <c r="V118" s="158">
        <f t="shared" si="16"/>
        <v>12</v>
      </c>
      <c r="W118" s="158">
        <f t="shared" si="17"/>
        <v>7</v>
      </c>
      <c r="X118" s="158">
        <f t="shared" si="18"/>
        <v>9</v>
      </c>
      <c r="Y118" s="158">
        <f t="shared" si="19"/>
        <v>10</v>
      </c>
      <c r="Z118" s="158">
        <f t="shared" si="20"/>
        <v>8</v>
      </c>
      <c r="AA118" s="158">
        <f t="shared" si="21"/>
        <v>7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24</v>
      </c>
      <c r="O119" s="38" t="s">
        <v>26</v>
      </c>
      <c r="P119" s="38" t="s">
        <v>24</v>
      </c>
      <c r="Q119" s="38" t="s">
        <v>18</v>
      </c>
      <c r="R119" s="38" t="s">
        <v>26</v>
      </c>
      <c r="S119" s="24" t="s">
        <v>26</v>
      </c>
      <c r="U119" s="158">
        <f t="shared" si="22"/>
        <v>9</v>
      </c>
      <c r="V119" s="158">
        <f t="shared" si="16"/>
        <v>8</v>
      </c>
      <c r="W119" s="158">
        <f t="shared" si="17"/>
        <v>9</v>
      </c>
      <c r="X119" s="158">
        <f t="shared" si="18"/>
        <v>8</v>
      </c>
      <c r="Y119" s="158">
        <f t="shared" si="19"/>
        <v>5</v>
      </c>
      <c r="Z119" s="158">
        <f t="shared" si="20"/>
        <v>9</v>
      </c>
      <c r="AA119" s="158">
        <f t="shared" si="21"/>
        <v>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89</v>
      </c>
      <c r="N120" s="38" t="s">
        <v>24</v>
      </c>
      <c r="O120" s="38" t="s">
        <v>64</v>
      </c>
      <c r="P120" s="38" t="s">
        <v>17</v>
      </c>
      <c r="Q120" s="38" t="s">
        <v>28</v>
      </c>
      <c r="R120" s="38" t="s">
        <v>89</v>
      </c>
      <c r="S120" s="24" t="s">
        <v>27</v>
      </c>
      <c r="U120" s="158">
        <f t="shared" si="22"/>
        <v>7</v>
      </c>
      <c r="V120" s="158">
        <f t="shared" si="16"/>
        <v>8</v>
      </c>
      <c r="W120" s="158">
        <f t="shared" si="17"/>
        <v>6</v>
      </c>
      <c r="X120" s="158">
        <f t="shared" si="18"/>
        <v>4</v>
      </c>
      <c r="Y120" s="158">
        <f t="shared" si="19"/>
        <v>11</v>
      </c>
      <c r="Z120" s="158">
        <f t="shared" si="20"/>
        <v>7</v>
      </c>
      <c r="AA120" s="158">
        <f t="shared" si="21"/>
        <v>10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33822</v>
      </c>
      <c r="AN120" s="10">
        <v>42180</v>
      </c>
      <c r="AO120" s="10">
        <v>36435</v>
      </c>
      <c r="AP120" s="10">
        <v>30133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s">
        <v>26</v>
      </c>
      <c r="N121" s="156" t="s">
        <v>89</v>
      </c>
      <c r="O121" s="156" t="s">
        <v>228</v>
      </c>
      <c r="P121" s="156" t="s">
        <v>226</v>
      </c>
      <c r="Q121" s="156" t="s">
        <v>29</v>
      </c>
      <c r="R121" s="156" t="s">
        <v>89</v>
      </c>
      <c r="S121" s="157" t="s">
        <v>28</v>
      </c>
      <c r="U121" s="158">
        <f t="shared" si="22"/>
        <v>9</v>
      </c>
      <c r="V121" s="158">
        <f t="shared" si="16"/>
        <v>7</v>
      </c>
      <c r="W121" s="158">
        <f t="shared" si="17"/>
        <v>16</v>
      </c>
      <c r="X121" s="158">
        <f t="shared" si="18"/>
        <v>15</v>
      </c>
      <c r="Y121" s="158">
        <f t="shared" si="19"/>
        <v>12</v>
      </c>
      <c r="Z121" s="158">
        <f t="shared" si="20"/>
        <v>7</v>
      </c>
      <c r="AA121" s="158">
        <f t="shared" si="21"/>
        <v>11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23735</v>
      </c>
      <c r="AM121" s="37">
        <v>26467</v>
      </c>
      <c r="AN121" s="37">
        <v>26591</v>
      </c>
      <c r="AO121" s="37">
        <v>33273</v>
      </c>
      <c r="AP121" s="37">
        <v>30534</v>
      </c>
      <c r="AQ121" s="37">
        <v>40327</v>
      </c>
      <c r="AR121" s="37">
        <v>40327</v>
      </c>
      <c r="AS121" s="4">
        <v>1</v>
      </c>
    </row>
    <row r="122" spans="12:46" x14ac:dyDescent="0.3">
      <c r="L122" s="14">
        <v>119</v>
      </c>
      <c r="M122" s="38" t="s">
        <v>26</v>
      </c>
      <c r="N122" s="38" t="s">
        <v>64</v>
      </c>
      <c r="O122" s="38" t="s">
        <v>28</v>
      </c>
      <c r="P122" s="38" t="s">
        <v>64</v>
      </c>
      <c r="Q122" s="38" t="s">
        <v>27</v>
      </c>
      <c r="R122" s="38" t="s">
        <v>64</v>
      </c>
      <c r="S122" s="24" t="s">
        <v>29</v>
      </c>
      <c r="U122" s="158">
        <f t="shared" si="22"/>
        <v>9</v>
      </c>
      <c r="V122" s="158">
        <f t="shared" si="16"/>
        <v>6</v>
      </c>
      <c r="W122" s="158">
        <f t="shared" si="17"/>
        <v>11</v>
      </c>
      <c r="X122" s="158">
        <f t="shared" si="18"/>
        <v>6</v>
      </c>
      <c r="Y122" s="158">
        <f t="shared" si="19"/>
        <v>10</v>
      </c>
      <c r="Z122" s="158">
        <f t="shared" si="20"/>
        <v>6</v>
      </c>
      <c r="AA122" s="158">
        <f t="shared" si="21"/>
        <v>12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7594</v>
      </c>
      <c r="AM122" s="154">
        <v>7831</v>
      </c>
      <c r="AN122" s="154">
        <v>7167</v>
      </c>
      <c r="AO122" s="154">
        <v>10274</v>
      </c>
      <c r="AP122" s="154">
        <v>5164</v>
      </c>
      <c r="AQ122" s="154">
        <v>6092</v>
      </c>
      <c r="AR122" s="154">
        <v>6126</v>
      </c>
      <c r="AS122" s="151">
        <v>2</v>
      </c>
    </row>
    <row r="123" spans="12:46" x14ac:dyDescent="0.3">
      <c r="L123" s="15">
        <v>120</v>
      </c>
      <c r="M123" s="38" t="s">
        <v>29</v>
      </c>
      <c r="N123" s="38" t="s">
        <v>228</v>
      </c>
      <c r="O123" s="38" t="s">
        <v>21</v>
      </c>
      <c r="P123" s="38" t="s">
        <v>17</v>
      </c>
      <c r="Q123" s="38" t="s">
        <v>24</v>
      </c>
      <c r="R123" s="38" t="s">
        <v>18</v>
      </c>
      <c r="S123" s="24" t="s">
        <v>24</v>
      </c>
      <c r="U123" s="158">
        <f t="shared" si="22"/>
        <v>12</v>
      </c>
      <c r="V123" s="158">
        <f t="shared" si="16"/>
        <v>16</v>
      </c>
      <c r="W123" s="158">
        <f t="shared" si="17"/>
        <v>3</v>
      </c>
      <c r="X123" s="158">
        <f t="shared" si="18"/>
        <v>4</v>
      </c>
      <c r="Y123" s="158">
        <f t="shared" si="19"/>
        <v>8</v>
      </c>
      <c r="Z123" s="158">
        <f t="shared" si="20"/>
        <v>5</v>
      </c>
      <c r="AA123" s="158">
        <f t="shared" si="21"/>
        <v>8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11881</v>
      </c>
      <c r="AM123" s="154">
        <v>13425</v>
      </c>
      <c r="AN123" s="154">
        <v>10508</v>
      </c>
      <c r="AO123" s="154">
        <v>10421</v>
      </c>
      <c r="AP123" s="154">
        <v>9137</v>
      </c>
      <c r="AQ123" s="154">
        <v>13705</v>
      </c>
      <c r="AR123" s="154">
        <v>13783</v>
      </c>
      <c r="AS123" s="151">
        <v>3</v>
      </c>
    </row>
    <row r="124" spans="12:46" x14ac:dyDescent="0.3">
      <c r="L124" s="14">
        <v>121</v>
      </c>
      <c r="M124" s="38" t="s">
        <v>26</v>
      </c>
      <c r="N124" s="38" t="s">
        <v>27</v>
      </c>
      <c r="O124" s="38" t="s">
        <v>64</v>
      </c>
      <c r="P124" s="38" t="s">
        <v>240</v>
      </c>
      <c r="Q124" s="38" t="s">
        <v>224</v>
      </c>
      <c r="R124" s="38" t="s">
        <v>29</v>
      </c>
      <c r="S124" s="24" t="s">
        <v>26</v>
      </c>
      <c r="U124" s="158">
        <f t="shared" si="22"/>
        <v>9</v>
      </c>
      <c r="V124" s="158">
        <f t="shared" si="16"/>
        <v>10</v>
      </c>
      <c r="W124" s="158">
        <f t="shared" si="17"/>
        <v>6</v>
      </c>
      <c r="X124" s="158">
        <f t="shared" si="18"/>
        <v>22</v>
      </c>
      <c r="Y124" s="158">
        <f t="shared" si="19"/>
        <v>14</v>
      </c>
      <c r="Z124" s="158">
        <f t="shared" si="20"/>
        <v>12</v>
      </c>
      <c r="AA124" s="158">
        <f t="shared" si="21"/>
        <v>9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32308</v>
      </c>
      <c r="AM124" s="154">
        <v>53993</v>
      </c>
      <c r="AN124" s="154">
        <v>30500</v>
      </c>
      <c r="AO124" s="154">
        <v>46965</v>
      </c>
      <c r="AP124" s="154">
        <v>4369</v>
      </c>
      <c r="AQ124" s="154">
        <v>15228</v>
      </c>
      <c r="AR124" s="154">
        <v>15314</v>
      </c>
      <c r="AS124" s="151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64</v>
      </c>
      <c r="P125" s="38" t="s">
        <v>18</v>
      </c>
      <c r="Q125" s="38" t="s">
        <v>21</v>
      </c>
      <c r="R125" s="38" t="s">
        <v>24</v>
      </c>
      <c r="S125" s="24" t="s">
        <v>28</v>
      </c>
      <c r="U125" s="158">
        <f t="shared" si="22"/>
        <v>7</v>
      </c>
      <c r="V125" s="158">
        <f t="shared" si="16"/>
        <v>10</v>
      </c>
      <c r="W125" s="158">
        <f t="shared" si="17"/>
        <v>6</v>
      </c>
      <c r="X125" s="158">
        <f t="shared" si="18"/>
        <v>5</v>
      </c>
      <c r="Y125" s="158">
        <f t="shared" si="19"/>
        <v>3</v>
      </c>
      <c r="Z125" s="158">
        <f t="shared" si="20"/>
        <v>8</v>
      </c>
      <c r="AA125" s="158">
        <f t="shared" si="21"/>
        <v>11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95203</v>
      </c>
      <c r="AM125" s="154">
        <v>137486</v>
      </c>
      <c r="AN125" s="154">
        <v>98936</v>
      </c>
      <c r="AO125" s="154">
        <v>121084</v>
      </c>
      <c r="AP125" s="154">
        <v>112420</v>
      </c>
      <c r="AQ125" s="154">
        <v>110147</v>
      </c>
      <c r="AR125" s="154">
        <v>110771</v>
      </c>
      <c r="AS125" s="151">
        <v>5</v>
      </c>
    </row>
    <row r="126" spans="12:46" x14ac:dyDescent="0.3">
      <c r="L126" s="14">
        <v>123</v>
      </c>
      <c r="M126" s="38" t="s">
        <v>29</v>
      </c>
      <c r="N126" s="38" t="s">
        <v>238</v>
      </c>
      <c r="O126" s="38" t="s">
        <v>226</v>
      </c>
      <c r="P126" s="38" t="s">
        <v>236</v>
      </c>
      <c r="Q126" s="38" t="s">
        <v>242</v>
      </c>
      <c r="R126" s="38" t="s">
        <v>26</v>
      </c>
      <c r="S126" s="24" t="s">
        <v>89</v>
      </c>
      <c r="U126" s="158">
        <f t="shared" si="22"/>
        <v>12</v>
      </c>
      <c r="V126" s="158">
        <f t="shared" si="16"/>
        <v>21</v>
      </c>
      <c r="W126" s="158">
        <f t="shared" si="17"/>
        <v>15</v>
      </c>
      <c r="X126" s="158">
        <f t="shared" si="18"/>
        <v>20</v>
      </c>
      <c r="Y126" s="158">
        <f t="shared" si="19"/>
        <v>23</v>
      </c>
      <c r="Z126" s="158">
        <f t="shared" si="20"/>
        <v>9</v>
      </c>
      <c r="AA126" s="158">
        <f t="shared" si="21"/>
        <v>7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147805</v>
      </c>
      <c r="AM126" s="154">
        <v>35210</v>
      </c>
      <c r="AN126" s="154">
        <v>129167</v>
      </c>
      <c r="AO126" s="154">
        <v>34343</v>
      </c>
      <c r="AP126" s="154">
        <v>46080</v>
      </c>
      <c r="AQ126" s="154">
        <v>38069</v>
      </c>
      <c r="AR126" s="154">
        <v>38285</v>
      </c>
      <c r="AS126" s="151">
        <v>6</v>
      </c>
    </row>
    <row r="127" spans="12:46" x14ac:dyDescent="0.3">
      <c r="L127" s="15">
        <v>124</v>
      </c>
      <c r="M127" s="38" t="s">
        <v>28</v>
      </c>
      <c r="N127" s="38" t="s">
        <v>64</v>
      </c>
      <c r="O127" s="38" t="s">
        <v>228</v>
      </c>
      <c r="P127" s="38" t="s">
        <v>64</v>
      </c>
      <c r="Q127" s="38" t="s">
        <v>17</v>
      </c>
      <c r="R127" s="38" t="s">
        <v>28</v>
      </c>
      <c r="S127" s="24" t="s">
        <v>24</v>
      </c>
      <c r="U127" s="158">
        <f t="shared" si="22"/>
        <v>11</v>
      </c>
      <c r="V127" s="158">
        <f t="shared" si="16"/>
        <v>6</v>
      </c>
      <c r="W127" s="158">
        <f t="shared" si="17"/>
        <v>16</v>
      </c>
      <c r="X127" s="158">
        <f t="shared" si="18"/>
        <v>6</v>
      </c>
      <c r="Y127" s="158">
        <f t="shared" si="19"/>
        <v>4</v>
      </c>
      <c r="Z127" s="158">
        <f t="shared" si="20"/>
        <v>11</v>
      </c>
      <c r="AA127" s="158">
        <f t="shared" si="21"/>
        <v>8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33683</v>
      </c>
      <c r="AM127" s="154">
        <v>132422</v>
      </c>
      <c r="AN127" s="154">
        <v>30123</v>
      </c>
      <c r="AO127" s="154">
        <v>136200</v>
      </c>
      <c r="AP127" s="154">
        <v>135858</v>
      </c>
      <c r="AQ127" s="154">
        <v>158875</v>
      </c>
      <c r="AR127" s="154">
        <v>159774</v>
      </c>
      <c r="AS127" s="151">
        <v>7</v>
      </c>
    </row>
    <row r="128" spans="12:46" x14ac:dyDescent="0.3">
      <c r="L128" s="14">
        <v>125</v>
      </c>
      <c r="M128" s="38" t="s">
        <v>89</v>
      </c>
      <c r="N128" s="38" t="s">
        <v>234</v>
      </c>
      <c r="O128" s="38" t="s">
        <v>26</v>
      </c>
      <c r="P128" s="38" t="s">
        <v>18</v>
      </c>
      <c r="Q128" s="38" t="s">
        <v>17</v>
      </c>
      <c r="R128" s="38" t="s">
        <v>27</v>
      </c>
      <c r="S128" s="24" t="s">
        <v>21</v>
      </c>
      <c r="U128" s="158">
        <f t="shared" si="22"/>
        <v>7</v>
      </c>
      <c r="V128" s="158">
        <f t="shared" si="16"/>
        <v>19</v>
      </c>
      <c r="W128" s="158">
        <f t="shared" si="17"/>
        <v>9</v>
      </c>
      <c r="X128" s="158">
        <f t="shared" si="18"/>
        <v>5</v>
      </c>
      <c r="Y128" s="158">
        <f t="shared" si="19"/>
        <v>4</v>
      </c>
      <c r="Z128" s="158">
        <f t="shared" si="20"/>
        <v>10</v>
      </c>
      <c r="AA128" s="158">
        <f t="shared" si="21"/>
        <v>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172492</v>
      </c>
      <c r="AM128" s="37">
        <v>72128</v>
      </c>
      <c r="AN128" s="37">
        <v>168289</v>
      </c>
      <c r="AO128" s="37">
        <v>71036</v>
      </c>
      <c r="AP128" s="37">
        <v>57998</v>
      </c>
      <c r="AQ128" s="37">
        <v>57357</v>
      </c>
      <c r="AR128" s="37">
        <v>57682</v>
      </c>
      <c r="AS128" s="4">
        <v>8</v>
      </c>
      <c r="AT128" s="9"/>
    </row>
    <row r="129" spans="12:46" x14ac:dyDescent="0.3">
      <c r="L129" s="15">
        <v>126</v>
      </c>
      <c r="M129" s="38" t="s">
        <v>26</v>
      </c>
      <c r="N129" s="38" t="s">
        <v>27</v>
      </c>
      <c r="O129" s="38" t="s">
        <v>29</v>
      </c>
      <c r="P129" s="38" t="s">
        <v>68</v>
      </c>
      <c r="Q129" s="38" t="s">
        <v>21</v>
      </c>
      <c r="R129" s="38" t="s">
        <v>28</v>
      </c>
      <c r="S129" s="24" t="s">
        <v>18</v>
      </c>
      <c r="U129" s="158">
        <f t="shared" si="22"/>
        <v>9</v>
      </c>
      <c r="V129" s="158">
        <f t="shared" si="16"/>
        <v>10</v>
      </c>
      <c r="W129" s="158">
        <f t="shared" si="17"/>
        <v>12</v>
      </c>
      <c r="X129" s="158">
        <f t="shared" si="18"/>
        <v>0</v>
      </c>
      <c r="Y129" s="158">
        <f t="shared" si="19"/>
        <v>3</v>
      </c>
      <c r="Z129" s="158">
        <f t="shared" si="20"/>
        <v>11</v>
      </c>
      <c r="AA129" s="158">
        <f t="shared" si="21"/>
        <v>5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57365</v>
      </c>
      <c r="AM129" s="37">
        <v>113345</v>
      </c>
      <c r="AN129" s="37">
        <v>59814</v>
      </c>
      <c r="AO129" s="37">
        <v>110956</v>
      </c>
      <c r="AP129" s="37">
        <v>164062</v>
      </c>
      <c r="AQ129" s="37">
        <v>138572</v>
      </c>
      <c r="AR129" s="37">
        <v>139357</v>
      </c>
      <c r="AS129" s="4">
        <v>9</v>
      </c>
      <c r="AT129" s="9"/>
    </row>
    <row r="130" spans="12:46" x14ac:dyDescent="0.3">
      <c r="L130" s="15">
        <v>127</v>
      </c>
      <c r="M130" s="156" t="s">
        <v>21</v>
      </c>
      <c r="N130" s="156" t="s">
        <v>27</v>
      </c>
      <c r="O130" s="156" t="s">
        <v>24</v>
      </c>
      <c r="P130" s="156" t="s">
        <v>28</v>
      </c>
      <c r="Q130" s="156" t="s">
        <v>230</v>
      </c>
      <c r="R130" s="156" t="s">
        <v>228</v>
      </c>
      <c r="S130" s="157" t="s">
        <v>89</v>
      </c>
      <c r="U130" s="158">
        <f t="shared" si="22"/>
        <v>3</v>
      </c>
      <c r="V130" s="158">
        <f t="shared" si="16"/>
        <v>10</v>
      </c>
      <c r="W130" s="158">
        <f t="shared" si="17"/>
        <v>8</v>
      </c>
      <c r="X130" s="158">
        <f t="shared" si="18"/>
        <v>11</v>
      </c>
      <c r="Y130" s="158">
        <f t="shared" si="19"/>
        <v>17</v>
      </c>
      <c r="Z130" s="158">
        <f t="shared" si="20"/>
        <v>16</v>
      </c>
      <c r="AA130" s="158">
        <f t="shared" si="21"/>
        <v>7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177493</v>
      </c>
      <c r="AM130" s="37">
        <v>91441</v>
      </c>
      <c r="AN130" s="37">
        <v>159505</v>
      </c>
      <c r="AO130" s="37">
        <v>101710</v>
      </c>
      <c r="AP130" s="37">
        <v>87394</v>
      </c>
      <c r="AQ130" s="37">
        <v>83753</v>
      </c>
      <c r="AR130" s="37">
        <v>84227</v>
      </c>
      <c r="AS130" s="4">
        <v>10</v>
      </c>
      <c r="AT130" s="9"/>
    </row>
    <row r="131" spans="12:46" x14ac:dyDescent="0.3">
      <c r="L131" s="14">
        <v>128</v>
      </c>
      <c r="M131" s="38" t="s">
        <v>28</v>
      </c>
      <c r="N131" s="38" t="s">
        <v>26</v>
      </c>
      <c r="O131" s="38" t="s">
        <v>17</v>
      </c>
      <c r="P131" s="38" t="s">
        <v>28</v>
      </c>
      <c r="Q131" s="38" t="s">
        <v>89</v>
      </c>
      <c r="R131" s="38" t="s">
        <v>18</v>
      </c>
      <c r="S131" s="24" t="s">
        <v>26</v>
      </c>
      <c r="U131" s="158">
        <f t="shared" si="22"/>
        <v>11</v>
      </c>
      <c r="V131" s="158">
        <f t="shared" si="16"/>
        <v>9</v>
      </c>
      <c r="W131" s="158">
        <f t="shared" si="17"/>
        <v>4</v>
      </c>
      <c r="X131" s="158">
        <f t="shared" si="18"/>
        <v>11</v>
      </c>
      <c r="Y131" s="158">
        <f t="shared" si="19"/>
        <v>7</v>
      </c>
      <c r="Z131" s="158">
        <f t="shared" si="20"/>
        <v>5</v>
      </c>
      <c r="AA131" s="158">
        <f t="shared" si="21"/>
        <v>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103405</v>
      </c>
      <c r="AM131" s="37">
        <v>142431</v>
      </c>
      <c r="AN131" s="37">
        <v>96943</v>
      </c>
      <c r="AO131" s="37">
        <v>145447</v>
      </c>
      <c r="AP131" s="37">
        <v>180350</v>
      </c>
      <c r="AQ131" s="37">
        <v>191870</v>
      </c>
      <c r="AR131" s="37">
        <v>192955</v>
      </c>
      <c r="AS131" s="4">
        <v>11</v>
      </c>
      <c r="AT131" s="9"/>
    </row>
    <row r="132" spans="12:46" x14ac:dyDescent="0.3">
      <c r="L132" s="15">
        <v>129</v>
      </c>
      <c r="M132" s="38" t="s">
        <v>17</v>
      </c>
      <c r="N132" s="38" t="s">
        <v>64</v>
      </c>
      <c r="O132" s="38" t="s">
        <v>27</v>
      </c>
      <c r="P132" s="38" t="s">
        <v>28</v>
      </c>
      <c r="Q132" s="38" t="s">
        <v>26</v>
      </c>
      <c r="R132" s="38" t="s">
        <v>28</v>
      </c>
      <c r="S132" s="24" t="s">
        <v>28</v>
      </c>
      <c r="U132" s="158">
        <f t="shared" si="22"/>
        <v>4</v>
      </c>
      <c r="V132" s="158">
        <f t="shared" ref="V132:V195" si="23">VLOOKUP(N132, $A$4:$J$29, 10, 0)</f>
        <v>6</v>
      </c>
      <c r="W132" s="158">
        <f t="shared" ref="W132:W195" si="24">VLOOKUP(O132, $A$4:$J$29, 10, 0)</f>
        <v>10</v>
      </c>
      <c r="X132" s="158">
        <f t="shared" ref="X132:X195" si="25">VLOOKUP(P132, $A$4:$J$29, 10, 0)</f>
        <v>11</v>
      </c>
      <c r="Y132" s="158">
        <f t="shared" ref="Y132:Y195" si="26">VLOOKUP(Q132, $A$4:$J$29, 10, 0)</f>
        <v>9</v>
      </c>
      <c r="Z132" s="158">
        <f t="shared" ref="Z132:Z195" si="27">VLOOKUP(R132, $A$4:$J$29, 10, 0)</f>
        <v>11</v>
      </c>
      <c r="AA132" s="158">
        <f t="shared" ref="AA132:AA195" si="28">VLOOKUP(S132, $A$4:$J$29, 10, 0)</f>
        <v>11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137036</v>
      </c>
      <c r="AM132" s="37">
        <v>118055</v>
      </c>
      <c r="AN132" s="37">
        <v>116773</v>
      </c>
      <c r="AO132" s="37">
        <v>118442</v>
      </c>
      <c r="AP132" s="37">
        <v>125926</v>
      </c>
      <c r="AQ132" s="37">
        <v>140603</v>
      </c>
      <c r="AR132" s="37">
        <v>141399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230</v>
      </c>
      <c r="O133" s="38" t="s">
        <v>26</v>
      </c>
      <c r="P133" s="38" t="s">
        <v>64</v>
      </c>
      <c r="Q133" s="38" t="s">
        <v>27</v>
      </c>
      <c r="R133" s="38" t="s">
        <v>17</v>
      </c>
      <c r="S133" s="24" t="s">
        <v>24</v>
      </c>
      <c r="U133" s="158">
        <f t="shared" ref="U133:U196" si="29">VLOOKUP(M133, $A$4:$J$29, 10, 0)</f>
        <v>5</v>
      </c>
      <c r="V133" s="158">
        <f t="shared" si="23"/>
        <v>17</v>
      </c>
      <c r="W133" s="158">
        <f t="shared" si="24"/>
        <v>9</v>
      </c>
      <c r="X133" s="158">
        <f t="shared" si="25"/>
        <v>6</v>
      </c>
      <c r="Y133" s="158">
        <f t="shared" si="26"/>
        <v>10</v>
      </c>
      <c r="Z133" s="158">
        <f t="shared" si="27"/>
        <v>4</v>
      </c>
      <c r="AA133" s="158">
        <f t="shared" si="28"/>
        <v>8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187</v>
      </c>
      <c r="AN133" s="154">
        <v>186</v>
      </c>
      <c r="AO133" s="154">
        <v>265</v>
      </c>
      <c r="AP133" s="154">
        <v>59</v>
      </c>
      <c r="AQ133" s="154">
        <v>34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s">
        <v>89</v>
      </c>
      <c r="N134" s="38" t="s">
        <v>242</v>
      </c>
      <c r="O134" s="38" t="s">
        <v>89</v>
      </c>
      <c r="P134" s="38" t="s">
        <v>89</v>
      </c>
      <c r="Q134" s="38" t="s">
        <v>27</v>
      </c>
      <c r="R134" s="38" t="s">
        <v>26</v>
      </c>
      <c r="S134" s="24" t="s">
        <v>89</v>
      </c>
      <c r="U134" s="158">
        <f t="shared" si="29"/>
        <v>7</v>
      </c>
      <c r="V134" s="158">
        <f t="shared" si="23"/>
        <v>23</v>
      </c>
      <c r="W134" s="158">
        <f t="shared" si="24"/>
        <v>7</v>
      </c>
      <c r="X134" s="158">
        <f t="shared" si="25"/>
        <v>7</v>
      </c>
      <c r="Y134" s="158">
        <f t="shared" si="26"/>
        <v>10</v>
      </c>
      <c r="Z134" s="158">
        <f t="shared" si="27"/>
        <v>9</v>
      </c>
      <c r="AA134" s="158">
        <f t="shared" si="28"/>
        <v>7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321</v>
      </c>
      <c r="AN134" s="154">
        <v>272</v>
      </c>
      <c r="AO134" s="154">
        <v>269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21</v>
      </c>
      <c r="O135" s="38" t="s">
        <v>228</v>
      </c>
      <c r="P135" s="38" t="s">
        <v>17</v>
      </c>
      <c r="Q135" s="38" t="s">
        <v>24</v>
      </c>
      <c r="R135" s="38" t="s">
        <v>89</v>
      </c>
      <c r="S135" s="24" t="s">
        <v>27</v>
      </c>
      <c r="U135" s="158">
        <f t="shared" si="29"/>
        <v>12</v>
      </c>
      <c r="V135" s="158">
        <f t="shared" si="23"/>
        <v>3</v>
      </c>
      <c r="W135" s="158">
        <f t="shared" si="24"/>
        <v>16</v>
      </c>
      <c r="X135" s="158">
        <f t="shared" si="25"/>
        <v>4</v>
      </c>
      <c r="Y135" s="158">
        <f t="shared" si="26"/>
        <v>8</v>
      </c>
      <c r="Z135" s="158">
        <f t="shared" si="27"/>
        <v>7</v>
      </c>
      <c r="AA135" s="158">
        <f t="shared" si="28"/>
        <v>10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1291</v>
      </c>
      <c r="AN135" s="154">
        <v>790</v>
      </c>
      <c r="AO135" s="154">
        <v>1213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</v>
      </c>
      <c r="O136" s="38" t="s">
        <v>24</v>
      </c>
      <c r="P136" s="38" t="s">
        <v>64</v>
      </c>
      <c r="Q136" s="38" t="s">
        <v>232</v>
      </c>
      <c r="R136" s="38" t="s">
        <v>21</v>
      </c>
      <c r="S136" s="24" t="s">
        <v>20</v>
      </c>
      <c r="U136" s="158">
        <f t="shared" si="29"/>
        <v>12</v>
      </c>
      <c r="V136" s="158">
        <f t="shared" si="23"/>
        <v>8</v>
      </c>
      <c r="W136" s="158">
        <f t="shared" si="24"/>
        <v>8</v>
      </c>
      <c r="X136" s="158">
        <f t="shared" si="25"/>
        <v>6</v>
      </c>
      <c r="Y136" s="158">
        <f t="shared" si="26"/>
        <v>18</v>
      </c>
      <c r="Z136" s="158">
        <f t="shared" si="27"/>
        <v>3</v>
      </c>
      <c r="AA136" s="158">
        <f t="shared" si="28"/>
        <v>2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3287</v>
      </c>
      <c r="AN136" s="154">
        <v>2562</v>
      </c>
      <c r="AO136" s="154">
        <v>3126</v>
      </c>
      <c r="AP136" s="154">
        <v>1280</v>
      </c>
      <c r="AQ136" s="154">
        <v>624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s">
        <v>89</v>
      </c>
      <c r="N137" s="38" t="s">
        <v>29</v>
      </c>
      <c r="O137" s="38" t="s">
        <v>89</v>
      </c>
      <c r="P137" s="38" t="s">
        <v>89</v>
      </c>
      <c r="Q137" s="38" t="s">
        <v>89</v>
      </c>
      <c r="R137" s="38" t="s">
        <v>236</v>
      </c>
      <c r="S137" s="24" t="s">
        <v>28</v>
      </c>
      <c r="U137" s="158">
        <f t="shared" si="29"/>
        <v>7</v>
      </c>
      <c r="V137" s="158">
        <f t="shared" si="23"/>
        <v>12</v>
      </c>
      <c r="W137" s="158">
        <f t="shared" si="24"/>
        <v>7</v>
      </c>
      <c r="X137" s="158">
        <f t="shared" si="25"/>
        <v>7</v>
      </c>
      <c r="Y137" s="158">
        <f t="shared" si="26"/>
        <v>7</v>
      </c>
      <c r="Z137" s="158">
        <f t="shared" si="27"/>
        <v>20</v>
      </c>
      <c r="AA137" s="158">
        <f t="shared" si="28"/>
        <v>11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842</v>
      </c>
      <c r="AN137" s="154">
        <v>3344</v>
      </c>
      <c r="AO137" s="154">
        <v>887</v>
      </c>
      <c r="AP137" s="154">
        <v>525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s">
        <v>19</v>
      </c>
      <c r="N138" s="38" t="s">
        <v>17</v>
      </c>
      <c r="O138" s="38" t="s">
        <v>64</v>
      </c>
      <c r="P138" s="38" t="s">
        <v>224</v>
      </c>
      <c r="Q138" s="38" t="s">
        <v>28</v>
      </c>
      <c r="R138" s="38" t="s">
        <v>64</v>
      </c>
      <c r="S138" s="24" t="s">
        <v>24</v>
      </c>
      <c r="U138" s="158">
        <f t="shared" si="29"/>
        <v>1</v>
      </c>
      <c r="V138" s="158">
        <f t="shared" si="23"/>
        <v>4</v>
      </c>
      <c r="W138" s="158">
        <f t="shared" si="24"/>
        <v>6</v>
      </c>
      <c r="X138" s="158">
        <f t="shared" si="25"/>
        <v>14</v>
      </c>
      <c r="Y138" s="158">
        <f t="shared" si="26"/>
        <v>11</v>
      </c>
      <c r="Z138" s="158">
        <f t="shared" si="27"/>
        <v>6</v>
      </c>
      <c r="AA138" s="158">
        <f t="shared" si="28"/>
        <v>8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3166</v>
      </c>
      <c r="AN138" s="154">
        <v>780</v>
      </c>
      <c r="AO138" s="154">
        <v>3516</v>
      </c>
      <c r="AP138" s="154">
        <v>1547</v>
      </c>
      <c r="AQ138" s="154">
        <v>899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s">
        <v>26</v>
      </c>
      <c r="N139" s="156" t="s">
        <v>24</v>
      </c>
      <c r="O139" s="156" t="s">
        <v>29</v>
      </c>
      <c r="P139" s="156" t="s">
        <v>17</v>
      </c>
      <c r="Q139" s="156" t="s">
        <v>226</v>
      </c>
      <c r="R139" s="156" t="s">
        <v>28</v>
      </c>
      <c r="S139" s="157" t="s">
        <v>21</v>
      </c>
      <c r="U139" s="158">
        <f t="shared" si="29"/>
        <v>9</v>
      </c>
      <c r="V139" s="158">
        <f t="shared" si="23"/>
        <v>8</v>
      </c>
      <c r="W139" s="158">
        <f t="shared" si="24"/>
        <v>12</v>
      </c>
      <c r="X139" s="158">
        <f t="shared" si="25"/>
        <v>4</v>
      </c>
      <c r="Y139" s="158">
        <f t="shared" si="26"/>
        <v>15</v>
      </c>
      <c r="Z139" s="158">
        <f t="shared" si="27"/>
        <v>11</v>
      </c>
      <c r="AA139" s="158">
        <f t="shared" si="28"/>
        <v>3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1725</v>
      </c>
      <c r="AN139" s="37">
        <v>4357</v>
      </c>
      <c r="AO139" s="37">
        <v>1834</v>
      </c>
      <c r="AP139" s="37">
        <v>660</v>
      </c>
      <c r="AQ139" s="37">
        <v>325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27</v>
      </c>
      <c r="N140" s="38" t="s">
        <v>29</v>
      </c>
      <c r="O140" s="38" t="s">
        <v>29</v>
      </c>
      <c r="P140" s="38" t="s">
        <v>18</v>
      </c>
      <c r="Q140" s="38" t="s">
        <v>64</v>
      </c>
      <c r="R140" s="38" t="s">
        <v>18</v>
      </c>
      <c r="S140" s="24" t="s">
        <v>26</v>
      </c>
      <c r="U140" s="158">
        <f t="shared" si="29"/>
        <v>10</v>
      </c>
      <c r="V140" s="158">
        <f t="shared" si="23"/>
        <v>12</v>
      </c>
      <c r="W140" s="158">
        <f t="shared" si="24"/>
        <v>12</v>
      </c>
      <c r="X140" s="158">
        <f t="shared" si="25"/>
        <v>5</v>
      </c>
      <c r="Y140" s="158">
        <f t="shared" si="26"/>
        <v>6</v>
      </c>
      <c r="Z140" s="158">
        <f t="shared" si="27"/>
        <v>5</v>
      </c>
      <c r="AA140" s="158">
        <f t="shared" si="28"/>
        <v>9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2710</v>
      </c>
      <c r="AN140" s="37">
        <v>1549</v>
      </c>
      <c r="AO140" s="37">
        <v>2865</v>
      </c>
      <c r="AP140" s="37">
        <v>1868</v>
      </c>
      <c r="AQ140" s="37">
        <v>784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24</v>
      </c>
      <c r="N141" s="38" t="s">
        <v>228</v>
      </c>
      <c r="O141" s="38" t="s">
        <v>19</v>
      </c>
      <c r="P141" s="38" t="s">
        <v>29</v>
      </c>
      <c r="Q141" s="38" t="s">
        <v>89</v>
      </c>
      <c r="R141" s="38" t="s">
        <v>89</v>
      </c>
      <c r="S141" s="24" t="s">
        <v>27</v>
      </c>
      <c r="U141" s="158">
        <f t="shared" si="29"/>
        <v>8</v>
      </c>
      <c r="V141" s="158">
        <f t="shared" si="23"/>
        <v>16</v>
      </c>
      <c r="W141" s="158">
        <f t="shared" si="24"/>
        <v>1</v>
      </c>
      <c r="X141" s="158">
        <f t="shared" si="25"/>
        <v>12</v>
      </c>
      <c r="Y141" s="158">
        <f t="shared" si="26"/>
        <v>7</v>
      </c>
      <c r="Z141" s="158">
        <f t="shared" si="27"/>
        <v>7</v>
      </c>
      <c r="AA141" s="158">
        <f t="shared" si="28"/>
        <v>10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2186</v>
      </c>
      <c r="AN141" s="37">
        <v>4130</v>
      </c>
      <c r="AO141" s="37">
        <v>2626</v>
      </c>
      <c r="AP141" s="37">
        <v>995</v>
      </c>
      <c r="AQ141" s="37">
        <v>474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28</v>
      </c>
      <c r="N142" s="38" t="s">
        <v>27</v>
      </c>
      <c r="O142" s="38" t="s">
        <v>89</v>
      </c>
      <c r="P142" s="38" t="s">
        <v>28</v>
      </c>
      <c r="Q142" s="38" t="s">
        <v>24</v>
      </c>
      <c r="R142" s="38" t="s">
        <v>64</v>
      </c>
      <c r="S142" s="24" t="s">
        <v>24</v>
      </c>
      <c r="U142" s="158">
        <f t="shared" si="29"/>
        <v>11</v>
      </c>
      <c r="V142" s="158">
        <f t="shared" si="23"/>
        <v>10</v>
      </c>
      <c r="W142" s="158">
        <f t="shared" si="24"/>
        <v>7</v>
      </c>
      <c r="X142" s="158">
        <f t="shared" si="25"/>
        <v>11</v>
      </c>
      <c r="Y142" s="158">
        <f t="shared" si="26"/>
        <v>8</v>
      </c>
      <c r="Z142" s="158">
        <f t="shared" si="27"/>
        <v>6</v>
      </c>
      <c r="AA142" s="158">
        <f t="shared" si="28"/>
        <v>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3406</v>
      </c>
      <c r="AN142" s="37">
        <v>2510</v>
      </c>
      <c r="AO142" s="37">
        <v>3755</v>
      </c>
      <c r="AP142" s="37">
        <v>2053</v>
      </c>
      <c r="AQ142" s="37">
        <v>1086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17</v>
      </c>
      <c r="N143" s="38" t="s">
        <v>27</v>
      </c>
      <c r="O143" s="38" t="s">
        <v>21</v>
      </c>
      <c r="P143" s="38" t="s">
        <v>28</v>
      </c>
      <c r="Q143" s="38" t="s">
        <v>21</v>
      </c>
      <c r="R143" s="38" t="s">
        <v>29</v>
      </c>
      <c r="S143" s="24" t="s">
        <v>28</v>
      </c>
      <c r="U143" s="158">
        <f t="shared" si="29"/>
        <v>4</v>
      </c>
      <c r="V143" s="158">
        <f t="shared" si="23"/>
        <v>10</v>
      </c>
      <c r="W143" s="158">
        <f t="shared" si="24"/>
        <v>3</v>
      </c>
      <c r="X143" s="158">
        <f t="shared" si="25"/>
        <v>11</v>
      </c>
      <c r="Y143" s="158">
        <f t="shared" si="26"/>
        <v>3</v>
      </c>
      <c r="Z143" s="158">
        <f t="shared" si="27"/>
        <v>12</v>
      </c>
      <c r="AA143" s="158">
        <f t="shared" si="28"/>
        <v>11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2823</v>
      </c>
      <c r="AN143" s="37">
        <v>3024</v>
      </c>
      <c r="AO143" s="37">
        <v>3058</v>
      </c>
      <c r="AP143" s="37">
        <v>1434</v>
      </c>
      <c r="AQ143" s="37">
        <v>796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230</v>
      </c>
      <c r="P144" s="38" t="s">
        <v>238</v>
      </c>
      <c r="Q144" s="38" t="s">
        <v>29</v>
      </c>
      <c r="R144" s="38" t="s">
        <v>89</v>
      </c>
      <c r="S144" s="24" t="s">
        <v>21</v>
      </c>
      <c r="U144" s="158">
        <f t="shared" si="29"/>
        <v>11</v>
      </c>
      <c r="V144" s="158">
        <f t="shared" si="23"/>
        <v>10</v>
      </c>
      <c r="W144" s="158">
        <f t="shared" si="24"/>
        <v>17</v>
      </c>
      <c r="X144" s="158">
        <f t="shared" si="25"/>
        <v>21</v>
      </c>
      <c r="Y144" s="158">
        <f t="shared" si="26"/>
        <v>12</v>
      </c>
      <c r="Z144" s="158">
        <f t="shared" si="27"/>
        <v>7</v>
      </c>
      <c r="AA144" s="158">
        <f t="shared" si="28"/>
        <v>3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s">
        <v>28</v>
      </c>
      <c r="N145" s="38" t="s">
        <v>238</v>
      </c>
      <c r="O145" s="38" t="s">
        <v>27</v>
      </c>
      <c r="P145" s="38" t="s">
        <v>27</v>
      </c>
      <c r="Q145" s="38" t="s">
        <v>228</v>
      </c>
      <c r="R145" s="38" t="s">
        <v>29</v>
      </c>
      <c r="S145" s="24" t="s">
        <v>29</v>
      </c>
      <c r="U145" s="158">
        <f t="shared" si="29"/>
        <v>11</v>
      </c>
      <c r="V145" s="158">
        <f t="shared" si="23"/>
        <v>21</v>
      </c>
      <c r="W145" s="158">
        <f t="shared" si="24"/>
        <v>10</v>
      </c>
      <c r="X145" s="158">
        <f t="shared" si="25"/>
        <v>10</v>
      </c>
      <c r="Y145" s="158">
        <f t="shared" si="26"/>
        <v>16</v>
      </c>
      <c r="Z145" s="158">
        <f t="shared" si="27"/>
        <v>12</v>
      </c>
      <c r="AA145" s="158">
        <f t="shared" si="28"/>
        <v>12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24</v>
      </c>
      <c r="O146" s="38" t="s">
        <v>89</v>
      </c>
      <c r="P146" s="38" t="s">
        <v>26</v>
      </c>
      <c r="Q146" s="38" t="s">
        <v>230</v>
      </c>
      <c r="R146" s="38" t="s">
        <v>24</v>
      </c>
      <c r="S146" s="24" t="s">
        <v>89</v>
      </c>
      <c r="U146" s="158">
        <f t="shared" si="29"/>
        <v>11</v>
      </c>
      <c r="V146" s="158">
        <f t="shared" si="23"/>
        <v>8</v>
      </c>
      <c r="W146" s="158">
        <f t="shared" si="24"/>
        <v>7</v>
      </c>
      <c r="X146" s="158">
        <f t="shared" si="25"/>
        <v>9</v>
      </c>
      <c r="Y146" s="158">
        <f t="shared" si="26"/>
        <v>17</v>
      </c>
      <c r="Z146" s="158">
        <f t="shared" si="27"/>
        <v>8</v>
      </c>
      <c r="AA146" s="158">
        <f t="shared" si="28"/>
        <v>7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26</v>
      </c>
      <c r="N147" s="38" t="s">
        <v>238</v>
      </c>
      <c r="O147" s="38" t="s">
        <v>28</v>
      </c>
      <c r="P147" s="38" t="s">
        <v>24</v>
      </c>
      <c r="Q147" s="38" t="s">
        <v>21</v>
      </c>
      <c r="R147" s="38" t="s">
        <v>89</v>
      </c>
      <c r="S147" s="24" t="s">
        <v>64</v>
      </c>
      <c r="U147" s="158">
        <f t="shared" si="29"/>
        <v>9</v>
      </c>
      <c r="V147" s="158">
        <f t="shared" si="23"/>
        <v>21</v>
      </c>
      <c r="W147" s="158">
        <f t="shared" si="24"/>
        <v>11</v>
      </c>
      <c r="X147" s="158">
        <f t="shared" si="25"/>
        <v>8</v>
      </c>
      <c r="Y147" s="158">
        <f t="shared" si="26"/>
        <v>3</v>
      </c>
      <c r="Z147" s="158">
        <f t="shared" si="27"/>
        <v>7</v>
      </c>
      <c r="AA147" s="158">
        <f t="shared" si="28"/>
        <v>6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s">
        <v>26</v>
      </c>
      <c r="N148" s="156" t="s">
        <v>18</v>
      </c>
      <c r="O148" s="156" t="s">
        <v>89</v>
      </c>
      <c r="P148" s="156" t="s">
        <v>17</v>
      </c>
      <c r="Q148" s="156" t="s">
        <v>21</v>
      </c>
      <c r="R148" s="156" t="s">
        <v>236</v>
      </c>
      <c r="S148" s="157" t="s">
        <v>64</v>
      </c>
      <c r="U148" s="158">
        <f t="shared" si="29"/>
        <v>9</v>
      </c>
      <c r="V148" s="158">
        <f t="shared" si="23"/>
        <v>5</v>
      </c>
      <c r="W148" s="158">
        <f t="shared" si="24"/>
        <v>7</v>
      </c>
      <c r="X148" s="158">
        <f t="shared" si="25"/>
        <v>4</v>
      </c>
      <c r="Y148" s="158">
        <f t="shared" si="26"/>
        <v>3</v>
      </c>
      <c r="Z148" s="158">
        <f t="shared" si="27"/>
        <v>20</v>
      </c>
      <c r="AA148" s="158">
        <f t="shared" si="28"/>
        <v>6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64</v>
      </c>
      <c r="O149" s="38" t="s">
        <v>64</v>
      </c>
      <c r="P149" s="38" t="s">
        <v>21</v>
      </c>
      <c r="Q149" s="38" t="s">
        <v>29</v>
      </c>
      <c r="R149" s="38" t="s">
        <v>26</v>
      </c>
      <c r="S149" s="24" t="s">
        <v>64</v>
      </c>
      <c r="U149" s="158">
        <f t="shared" si="29"/>
        <v>9</v>
      </c>
      <c r="V149" s="158">
        <f t="shared" si="23"/>
        <v>6</v>
      </c>
      <c r="W149" s="158">
        <f t="shared" si="24"/>
        <v>6</v>
      </c>
      <c r="X149" s="158">
        <f t="shared" si="25"/>
        <v>3</v>
      </c>
      <c r="Y149" s="158">
        <f t="shared" si="26"/>
        <v>12</v>
      </c>
      <c r="Z149" s="158">
        <f t="shared" si="27"/>
        <v>9</v>
      </c>
      <c r="AA149" s="158">
        <f t="shared" si="28"/>
        <v>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17</v>
      </c>
      <c r="N150" s="38" t="s">
        <v>29</v>
      </c>
      <c r="O150" s="38" t="s">
        <v>230</v>
      </c>
      <c r="P150" s="38" t="s">
        <v>28</v>
      </c>
      <c r="Q150" s="38" t="s">
        <v>19</v>
      </c>
      <c r="R150" s="38" t="s">
        <v>18</v>
      </c>
      <c r="S150" s="24" t="s">
        <v>64</v>
      </c>
      <c r="U150" s="158">
        <f t="shared" si="29"/>
        <v>4</v>
      </c>
      <c r="V150" s="158">
        <f t="shared" si="23"/>
        <v>12</v>
      </c>
      <c r="W150" s="158">
        <f t="shared" si="24"/>
        <v>17</v>
      </c>
      <c r="X150" s="158">
        <f t="shared" si="25"/>
        <v>11</v>
      </c>
      <c r="Y150" s="158">
        <f t="shared" si="26"/>
        <v>1</v>
      </c>
      <c r="Z150" s="158">
        <f t="shared" si="27"/>
        <v>5</v>
      </c>
      <c r="AA150" s="158">
        <f t="shared" si="28"/>
        <v>6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27</v>
      </c>
      <c r="N151" s="38" t="s">
        <v>24</v>
      </c>
      <c r="O151" s="38" t="s">
        <v>242</v>
      </c>
      <c r="P151" s="38" t="s">
        <v>89</v>
      </c>
      <c r="Q151" s="38" t="s">
        <v>29</v>
      </c>
      <c r="R151" s="38" t="s">
        <v>24</v>
      </c>
      <c r="S151" s="24" t="s">
        <v>27</v>
      </c>
      <c r="U151" s="158">
        <f t="shared" si="29"/>
        <v>10</v>
      </c>
      <c r="V151" s="158">
        <f t="shared" si="23"/>
        <v>8</v>
      </c>
      <c r="W151" s="158">
        <f t="shared" si="24"/>
        <v>23</v>
      </c>
      <c r="X151" s="158">
        <f t="shared" si="25"/>
        <v>7</v>
      </c>
      <c r="Y151" s="158">
        <f t="shared" si="26"/>
        <v>12</v>
      </c>
      <c r="Z151" s="158">
        <f t="shared" si="27"/>
        <v>8</v>
      </c>
      <c r="AA151" s="158">
        <f t="shared" si="28"/>
        <v>10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64</v>
      </c>
      <c r="N152" s="38" t="s">
        <v>18</v>
      </c>
      <c r="O152" s="38" t="s">
        <v>89</v>
      </c>
      <c r="P152" s="38" t="s">
        <v>24</v>
      </c>
      <c r="Q152" s="38" t="s">
        <v>64</v>
      </c>
      <c r="R152" s="38" t="s">
        <v>89</v>
      </c>
      <c r="S152" s="24" t="s">
        <v>28</v>
      </c>
      <c r="U152" s="158">
        <f t="shared" si="29"/>
        <v>6</v>
      </c>
      <c r="V152" s="158">
        <f t="shared" si="23"/>
        <v>5</v>
      </c>
      <c r="W152" s="158">
        <f t="shared" si="24"/>
        <v>7</v>
      </c>
      <c r="X152" s="158">
        <f t="shared" si="25"/>
        <v>8</v>
      </c>
      <c r="Y152" s="158">
        <f t="shared" si="26"/>
        <v>6</v>
      </c>
      <c r="Z152" s="158">
        <f t="shared" si="27"/>
        <v>7</v>
      </c>
      <c r="AA152" s="158">
        <f t="shared" si="28"/>
        <v>11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29</v>
      </c>
      <c r="N153" s="38" t="s">
        <v>27</v>
      </c>
      <c r="O153" s="38" t="s">
        <v>89</v>
      </c>
      <c r="P153" s="38" t="s">
        <v>18</v>
      </c>
      <c r="Q153" s="38" t="s">
        <v>64</v>
      </c>
      <c r="R153" s="38" t="s">
        <v>18</v>
      </c>
      <c r="S153" s="24" t="s">
        <v>28</v>
      </c>
      <c r="U153" s="158">
        <f t="shared" si="29"/>
        <v>12</v>
      </c>
      <c r="V153" s="158">
        <f t="shared" si="23"/>
        <v>10</v>
      </c>
      <c r="W153" s="158">
        <f t="shared" si="24"/>
        <v>7</v>
      </c>
      <c r="X153" s="158">
        <f t="shared" si="25"/>
        <v>5</v>
      </c>
      <c r="Y153" s="158">
        <f t="shared" si="26"/>
        <v>6</v>
      </c>
      <c r="Z153" s="158">
        <f t="shared" si="27"/>
        <v>5</v>
      </c>
      <c r="AA153" s="158">
        <f t="shared" si="28"/>
        <v>11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29</v>
      </c>
      <c r="O154" s="38" t="s">
        <v>27</v>
      </c>
      <c r="P154" s="38" t="s">
        <v>29</v>
      </c>
      <c r="Q154" s="38" t="s">
        <v>18</v>
      </c>
      <c r="R154" s="38" t="s">
        <v>17</v>
      </c>
      <c r="S154" s="24" t="s">
        <v>28</v>
      </c>
      <c r="U154" s="158">
        <f t="shared" si="29"/>
        <v>11</v>
      </c>
      <c r="V154" s="158">
        <f t="shared" si="23"/>
        <v>12</v>
      </c>
      <c r="W154" s="158">
        <f t="shared" si="24"/>
        <v>10</v>
      </c>
      <c r="X154" s="158">
        <f t="shared" si="25"/>
        <v>12</v>
      </c>
      <c r="Y154" s="158">
        <f t="shared" si="26"/>
        <v>5</v>
      </c>
      <c r="Z154" s="158">
        <f t="shared" si="27"/>
        <v>4</v>
      </c>
      <c r="AA154" s="158">
        <f t="shared" si="28"/>
        <v>11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89</v>
      </c>
      <c r="N155" s="38" t="s">
        <v>19</v>
      </c>
      <c r="O155" s="38" t="s">
        <v>68</v>
      </c>
      <c r="P155" s="38" t="s">
        <v>226</v>
      </c>
      <c r="Q155" s="38" t="s">
        <v>64</v>
      </c>
      <c r="R155" s="38" t="s">
        <v>18</v>
      </c>
      <c r="S155" s="24" t="s">
        <v>28</v>
      </c>
      <c r="U155" s="158">
        <f t="shared" si="29"/>
        <v>7</v>
      </c>
      <c r="V155" s="158">
        <f t="shared" si="23"/>
        <v>1</v>
      </c>
      <c r="W155" s="158">
        <f t="shared" si="24"/>
        <v>0</v>
      </c>
      <c r="X155" s="158">
        <f t="shared" si="25"/>
        <v>15</v>
      </c>
      <c r="Y155" s="158">
        <f t="shared" si="26"/>
        <v>6</v>
      </c>
      <c r="Z155" s="158">
        <f t="shared" si="27"/>
        <v>5</v>
      </c>
      <c r="AA155" s="158">
        <f t="shared" si="28"/>
        <v>11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28</v>
      </c>
      <c r="N156" s="38" t="s">
        <v>226</v>
      </c>
      <c r="O156" s="38" t="s">
        <v>18</v>
      </c>
      <c r="P156" s="38" t="s">
        <v>18</v>
      </c>
      <c r="Q156" s="38" t="s">
        <v>238</v>
      </c>
      <c r="R156" s="38" t="s">
        <v>24</v>
      </c>
      <c r="S156" s="24" t="s">
        <v>18</v>
      </c>
      <c r="U156" s="158">
        <f t="shared" si="29"/>
        <v>11</v>
      </c>
      <c r="V156" s="158">
        <f t="shared" si="23"/>
        <v>15</v>
      </c>
      <c r="W156" s="158">
        <f t="shared" si="24"/>
        <v>5</v>
      </c>
      <c r="X156" s="158">
        <f t="shared" si="25"/>
        <v>5</v>
      </c>
      <c r="Y156" s="158">
        <f t="shared" si="26"/>
        <v>21</v>
      </c>
      <c r="Z156" s="158">
        <f t="shared" si="27"/>
        <v>8</v>
      </c>
      <c r="AA156" s="158">
        <f t="shared" si="28"/>
        <v>5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s">
        <v>89</v>
      </c>
      <c r="N157" s="156" t="s">
        <v>64</v>
      </c>
      <c r="O157" s="156" t="s">
        <v>89</v>
      </c>
      <c r="P157" s="156" t="s">
        <v>27</v>
      </c>
      <c r="Q157" s="156" t="s">
        <v>64</v>
      </c>
      <c r="R157" s="156" t="s">
        <v>228</v>
      </c>
      <c r="S157" s="157" t="s">
        <v>24</v>
      </c>
      <c r="U157" s="158">
        <f t="shared" si="29"/>
        <v>7</v>
      </c>
      <c r="V157" s="158">
        <f t="shared" si="23"/>
        <v>6</v>
      </c>
      <c r="W157" s="158">
        <f t="shared" si="24"/>
        <v>7</v>
      </c>
      <c r="X157" s="158">
        <f t="shared" si="25"/>
        <v>10</v>
      </c>
      <c r="Y157" s="158">
        <f t="shared" si="26"/>
        <v>6</v>
      </c>
      <c r="Z157" s="158">
        <f t="shared" si="27"/>
        <v>16</v>
      </c>
      <c r="AA157" s="158">
        <f t="shared" si="28"/>
        <v>8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21</v>
      </c>
      <c r="O158" s="38" t="s">
        <v>242</v>
      </c>
      <c r="P158" s="38" t="s">
        <v>18</v>
      </c>
      <c r="Q158" s="38" t="s">
        <v>29</v>
      </c>
      <c r="R158" s="38" t="s">
        <v>27</v>
      </c>
      <c r="S158" s="24" t="s">
        <v>21</v>
      </c>
      <c r="U158" s="158">
        <f t="shared" si="29"/>
        <v>12</v>
      </c>
      <c r="V158" s="158">
        <f t="shared" si="23"/>
        <v>3</v>
      </c>
      <c r="W158" s="158">
        <f t="shared" si="24"/>
        <v>23</v>
      </c>
      <c r="X158" s="158">
        <f t="shared" si="25"/>
        <v>5</v>
      </c>
      <c r="Y158" s="158">
        <f t="shared" si="26"/>
        <v>12</v>
      </c>
      <c r="Z158" s="158">
        <f t="shared" si="27"/>
        <v>10</v>
      </c>
      <c r="AA158" s="158">
        <f t="shared" si="28"/>
        <v>3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29</v>
      </c>
      <c r="N159" s="38" t="s">
        <v>64</v>
      </c>
      <c r="O159" s="38" t="s">
        <v>232</v>
      </c>
      <c r="P159" s="38" t="s">
        <v>28</v>
      </c>
      <c r="Q159" s="38" t="s">
        <v>18</v>
      </c>
      <c r="R159" s="38" t="s">
        <v>64</v>
      </c>
      <c r="S159" s="24" t="s">
        <v>26</v>
      </c>
      <c r="U159" s="158">
        <f t="shared" si="29"/>
        <v>12</v>
      </c>
      <c r="V159" s="158">
        <f t="shared" si="23"/>
        <v>6</v>
      </c>
      <c r="W159" s="158">
        <f t="shared" si="24"/>
        <v>18</v>
      </c>
      <c r="X159" s="158">
        <f t="shared" si="25"/>
        <v>11</v>
      </c>
      <c r="Y159" s="158">
        <f t="shared" si="26"/>
        <v>5</v>
      </c>
      <c r="Z159" s="158">
        <f t="shared" si="27"/>
        <v>6</v>
      </c>
      <c r="AA159" s="158">
        <f t="shared" si="28"/>
        <v>9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29</v>
      </c>
      <c r="N160" s="38" t="s">
        <v>19</v>
      </c>
      <c r="O160" s="38" t="s">
        <v>21</v>
      </c>
      <c r="P160" s="38" t="s">
        <v>64</v>
      </c>
      <c r="Q160" s="38" t="s">
        <v>27</v>
      </c>
      <c r="R160" s="38" t="s">
        <v>240</v>
      </c>
      <c r="S160" s="24" t="s">
        <v>27</v>
      </c>
      <c r="U160" s="158">
        <f t="shared" si="29"/>
        <v>12</v>
      </c>
      <c r="V160" s="158">
        <f t="shared" si="23"/>
        <v>1</v>
      </c>
      <c r="W160" s="158">
        <f t="shared" si="24"/>
        <v>3</v>
      </c>
      <c r="X160" s="158">
        <f t="shared" si="25"/>
        <v>6</v>
      </c>
      <c r="Y160" s="158">
        <f t="shared" si="26"/>
        <v>10</v>
      </c>
      <c r="Z160" s="158">
        <f t="shared" si="27"/>
        <v>22</v>
      </c>
      <c r="AA160" s="158">
        <f t="shared" si="28"/>
        <v>10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230</v>
      </c>
      <c r="O161" s="38" t="s">
        <v>230</v>
      </c>
      <c r="P161" s="38" t="s">
        <v>18</v>
      </c>
      <c r="Q161" s="38" t="s">
        <v>24</v>
      </c>
      <c r="R161" s="38" t="s">
        <v>24</v>
      </c>
      <c r="S161" s="24" t="s">
        <v>89</v>
      </c>
      <c r="U161" s="158">
        <f t="shared" si="29"/>
        <v>11</v>
      </c>
      <c r="V161" s="158">
        <f t="shared" si="23"/>
        <v>17</v>
      </c>
      <c r="W161" s="158">
        <f t="shared" si="24"/>
        <v>17</v>
      </c>
      <c r="X161" s="158">
        <f t="shared" si="25"/>
        <v>5</v>
      </c>
      <c r="Y161" s="158">
        <f t="shared" si="26"/>
        <v>8</v>
      </c>
      <c r="Z161" s="158">
        <f t="shared" si="27"/>
        <v>8</v>
      </c>
      <c r="AA161" s="158">
        <f t="shared" si="28"/>
        <v>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64</v>
      </c>
      <c r="N162" s="38" t="s">
        <v>24</v>
      </c>
      <c r="O162" s="38" t="s">
        <v>224</v>
      </c>
      <c r="P162" s="38" t="s">
        <v>64</v>
      </c>
      <c r="Q162" s="38" t="s">
        <v>64</v>
      </c>
      <c r="R162" s="38" t="s">
        <v>26</v>
      </c>
      <c r="S162" s="24" t="s">
        <v>28</v>
      </c>
      <c r="U162" s="158">
        <f t="shared" si="29"/>
        <v>6</v>
      </c>
      <c r="V162" s="158">
        <f t="shared" si="23"/>
        <v>8</v>
      </c>
      <c r="W162" s="158">
        <f t="shared" si="24"/>
        <v>14</v>
      </c>
      <c r="X162" s="158">
        <f t="shared" si="25"/>
        <v>6</v>
      </c>
      <c r="Y162" s="158">
        <f t="shared" si="26"/>
        <v>6</v>
      </c>
      <c r="Z162" s="158">
        <f t="shared" si="27"/>
        <v>9</v>
      </c>
      <c r="AA162" s="158">
        <f t="shared" si="28"/>
        <v>11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27</v>
      </c>
      <c r="N163" s="38" t="s">
        <v>64</v>
      </c>
      <c r="O163" s="38" t="s">
        <v>240</v>
      </c>
      <c r="P163" s="38" t="s">
        <v>28</v>
      </c>
      <c r="Q163" s="38" t="s">
        <v>240</v>
      </c>
      <c r="R163" s="38" t="s">
        <v>89</v>
      </c>
      <c r="S163" s="24" t="s">
        <v>18</v>
      </c>
      <c r="U163" s="158">
        <f t="shared" si="29"/>
        <v>10</v>
      </c>
      <c r="V163" s="158">
        <f t="shared" si="23"/>
        <v>6</v>
      </c>
      <c r="W163" s="158">
        <f t="shared" si="24"/>
        <v>22</v>
      </c>
      <c r="X163" s="158">
        <f t="shared" si="25"/>
        <v>11</v>
      </c>
      <c r="Y163" s="158">
        <f t="shared" si="26"/>
        <v>22</v>
      </c>
      <c r="Z163" s="158">
        <f t="shared" si="27"/>
        <v>7</v>
      </c>
      <c r="AA163" s="158">
        <f t="shared" si="28"/>
        <v>5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24</v>
      </c>
      <c r="O164" s="38" t="s">
        <v>238</v>
      </c>
      <c r="P164" s="38" t="s">
        <v>224</v>
      </c>
      <c r="Q164" s="38" t="s">
        <v>64</v>
      </c>
      <c r="R164" s="38" t="s">
        <v>224</v>
      </c>
      <c r="S164" s="24" t="s">
        <v>26</v>
      </c>
      <c r="U164" s="158">
        <f t="shared" si="29"/>
        <v>11</v>
      </c>
      <c r="V164" s="158">
        <f t="shared" si="23"/>
        <v>8</v>
      </c>
      <c r="W164" s="158">
        <f t="shared" si="24"/>
        <v>21</v>
      </c>
      <c r="X164" s="158">
        <f t="shared" si="25"/>
        <v>14</v>
      </c>
      <c r="Y164" s="158">
        <f t="shared" si="26"/>
        <v>6</v>
      </c>
      <c r="Z164" s="158">
        <f t="shared" si="27"/>
        <v>14</v>
      </c>
      <c r="AA164" s="158">
        <f t="shared" si="28"/>
        <v>9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27</v>
      </c>
      <c r="O165" s="38" t="s">
        <v>27</v>
      </c>
      <c r="P165" s="38" t="s">
        <v>26</v>
      </c>
      <c r="Q165" s="38" t="s">
        <v>28</v>
      </c>
      <c r="R165" s="38" t="s">
        <v>20</v>
      </c>
      <c r="S165" s="24" t="s">
        <v>89</v>
      </c>
      <c r="U165" s="158">
        <f t="shared" si="29"/>
        <v>9</v>
      </c>
      <c r="V165" s="158">
        <f t="shared" si="23"/>
        <v>10</v>
      </c>
      <c r="W165" s="158">
        <f t="shared" si="24"/>
        <v>10</v>
      </c>
      <c r="X165" s="158">
        <f t="shared" si="25"/>
        <v>9</v>
      </c>
      <c r="Y165" s="158">
        <f t="shared" si="26"/>
        <v>11</v>
      </c>
      <c r="Z165" s="158">
        <f t="shared" si="27"/>
        <v>2</v>
      </c>
      <c r="AA165" s="158">
        <f t="shared" si="28"/>
        <v>7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s">
        <v>26</v>
      </c>
      <c r="N166" s="156" t="s">
        <v>24</v>
      </c>
      <c r="O166" s="156" t="s">
        <v>28</v>
      </c>
      <c r="P166" s="156" t="s">
        <v>28</v>
      </c>
      <c r="Q166" s="156" t="s">
        <v>17</v>
      </c>
      <c r="R166" s="156" t="s">
        <v>26</v>
      </c>
      <c r="S166" s="157" t="s">
        <v>28</v>
      </c>
      <c r="U166" s="158">
        <f t="shared" si="29"/>
        <v>9</v>
      </c>
      <c r="V166" s="158">
        <f t="shared" si="23"/>
        <v>8</v>
      </c>
      <c r="W166" s="158">
        <f t="shared" si="24"/>
        <v>11</v>
      </c>
      <c r="X166" s="158">
        <f t="shared" si="25"/>
        <v>11</v>
      </c>
      <c r="Y166" s="158">
        <f t="shared" si="26"/>
        <v>4</v>
      </c>
      <c r="Z166" s="158">
        <f t="shared" si="27"/>
        <v>9</v>
      </c>
      <c r="AA166" s="158">
        <f t="shared" si="28"/>
        <v>11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21</v>
      </c>
      <c r="N167" s="38" t="s">
        <v>224</v>
      </c>
      <c r="O167" s="38" t="s">
        <v>19</v>
      </c>
      <c r="P167" s="38" t="s">
        <v>18</v>
      </c>
      <c r="Q167" s="38" t="s">
        <v>17</v>
      </c>
      <c r="R167" s="38" t="s">
        <v>228</v>
      </c>
      <c r="S167" s="24" t="s">
        <v>21</v>
      </c>
      <c r="U167" s="158">
        <f t="shared" si="29"/>
        <v>3</v>
      </c>
      <c r="V167" s="158">
        <f t="shared" si="23"/>
        <v>14</v>
      </c>
      <c r="W167" s="158">
        <f t="shared" si="24"/>
        <v>1</v>
      </c>
      <c r="X167" s="158">
        <f t="shared" si="25"/>
        <v>5</v>
      </c>
      <c r="Y167" s="158">
        <f t="shared" si="26"/>
        <v>4</v>
      </c>
      <c r="Z167" s="158">
        <f t="shared" si="27"/>
        <v>16</v>
      </c>
      <c r="AA167" s="158">
        <f t="shared" si="28"/>
        <v>3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29</v>
      </c>
      <c r="N168" s="38" t="s">
        <v>64</v>
      </c>
      <c r="O168" s="38" t="s">
        <v>26</v>
      </c>
      <c r="P168" s="38" t="s">
        <v>21</v>
      </c>
      <c r="Q168" s="38" t="s">
        <v>27</v>
      </c>
      <c r="R168" s="38" t="s">
        <v>28</v>
      </c>
      <c r="S168" s="24" t="s">
        <v>29</v>
      </c>
      <c r="U168" s="158">
        <f t="shared" si="29"/>
        <v>12</v>
      </c>
      <c r="V168" s="158">
        <f t="shared" si="23"/>
        <v>6</v>
      </c>
      <c r="W168" s="158">
        <f t="shared" si="24"/>
        <v>9</v>
      </c>
      <c r="X168" s="158">
        <f t="shared" si="25"/>
        <v>3</v>
      </c>
      <c r="Y168" s="158">
        <f t="shared" si="26"/>
        <v>10</v>
      </c>
      <c r="Z168" s="158">
        <f t="shared" si="27"/>
        <v>11</v>
      </c>
      <c r="AA168" s="158">
        <f t="shared" si="28"/>
        <v>12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230</v>
      </c>
      <c r="O169" s="38" t="s">
        <v>21</v>
      </c>
      <c r="P169" s="38" t="s">
        <v>64</v>
      </c>
      <c r="Q169" s="38" t="s">
        <v>20</v>
      </c>
      <c r="R169" s="38" t="s">
        <v>89</v>
      </c>
      <c r="S169" s="24" t="s">
        <v>29</v>
      </c>
      <c r="U169" s="158">
        <f t="shared" si="29"/>
        <v>11</v>
      </c>
      <c r="V169" s="158">
        <f t="shared" si="23"/>
        <v>17</v>
      </c>
      <c r="W169" s="158">
        <f t="shared" si="24"/>
        <v>3</v>
      </c>
      <c r="X169" s="158">
        <f t="shared" si="25"/>
        <v>6</v>
      </c>
      <c r="Y169" s="158">
        <f t="shared" si="26"/>
        <v>2</v>
      </c>
      <c r="Z169" s="158">
        <f t="shared" si="27"/>
        <v>7</v>
      </c>
      <c r="AA169" s="158">
        <f t="shared" si="28"/>
        <v>12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226</v>
      </c>
      <c r="O170" s="38" t="s">
        <v>224</v>
      </c>
      <c r="P170" s="38" t="s">
        <v>64</v>
      </c>
      <c r="Q170" s="38" t="s">
        <v>28</v>
      </c>
      <c r="R170" s="38" t="s">
        <v>18</v>
      </c>
      <c r="S170" s="24" t="s">
        <v>29</v>
      </c>
      <c r="U170" s="158">
        <f t="shared" si="29"/>
        <v>5</v>
      </c>
      <c r="V170" s="158">
        <f t="shared" si="23"/>
        <v>15</v>
      </c>
      <c r="W170" s="158">
        <f t="shared" si="24"/>
        <v>14</v>
      </c>
      <c r="X170" s="158">
        <f t="shared" si="25"/>
        <v>6</v>
      </c>
      <c r="Y170" s="158">
        <f t="shared" si="26"/>
        <v>11</v>
      </c>
      <c r="Z170" s="158">
        <f t="shared" si="27"/>
        <v>5</v>
      </c>
      <c r="AA170" s="158">
        <f t="shared" si="28"/>
        <v>12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17</v>
      </c>
      <c r="N171" s="38" t="s">
        <v>64</v>
      </c>
      <c r="O171" s="38" t="s">
        <v>28</v>
      </c>
      <c r="P171" s="38" t="s">
        <v>242</v>
      </c>
      <c r="Q171" s="38" t="s">
        <v>28</v>
      </c>
      <c r="R171" s="38" t="s">
        <v>18</v>
      </c>
      <c r="S171" s="24" t="s">
        <v>29</v>
      </c>
      <c r="U171" s="158">
        <f t="shared" si="29"/>
        <v>4</v>
      </c>
      <c r="V171" s="158">
        <f t="shared" si="23"/>
        <v>6</v>
      </c>
      <c r="W171" s="158">
        <f t="shared" si="24"/>
        <v>11</v>
      </c>
      <c r="X171" s="158">
        <f t="shared" si="25"/>
        <v>23</v>
      </c>
      <c r="Y171" s="158">
        <f t="shared" si="26"/>
        <v>11</v>
      </c>
      <c r="Z171" s="158">
        <f t="shared" si="27"/>
        <v>5</v>
      </c>
      <c r="AA171" s="158">
        <f t="shared" si="28"/>
        <v>12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89</v>
      </c>
      <c r="N172" s="38" t="s">
        <v>242</v>
      </c>
      <c r="O172" s="38" t="s">
        <v>240</v>
      </c>
      <c r="P172" s="38" t="s">
        <v>89</v>
      </c>
      <c r="Q172" s="38" t="s">
        <v>29</v>
      </c>
      <c r="R172" s="38" t="s">
        <v>18</v>
      </c>
      <c r="S172" s="24" t="s">
        <v>28</v>
      </c>
      <c r="U172" s="158">
        <f t="shared" si="29"/>
        <v>7</v>
      </c>
      <c r="V172" s="158">
        <f t="shared" si="23"/>
        <v>23</v>
      </c>
      <c r="W172" s="158">
        <f t="shared" si="24"/>
        <v>22</v>
      </c>
      <c r="X172" s="158">
        <f t="shared" si="25"/>
        <v>7</v>
      </c>
      <c r="Y172" s="158">
        <f t="shared" si="26"/>
        <v>12</v>
      </c>
      <c r="Z172" s="158">
        <f t="shared" si="27"/>
        <v>5</v>
      </c>
      <c r="AA172" s="158">
        <f t="shared" si="28"/>
        <v>11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28</v>
      </c>
      <c r="O173" s="38" t="s">
        <v>29</v>
      </c>
      <c r="P173" s="38" t="s">
        <v>19</v>
      </c>
      <c r="Q173" s="38" t="s">
        <v>29</v>
      </c>
      <c r="R173" s="38" t="s">
        <v>29</v>
      </c>
      <c r="S173" s="24" t="s">
        <v>26</v>
      </c>
      <c r="U173" s="158">
        <f t="shared" si="29"/>
        <v>11</v>
      </c>
      <c r="V173" s="158">
        <f t="shared" si="23"/>
        <v>11</v>
      </c>
      <c r="W173" s="158">
        <f t="shared" si="24"/>
        <v>12</v>
      </c>
      <c r="X173" s="158">
        <f t="shared" si="25"/>
        <v>1</v>
      </c>
      <c r="Y173" s="158">
        <f t="shared" si="26"/>
        <v>12</v>
      </c>
      <c r="Z173" s="158">
        <f t="shared" si="27"/>
        <v>12</v>
      </c>
      <c r="AA173" s="158">
        <f t="shared" si="28"/>
        <v>9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27</v>
      </c>
      <c r="N174" s="38" t="s">
        <v>17</v>
      </c>
      <c r="O174" s="38" t="s">
        <v>89</v>
      </c>
      <c r="P174" s="38" t="s">
        <v>89</v>
      </c>
      <c r="Q174" s="38" t="s">
        <v>27</v>
      </c>
      <c r="R174" s="38" t="s">
        <v>28</v>
      </c>
      <c r="S174" s="24" t="s">
        <v>89</v>
      </c>
      <c r="U174" s="158">
        <f t="shared" si="29"/>
        <v>10</v>
      </c>
      <c r="V174" s="158">
        <f t="shared" si="23"/>
        <v>4</v>
      </c>
      <c r="W174" s="158">
        <f t="shared" si="24"/>
        <v>7</v>
      </c>
      <c r="X174" s="158">
        <f t="shared" si="25"/>
        <v>7</v>
      </c>
      <c r="Y174" s="158">
        <f t="shared" si="26"/>
        <v>10</v>
      </c>
      <c r="Z174" s="158">
        <f t="shared" si="27"/>
        <v>11</v>
      </c>
      <c r="AA174" s="158">
        <f t="shared" si="28"/>
        <v>7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s">
        <v>26</v>
      </c>
      <c r="N175" s="156" t="s">
        <v>29</v>
      </c>
      <c r="O175" s="156" t="s">
        <v>17</v>
      </c>
      <c r="P175" s="156" t="s">
        <v>21</v>
      </c>
      <c r="Q175" s="156" t="s">
        <v>236</v>
      </c>
      <c r="R175" s="156" t="s">
        <v>26</v>
      </c>
      <c r="S175" s="157" t="s">
        <v>89</v>
      </c>
      <c r="U175" s="158">
        <f t="shared" si="29"/>
        <v>9</v>
      </c>
      <c r="V175" s="158">
        <f t="shared" si="23"/>
        <v>12</v>
      </c>
      <c r="W175" s="158">
        <f t="shared" si="24"/>
        <v>4</v>
      </c>
      <c r="X175" s="158">
        <f t="shared" si="25"/>
        <v>3</v>
      </c>
      <c r="Y175" s="158">
        <f t="shared" si="26"/>
        <v>20</v>
      </c>
      <c r="Z175" s="158">
        <f t="shared" si="27"/>
        <v>9</v>
      </c>
      <c r="AA175" s="158">
        <f t="shared" si="28"/>
        <v>7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27</v>
      </c>
      <c r="O176" s="38" t="s">
        <v>236</v>
      </c>
      <c r="P176" s="38" t="s">
        <v>89</v>
      </c>
      <c r="Q176" s="38" t="s">
        <v>28</v>
      </c>
      <c r="R176" s="38" t="s">
        <v>18</v>
      </c>
      <c r="S176" s="24" t="s">
        <v>89</v>
      </c>
      <c r="U176" s="158">
        <f t="shared" si="29"/>
        <v>12</v>
      </c>
      <c r="V176" s="158">
        <f t="shared" si="23"/>
        <v>10</v>
      </c>
      <c r="W176" s="158">
        <f t="shared" si="24"/>
        <v>20</v>
      </c>
      <c r="X176" s="158">
        <f t="shared" si="25"/>
        <v>7</v>
      </c>
      <c r="Y176" s="158">
        <f t="shared" si="26"/>
        <v>11</v>
      </c>
      <c r="Z176" s="158">
        <f t="shared" si="27"/>
        <v>5</v>
      </c>
      <c r="AA176" s="158">
        <f t="shared" si="28"/>
        <v>7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18</v>
      </c>
      <c r="N177" s="38" t="s">
        <v>68</v>
      </c>
      <c r="O177" s="38" t="s">
        <v>28</v>
      </c>
      <c r="P177" s="38" t="s">
        <v>228</v>
      </c>
      <c r="Q177" s="38" t="s">
        <v>27</v>
      </c>
      <c r="R177" s="38" t="s">
        <v>89</v>
      </c>
      <c r="S177" s="24" t="s">
        <v>89</v>
      </c>
      <c r="U177" s="158">
        <f t="shared" si="29"/>
        <v>5</v>
      </c>
      <c r="V177" s="158">
        <f t="shared" si="23"/>
        <v>0</v>
      </c>
      <c r="W177" s="158">
        <f t="shared" si="24"/>
        <v>11</v>
      </c>
      <c r="X177" s="158">
        <f t="shared" si="25"/>
        <v>16</v>
      </c>
      <c r="Y177" s="158">
        <f t="shared" si="26"/>
        <v>10</v>
      </c>
      <c r="Z177" s="158">
        <f t="shared" si="27"/>
        <v>7</v>
      </c>
      <c r="AA177" s="158">
        <f t="shared" si="28"/>
        <v>7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28</v>
      </c>
      <c r="N178" s="38" t="s">
        <v>28</v>
      </c>
      <c r="O178" s="38" t="s">
        <v>18</v>
      </c>
      <c r="P178" s="38" t="s">
        <v>18</v>
      </c>
      <c r="Q178" s="38" t="s">
        <v>27</v>
      </c>
      <c r="R178" s="38" t="s">
        <v>29</v>
      </c>
      <c r="S178" s="24" t="s">
        <v>21</v>
      </c>
      <c r="U178" s="158">
        <f t="shared" si="29"/>
        <v>11</v>
      </c>
      <c r="V178" s="158">
        <f t="shared" si="23"/>
        <v>11</v>
      </c>
      <c r="W178" s="158">
        <f t="shared" si="24"/>
        <v>5</v>
      </c>
      <c r="X178" s="158">
        <f t="shared" si="25"/>
        <v>5</v>
      </c>
      <c r="Y178" s="158">
        <f t="shared" si="26"/>
        <v>10</v>
      </c>
      <c r="Z178" s="158">
        <f t="shared" si="27"/>
        <v>12</v>
      </c>
      <c r="AA178" s="158">
        <f t="shared" si="28"/>
        <v>3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28</v>
      </c>
      <c r="N179" s="38" t="s">
        <v>27</v>
      </c>
      <c r="O179" s="38" t="s">
        <v>24</v>
      </c>
      <c r="P179" s="38" t="s">
        <v>28</v>
      </c>
      <c r="Q179" s="38" t="s">
        <v>224</v>
      </c>
      <c r="R179" s="38" t="s">
        <v>26</v>
      </c>
      <c r="S179" s="24" t="s">
        <v>26</v>
      </c>
      <c r="U179" s="158">
        <f t="shared" si="29"/>
        <v>11</v>
      </c>
      <c r="V179" s="158">
        <f t="shared" si="23"/>
        <v>10</v>
      </c>
      <c r="W179" s="158">
        <f t="shared" si="24"/>
        <v>8</v>
      </c>
      <c r="X179" s="158">
        <f t="shared" si="25"/>
        <v>11</v>
      </c>
      <c r="Y179" s="158">
        <f t="shared" si="26"/>
        <v>14</v>
      </c>
      <c r="Z179" s="158">
        <f t="shared" si="27"/>
        <v>9</v>
      </c>
      <c r="AA179" s="158">
        <f t="shared" si="28"/>
        <v>9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28</v>
      </c>
      <c r="N180" s="38" t="s">
        <v>238</v>
      </c>
      <c r="O180" s="38" t="s">
        <v>234</v>
      </c>
      <c r="P180" s="38" t="s">
        <v>64</v>
      </c>
      <c r="Q180" s="38" t="s">
        <v>17</v>
      </c>
      <c r="R180" s="38" t="s">
        <v>27</v>
      </c>
      <c r="S180" s="24" t="s">
        <v>29</v>
      </c>
      <c r="U180" s="158">
        <f t="shared" si="29"/>
        <v>11</v>
      </c>
      <c r="V180" s="158">
        <f t="shared" si="23"/>
        <v>21</v>
      </c>
      <c r="W180" s="158">
        <f t="shared" si="24"/>
        <v>19</v>
      </c>
      <c r="X180" s="158">
        <f t="shared" si="25"/>
        <v>6</v>
      </c>
      <c r="Y180" s="158">
        <f t="shared" si="26"/>
        <v>4</v>
      </c>
      <c r="Z180" s="158">
        <f t="shared" si="27"/>
        <v>10</v>
      </c>
      <c r="AA180" s="158">
        <f t="shared" si="28"/>
        <v>12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19</v>
      </c>
      <c r="N181" s="38" t="s">
        <v>21</v>
      </c>
      <c r="O181" s="38" t="s">
        <v>26</v>
      </c>
      <c r="P181" s="38" t="s">
        <v>26</v>
      </c>
      <c r="Q181" s="38" t="s">
        <v>18</v>
      </c>
      <c r="R181" s="38" t="s">
        <v>26</v>
      </c>
      <c r="S181" s="24" t="s">
        <v>28</v>
      </c>
      <c r="U181" s="158">
        <f t="shared" si="29"/>
        <v>1</v>
      </c>
      <c r="V181" s="158">
        <f t="shared" si="23"/>
        <v>3</v>
      </c>
      <c r="W181" s="158">
        <f t="shared" si="24"/>
        <v>9</v>
      </c>
      <c r="X181" s="158">
        <f t="shared" si="25"/>
        <v>9</v>
      </c>
      <c r="Y181" s="158">
        <f t="shared" si="26"/>
        <v>5</v>
      </c>
      <c r="Z181" s="158">
        <f t="shared" si="27"/>
        <v>9</v>
      </c>
      <c r="AA181" s="158">
        <f t="shared" si="28"/>
        <v>11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28</v>
      </c>
      <c r="N182" s="38" t="s">
        <v>21</v>
      </c>
      <c r="O182" s="38" t="s">
        <v>232</v>
      </c>
      <c r="P182" s="38" t="s">
        <v>232</v>
      </c>
      <c r="Q182" s="38" t="s">
        <v>236</v>
      </c>
      <c r="R182" s="38" t="s">
        <v>230</v>
      </c>
      <c r="S182" s="24" t="s">
        <v>21</v>
      </c>
      <c r="U182" s="158">
        <f t="shared" si="29"/>
        <v>11</v>
      </c>
      <c r="V182" s="158">
        <f t="shared" si="23"/>
        <v>3</v>
      </c>
      <c r="W182" s="158">
        <f t="shared" si="24"/>
        <v>18</v>
      </c>
      <c r="X182" s="158">
        <f t="shared" si="25"/>
        <v>18</v>
      </c>
      <c r="Y182" s="158">
        <f t="shared" si="26"/>
        <v>20</v>
      </c>
      <c r="Z182" s="158">
        <f t="shared" si="27"/>
        <v>17</v>
      </c>
      <c r="AA182" s="158">
        <f t="shared" si="28"/>
        <v>3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28</v>
      </c>
      <c r="N183" s="38" t="s">
        <v>242</v>
      </c>
      <c r="O183" s="38" t="s">
        <v>242</v>
      </c>
      <c r="P183" s="38" t="s">
        <v>24</v>
      </c>
      <c r="Q183" s="38" t="s">
        <v>234</v>
      </c>
      <c r="R183" s="38" t="s">
        <v>21</v>
      </c>
      <c r="S183" s="24" t="s">
        <v>89</v>
      </c>
      <c r="U183" s="158">
        <f t="shared" si="29"/>
        <v>11</v>
      </c>
      <c r="V183" s="158">
        <f t="shared" si="23"/>
        <v>23</v>
      </c>
      <c r="W183" s="158">
        <f t="shared" si="24"/>
        <v>23</v>
      </c>
      <c r="X183" s="158">
        <f t="shared" si="25"/>
        <v>8</v>
      </c>
      <c r="Y183" s="158">
        <f t="shared" si="26"/>
        <v>19</v>
      </c>
      <c r="Z183" s="158">
        <f t="shared" si="27"/>
        <v>3</v>
      </c>
      <c r="AA183" s="158">
        <f t="shared" si="28"/>
        <v>7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s">
        <v>29</v>
      </c>
      <c r="N184" s="156" t="s">
        <v>27</v>
      </c>
      <c r="O184" s="156" t="s">
        <v>21</v>
      </c>
      <c r="P184" s="156" t="s">
        <v>18</v>
      </c>
      <c r="Q184" s="156" t="s">
        <v>230</v>
      </c>
      <c r="R184" s="156" t="s">
        <v>24</v>
      </c>
      <c r="S184" s="157" t="s">
        <v>29</v>
      </c>
      <c r="U184" s="158">
        <f t="shared" si="29"/>
        <v>12</v>
      </c>
      <c r="V184" s="158">
        <f t="shared" si="23"/>
        <v>10</v>
      </c>
      <c r="W184" s="158">
        <f t="shared" si="24"/>
        <v>3</v>
      </c>
      <c r="X184" s="158">
        <f t="shared" si="25"/>
        <v>5</v>
      </c>
      <c r="Y184" s="158">
        <f t="shared" si="26"/>
        <v>17</v>
      </c>
      <c r="Z184" s="158">
        <f t="shared" si="27"/>
        <v>8</v>
      </c>
      <c r="AA184" s="158">
        <f t="shared" si="28"/>
        <v>12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29</v>
      </c>
      <c r="O185" s="38" t="s">
        <v>21</v>
      </c>
      <c r="P185" s="38" t="s">
        <v>21</v>
      </c>
      <c r="Q185" s="38" t="s">
        <v>232</v>
      </c>
      <c r="R185" s="38" t="s">
        <v>238</v>
      </c>
      <c r="S185" s="24" t="s">
        <v>26</v>
      </c>
      <c r="U185" s="158">
        <f t="shared" si="29"/>
        <v>11</v>
      </c>
      <c r="V185" s="158">
        <f t="shared" si="23"/>
        <v>12</v>
      </c>
      <c r="W185" s="158">
        <f t="shared" si="24"/>
        <v>3</v>
      </c>
      <c r="X185" s="158">
        <f t="shared" si="25"/>
        <v>3</v>
      </c>
      <c r="Y185" s="158">
        <f t="shared" si="26"/>
        <v>18</v>
      </c>
      <c r="Z185" s="158">
        <f t="shared" si="27"/>
        <v>21</v>
      </c>
      <c r="AA185" s="158">
        <f t="shared" si="28"/>
        <v>9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238</v>
      </c>
      <c r="O186" s="38" t="s">
        <v>27</v>
      </c>
      <c r="P186" s="38" t="s">
        <v>89</v>
      </c>
      <c r="Q186" s="38" t="s">
        <v>64</v>
      </c>
      <c r="R186" s="38" t="s">
        <v>17</v>
      </c>
      <c r="S186" s="24" t="s">
        <v>27</v>
      </c>
      <c r="U186" s="158">
        <f t="shared" si="29"/>
        <v>11</v>
      </c>
      <c r="V186" s="158">
        <f t="shared" si="23"/>
        <v>21</v>
      </c>
      <c r="W186" s="158">
        <f t="shared" si="24"/>
        <v>10</v>
      </c>
      <c r="X186" s="158">
        <f t="shared" si="25"/>
        <v>7</v>
      </c>
      <c r="Y186" s="158">
        <f t="shared" si="26"/>
        <v>6</v>
      </c>
      <c r="Z186" s="158">
        <f t="shared" si="27"/>
        <v>4</v>
      </c>
      <c r="AA186" s="158">
        <f t="shared" si="28"/>
        <v>10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29</v>
      </c>
      <c r="O187" s="38" t="s">
        <v>240</v>
      </c>
      <c r="P187" s="38" t="s">
        <v>234</v>
      </c>
      <c r="Q187" s="38" t="s">
        <v>28</v>
      </c>
      <c r="R187" s="38" t="s">
        <v>28</v>
      </c>
      <c r="S187" s="24" t="s">
        <v>17</v>
      </c>
      <c r="U187" s="158">
        <f t="shared" si="29"/>
        <v>7</v>
      </c>
      <c r="V187" s="158">
        <f t="shared" si="23"/>
        <v>12</v>
      </c>
      <c r="W187" s="158">
        <f t="shared" si="24"/>
        <v>22</v>
      </c>
      <c r="X187" s="158">
        <f t="shared" si="25"/>
        <v>19</v>
      </c>
      <c r="Y187" s="158">
        <f t="shared" si="26"/>
        <v>11</v>
      </c>
      <c r="Z187" s="158">
        <f t="shared" si="27"/>
        <v>11</v>
      </c>
      <c r="AA187" s="158">
        <f t="shared" si="28"/>
        <v>4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29</v>
      </c>
      <c r="N188" s="38" t="s">
        <v>17</v>
      </c>
      <c r="O188" s="38" t="s">
        <v>226</v>
      </c>
      <c r="P188" s="38" t="s">
        <v>28</v>
      </c>
      <c r="Q188" s="38" t="s">
        <v>240</v>
      </c>
      <c r="R188" s="38" t="s">
        <v>240</v>
      </c>
      <c r="S188" s="24" t="s">
        <v>17</v>
      </c>
      <c r="U188" s="158">
        <f t="shared" si="29"/>
        <v>12</v>
      </c>
      <c r="V188" s="158">
        <f t="shared" si="23"/>
        <v>4</v>
      </c>
      <c r="W188" s="158">
        <f t="shared" si="24"/>
        <v>15</v>
      </c>
      <c r="X188" s="158">
        <f t="shared" si="25"/>
        <v>11</v>
      </c>
      <c r="Y188" s="158">
        <f t="shared" si="26"/>
        <v>22</v>
      </c>
      <c r="Z188" s="158">
        <f t="shared" si="27"/>
        <v>22</v>
      </c>
      <c r="AA188" s="158">
        <f t="shared" si="28"/>
        <v>4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17</v>
      </c>
      <c r="N189" s="38" t="s">
        <v>232</v>
      </c>
      <c r="O189" s="38" t="s">
        <v>26</v>
      </c>
      <c r="P189" s="38" t="s">
        <v>27</v>
      </c>
      <c r="Q189" s="38" t="s">
        <v>29</v>
      </c>
      <c r="R189" s="38" t="s">
        <v>27</v>
      </c>
      <c r="S189" s="24" t="s">
        <v>17</v>
      </c>
      <c r="U189" s="158">
        <f t="shared" si="29"/>
        <v>4</v>
      </c>
      <c r="V189" s="158">
        <f t="shared" si="23"/>
        <v>18</v>
      </c>
      <c r="W189" s="158">
        <f t="shared" si="24"/>
        <v>9</v>
      </c>
      <c r="X189" s="158">
        <f t="shared" si="25"/>
        <v>10</v>
      </c>
      <c r="Y189" s="158">
        <f t="shared" si="26"/>
        <v>12</v>
      </c>
      <c r="Z189" s="158">
        <f t="shared" si="27"/>
        <v>10</v>
      </c>
      <c r="AA189" s="158">
        <f t="shared" si="28"/>
        <v>4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89</v>
      </c>
      <c r="N190" s="38" t="s">
        <v>242</v>
      </c>
      <c r="O190" s="38" t="s">
        <v>27</v>
      </c>
      <c r="P190" s="38" t="s">
        <v>26</v>
      </c>
      <c r="Q190" s="38" t="s">
        <v>17</v>
      </c>
      <c r="R190" s="38" t="s">
        <v>242</v>
      </c>
      <c r="S190" s="24" t="s">
        <v>17</v>
      </c>
      <c r="U190" s="158">
        <f t="shared" si="29"/>
        <v>7</v>
      </c>
      <c r="V190" s="158">
        <f t="shared" si="23"/>
        <v>23</v>
      </c>
      <c r="W190" s="158">
        <f t="shared" si="24"/>
        <v>10</v>
      </c>
      <c r="X190" s="158">
        <f t="shared" si="25"/>
        <v>9</v>
      </c>
      <c r="Y190" s="158">
        <f t="shared" si="26"/>
        <v>4</v>
      </c>
      <c r="Z190" s="158">
        <f t="shared" si="27"/>
        <v>23</v>
      </c>
      <c r="AA190" s="158">
        <f t="shared" si="28"/>
        <v>4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17</v>
      </c>
      <c r="O191" s="38" t="s">
        <v>29</v>
      </c>
      <c r="P191" s="38" t="s">
        <v>89</v>
      </c>
      <c r="Q191" s="38" t="s">
        <v>21</v>
      </c>
      <c r="R191" s="38" t="s">
        <v>29</v>
      </c>
      <c r="S191" s="24" t="s">
        <v>28</v>
      </c>
      <c r="U191" s="158">
        <f t="shared" si="29"/>
        <v>8</v>
      </c>
      <c r="V191" s="158">
        <f t="shared" si="23"/>
        <v>4</v>
      </c>
      <c r="W191" s="158">
        <f t="shared" si="24"/>
        <v>12</v>
      </c>
      <c r="X191" s="158">
        <f t="shared" si="25"/>
        <v>7</v>
      </c>
      <c r="Y191" s="158">
        <f t="shared" si="26"/>
        <v>3</v>
      </c>
      <c r="Z191" s="158">
        <f t="shared" si="27"/>
        <v>12</v>
      </c>
      <c r="AA191" s="158">
        <f t="shared" si="28"/>
        <v>11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29</v>
      </c>
      <c r="N192" s="38" t="s">
        <v>18</v>
      </c>
      <c r="O192" s="38" t="s">
        <v>17</v>
      </c>
      <c r="P192" s="38" t="s">
        <v>27</v>
      </c>
      <c r="Q192" s="38" t="s">
        <v>24</v>
      </c>
      <c r="R192" s="38" t="s">
        <v>64</v>
      </c>
      <c r="S192" s="24" t="s">
        <v>20</v>
      </c>
      <c r="U192" s="158">
        <f t="shared" si="29"/>
        <v>12</v>
      </c>
      <c r="V192" s="158">
        <f t="shared" si="23"/>
        <v>5</v>
      </c>
      <c r="W192" s="158">
        <f t="shared" si="24"/>
        <v>4</v>
      </c>
      <c r="X192" s="158">
        <f t="shared" si="25"/>
        <v>10</v>
      </c>
      <c r="Y192" s="158">
        <f t="shared" si="26"/>
        <v>8</v>
      </c>
      <c r="Z192" s="158">
        <f t="shared" si="27"/>
        <v>6</v>
      </c>
      <c r="AA192" s="158">
        <f t="shared" si="28"/>
        <v>2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s">
        <v>26</v>
      </c>
      <c r="N193" s="156" t="s">
        <v>64</v>
      </c>
      <c r="O193" s="156" t="s">
        <v>236</v>
      </c>
      <c r="P193" s="156" t="s">
        <v>228</v>
      </c>
      <c r="Q193" s="156" t="s">
        <v>27</v>
      </c>
      <c r="R193" s="156" t="s">
        <v>28</v>
      </c>
      <c r="S193" s="157" t="s">
        <v>24</v>
      </c>
      <c r="U193" s="158">
        <f t="shared" si="29"/>
        <v>9</v>
      </c>
      <c r="V193" s="158">
        <f t="shared" si="23"/>
        <v>6</v>
      </c>
      <c r="W193" s="158">
        <f t="shared" si="24"/>
        <v>20</v>
      </c>
      <c r="X193" s="158">
        <f t="shared" si="25"/>
        <v>16</v>
      </c>
      <c r="Y193" s="158">
        <f t="shared" si="26"/>
        <v>10</v>
      </c>
      <c r="Z193" s="158">
        <f t="shared" si="27"/>
        <v>11</v>
      </c>
      <c r="AA193" s="158">
        <f t="shared" si="28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29</v>
      </c>
      <c r="N194" s="38" t="s">
        <v>26</v>
      </c>
      <c r="O194" s="38" t="s">
        <v>64</v>
      </c>
      <c r="P194" s="38" t="s">
        <v>21</v>
      </c>
      <c r="Q194" s="38" t="s">
        <v>24</v>
      </c>
      <c r="R194" s="38" t="s">
        <v>238</v>
      </c>
      <c r="S194" s="24" t="s">
        <v>89</v>
      </c>
      <c r="U194" s="158">
        <f t="shared" si="29"/>
        <v>12</v>
      </c>
      <c r="V194" s="158">
        <f t="shared" si="23"/>
        <v>9</v>
      </c>
      <c r="W194" s="158">
        <f t="shared" si="24"/>
        <v>6</v>
      </c>
      <c r="X194" s="158">
        <f t="shared" si="25"/>
        <v>3</v>
      </c>
      <c r="Y194" s="158">
        <f t="shared" si="26"/>
        <v>8</v>
      </c>
      <c r="Z194" s="158">
        <f t="shared" si="27"/>
        <v>21</v>
      </c>
      <c r="AA194" s="158">
        <f t="shared" si="28"/>
        <v>7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26</v>
      </c>
      <c r="N195" s="38" t="s">
        <v>242</v>
      </c>
      <c r="O195" s="38" t="s">
        <v>236</v>
      </c>
      <c r="P195" s="38" t="s">
        <v>28</v>
      </c>
      <c r="Q195" s="38" t="s">
        <v>27</v>
      </c>
      <c r="R195" s="38" t="s">
        <v>89</v>
      </c>
      <c r="S195" s="24" t="s">
        <v>26</v>
      </c>
      <c r="U195" s="158">
        <f t="shared" si="29"/>
        <v>9</v>
      </c>
      <c r="V195" s="158">
        <f t="shared" si="23"/>
        <v>23</v>
      </c>
      <c r="W195" s="158">
        <f t="shared" si="24"/>
        <v>20</v>
      </c>
      <c r="X195" s="158">
        <f t="shared" si="25"/>
        <v>11</v>
      </c>
      <c r="Y195" s="158">
        <f t="shared" si="26"/>
        <v>10</v>
      </c>
      <c r="Z195" s="158">
        <f t="shared" si="27"/>
        <v>7</v>
      </c>
      <c r="AA195" s="158">
        <f t="shared" si="28"/>
        <v>9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29</v>
      </c>
      <c r="N196" s="38" t="s">
        <v>17</v>
      </c>
      <c r="O196" s="38" t="s">
        <v>24</v>
      </c>
      <c r="P196" s="38" t="s">
        <v>29</v>
      </c>
      <c r="Q196" s="38" t="s">
        <v>27</v>
      </c>
      <c r="R196" s="38" t="s">
        <v>21</v>
      </c>
      <c r="S196" s="24" t="s">
        <v>28</v>
      </c>
      <c r="U196" s="158">
        <f t="shared" si="29"/>
        <v>12</v>
      </c>
      <c r="V196" s="158">
        <f t="shared" ref="V196:V203" si="30">VLOOKUP(N196, $A$4:$J$29, 10, 0)</f>
        <v>4</v>
      </c>
      <c r="W196" s="158">
        <f t="shared" ref="W196:W203" si="31">VLOOKUP(O196, $A$4:$J$29, 10, 0)</f>
        <v>8</v>
      </c>
      <c r="X196" s="158">
        <f t="shared" ref="X196:X203" si="32">VLOOKUP(P196, $A$4:$J$29, 10, 0)</f>
        <v>12</v>
      </c>
      <c r="Y196" s="158">
        <f t="shared" ref="Y196:Y203" si="33">VLOOKUP(Q196, $A$4:$J$29, 10, 0)</f>
        <v>10</v>
      </c>
      <c r="Z196" s="158">
        <f t="shared" ref="Z196:Z203" si="34">VLOOKUP(R196, $A$4:$J$29, 10, 0)</f>
        <v>3</v>
      </c>
      <c r="AA196" s="158">
        <f t="shared" ref="AA196:AA203" si="35">VLOOKUP(S196, $A$4:$J$29, 10, 0)</f>
        <v>11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24</v>
      </c>
      <c r="N197" s="38" t="s">
        <v>21</v>
      </c>
      <c r="O197" s="38" t="s">
        <v>27</v>
      </c>
      <c r="P197" s="38" t="s">
        <v>234</v>
      </c>
      <c r="Q197" s="38" t="s">
        <v>24</v>
      </c>
      <c r="R197" s="38" t="s">
        <v>18</v>
      </c>
      <c r="S197" s="24" t="s">
        <v>27</v>
      </c>
      <c r="U197" s="158">
        <f t="shared" ref="U197:U203" si="36">VLOOKUP(M197, $A$4:$J$29, 10, 0)</f>
        <v>8</v>
      </c>
      <c r="V197" s="158">
        <f t="shared" si="30"/>
        <v>3</v>
      </c>
      <c r="W197" s="158">
        <f t="shared" si="31"/>
        <v>10</v>
      </c>
      <c r="X197" s="158">
        <f t="shared" si="32"/>
        <v>19</v>
      </c>
      <c r="Y197" s="158">
        <f t="shared" si="33"/>
        <v>8</v>
      </c>
      <c r="Z197" s="158">
        <f t="shared" si="34"/>
        <v>5</v>
      </c>
      <c r="AA197" s="158">
        <f t="shared" si="35"/>
        <v>10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17</v>
      </c>
      <c r="N198" s="38" t="s">
        <v>27</v>
      </c>
      <c r="O198" s="38" t="s">
        <v>29</v>
      </c>
      <c r="P198" s="38" t="s">
        <v>29</v>
      </c>
      <c r="Q198" s="38" t="s">
        <v>21</v>
      </c>
      <c r="R198" s="38" t="s">
        <v>29</v>
      </c>
      <c r="S198" s="24" t="s">
        <v>64</v>
      </c>
      <c r="U198" s="158">
        <f t="shared" si="36"/>
        <v>4</v>
      </c>
      <c r="V198" s="158">
        <f t="shared" si="30"/>
        <v>10</v>
      </c>
      <c r="W198" s="158">
        <f t="shared" si="31"/>
        <v>12</v>
      </c>
      <c r="X198" s="158">
        <f t="shared" si="32"/>
        <v>12</v>
      </c>
      <c r="Y198" s="158">
        <f t="shared" si="33"/>
        <v>3</v>
      </c>
      <c r="Z198" s="158">
        <f t="shared" si="34"/>
        <v>12</v>
      </c>
      <c r="AA198" s="158">
        <f t="shared" si="35"/>
        <v>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26</v>
      </c>
      <c r="N199" s="38" t="s">
        <v>224</v>
      </c>
      <c r="O199" s="38" t="s">
        <v>64</v>
      </c>
      <c r="P199" s="38" t="s">
        <v>21</v>
      </c>
      <c r="Q199" s="38" t="s">
        <v>27</v>
      </c>
      <c r="R199" s="38" t="s">
        <v>230</v>
      </c>
      <c r="S199" s="24" t="s">
        <v>29</v>
      </c>
      <c r="U199" s="158">
        <f t="shared" si="36"/>
        <v>9</v>
      </c>
      <c r="V199" s="158">
        <f t="shared" si="30"/>
        <v>14</v>
      </c>
      <c r="W199" s="158">
        <f t="shared" si="31"/>
        <v>6</v>
      </c>
      <c r="X199" s="158">
        <f t="shared" si="32"/>
        <v>3</v>
      </c>
      <c r="Y199" s="158">
        <f t="shared" si="33"/>
        <v>10</v>
      </c>
      <c r="Z199" s="158">
        <f t="shared" si="34"/>
        <v>17</v>
      </c>
      <c r="AA199" s="158">
        <f t="shared" si="35"/>
        <v>12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28</v>
      </c>
      <c r="N200" s="38" t="s">
        <v>234</v>
      </c>
      <c r="O200" s="38" t="s">
        <v>240</v>
      </c>
      <c r="P200" s="38" t="s">
        <v>24</v>
      </c>
      <c r="Q200" s="38" t="s">
        <v>24</v>
      </c>
      <c r="R200" s="38" t="s">
        <v>24</v>
      </c>
      <c r="S200" s="24" t="s">
        <v>89</v>
      </c>
      <c r="U200" s="158">
        <f t="shared" si="36"/>
        <v>11</v>
      </c>
      <c r="V200" s="158">
        <f t="shared" si="30"/>
        <v>19</v>
      </c>
      <c r="W200" s="158">
        <f t="shared" si="31"/>
        <v>22</v>
      </c>
      <c r="X200" s="158">
        <f t="shared" si="32"/>
        <v>8</v>
      </c>
      <c r="Y200" s="158">
        <f t="shared" si="33"/>
        <v>8</v>
      </c>
      <c r="Z200" s="158">
        <f t="shared" si="34"/>
        <v>8</v>
      </c>
      <c r="AA200" s="158">
        <f t="shared" si="35"/>
        <v>7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234</v>
      </c>
      <c r="O201" s="38" t="s">
        <v>18</v>
      </c>
      <c r="P201" s="38" t="s">
        <v>26</v>
      </c>
      <c r="Q201" s="38" t="s">
        <v>242</v>
      </c>
      <c r="R201" s="38" t="s">
        <v>21</v>
      </c>
      <c r="S201" s="24" t="s">
        <v>26</v>
      </c>
      <c r="U201" s="158">
        <f t="shared" si="36"/>
        <v>11</v>
      </c>
      <c r="V201" s="158">
        <f t="shared" si="30"/>
        <v>19</v>
      </c>
      <c r="W201" s="158">
        <f t="shared" si="31"/>
        <v>5</v>
      </c>
      <c r="X201" s="158">
        <f t="shared" si="32"/>
        <v>9</v>
      </c>
      <c r="Y201" s="158">
        <f t="shared" si="33"/>
        <v>23</v>
      </c>
      <c r="Z201" s="158">
        <f t="shared" si="34"/>
        <v>3</v>
      </c>
      <c r="AA201" s="158">
        <f t="shared" si="35"/>
        <v>9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s">
        <v>89</v>
      </c>
      <c r="N202" s="156" t="s">
        <v>64</v>
      </c>
      <c r="O202" s="156" t="s">
        <v>238</v>
      </c>
      <c r="P202" s="156" t="s">
        <v>89</v>
      </c>
      <c r="Q202" s="156" t="s">
        <v>24</v>
      </c>
      <c r="R202" s="156" t="s">
        <v>28</v>
      </c>
      <c r="S202" s="157" t="s">
        <v>28</v>
      </c>
      <c r="U202" s="158">
        <f t="shared" si="36"/>
        <v>7</v>
      </c>
      <c r="V202" s="158">
        <f t="shared" si="30"/>
        <v>6</v>
      </c>
      <c r="W202" s="158">
        <f t="shared" si="31"/>
        <v>21</v>
      </c>
      <c r="X202" s="158">
        <f t="shared" si="32"/>
        <v>7</v>
      </c>
      <c r="Y202" s="158">
        <f t="shared" si="33"/>
        <v>8</v>
      </c>
      <c r="Z202" s="158">
        <f t="shared" si="34"/>
        <v>11</v>
      </c>
      <c r="AA202" s="158">
        <f t="shared" si="35"/>
        <v>11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64</v>
      </c>
      <c r="N203" s="38" t="s">
        <v>24</v>
      </c>
      <c r="O203" s="38" t="s">
        <v>28</v>
      </c>
      <c r="P203" s="38" t="s">
        <v>24</v>
      </c>
      <c r="Q203" s="38" t="s">
        <v>21</v>
      </c>
      <c r="R203" s="38" t="s">
        <v>29</v>
      </c>
      <c r="S203" s="24" t="s">
        <v>18</v>
      </c>
      <c r="U203" s="158">
        <f t="shared" si="36"/>
        <v>6</v>
      </c>
      <c r="V203" s="158">
        <f t="shared" si="30"/>
        <v>8</v>
      </c>
      <c r="W203" s="158">
        <f t="shared" si="31"/>
        <v>11</v>
      </c>
      <c r="X203" s="158">
        <f t="shared" si="32"/>
        <v>8</v>
      </c>
      <c r="Y203" s="158">
        <f t="shared" si="33"/>
        <v>3</v>
      </c>
      <c r="Z203" s="158">
        <f t="shared" si="34"/>
        <v>12</v>
      </c>
      <c r="AA203" s="158">
        <f t="shared" si="35"/>
        <v>5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4" sqref="L4:L203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 cm="1">
        <f t="array" ref="L4:L203">_xlfn.SEQUENCE(200)</f>
        <v>1</v>
      </c>
      <c r="M4" s="156" t="s">
        <v>89</v>
      </c>
      <c r="N4" s="156" t="s">
        <v>89</v>
      </c>
      <c r="O4" s="156" t="s">
        <v>27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U35" si="2">VLOOKUP(M4, $A$4:$J$29, 9, 0)</f>
        <v>7</v>
      </c>
      <c r="V4" s="158">
        <f t="shared" ref="V4:V35" si="3">VLOOKUP(N4, $A$4:$J$29, 9, 0)</f>
        <v>7</v>
      </c>
      <c r="W4" s="158">
        <f t="shared" ref="W4:W35" si="4">VLOOKUP(O4, $A$4:$J$29, 9, 0)</f>
        <v>12</v>
      </c>
      <c r="X4" s="158">
        <f t="shared" ref="X4:X35" si="5">VLOOKUP(P4, $A$4:$J$29, 9, 0)</f>
        <v>14</v>
      </c>
      <c r="Y4" s="158">
        <f t="shared" ref="Y4:Y35" si="6">VLOOKUP(Q4, $A$4:$J$29, 9, 0)</f>
        <v>10</v>
      </c>
      <c r="Z4" s="158">
        <f t="shared" ref="Z4:Z35" si="7">VLOOKUP(R4, $A$4:$J$29, 9, 0)</f>
        <v>11</v>
      </c>
      <c r="AA4" s="158">
        <f t="shared" ref="AA4:AA35" si="8">VLOOKUP(S4, $A$4:$J$29, 9, 0)</f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28</v>
      </c>
      <c r="O5" s="38" t="s">
        <v>27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3"/>
        <v>15</v>
      </c>
      <c r="W5" s="37">
        <f t="shared" si="4"/>
        <v>12</v>
      </c>
      <c r="X5" s="37">
        <f t="shared" si="5"/>
        <v>11</v>
      </c>
      <c r="Y5" s="37">
        <f t="shared" si="6"/>
        <v>0</v>
      </c>
      <c r="Z5" s="37">
        <f t="shared" si="7"/>
        <v>7</v>
      </c>
      <c r="AA5" s="37">
        <f t="shared" si="8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0</v>
      </c>
      <c r="D6" s="153">
        <f t="shared" si="1"/>
        <v>0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3</v>
      </c>
      <c r="M6" s="38" t="s">
        <v>28</v>
      </c>
      <c r="N6" s="38" t="s">
        <v>29</v>
      </c>
      <c r="O6" s="38" t="s">
        <v>27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3"/>
        <v>19</v>
      </c>
      <c r="W6" s="37">
        <f t="shared" si="4"/>
        <v>12</v>
      </c>
      <c r="X6" s="37">
        <f t="shared" si="5"/>
        <v>11</v>
      </c>
      <c r="Y6" s="37">
        <f t="shared" si="6"/>
        <v>14</v>
      </c>
      <c r="Z6" s="37">
        <f t="shared" si="7"/>
        <v>14</v>
      </c>
      <c r="AA6" s="37">
        <f t="shared" si="8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0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4</v>
      </c>
      <c r="M7" s="38" t="s">
        <v>29</v>
      </c>
      <c r="N7" s="38" t="s">
        <v>27</v>
      </c>
      <c r="O7" s="38" t="s">
        <v>27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19</v>
      </c>
      <c r="V7" s="37">
        <f t="shared" si="3"/>
        <v>12</v>
      </c>
      <c r="W7" s="37">
        <f t="shared" si="4"/>
        <v>12</v>
      </c>
      <c r="X7" s="37">
        <f t="shared" si="5"/>
        <v>11</v>
      </c>
      <c r="Y7" s="37">
        <f t="shared" si="6"/>
        <v>14</v>
      </c>
      <c r="Z7" s="37">
        <f t="shared" si="7"/>
        <v>19</v>
      </c>
      <c r="AA7" s="37">
        <f t="shared" si="8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0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5</v>
      </c>
      <c r="M8" s="38" t="s">
        <v>26</v>
      </c>
      <c r="N8" s="38" t="s">
        <v>29</v>
      </c>
      <c r="O8" s="38" t="s">
        <v>27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3"/>
        <v>19</v>
      </c>
      <c r="W8" s="37">
        <f t="shared" si="4"/>
        <v>12</v>
      </c>
      <c r="X8" s="37">
        <f t="shared" si="5"/>
        <v>12</v>
      </c>
      <c r="Y8" s="37">
        <f t="shared" si="6"/>
        <v>7</v>
      </c>
      <c r="Z8" s="37">
        <f t="shared" si="7"/>
        <v>19</v>
      </c>
      <c r="AA8" s="37">
        <f t="shared" si="8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0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6</v>
      </c>
      <c r="M9" s="38" t="s">
        <v>28</v>
      </c>
      <c r="N9" s="38" t="s">
        <v>21</v>
      </c>
      <c r="O9" s="38" t="s">
        <v>27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3"/>
        <v>12</v>
      </c>
      <c r="W9" s="37">
        <f t="shared" si="4"/>
        <v>12</v>
      </c>
      <c r="X9" s="37">
        <f t="shared" si="5"/>
        <v>12</v>
      </c>
      <c r="Y9" s="37">
        <f t="shared" si="6"/>
        <v>7</v>
      </c>
      <c r="Z9" s="37">
        <f t="shared" si="7"/>
        <v>14</v>
      </c>
      <c r="AA9" s="37">
        <f t="shared" si="8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0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7</v>
      </c>
      <c r="M10" s="38" t="s">
        <v>26</v>
      </c>
      <c r="N10" s="38" t="s">
        <v>21</v>
      </c>
      <c r="O10" s="38" t="s">
        <v>27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3"/>
        <v>12</v>
      </c>
      <c r="W10" s="37">
        <f t="shared" si="4"/>
        <v>12</v>
      </c>
      <c r="X10" s="37">
        <f t="shared" si="5"/>
        <v>12</v>
      </c>
      <c r="Y10" s="37">
        <f t="shared" si="6"/>
        <v>7</v>
      </c>
      <c r="Z10" s="37">
        <f t="shared" si="7"/>
        <v>14</v>
      </c>
      <c r="AA10" s="37">
        <f t="shared" si="8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0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8</v>
      </c>
      <c r="M11" s="38" t="s">
        <v>29</v>
      </c>
      <c r="N11" s="38" t="s">
        <v>89</v>
      </c>
      <c r="O11" s="38" t="s">
        <v>27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19</v>
      </c>
      <c r="V11" s="37">
        <f t="shared" si="3"/>
        <v>7</v>
      </c>
      <c r="W11" s="37">
        <f t="shared" si="4"/>
        <v>12</v>
      </c>
      <c r="X11" s="37">
        <f t="shared" si="5"/>
        <v>19</v>
      </c>
      <c r="Y11" s="37">
        <f t="shared" si="6"/>
        <v>15</v>
      </c>
      <c r="Z11" s="37">
        <f t="shared" si="7"/>
        <v>14</v>
      </c>
      <c r="AA11" s="37">
        <f t="shared" si="8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0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9</v>
      </c>
      <c r="M12" s="38" t="s">
        <v>64</v>
      </c>
      <c r="N12" s="38" t="s">
        <v>89</v>
      </c>
      <c r="O12" s="38" t="s">
        <v>27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14</v>
      </c>
      <c r="V12" s="37">
        <f t="shared" si="3"/>
        <v>7</v>
      </c>
      <c r="W12" s="37">
        <f t="shared" si="4"/>
        <v>12</v>
      </c>
      <c r="X12" s="37">
        <f t="shared" si="5"/>
        <v>14</v>
      </c>
      <c r="Y12" s="37">
        <f t="shared" si="6"/>
        <v>15</v>
      </c>
      <c r="Z12" s="37">
        <f t="shared" si="7"/>
        <v>7</v>
      </c>
      <c r="AA12" s="37">
        <f t="shared" si="8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0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5">
        <v>10</v>
      </c>
      <c r="M13" s="38" t="s">
        <v>28</v>
      </c>
      <c r="N13" s="38" t="s">
        <v>230</v>
      </c>
      <c r="O13" s="38" t="s">
        <v>27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3"/>
        <v>0</v>
      </c>
      <c r="W13" s="37">
        <f t="shared" si="4"/>
        <v>12</v>
      </c>
      <c r="X13" s="37">
        <f t="shared" si="5"/>
        <v>12</v>
      </c>
      <c r="Y13" s="37">
        <f t="shared" si="6"/>
        <v>7</v>
      </c>
      <c r="Z13" s="37">
        <f t="shared" si="7"/>
        <v>14</v>
      </c>
      <c r="AA13" s="37">
        <f t="shared" si="8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121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4">
        <v>11</v>
      </c>
      <c r="M14" s="38" t="s">
        <v>28</v>
      </c>
      <c r="N14" s="38" t="s">
        <v>64</v>
      </c>
      <c r="O14" s="38" t="s">
        <v>27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3"/>
        <v>14</v>
      </c>
      <c r="W14" s="37">
        <f t="shared" si="4"/>
        <v>12</v>
      </c>
      <c r="X14" s="37">
        <f t="shared" si="5"/>
        <v>0</v>
      </c>
      <c r="Y14" s="37">
        <f t="shared" si="6"/>
        <v>7</v>
      </c>
      <c r="Z14" s="37">
        <f t="shared" si="7"/>
        <v>14</v>
      </c>
      <c r="AA14" s="37">
        <f t="shared" si="8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0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5">
        <v>12</v>
      </c>
      <c r="M15" s="38" t="s">
        <v>29</v>
      </c>
      <c r="N15" s="38" t="s">
        <v>64</v>
      </c>
      <c r="O15" s="38" t="s">
        <v>27</v>
      </c>
      <c r="P15" s="38" t="s">
        <v>234</v>
      </c>
      <c r="Q15" s="38" t="s">
        <v>26</v>
      </c>
      <c r="R15" s="38" t="s">
        <v>89</v>
      </c>
      <c r="S15" s="24" t="s">
        <v>17</v>
      </c>
      <c r="U15" s="37">
        <f t="shared" si="2"/>
        <v>19</v>
      </c>
      <c r="V15" s="37">
        <f t="shared" si="3"/>
        <v>14</v>
      </c>
      <c r="W15" s="37">
        <f t="shared" si="4"/>
        <v>12</v>
      </c>
      <c r="X15" s="37">
        <f t="shared" si="5"/>
        <v>0</v>
      </c>
      <c r="Y15" s="37">
        <f t="shared" si="6"/>
        <v>7</v>
      </c>
      <c r="Z15" s="37">
        <f t="shared" si="7"/>
        <v>7</v>
      </c>
      <c r="AA15" s="37">
        <f t="shared" si="8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30</v>
      </c>
      <c r="D16" s="10">
        <f t="shared" si="1"/>
        <v>16</v>
      </c>
      <c r="E16" s="10">
        <f t="shared" si="1"/>
        <v>0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4">
        <v>13</v>
      </c>
      <c r="M16" s="38" t="s">
        <v>29</v>
      </c>
      <c r="N16" s="38" t="s">
        <v>27</v>
      </c>
      <c r="O16" s="38" t="s">
        <v>27</v>
      </c>
      <c r="P16" s="38" t="s">
        <v>24</v>
      </c>
      <c r="Q16" s="38" t="s">
        <v>26</v>
      </c>
      <c r="R16" s="38" t="s">
        <v>89</v>
      </c>
      <c r="S16" s="24" t="s">
        <v>18</v>
      </c>
      <c r="U16" s="37">
        <f t="shared" si="2"/>
        <v>19</v>
      </c>
      <c r="V16" s="37">
        <f t="shared" si="3"/>
        <v>12</v>
      </c>
      <c r="W16" s="37">
        <f t="shared" si="4"/>
        <v>12</v>
      </c>
      <c r="X16" s="37">
        <f t="shared" si="5"/>
        <v>11</v>
      </c>
      <c r="Y16" s="37">
        <f t="shared" si="6"/>
        <v>7</v>
      </c>
      <c r="Z16" s="37">
        <f t="shared" si="7"/>
        <v>7</v>
      </c>
      <c r="AA16" s="37">
        <f t="shared" si="8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26</v>
      </c>
      <c r="N17" s="38" t="s">
        <v>27</v>
      </c>
      <c r="O17" s="38" t="s">
        <v>27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3"/>
        <v>12</v>
      </c>
      <c r="W17" s="37">
        <f t="shared" si="4"/>
        <v>12</v>
      </c>
      <c r="X17" s="37">
        <f t="shared" si="5"/>
        <v>11</v>
      </c>
      <c r="Y17" s="37">
        <f t="shared" si="6"/>
        <v>7</v>
      </c>
      <c r="Z17" s="37">
        <f t="shared" si="7"/>
        <v>14</v>
      </c>
      <c r="AA17" s="37">
        <f t="shared" si="8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0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s">
        <v>89</v>
      </c>
      <c r="N18" s="38" t="s">
        <v>232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7</v>
      </c>
      <c r="V18" s="37">
        <f t="shared" si="3"/>
        <v>0</v>
      </c>
      <c r="W18" s="37">
        <f t="shared" si="4"/>
        <v>12</v>
      </c>
      <c r="X18" s="37">
        <f t="shared" si="5"/>
        <v>7</v>
      </c>
      <c r="Y18" s="37">
        <f t="shared" si="6"/>
        <v>7</v>
      </c>
      <c r="Z18" s="37">
        <f t="shared" si="7"/>
        <v>12</v>
      </c>
      <c r="AA18" s="37">
        <f t="shared" si="8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s">
        <v>28</v>
      </c>
      <c r="N19" s="38" t="s">
        <v>89</v>
      </c>
      <c r="O19" s="38" t="s">
        <v>27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3"/>
        <v>7</v>
      </c>
      <c r="W19" s="37">
        <f t="shared" si="4"/>
        <v>12</v>
      </c>
      <c r="X19" s="37">
        <f t="shared" si="5"/>
        <v>0</v>
      </c>
      <c r="Y19" s="37">
        <f t="shared" si="6"/>
        <v>0</v>
      </c>
      <c r="Z19" s="37">
        <f t="shared" si="7"/>
        <v>14</v>
      </c>
      <c r="AA19" s="37">
        <f t="shared" si="8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9">COUNTIF(N$4:N$304,$A20)</f>
        <v>1</v>
      </c>
      <c r="E20" s="153">
        <f t="shared" ref="E20:E29" si="10">COUNTIF(O$4:O$304,$A20)</f>
        <v>0</v>
      </c>
      <c r="F20" s="153">
        <f t="shared" ref="F20:F29" si="11">COUNTIF(P$4:P$304,$A20)</f>
        <v>1</v>
      </c>
      <c r="G20" s="153">
        <f t="shared" ref="G20:G29" si="12">COUNTIF(Q$4:Q$304,$A20)</f>
        <v>1</v>
      </c>
      <c r="H20" s="153">
        <f t="shared" ref="H20:H29" si="13">COUNTIF(R$4:R$304,$A20)</f>
        <v>0</v>
      </c>
      <c r="I20" s="153">
        <f t="shared" ref="I20:I29" si="14">COUNTIF(S$4:S$304,$A20)</f>
        <v>0</v>
      </c>
      <c r="J20" s="151">
        <v>16</v>
      </c>
      <c r="L20" s="14">
        <v>17</v>
      </c>
      <c r="M20" s="38" t="s">
        <v>29</v>
      </c>
      <c r="N20" s="38" t="s">
        <v>64</v>
      </c>
      <c r="O20" s="38" t="s">
        <v>27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si="2"/>
        <v>19</v>
      </c>
      <c r="V20" s="37">
        <f t="shared" si="3"/>
        <v>14</v>
      </c>
      <c r="W20" s="37">
        <f t="shared" si="4"/>
        <v>12</v>
      </c>
      <c r="X20" s="37">
        <f t="shared" si="5"/>
        <v>12</v>
      </c>
      <c r="Y20" s="37">
        <f t="shared" si="6"/>
        <v>12</v>
      </c>
      <c r="Z20" s="37">
        <f t="shared" si="7"/>
        <v>14</v>
      </c>
      <c r="AA20" s="37">
        <f t="shared" si="8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9"/>
        <v>3</v>
      </c>
      <c r="E21" s="153">
        <f t="shared" si="10"/>
        <v>0</v>
      </c>
      <c r="F21" s="153">
        <f t="shared" si="11"/>
        <v>4</v>
      </c>
      <c r="G21" s="153">
        <f t="shared" si="12"/>
        <v>1</v>
      </c>
      <c r="H21" s="153">
        <f t="shared" si="13"/>
        <v>0</v>
      </c>
      <c r="I21" s="153">
        <f t="shared" si="14"/>
        <v>0</v>
      </c>
      <c r="J21" s="151">
        <v>17</v>
      </c>
      <c r="L21" s="15">
        <v>18</v>
      </c>
      <c r="M21" s="38" t="s">
        <v>64</v>
      </c>
      <c r="N21" s="38" t="s">
        <v>64</v>
      </c>
      <c r="O21" s="38" t="s">
        <v>27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2"/>
        <v>14</v>
      </c>
      <c r="V21" s="37">
        <f t="shared" si="3"/>
        <v>14</v>
      </c>
      <c r="W21" s="37">
        <f t="shared" si="4"/>
        <v>12</v>
      </c>
      <c r="X21" s="37">
        <f t="shared" si="5"/>
        <v>0</v>
      </c>
      <c r="Y21" s="37">
        <f t="shared" si="6"/>
        <v>7</v>
      </c>
      <c r="Z21" s="37">
        <f t="shared" si="7"/>
        <v>14</v>
      </c>
      <c r="AA21" s="37">
        <f t="shared" si="8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9"/>
        <v>3</v>
      </c>
      <c r="E22" s="153">
        <f t="shared" si="10"/>
        <v>0</v>
      </c>
      <c r="F22" s="153">
        <f t="shared" si="11"/>
        <v>2</v>
      </c>
      <c r="G22" s="153">
        <f t="shared" si="12"/>
        <v>2</v>
      </c>
      <c r="H22" s="153">
        <f t="shared" si="13"/>
        <v>0</v>
      </c>
      <c r="I22" s="153">
        <f t="shared" si="14"/>
        <v>0</v>
      </c>
      <c r="J22" s="151">
        <v>18</v>
      </c>
      <c r="L22" s="15">
        <v>19</v>
      </c>
      <c r="M22" s="38" t="s">
        <v>29</v>
      </c>
      <c r="N22" s="38" t="s">
        <v>242</v>
      </c>
      <c r="O22" s="38" t="s">
        <v>27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2"/>
        <v>19</v>
      </c>
      <c r="V22" s="37">
        <f t="shared" si="3"/>
        <v>0</v>
      </c>
      <c r="W22" s="37">
        <f t="shared" si="4"/>
        <v>12</v>
      </c>
      <c r="X22" s="37">
        <f t="shared" si="5"/>
        <v>14</v>
      </c>
      <c r="Y22" s="37">
        <f t="shared" si="6"/>
        <v>7</v>
      </c>
      <c r="Z22" s="37">
        <f t="shared" si="7"/>
        <v>10</v>
      </c>
      <c r="AA22" s="37">
        <f t="shared" si="8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1</v>
      </c>
      <c r="E23" s="10">
        <f t="shared" si="10"/>
        <v>0</v>
      </c>
      <c r="F23" s="10">
        <f t="shared" si="11"/>
        <v>1</v>
      </c>
      <c r="G23" s="10">
        <f t="shared" si="12"/>
        <v>1</v>
      </c>
      <c r="H23" s="10">
        <f t="shared" si="13"/>
        <v>0</v>
      </c>
      <c r="I23" s="10">
        <f t="shared" si="14"/>
        <v>0</v>
      </c>
      <c r="J23" s="4">
        <v>19</v>
      </c>
      <c r="L23" s="14">
        <v>20</v>
      </c>
      <c r="M23" s="38" t="s">
        <v>89</v>
      </c>
      <c r="N23" s="38" t="s">
        <v>27</v>
      </c>
      <c r="O23" s="38" t="s">
        <v>27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2"/>
        <v>7</v>
      </c>
      <c r="V23" s="37">
        <f t="shared" si="3"/>
        <v>12</v>
      </c>
      <c r="W23" s="37">
        <f t="shared" si="4"/>
        <v>12</v>
      </c>
      <c r="X23" s="37">
        <f t="shared" si="5"/>
        <v>14</v>
      </c>
      <c r="Y23" s="37">
        <f t="shared" si="6"/>
        <v>12</v>
      </c>
      <c r="Z23" s="37">
        <f t="shared" si="7"/>
        <v>19</v>
      </c>
      <c r="AA23" s="37">
        <f t="shared" si="8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0</v>
      </c>
      <c r="F24" s="10">
        <f t="shared" si="11"/>
        <v>1</v>
      </c>
      <c r="G24" s="10">
        <f t="shared" si="12"/>
        <v>1</v>
      </c>
      <c r="H24" s="10">
        <f t="shared" si="13"/>
        <v>0</v>
      </c>
      <c r="I24" s="10">
        <f t="shared" si="14"/>
        <v>0</v>
      </c>
      <c r="J24" s="4">
        <v>20</v>
      </c>
      <c r="L24" s="15">
        <v>21</v>
      </c>
      <c r="M24" s="38" t="s">
        <v>21</v>
      </c>
      <c r="N24" s="38" t="s">
        <v>27</v>
      </c>
      <c r="O24" s="38" t="s">
        <v>27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2"/>
        <v>12</v>
      </c>
      <c r="V24" s="37">
        <f t="shared" si="3"/>
        <v>12</v>
      </c>
      <c r="W24" s="37">
        <f t="shared" si="4"/>
        <v>12</v>
      </c>
      <c r="X24" s="37">
        <f t="shared" si="5"/>
        <v>12</v>
      </c>
      <c r="Y24" s="37">
        <f t="shared" si="6"/>
        <v>7</v>
      </c>
      <c r="Z24" s="37">
        <f t="shared" si="7"/>
        <v>19</v>
      </c>
      <c r="AA24" s="37">
        <f t="shared" si="8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</v>
      </c>
      <c r="E25" s="10">
        <f t="shared" si="10"/>
        <v>0</v>
      </c>
      <c r="F25" s="10">
        <f t="shared" si="11"/>
        <v>1</v>
      </c>
      <c r="G25" s="10">
        <f t="shared" si="12"/>
        <v>0</v>
      </c>
      <c r="H25" s="10">
        <f t="shared" si="13"/>
        <v>0</v>
      </c>
      <c r="I25" s="10">
        <f t="shared" si="14"/>
        <v>0</v>
      </c>
      <c r="J25" s="4">
        <v>21</v>
      </c>
      <c r="L25" s="14">
        <v>22</v>
      </c>
      <c r="M25" s="38" t="s">
        <v>27</v>
      </c>
      <c r="N25" s="38" t="s">
        <v>27</v>
      </c>
      <c r="O25" s="38" t="s">
        <v>27</v>
      </c>
      <c r="P25" s="38" t="s">
        <v>29</v>
      </c>
      <c r="Q25" s="38" t="s">
        <v>89</v>
      </c>
      <c r="R25" s="38" t="s">
        <v>29</v>
      </c>
      <c r="S25" s="24" t="s">
        <v>27</v>
      </c>
      <c r="U25" s="37">
        <f t="shared" si="2"/>
        <v>12</v>
      </c>
      <c r="V25" s="37">
        <f t="shared" si="3"/>
        <v>12</v>
      </c>
      <c r="W25" s="37">
        <f t="shared" si="4"/>
        <v>12</v>
      </c>
      <c r="X25" s="37">
        <f t="shared" si="5"/>
        <v>19</v>
      </c>
      <c r="Y25" s="37">
        <f t="shared" si="6"/>
        <v>7</v>
      </c>
      <c r="Z25" s="37">
        <f t="shared" si="7"/>
        <v>19</v>
      </c>
      <c r="AA25" s="37">
        <f t="shared" si="8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0</v>
      </c>
      <c r="F26" s="10">
        <f t="shared" si="11"/>
        <v>1</v>
      </c>
      <c r="G26" s="10">
        <f t="shared" si="12"/>
        <v>1</v>
      </c>
      <c r="H26" s="10">
        <f t="shared" si="13"/>
        <v>0</v>
      </c>
      <c r="I26" s="10">
        <f t="shared" si="14"/>
        <v>0</v>
      </c>
      <c r="J26" s="4">
        <v>22</v>
      </c>
      <c r="L26" s="15">
        <v>23</v>
      </c>
      <c r="M26" s="38" t="s">
        <v>27</v>
      </c>
      <c r="N26" s="38" t="s">
        <v>29</v>
      </c>
      <c r="O26" s="38" t="s">
        <v>27</v>
      </c>
      <c r="P26" s="38" t="s">
        <v>29</v>
      </c>
      <c r="Q26" s="38" t="s">
        <v>29</v>
      </c>
      <c r="R26" s="38" t="s">
        <v>18</v>
      </c>
      <c r="S26" s="24" t="s">
        <v>27</v>
      </c>
      <c r="U26" s="37">
        <f t="shared" si="2"/>
        <v>12</v>
      </c>
      <c r="V26" s="37">
        <f t="shared" si="3"/>
        <v>19</v>
      </c>
      <c r="W26" s="37">
        <f t="shared" si="4"/>
        <v>12</v>
      </c>
      <c r="X26" s="37">
        <f t="shared" si="5"/>
        <v>19</v>
      </c>
      <c r="Y26" s="37">
        <f t="shared" si="6"/>
        <v>19</v>
      </c>
      <c r="Z26" s="37">
        <f t="shared" si="7"/>
        <v>10</v>
      </c>
      <c r="AA26" s="37">
        <f t="shared" si="8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1</v>
      </c>
      <c r="E27" s="10">
        <f t="shared" si="10"/>
        <v>0</v>
      </c>
      <c r="F27" s="10">
        <f t="shared" si="11"/>
        <v>1</v>
      </c>
      <c r="G27" s="10">
        <f t="shared" si="12"/>
        <v>0</v>
      </c>
      <c r="H27" s="10">
        <f t="shared" si="13"/>
        <v>0</v>
      </c>
      <c r="I27" s="10">
        <f t="shared" si="14"/>
        <v>0</v>
      </c>
      <c r="J27" s="4">
        <v>23</v>
      </c>
      <c r="L27" s="14">
        <v>24</v>
      </c>
      <c r="M27" s="38" t="s">
        <v>18</v>
      </c>
      <c r="N27" s="38" t="s">
        <v>29</v>
      </c>
      <c r="O27" s="38" t="s">
        <v>27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2"/>
        <v>10</v>
      </c>
      <c r="V27" s="37">
        <f t="shared" si="3"/>
        <v>19</v>
      </c>
      <c r="W27" s="37">
        <f t="shared" si="4"/>
        <v>12</v>
      </c>
      <c r="X27" s="37">
        <f t="shared" si="5"/>
        <v>19</v>
      </c>
      <c r="Y27" s="37">
        <f t="shared" si="6"/>
        <v>10</v>
      </c>
      <c r="Z27" s="37">
        <f t="shared" si="7"/>
        <v>10</v>
      </c>
      <c r="AA27" s="37">
        <f t="shared" si="8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9"/>
        <v>3</v>
      </c>
      <c r="E28" s="153">
        <f t="shared" si="10"/>
        <v>0</v>
      </c>
      <c r="F28" s="153">
        <f t="shared" si="11"/>
        <v>0</v>
      </c>
      <c r="G28" s="153">
        <f t="shared" si="12"/>
        <v>0</v>
      </c>
      <c r="H28" s="153">
        <f t="shared" si="13"/>
        <v>0</v>
      </c>
      <c r="I28" s="153">
        <f t="shared" si="14"/>
        <v>0</v>
      </c>
      <c r="J28" s="151">
        <v>24</v>
      </c>
      <c r="L28" s="15">
        <v>25</v>
      </c>
      <c r="M28" s="38" t="s">
        <v>18</v>
      </c>
      <c r="N28" s="38" t="s">
        <v>29</v>
      </c>
      <c r="O28" s="38" t="s">
        <v>27</v>
      </c>
      <c r="P28" s="38" t="s">
        <v>64</v>
      </c>
      <c r="Q28" s="38" t="s">
        <v>17</v>
      </c>
      <c r="R28" s="38" t="s">
        <v>24</v>
      </c>
      <c r="S28" s="24" t="s">
        <v>29</v>
      </c>
      <c r="U28" s="37">
        <f t="shared" si="2"/>
        <v>10</v>
      </c>
      <c r="V28" s="37">
        <f t="shared" si="3"/>
        <v>19</v>
      </c>
      <c r="W28" s="37">
        <f t="shared" si="4"/>
        <v>12</v>
      </c>
      <c r="X28" s="37">
        <f t="shared" si="5"/>
        <v>14</v>
      </c>
      <c r="Y28" s="37">
        <f t="shared" si="6"/>
        <v>14</v>
      </c>
      <c r="Z28" s="37">
        <f t="shared" si="7"/>
        <v>11</v>
      </c>
      <c r="AA28" s="37">
        <f t="shared" si="8"/>
        <v>19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9"/>
        <v>1</v>
      </c>
      <c r="E29" s="153">
        <f t="shared" si="10"/>
        <v>0</v>
      </c>
      <c r="F29" s="153">
        <f t="shared" si="11"/>
        <v>0</v>
      </c>
      <c r="G29" s="153">
        <f t="shared" si="12"/>
        <v>0</v>
      </c>
      <c r="H29" s="153">
        <f t="shared" si="13"/>
        <v>0</v>
      </c>
      <c r="I29" s="153">
        <f t="shared" si="14"/>
        <v>0</v>
      </c>
      <c r="J29" s="151">
        <v>25</v>
      </c>
      <c r="L29" s="14">
        <v>26</v>
      </c>
      <c r="M29" s="38" t="s">
        <v>89</v>
      </c>
      <c r="N29" s="38" t="s">
        <v>89</v>
      </c>
      <c r="O29" s="38" t="s">
        <v>27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2"/>
        <v>7</v>
      </c>
      <c r="V29" s="37">
        <f t="shared" si="3"/>
        <v>7</v>
      </c>
      <c r="W29" s="37">
        <f t="shared" si="4"/>
        <v>12</v>
      </c>
      <c r="X29" s="37">
        <f t="shared" si="5"/>
        <v>14</v>
      </c>
      <c r="Y29" s="37">
        <f t="shared" si="6"/>
        <v>19</v>
      </c>
      <c r="Z29" s="37">
        <f t="shared" si="7"/>
        <v>14</v>
      </c>
      <c r="AA29" s="37">
        <f t="shared" si="8"/>
        <v>19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5">SUM(D4:D29)</f>
        <v>121</v>
      </c>
      <c r="E30" s="170">
        <f t="shared" si="15"/>
        <v>121</v>
      </c>
      <c r="F30" s="170">
        <f t="shared" si="15"/>
        <v>121</v>
      </c>
      <c r="G30" s="170">
        <f t="shared" si="15"/>
        <v>121</v>
      </c>
      <c r="H30" s="170">
        <f t="shared" si="15"/>
        <v>121</v>
      </c>
      <c r="I30" s="170">
        <f t="shared" si="15"/>
        <v>121</v>
      </c>
      <c r="J30" s="13"/>
      <c r="L30" s="15">
        <v>27</v>
      </c>
      <c r="M30" s="38" t="s">
        <v>28</v>
      </c>
      <c r="N30" s="38" t="s">
        <v>89</v>
      </c>
      <c r="O30" s="38" t="s">
        <v>27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2"/>
        <v>15</v>
      </c>
      <c r="V30" s="37">
        <f t="shared" si="3"/>
        <v>7</v>
      </c>
      <c r="W30" s="37">
        <f t="shared" si="4"/>
        <v>12</v>
      </c>
      <c r="X30" s="37">
        <f t="shared" si="5"/>
        <v>12</v>
      </c>
      <c r="Y30" s="37">
        <f t="shared" si="6"/>
        <v>12</v>
      </c>
      <c r="Z30" s="37">
        <f t="shared" si="7"/>
        <v>12</v>
      </c>
      <c r="AA30" s="37">
        <f t="shared" si="8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38" t="s">
        <v>28</v>
      </c>
      <c r="N31" s="38" t="s">
        <v>24</v>
      </c>
      <c r="O31" s="38" t="s">
        <v>27</v>
      </c>
      <c r="P31" s="38" t="s">
        <v>27</v>
      </c>
      <c r="Q31" s="38" t="s">
        <v>27</v>
      </c>
      <c r="R31" s="38" t="s">
        <v>64</v>
      </c>
      <c r="S31" s="24" t="s">
        <v>29</v>
      </c>
      <c r="U31" s="37">
        <f t="shared" si="2"/>
        <v>15</v>
      </c>
      <c r="V31" s="37">
        <f t="shared" si="3"/>
        <v>11</v>
      </c>
      <c r="W31" s="37">
        <f t="shared" si="4"/>
        <v>12</v>
      </c>
      <c r="X31" s="37">
        <f t="shared" si="5"/>
        <v>12</v>
      </c>
      <c r="Y31" s="37">
        <f t="shared" si="6"/>
        <v>12</v>
      </c>
      <c r="Z31" s="37">
        <f t="shared" si="7"/>
        <v>14</v>
      </c>
      <c r="AA31" s="37">
        <f t="shared" si="8"/>
        <v>19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27</v>
      </c>
      <c r="N32" s="38" t="s">
        <v>24</v>
      </c>
      <c r="O32" s="38" t="s">
        <v>27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2"/>
        <v>12</v>
      </c>
      <c r="V32" s="37">
        <f t="shared" si="3"/>
        <v>11</v>
      </c>
      <c r="W32" s="37">
        <f t="shared" si="4"/>
        <v>12</v>
      </c>
      <c r="X32" s="37">
        <f t="shared" si="5"/>
        <v>0</v>
      </c>
      <c r="Y32" s="37">
        <f t="shared" si="6"/>
        <v>7</v>
      </c>
      <c r="Z32" s="37">
        <f t="shared" si="7"/>
        <v>11</v>
      </c>
      <c r="AA32" s="37">
        <f t="shared" si="8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5">
        <v>30</v>
      </c>
      <c r="M33" s="38" t="s">
        <v>27</v>
      </c>
      <c r="N33" s="38" t="s">
        <v>24</v>
      </c>
      <c r="O33" s="38" t="s">
        <v>27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2"/>
        <v>12</v>
      </c>
      <c r="V33" s="37">
        <f t="shared" si="3"/>
        <v>11</v>
      </c>
      <c r="W33" s="37">
        <f t="shared" si="4"/>
        <v>12</v>
      </c>
      <c r="X33" s="37">
        <f t="shared" si="5"/>
        <v>12</v>
      </c>
      <c r="Y33" s="37">
        <f t="shared" si="6"/>
        <v>7</v>
      </c>
      <c r="Z33" s="37">
        <f t="shared" si="7"/>
        <v>12</v>
      </c>
      <c r="AA33" s="37">
        <f t="shared" si="8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31</v>
      </c>
      <c r="M34" s="38" t="s">
        <v>18</v>
      </c>
      <c r="N34" s="38" t="s">
        <v>28</v>
      </c>
      <c r="O34" s="38" t="s">
        <v>27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2"/>
        <v>10</v>
      </c>
      <c r="V34" s="37">
        <f t="shared" si="3"/>
        <v>15</v>
      </c>
      <c r="W34" s="37">
        <f t="shared" si="4"/>
        <v>12</v>
      </c>
      <c r="X34" s="37">
        <f t="shared" si="5"/>
        <v>7</v>
      </c>
      <c r="Y34" s="37">
        <f t="shared" si="6"/>
        <v>7</v>
      </c>
      <c r="Z34" s="37">
        <f t="shared" si="7"/>
        <v>12</v>
      </c>
      <c r="AA34" s="3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5">
        <v>32</v>
      </c>
      <c r="M35" s="38" t="s">
        <v>89</v>
      </c>
      <c r="N35" s="38" t="s">
        <v>27</v>
      </c>
      <c r="O35" s="38" t="s">
        <v>27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2"/>
        <v>7</v>
      </c>
      <c r="V35" s="37">
        <f t="shared" si="3"/>
        <v>12</v>
      </c>
      <c r="W35" s="37">
        <f t="shared" si="4"/>
        <v>12</v>
      </c>
      <c r="X35" s="37">
        <f t="shared" si="5"/>
        <v>0</v>
      </c>
      <c r="Y35" s="37">
        <f t="shared" si="6"/>
        <v>19</v>
      </c>
      <c r="Z35" s="37">
        <f t="shared" si="7"/>
        <v>19</v>
      </c>
      <c r="AA35" s="37">
        <f t="shared" si="8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</v>
      </c>
      <c r="AM35" s="154">
        <v>1</v>
      </c>
      <c r="AN35" s="154">
        <v>1</v>
      </c>
      <c r="AO35" s="154">
        <v>1</v>
      </c>
      <c r="AP35" s="154">
        <v>1</v>
      </c>
      <c r="AQ35" s="154">
        <v>1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33</v>
      </c>
      <c r="M36" s="38" t="s">
        <v>89</v>
      </c>
      <c r="N36" s="38" t="s">
        <v>27</v>
      </c>
      <c r="O36" s="38" t="s">
        <v>27</v>
      </c>
      <c r="P36" s="38" t="s">
        <v>24</v>
      </c>
      <c r="Q36" s="38" t="s">
        <v>29</v>
      </c>
      <c r="R36" s="38" t="s">
        <v>28</v>
      </c>
      <c r="S36" s="24" t="s">
        <v>64</v>
      </c>
      <c r="U36" s="37">
        <f t="shared" ref="U36:U67" si="16">VLOOKUP(M36, $A$4:$J$29, 9, 0)</f>
        <v>7</v>
      </c>
      <c r="V36" s="37">
        <f t="shared" ref="V36:V67" si="17">VLOOKUP(N36, $A$4:$J$29, 9, 0)</f>
        <v>12</v>
      </c>
      <c r="W36" s="37">
        <f t="shared" ref="W36:W67" si="18">VLOOKUP(O36, $A$4:$J$29, 9, 0)</f>
        <v>12</v>
      </c>
      <c r="X36" s="37">
        <f t="shared" ref="X36:X67" si="19">VLOOKUP(P36, $A$4:$J$29, 9, 0)</f>
        <v>11</v>
      </c>
      <c r="Y36" s="37">
        <f t="shared" ref="Y36:Y67" si="20">VLOOKUP(Q36, $A$4:$J$29, 9, 0)</f>
        <v>19</v>
      </c>
      <c r="Z36" s="37">
        <f t="shared" ref="Z36:Z67" si="21">VLOOKUP(R36, $A$4:$J$29, 9, 0)</f>
        <v>15</v>
      </c>
      <c r="AA36" s="37">
        <f t="shared" ref="AA36:AA67" si="22">VLOOKUP(S36, $A$4:$J$29, 9, 0)</f>
        <v>14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1</v>
      </c>
      <c r="AM36" s="154">
        <v>70</v>
      </c>
      <c r="AN36" s="154">
        <v>1</v>
      </c>
      <c r="AO36" s="154">
        <v>70</v>
      </c>
      <c r="AP36" s="154">
        <v>1</v>
      </c>
      <c r="AQ36" s="154">
        <v>1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5">
        <v>34</v>
      </c>
      <c r="M37" s="38" t="s">
        <v>28</v>
      </c>
      <c r="N37" s="38" t="s">
        <v>27</v>
      </c>
      <c r="O37" s="38" t="s">
        <v>27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16"/>
        <v>15</v>
      </c>
      <c r="V37" s="37">
        <f t="shared" si="17"/>
        <v>12</v>
      </c>
      <c r="W37" s="37">
        <f t="shared" si="18"/>
        <v>12</v>
      </c>
      <c r="X37" s="37">
        <f t="shared" si="19"/>
        <v>12</v>
      </c>
      <c r="Y37" s="37">
        <f t="shared" si="20"/>
        <v>7</v>
      </c>
      <c r="Z37" s="37">
        <f t="shared" si="21"/>
        <v>11</v>
      </c>
      <c r="AA37" s="37">
        <f t="shared" si="22"/>
        <v>14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</v>
      </c>
      <c r="AM37" s="154">
        <v>1</v>
      </c>
      <c r="AN37" s="154">
        <v>5</v>
      </c>
      <c r="AO37" s="154">
        <v>1</v>
      </c>
      <c r="AP37" s="154">
        <v>1</v>
      </c>
      <c r="AQ37" s="154">
        <v>70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35</v>
      </c>
      <c r="M38" s="38" t="s">
        <v>26</v>
      </c>
      <c r="N38" s="38" t="s">
        <v>64</v>
      </c>
      <c r="O38" s="38" t="s">
        <v>27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16"/>
        <v>7</v>
      </c>
      <c r="V38" s="37">
        <f t="shared" si="17"/>
        <v>14</v>
      </c>
      <c r="W38" s="37">
        <f t="shared" si="18"/>
        <v>12</v>
      </c>
      <c r="X38" s="37">
        <f t="shared" si="19"/>
        <v>19</v>
      </c>
      <c r="Y38" s="37">
        <f t="shared" si="20"/>
        <v>7</v>
      </c>
      <c r="Z38" s="37">
        <f t="shared" si="21"/>
        <v>11</v>
      </c>
      <c r="AA38" s="37">
        <f t="shared" si="22"/>
        <v>14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</v>
      </c>
      <c r="AM38" s="154">
        <v>70</v>
      </c>
      <c r="AN38" s="154">
        <v>1</v>
      </c>
      <c r="AO38" s="154">
        <v>1</v>
      </c>
      <c r="AP38" s="154">
        <v>1</v>
      </c>
      <c r="AQ38" s="154">
        <v>70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5">
        <v>36</v>
      </c>
      <c r="M39" s="38" t="s">
        <v>64</v>
      </c>
      <c r="N39" s="38" t="s">
        <v>236</v>
      </c>
      <c r="O39" s="38" t="s">
        <v>27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16"/>
        <v>14</v>
      </c>
      <c r="V39" s="37">
        <f t="shared" si="17"/>
        <v>0</v>
      </c>
      <c r="W39" s="37">
        <f t="shared" si="18"/>
        <v>12</v>
      </c>
      <c r="X39" s="37">
        <f t="shared" si="19"/>
        <v>14</v>
      </c>
      <c r="Y39" s="37">
        <f t="shared" si="20"/>
        <v>7</v>
      </c>
      <c r="Z39" s="37">
        <f t="shared" si="21"/>
        <v>11</v>
      </c>
      <c r="AA39" s="37">
        <f t="shared" si="22"/>
        <v>14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</v>
      </c>
      <c r="AM39" s="154">
        <v>1</v>
      </c>
      <c r="AN39" s="154">
        <v>70</v>
      </c>
      <c r="AO39" s="154">
        <v>1</v>
      </c>
      <c r="AP39" s="154">
        <v>70</v>
      </c>
      <c r="AQ39" s="154">
        <v>1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37</v>
      </c>
      <c r="M40" s="37" t="s">
        <v>29</v>
      </c>
      <c r="N40" s="37" t="s">
        <v>29</v>
      </c>
      <c r="O40" s="175" t="s">
        <v>27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16"/>
        <v>19</v>
      </c>
      <c r="V40" s="37">
        <f t="shared" si="17"/>
        <v>19</v>
      </c>
      <c r="W40" s="37">
        <f t="shared" si="18"/>
        <v>12</v>
      </c>
      <c r="X40" s="37">
        <f t="shared" si="19"/>
        <v>14</v>
      </c>
      <c r="Y40" s="37">
        <f t="shared" si="20"/>
        <v>10</v>
      </c>
      <c r="Z40" s="37">
        <f t="shared" si="21"/>
        <v>7</v>
      </c>
      <c r="AA40" s="37">
        <f t="shared" si="22"/>
        <v>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1</v>
      </c>
      <c r="AM40" s="154">
        <v>70</v>
      </c>
      <c r="AN40" s="154">
        <v>1</v>
      </c>
      <c r="AO40" s="154">
        <v>1</v>
      </c>
      <c r="AP40" s="154">
        <v>1</v>
      </c>
      <c r="AQ40" s="154">
        <v>70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38</v>
      </c>
      <c r="M41" s="38" t="s">
        <v>89</v>
      </c>
      <c r="N41" s="38" t="s">
        <v>29</v>
      </c>
      <c r="O41" s="38" t="s">
        <v>27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16"/>
        <v>7</v>
      </c>
      <c r="V41" s="37">
        <f t="shared" si="17"/>
        <v>19</v>
      </c>
      <c r="W41" s="37">
        <f t="shared" si="18"/>
        <v>12</v>
      </c>
      <c r="X41" s="37">
        <f t="shared" si="19"/>
        <v>14</v>
      </c>
      <c r="Y41" s="37">
        <f t="shared" si="20"/>
        <v>15</v>
      </c>
      <c r="Z41" s="37">
        <f t="shared" si="21"/>
        <v>7</v>
      </c>
      <c r="AA41" s="37">
        <f t="shared" si="22"/>
        <v>7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</v>
      </c>
      <c r="AM41" s="37">
        <v>1</v>
      </c>
      <c r="AN41" s="37">
        <v>1</v>
      </c>
      <c r="AO41" s="37">
        <v>1</v>
      </c>
      <c r="AP41" s="37">
        <v>70</v>
      </c>
      <c r="AQ41" s="37">
        <v>1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39</v>
      </c>
      <c r="M42" s="38" t="s">
        <v>89</v>
      </c>
      <c r="N42" s="38" t="s">
        <v>29</v>
      </c>
      <c r="O42" s="38" t="s">
        <v>27</v>
      </c>
      <c r="P42" s="38" t="s">
        <v>27</v>
      </c>
      <c r="Q42" s="38" t="s">
        <v>28</v>
      </c>
      <c r="R42" s="38" t="s">
        <v>24</v>
      </c>
      <c r="S42" s="24" t="s">
        <v>89</v>
      </c>
      <c r="U42" s="37">
        <f t="shared" si="16"/>
        <v>7</v>
      </c>
      <c r="V42" s="37">
        <f t="shared" si="17"/>
        <v>19</v>
      </c>
      <c r="W42" s="37">
        <f t="shared" si="18"/>
        <v>12</v>
      </c>
      <c r="X42" s="37">
        <f t="shared" si="19"/>
        <v>12</v>
      </c>
      <c r="Y42" s="37">
        <f t="shared" si="20"/>
        <v>15</v>
      </c>
      <c r="Z42" s="37">
        <f t="shared" si="21"/>
        <v>11</v>
      </c>
      <c r="AA42" s="37">
        <f t="shared" si="22"/>
        <v>7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</v>
      </c>
      <c r="AM42" s="37">
        <v>1</v>
      </c>
      <c r="AN42" s="37">
        <v>1</v>
      </c>
      <c r="AO42" s="37">
        <v>70</v>
      </c>
      <c r="AP42" s="37">
        <v>1</v>
      </c>
      <c r="AQ42" s="37">
        <v>70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40</v>
      </c>
      <c r="M43" s="38" t="s">
        <v>28</v>
      </c>
      <c r="N43" s="38" t="s">
        <v>234</v>
      </c>
      <c r="O43" s="38" t="s">
        <v>27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16"/>
        <v>15</v>
      </c>
      <c r="V43" s="37">
        <f t="shared" si="17"/>
        <v>0</v>
      </c>
      <c r="W43" s="37">
        <f t="shared" si="18"/>
        <v>12</v>
      </c>
      <c r="X43" s="37">
        <f t="shared" si="19"/>
        <v>14</v>
      </c>
      <c r="Y43" s="37">
        <f t="shared" si="20"/>
        <v>10</v>
      </c>
      <c r="Z43" s="37">
        <f t="shared" si="21"/>
        <v>11</v>
      </c>
      <c r="AA43" s="37">
        <f t="shared" si="22"/>
        <v>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</v>
      </c>
      <c r="AM43" s="37">
        <v>1</v>
      </c>
      <c r="AN43" s="37">
        <v>5</v>
      </c>
      <c r="AO43" s="37">
        <v>1</v>
      </c>
      <c r="AP43" s="37">
        <v>1</v>
      </c>
      <c r="AQ43" s="37">
        <v>1</v>
      </c>
      <c r="AR43" s="37">
        <v>3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41</v>
      </c>
      <c r="M44" s="38" t="s">
        <v>29</v>
      </c>
      <c r="N44" s="38" t="s">
        <v>24</v>
      </c>
      <c r="O44" s="38" t="s">
        <v>27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16"/>
        <v>19</v>
      </c>
      <c r="V44" s="37">
        <f t="shared" si="17"/>
        <v>11</v>
      </c>
      <c r="W44" s="37">
        <f t="shared" si="18"/>
        <v>12</v>
      </c>
      <c r="X44" s="37">
        <f t="shared" si="19"/>
        <v>19</v>
      </c>
      <c r="Y44" s="37">
        <f t="shared" si="20"/>
        <v>10</v>
      </c>
      <c r="Z44" s="37">
        <f t="shared" si="21"/>
        <v>12</v>
      </c>
      <c r="AA44" s="37">
        <f t="shared" si="22"/>
        <v>14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</v>
      </c>
      <c r="AM44" s="37">
        <v>70</v>
      </c>
      <c r="AN44" s="37">
        <v>1</v>
      </c>
      <c r="AO44" s="37">
        <v>1</v>
      </c>
      <c r="AP44" s="37">
        <v>1</v>
      </c>
      <c r="AQ44" s="37">
        <v>1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42</v>
      </c>
      <c r="M45" s="38" t="s">
        <v>18</v>
      </c>
      <c r="N45" s="38" t="s">
        <v>24</v>
      </c>
      <c r="O45" s="38" t="s">
        <v>27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16"/>
        <v>10</v>
      </c>
      <c r="V45" s="37">
        <f t="shared" si="17"/>
        <v>11</v>
      </c>
      <c r="W45" s="37">
        <f t="shared" si="18"/>
        <v>12</v>
      </c>
      <c r="X45" s="37">
        <f t="shared" si="19"/>
        <v>19</v>
      </c>
      <c r="Y45" s="37">
        <f t="shared" si="20"/>
        <v>14</v>
      </c>
      <c r="Z45" s="37">
        <f t="shared" si="21"/>
        <v>12</v>
      </c>
      <c r="AA45" s="37">
        <f t="shared" si="22"/>
        <v>14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70</v>
      </c>
      <c r="AM45" s="37">
        <v>1</v>
      </c>
      <c r="AN45" s="37">
        <v>1</v>
      </c>
      <c r="AO45" s="37">
        <v>1</v>
      </c>
      <c r="AP45" s="37">
        <v>1</v>
      </c>
      <c r="AQ45" s="37">
        <v>1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43</v>
      </c>
      <c r="M46" s="38" t="s">
        <v>27</v>
      </c>
      <c r="N46" s="38" t="s">
        <v>21</v>
      </c>
      <c r="O46" s="38" t="s">
        <v>27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16"/>
        <v>12</v>
      </c>
      <c r="V46" s="37">
        <f t="shared" si="17"/>
        <v>12</v>
      </c>
      <c r="W46" s="37">
        <f t="shared" si="18"/>
        <v>12</v>
      </c>
      <c r="X46" s="37">
        <f t="shared" si="19"/>
        <v>19</v>
      </c>
      <c r="Y46" s="37">
        <f t="shared" si="20"/>
        <v>12</v>
      </c>
      <c r="Z46" s="37">
        <f t="shared" si="21"/>
        <v>11</v>
      </c>
      <c r="AA46" s="37">
        <f t="shared" si="22"/>
        <v>14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0</v>
      </c>
      <c r="AN46" s="154">
        <v>0</v>
      </c>
      <c r="AO46" s="154">
        <v>0</v>
      </c>
      <c r="AP46" s="154">
        <v>0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44</v>
      </c>
      <c r="M47" s="38" t="s">
        <v>29</v>
      </c>
      <c r="N47" s="38" t="s">
        <v>21</v>
      </c>
      <c r="O47" s="38" t="s">
        <v>27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16"/>
        <v>19</v>
      </c>
      <c r="V47" s="37">
        <f t="shared" si="17"/>
        <v>12</v>
      </c>
      <c r="W47" s="37">
        <f t="shared" si="18"/>
        <v>12</v>
      </c>
      <c r="X47" s="37">
        <f t="shared" si="19"/>
        <v>12</v>
      </c>
      <c r="Y47" s="37">
        <f t="shared" si="20"/>
        <v>7</v>
      </c>
      <c r="Z47" s="37">
        <f t="shared" si="21"/>
        <v>11</v>
      </c>
      <c r="AA47" s="37">
        <f t="shared" si="22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1</v>
      </c>
      <c r="AN47" s="154">
        <v>1</v>
      </c>
      <c r="AO47" s="154">
        <v>1</v>
      </c>
      <c r="AP47" s="154">
        <v>1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228</v>
      </c>
      <c r="O48" s="38" t="s">
        <v>27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16"/>
        <v>7</v>
      </c>
      <c r="V48" s="37">
        <f t="shared" si="17"/>
        <v>0</v>
      </c>
      <c r="W48" s="37">
        <f t="shared" si="18"/>
        <v>12</v>
      </c>
      <c r="X48" s="37">
        <f t="shared" si="19"/>
        <v>12</v>
      </c>
      <c r="Y48" s="37">
        <f t="shared" si="20"/>
        <v>7</v>
      </c>
      <c r="Z48" s="37">
        <f t="shared" si="21"/>
        <v>7</v>
      </c>
      <c r="AA48" s="37">
        <f t="shared" si="22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</v>
      </c>
      <c r="AN48" s="154">
        <v>1</v>
      </c>
      <c r="AO48" s="154">
        <v>1</v>
      </c>
      <c r="AP48" s="154">
        <v>1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38" t="s">
        <v>26</v>
      </c>
      <c r="N49" s="38" t="s">
        <v>27</v>
      </c>
      <c r="O49" s="38" t="s">
        <v>27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16"/>
        <v>7</v>
      </c>
      <c r="V49" s="37">
        <f t="shared" si="17"/>
        <v>12</v>
      </c>
      <c r="W49" s="37">
        <f t="shared" si="18"/>
        <v>12</v>
      </c>
      <c r="X49" s="37">
        <f t="shared" si="19"/>
        <v>12</v>
      </c>
      <c r="Y49" s="37">
        <f t="shared" si="20"/>
        <v>15</v>
      </c>
      <c r="Z49" s="37">
        <f t="shared" si="21"/>
        <v>7</v>
      </c>
      <c r="AA49" s="37">
        <f t="shared" si="22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1</v>
      </c>
      <c r="AN49" s="154">
        <v>1</v>
      </c>
      <c r="AO49" s="154">
        <v>1</v>
      </c>
      <c r="AP49" s="154">
        <v>1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28</v>
      </c>
      <c r="N50" s="38" t="s">
        <v>24</v>
      </c>
      <c r="O50" s="38" t="s">
        <v>27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16"/>
        <v>15</v>
      </c>
      <c r="V50" s="37">
        <f t="shared" si="17"/>
        <v>11</v>
      </c>
      <c r="W50" s="37">
        <f t="shared" si="18"/>
        <v>12</v>
      </c>
      <c r="X50" s="37">
        <f t="shared" si="19"/>
        <v>12</v>
      </c>
      <c r="Y50" s="37">
        <f t="shared" si="20"/>
        <v>15</v>
      </c>
      <c r="Z50" s="37">
        <f t="shared" si="21"/>
        <v>14</v>
      </c>
      <c r="AA50" s="37">
        <f t="shared" si="22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</v>
      </c>
      <c r="AN50" s="154">
        <v>1</v>
      </c>
      <c r="AO50" s="154">
        <v>1</v>
      </c>
      <c r="AP50" s="154">
        <v>2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27</v>
      </c>
      <c r="N51" s="38" t="s">
        <v>27</v>
      </c>
      <c r="O51" s="38" t="s">
        <v>27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16"/>
        <v>12</v>
      </c>
      <c r="V51" s="37">
        <f t="shared" si="17"/>
        <v>12</v>
      </c>
      <c r="W51" s="37">
        <f t="shared" si="18"/>
        <v>12</v>
      </c>
      <c r="X51" s="37">
        <f t="shared" si="19"/>
        <v>12</v>
      </c>
      <c r="Y51" s="37">
        <f t="shared" si="20"/>
        <v>7</v>
      </c>
      <c r="Z51" s="37">
        <f t="shared" si="21"/>
        <v>14</v>
      </c>
      <c r="AA51" s="37">
        <f t="shared" si="22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</v>
      </c>
      <c r="AN51" s="154">
        <v>1</v>
      </c>
      <c r="AO51" s="154">
        <v>1</v>
      </c>
      <c r="AP51" s="154">
        <v>1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29</v>
      </c>
      <c r="N52" s="38" t="s">
        <v>27</v>
      </c>
      <c r="O52" s="38" t="s">
        <v>27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16"/>
        <v>19</v>
      </c>
      <c r="V52" s="37">
        <f t="shared" si="17"/>
        <v>12</v>
      </c>
      <c r="W52" s="37">
        <f t="shared" si="18"/>
        <v>12</v>
      </c>
      <c r="X52" s="37">
        <f t="shared" si="19"/>
        <v>14</v>
      </c>
      <c r="Y52" s="37">
        <f t="shared" si="20"/>
        <v>7</v>
      </c>
      <c r="Z52" s="37">
        <f t="shared" si="21"/>
        <v>12</v>
      </c>
      <c r="AA52" s="37">
        <f t="shared" si="22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1</v>
      </c>
      <c r="AN52" s="37">
        <v>1</v>
      </c>
      <c r="AO52" s="37">
        <v>1</v>
      </c>
      <c r="AP52" s="37">
        <v>1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28</v>
      </c>
      <c r="N53" s="38" t="s">
        <v>64</v>
      </c>
      <c r="O53" s="38" t="s">
        <v>27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16"/>
        <v>15</v>
      </c>
      <c r="V53" s="37">
        <f t="shared" si="17"/>
        <v>14</v>
      </c>
      <c r="W53" s="37">
        <f t="shared" si="18"/>
        <v>12</v>
      </c>
      <c r="X53" s="37">
        <f t="shared" si="19"/>
        <v>14</v>
      </c>
      <c r="Y53" s="37">
        <f t="shared" si="20"/>
        <v>12</v>
      </c>
      <c r="Z53" s="37">
        <f t="shared" si="21"/>
        <v>12</v>
      </c>
      <c r="AA53" s="37">
        <f t="shared" si="22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</v>
      </c>
      <c r="AN53" s="37">
        <v>1</v>
      </c>
      <c r="AO53" s="37">
        <v>1</v>
      </c>
      <c r="AP53" s="37">
        <v>1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89</v>
      </c>
      <c r="N54" s="38" t="s">
        <v>64</v>
      </c>
      <c r="O54" s="38" t="s">
        <v>27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16"/>
        <v>7</v>
      </c>
      <c r="V54" s="37">
        <f t="shared" si="17"/>
        <v>14</v>
      </c>
      <c r="W54" s="37">
        <f t="shared" si="18"/>
        <v>12</v>
      </c>
      <c r="X54" s="37">
        <f t="shared" si="19"/>
        <v>14</v>
      </c>
      <c r="Y54" s="37">
        <f t="shared" si="20"/>
        <v>12</v>
      </c>
      <c r="Z54" s="37">
        <f t="shared" si="21"/>
        <v>19</v>
      </c>
      <c r="AA54" s="37">
        <f t="shared" si="22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</v>
      </c>
      <c r="AN54" s="37">
        <v>1</v>
      </c>
      <c r="AO54" s="37">
        <v>1</v>
      </c>
      <c r="AP54" s="37">
        <v>1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26</v>
      </c>
      <c r="N55" s="38" t="s">
        <v>230</v>
      </c>
      <c r="O55" s="38" t="s">
        <v>27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16"/>
        <v>7</v>
      </c>
      <c r="V55" s="37">
        <f t="shared" si="17"/>
        <v>0</v>
      </c>
      <c r="W55" s="37">
        <f t="shared" si="18"/>
        <v>12</v>
      </c>
      <c r="X55" s="37">
        <f t="shared" si="19"/>
        <v>14</v>
      </c>
      <c r="Y55" s="37">
        <f t="shared" si="20"/>
        <v>12</v>
      </c>
      <c r="Z55" s="37">
        <f t="shared" si="21"/>
        <v>19</v>
      </c>
      <c r="AA55" s="37">
        <f t="shared" si="22"/>
        <v>14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1</v>
      </c>
      <c r="AN55" s="37">
        <v>1</v>
      </c>
      <c r="AO55" s="37">
        <v>1</v>
      </c>
      <c r="AP55" s="37">
        <v>1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28</v>
      </c>
      <c r="N56" s="38" t="s">
        <v>27</v>
      </c>
      <c r="O56" s="38" t="s">
        <v>27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16"/>
        <v>15</v>
      </c>
      <c r="V56" s="37">
        <f t="shared" si="17"/>
        <v>12</v>
      </c>
      <c r="W56" s="37">
        <f t="shared" si="18"/>
        <v>12</v>
      </c>
      <c r="X56" s="37">
        <f t="shared" si="19"/>
        <v>15</v>
      </c>
      <c r="Y56" s="37">
        <f t="shared" si="20"/>
        <v>15</v>
      </c>
      <c r="Z56" s="37">
        <f t="shared" si="21"/>
        <v>11</v>
      </c>
      <c r="AA56" s="37">
        <f t="shared" si="22"/>
        <v>14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</v>
      </c>
      <c r="AN56" s="37">
        <v>1</v>
      </c>
      <c r="AO56" s="37">
        <v>1</v>
      </c>
      <c r="AP56" s="37">
        <v>1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28</v>
      </c>
      <c r="N57" s="38" t="s">
        <v>27</v>
      </c>
      <c r="O57" s="38" t="s">
        <v>27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si="16"/>
        <v>15</v>
      </c>
      <c r="V57" s="37">
        <f t="shared" si="17"/>
        <v>12</v>
      </c>
      <c r="W57" s="37">
        <f t="shared" si="18"/>
        <v>12</v>
      </c>
      <c r="X57" s="37">
        <f t="shared" si="19"/>
        <v>15</v>
      </c>
      <c r="Y57" s="37">
        <f t="shared" si="20"/>
        <v>11</v>
      </c>
      <c r="Z57" s="37">
        <f t="shared" si="21"/>
        <v>12</v>
      </c>
      <c r="AA57" s="37">
        <f t="shared" si="22"/>
        <v>14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38" t="s">
        <v>18</v>
      </c>
      <c r="N58" s="38" t="s">
        <v>29</v>
      </c>
      <c r="O58" s="38" t="s">
        <v>27</v>
      </c>
      <c r="P58" s="38" t="s">
        <v>64</v>
      </c>
      <c r="Q58" s="38" t="s">
        <v>24</v>
      </c>
      <c r="R58" s="38" t="s">
        <v>27</v>
      </c>
      <c r="S58" s="24" t="s">
        <v>89</v>
      </c>
      <c r="U58" s="37">
        <f t="shared" si="16"/>
        <v>10</v>
      </c>
      <c r="V58" s="37">
        <f t="shared" si="17"/>
        <v>19</v>
      </c>
      <c r="W58" s="37">
        <f t="shared" si="18"/>
        <v>12</v>
      </c>
      <c r="X58" s="37">
        <f t="shared" si="19"/>
        <v>14</v>
      </c>
      <c r="Y58" s="37">
        <f t="shared" si="20"/>
        <v>11</v>
      </c>
      <c r="Z58" s="37">
        <f t="shared" si="21"/>
        <v>12</v>
      </c>
      <c r="AA58" s="37">
        <f t="shared" si="22"/>
        <v>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2</v>
      </c>
      <c r="AK58" s="154" t="s">
        <v>256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18</v>
      </c>
      <c r="N59" s="38" t="s">
        <v>28</v>
      </c>
      <c r="O59" s="38" t="s">
        <v>27</v>
      </c>
      <c r="P59" s="38" t="s">
        <v>64</v>
      </c>
      <c r="Q59" s="38" t="s">
        <v>21</v>
      </c>
      <c r="R59" s="38" t="s">
        <v>64</v>
      </c>
      <c r="S59" s="24" t="s">
        <v>89</v>
      </c>
      <c r="U59" s="37">
        <f t="shared" si="16"/>
        <v>10</v>
      </c>
      <c r="V59" s="37">
        <f t="shared" si="17"/>
        <v>15</v>
      </c>
      <c r="W59" s="37">
        <f t="shared" si="18"/>
        <v>12</v>
      </c>
      <c r="X59" s="37">
        <f t="shared" si="19"/>
        <v>14</v>
      </c>
      <c r="Y59" s="37">
        <f t="shared" si="20"/>
        <v>12</v>
      </c>
      <c r="Z59" s="37">
        <f t="shared" si="21"/>
        <v>14</v>
      </c>
      <c r="AA59" s="37">
        <f t="shared" si="22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29</v>
      </c>
      <c r="N60" s="38" t="s">
        <v>28</v>
      </c>
      <c r="O60" s="38" t="s">
        <v>27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6"/>
        <v>19</v>
      </c>
      <c r="V60" s="37">
        <f t="shared" si="17"/>
        <v>15</v>
      </c>
      <c r="W60" s="37">
        <f t="shared" si="18"/>
        <v>12</v>
      </c>
      <c r="X60" s="37">
        <f t="shared" si="19"/>
        <v>0</v>
      </c>
      <c r="Y60" s="37">
        <f t="shared" si="20"/>
        <v>12</v>
      </c>
      <c r="Z60" s="37">
        <f t="shared" si="21"/>
        <v>11</v>
      </c>
      <c r="AA60" s="37">
        <f t="shared" si="22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29</v>
      </c>
      <c r="N61" s="38" t="s">
        <v>27</v>
      </c>
      <c r="O61" s="38" t="s">
        <v>27</v>
      </c>
      <c r="P61" s="38" t="s">
        <v>18</v>
      </c>
      <c r="Q61" s="38" t="s">
        <v>28</v>
      </c>
      <c r="R61" s="38" t="s">
        <v>26</v>
      </c>
      <c r="S61" s="24" t="s">
        <v>26</v>
      </c>
      <c r="U61" s="37">
        <f t="shared" si="16"/>
        <v>19</v>
      </c>
      <c r="V61" s="37">
        <f t="shared" si="17"/>
        <v>12</v>
      </c>
      <c r="W61" s="37">
        <f t="shared" si="18"/>
        <v>12</v>
      </c>
      <c r="X61" s="37">
        <f t="shared" si="19"/>
        <v>10</v>
      </c>
      <c r="Y61" s="37">
        <f t="shared" si="20"/>
        <v>15</v>
      </c>
      <c r="Z61" s="37">
        <f t="shared" si="21"/>
        <v>7</v>
      </c>
      <c r="AA61" s="37">
        <f t="shared" si="22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89</v>
      </c>
      <c r="N62" s="38" t="s">
        <v>224</v>
      </c>
      <c r="O62" s="38" t="s">
        <v>27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6"/>
        <v>7</v>
      </c>
      <c r="V62" s="37">
        <f t="shared" si="17"/>
        <v>0</v>
      </c>
      <c r="W62" s="37">
        <f t="shared" si="18"/>
        <v>12</v>
      </c>
      <c r="X62" s="37">
        <f t="shared" si="19"/>
        <v>11</v>
      </c>
      <c r="Y62" s="37">
        <f t="shared" si="20"/>
        <v>15</v>
      </c>
      <c r="Z62" s="37">
        <f t="shared" si="21"/>
        <v>11</v>
      </c>
      <c r="AA62" s="37">
        <f t="shared" si="22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26</v>
      </c>
      <c r="N63" s="38" t="s">
        <v>64</v>
      </c>
      <c r="O63" s="38" t="s">
        <v>27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6"/>
        <v>7</v>
      </c>
      <c r="V63" s="37">
        <f t="shared" si="17"/>
        <v>14</v>
      </c>
      <c r="W63" s="37">
        <f t="shared" si="18"/>
        <v>12</v>
      </c>
      <c r="X63" s="37">
        <f t="shared" si="19"/>
        <v>14</v>
      </c>
      <c r="Y63" s="37">
        <f t="shared" si="20"/>
        <v>7</v>
      </c>
      <c r="Z63" s="37">
        <f t="shared" si="21"/>
        <v>14</v>
      </c>
      <c r="AA63" s="37">
        <f t="shared" si="22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230</v>
      </c>
      <c r="O64" s="38" t="s">
        <v>27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6"/>
        <v>7</v>
      </c>
      <c r="V64" s="37">
        <f t="shared" si="17"/>
        <v>0</v>
      </c>
      <c r="W64" s="37">
        <f t="shared" si="18"/>
        <v>12</v>
      </c>
      <c r="X64" s="37">
        <f t="shared" si="19"/>
        <v>14</v>
      </c>
      <c r="Y64" s="37">
        <f t="shared" si="20"/>
        <v>15</v>
      </c>
      <c r="Z64" s="37">
        <f t="shared" si="21"/>
        <v>11</v>
      </c>
      <c r="AA64" s="37">
        <f t="shared" si="22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</v>
      </c>
      <c r="AM64" s="154">
        <v>1</v>
      </c>
      <c r="AN64" s="154">
        <v>1</v>
      </c>
      <c r="AO64" s="154">
        <v>1</v>
      </c>
      <c r="AP64" s="154">
        <v>1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28</v>
      </c>
      <c r="N65" s="38" t="s">
        <v>24</v>
      </c>
      <c r="O65" s="38" t="s">
        <v>27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6"/>
        <v>15</v>
      </c>
      <c r="V65" s="37">
        <f t="shared" si="17"/>
        <v>11</v>
      </c>
      <c r="W65" s="37">
        <f t="shared" si="18"/>
        <v>12</v>
      </c>
      <c r="X65" s="37">
        <f t="shared" si="19"/>
        <v>14</v>
      </c>
      <c r="Y65" s="37">
        <f t="shared" si="20"/>
        <v>15</v>
      </c>
      <c r="Z65" s="37">
        <f t="shared" si="21"/>
        <v>11</v>
      </c>
      <c r="AA65" s="37">
        <f t="shared" si="22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70</v>
      </c>
      <c r="AN65" s="154">
        <v>1</v>
      </c>
      <c r="AO65" s="154">
        <v>70</v>
      </c>
      <c r="AP65" s="154">
        <v>1</v>
      </c>
      <c r="AQ65" s="154">
        <v>1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26</v>
      </c>
      <c r="N66" s="38" t="s">
        <v>24</v>
      </c>
      <c r="O66" s="38" t="s">
        <v>27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6"/>
        <v>7</v>
      </c>
      <c r="V66" s="37">
        <f t="shared" si="17"/>
        <v>11</v>
      </c>
      <c r="W66" s="37">
        <f t="shared" si="18"/>
        <v>12</v>
      </c>
      <c r="X66" s="37">
        <f t="shared" si="19"/>
        <v>12</v>
      </c>
      <c r="Y66" s="37">
        <f t="shared" si="20"/>
        <v>7</v>
      </c>
      <c r="Z66" s="37">
        <f t="shared" si="21"/>
        <v>7</v>
      </c>
      <c r="AA66" s="37">
        <f t="shared" si="22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</v>
      </c>
      <c r="AM66" s="154">
        <v>1</v>
      </c>
      <c r="AN66" s="154">
        <v>5</v>
      </c>
      <c r="AO66" s="154">
        <v>1</v>
      </c>
      <c r="AP66" s="154">
        <v>1</v>
      </c>
      <c r="AQ66" s="154">
        <v>70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100</v>
      </c>
      <c r="L67" s="15">
        <v>64</v>
      </c>
      <c r="M67" s="38" t="s">
        <v>29</v>
      </c>
      <c r="N67" s="38" t="s">
        <v>64</v>
      </c>
      <c r="O67" s="38" t="s">
        <v>27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6"/>
        <v>19</v>
      </c>
      <c r="V67" s="37">
        <f t="shared" si="17"/>
        <v>14</v>
      </c>
      <c r="W67" s="37">
        <f t="shared" si="18"/>
        <v>12</v>
      </c>
      <c r="X67" s="37">
        <f t="shared" si="19"/>
        <v>12</v>
      </c>
      <c r="Y67" s="37">
        <f t="shared" si="20"/>
        <v>10</v>
      </c>
      <c r="Z67" s="37">
        <f t="shared" si="21"/>
        <v>19</v>
      </c>
      <c r="AA67" s="37">
        <f t="shared" si="22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70</v>
      </c>
      <c r="AN67" s="154">
        <v>1</v>
      </c>
      <c r="AO67" s="154">
        <v>1</v>
      </c>
      <c r="AP67" s="154">
        <v>1</v>
      </c>
      <c r="AQ67" s="154">
        <v>70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17</v>
      </c>
      <c r="N68" s="38" t="s">
        <v>27</v>
      </c>
      <c r="O68" s="38" t="s">
        <v>27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ref="U68:U99" si="23">VLOOKUP(M68, $A$4:$J$29, 9, 0)</f>
        <v>14</v>
      </c>
      <c r="V68" s="37">
        <f t="shared" ref="V68:V99" si="24">VLOOKUP(N68, $A$4:$J$29, 9, 0)</f>
        <v>12</v>
      </c>
      <c r="W68" s="37">
        <f t="shared" ref="W68:W99" si="25">VLOOKUP(O68, $A$4:$J$29, 9, 0)</f>
        <v>12</v>
      </c>
      <c r="X68" s="37">
        <f t="shared" ref="X68:X99" si="26">VLOOKUP(P68, $A$4:$J$29, 9, 0)</f>
        <v>19</v>
      </c>
      <c r="Y68" s="37">
        <f t="shared" ref="Y68:Y99" si="27">VLOOKUP(Q68, $A$4:$J$29, 9, 0)</f>
        <v>7</v>
      </c>
      <c r="Z68" s="37">
        <f t="shared" ref="Z68:Z99" si="28">VLOOKUP(R68, $A$4:$J$29, 9, 0)</f>
        <v>19</v>
      </c>
      <c r="AA68" s="3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5</v>
      </c>
      <c r="AM68" s="154">
        <v>1</v>
      </c>
      <c r="AN68" s="154">
        <v>70</v>
      </c>
      <c r="AO68" s="154">
        <v>1</v>
      </c>
      <c r="AP68" s="154">
        <v>70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20</v>
      </c>
      <c r="L69" s="15">
        <v>66</v>
      </c>
      <c r="M69" s="38" t="s">
        <v>27</v>
      </c>
      <c r="N69" s="38" t="s">
        <v>27</v>
      </c>
      <c r="O69" s="38" t="s">
        <v>27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23"/>
        <v>12</v>
      </c>
      <c r="V69" s="37">
        <f t="shared" si="24"/>
        <v>12</v>
      </c>
      <c r="W69" s="37">
        <f t="shared" si="25"/>
        <v>12</v>
      </c>
      <c r="X69" s="37">
        <f t="shared" si="26"/>
        <v>19</v>
      </c>
      <c r="Y69" s="37">
        <f t="shared" si="27"/>
        <v>7</v>
      </c>
      <c r="Z69" s="37">
        <f t="shared" si="28"/>
        <v>12</v>
      </c>
      <c r="AA69" s="3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70</v>
      </c>
      <c r="AN69" s="154">
        <v>1</v>
      </c>
      <c r="AO69" s="154">
        <v>1</v>
      </c>
      <c r="AP69" s="154">
        <v>1</v>
      </c>
      <c r="AQ69" s="154">
        <v>70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100</v>
      </c>
      <c r="L70" s="14">
        <v>67</v>
      </c>
      <c r="M70" s="38" t="s">
        <v>27</v>
      </c>
      <c r="N70" s="38" t="s">
        <v>29</v>
      </c>
      <c r="O70" s="38" t="s">
        <v>27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23"/>
        <v>12</v>
      </c>
      <c r="V70" s="37">
        <f t="shared" si="24"/>
        <v>19</v>
      </c>
      <c r="W70" s="37">
        <f t="shared" si="25"/>
        <v>12</v>
      </c>
      <c r="X70" s="37">
        <f t="shared" si="26"/>
        <v>19</v>
      </c>
      <c r="Y70" s="37">
        <f t="shared" si="27"/>
        <v>10</v>
      </c>
      <c r="Z70" s="37">
        <f t="shared" si="28"/>
        <v>11</v>
      </c>
      <c r="AA70" s="3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70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5</v>
      </c>
      <c r="L71" s="15">
        <v>68</v>
      </c>
      <c r="M71" s="38" t="s">
        <v>18</v>
      </c>
      <c r="N71" s="38" t="s">
        <v>27</v>
      </c>
      <c r="O71" s="38" t="s">
        <v>27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23"/>
        <v>10</v>
      </c>
      <c r="V71" s="37">
        <f t="shared" si="24"/>
        <v>12</v>
      </c>
      <c r="W71" s="37">
        <f t="shared" si="25"/>
        <v>12</v>
      </c>
      <c r="X71" s="37">
        <f t="shared" si="26"/>
        <v>7</v>
      </c>
      <c r="Y71" s="37">
        <f t="shared" si="27"/>
        <v>10</v>
      </c>
      <c r="Z71" s="37">
        <f t="shared" si="28"/>
        <v>14</v>
      </c>
      <c r="AA71" s="37">
        <f t="shared" si="29"/>
        <v>19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1</v>
      </c>
      <c r="AN71" s="37">
        <v>1</v>
      </c>
      <c r="AO71" s="37">
        <v>70</v>
      </c>
      <c r="AP71" s="37">
        <v>1</v>
      </c>
      <c r="AQ71" s="37">
        <v>70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18</v>
      </c>
      <c r="N72" s="38" t="s">
        <v>27</v>
      </c>
      <c r="O72" s="38" t="s">
        <v>27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23"/>
        <v>10</v>
      </c>
      <c r="V72" s="37">
        <f t="shared" si="24"/>
        <v>12</v>
      </c>
      <c r="W72" s="37">
        <f t="shared" si="25"/>
        <v>12</v>
      </c>
      <c r="X72" s="37">
        <f t="shared" si="26"/>
        <v>0</v>
      </c>
      <c r="Y72" s="37">
        <f t="shared" si="27"/>
        <v>0</v>
      </c>
      <c r="Z72" s="37">
        <f t="shared" si="28"/>
        <v>14</v>
      </c>
      <c r="AA72" s="37">
        <f t="shared" si="29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</v>
      </c>
      <c r="AM72" s="37">
        <v>1</v>
      </c>
      <c r="AN72" s="37">
        <v>5</v>
      </c>
      <c r="AO72" s="37">
        <v>1</v>
      </c>
      <c r="AP72" s="37">
        <v>1</v>
      </c>
      <c r="AQ72" s="37">
        <v>1</v>
      </c>
      <c r="AR72" s="37">
        <v>3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26</v>
      </c>
      <c r="N73" s="38" t="s">
        <v>27</v>
      </c>
      <c r="O73" s="38" t="s">
        <v>27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23"/>
        <v>7</v>
      </c>
      <c r="V73" s="37">
        <f t="shared" si="24"/>
        <v>12</v>
      </c>
      <c r="W73" s="37">
        <f t="shared" si="25"/>
        <v>12</v>
      </c>
      <c r="X73" s="37">
        <f t="shared" si="26"/>
        <v>14</v>
      </c>
      <c r="Y73" s="37">
        <f t="shared" si="27"/>
        <v>14</v>
      </c>
      <c r="Z73" s="37">
        <f t="shared" si="28"/>
        <v>19</v>
      </c>
      <c r="AA73" s="37">
        <f t="shared" si="29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70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29</v>
      </c>
      <c r="N74" s="38" t="s">
        <v>240</v>
      </c>
      <c r="O74" s="38" t="s">
        <v>27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23"/>
        <v>19</v>
      </c>
      <c r="V74" s="37">
        <f t="shared" si="24"/>
        <v>0</v>
      </c>
      <c r="W74" s="37">
        <f t="shared" si="25"/>
        <v>12</v>
      </c>
      <c r="X74" s="37">
        <f t="shared" si="26"/>
        <v>14</v>
      </c>
      <c r="Y74" s="37">
        <f t="shared" si="27"/>
        <v>10</v>
      </c>
      <c r="Z74" s="37">
        <f t="shared" si="28"/>
        <v>15</v>
      </c>
      <c r="AA74" s="37">
        <f t="shared" si="29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70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5">
        <v>72</v>
      </c>
      <c r="M75" s="38" t="s">
        <v>29</v>
      </c>
      <c r="N75" s="38" t="s">
        <v>28</v>
      </c>
      <c r="O75" s="38" t="s">
        <v>27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23"/>
        <v>19</v>
      </c>
      <c r="V75" s="37">
        <f t="shared" si="24"/>
        <v>15</v>
      </c>
      <c r="W75" s="37">
        <f t="shared" si="25"/>
        <v>12</v>
      </c>
      <c r="X75" s="37">
        <f t="shared" si="26"/>
        <v>11</v>
      </c>
      <c r="Y75" s="37">
        <f t="shared" si="27"/>
        <v>11</v>
      </c>
      <c r="Z75" s="37">
        <f t="shared" si="28"/>
        <v>11</v>
      </c>
      <c r="AA75" s="37">
        <f t="shared" si="29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0</v>
      </c>
      <c r="AN75" s="154">
        <v>0</v>
      </c>
      <c r="AO75" s="154">
        <v>0</v>
      </c>
      <c r="AP75" s="154">
        <v>0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38" t="s">
        <v>26</v>
      </c>
      <c r="N76" s="38" t="s">
        <v>232</v>
      </c>
      <c r="O76" s="38" t="s">
        <v>27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23"/>
        <v>7</v>
      </c>
      <c r="V76" s="37">
        <f t="shared" si="24"/>
        <v>0</v>
      </c>
      <c r="W76" s="37">
        <f t="shared" si="25"/>
        <v>12</v>
      </c>
      <c r="X76" s="37">
        <f t="shared" si="26"/>
        <v>14</v>
      </c>
      <c r="Y76" s="37">
        <f t="shared" si="27"/>
        <v>10</v>
      </c>
      <c r="Z76" s="37">
        <f t="shared" si="28"/>
        <v>11</v>
      </c>
      <c r="AA76" s="37">
        <f t="shared" si="29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1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28</v>
      </c>
      <c r="N77" s="38" t="s">
        <v>24</v>
      </c>
      <c r="O77" s="38" t="s">
        <v>27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23"/>
        <v>15</v>
      </c>
      <c r="V77" s="37">
        <f t="shared" si="24"/>
        <v>11</v>
      </c>
      <c r="W77" s="37">
        <f t="shared" si="25"/>
        <v>12</v>
      </c>
      <c r="X77" s="37">
        <f t="shared" si="26"/>
        <v>15</v>
      </c>
      <c r="Y77" s="37">
        <f t="shared" si="27"/>
        <v>14</v>
      </c>
      <c r="Z77" s="37">
        <f t="shared" si="28"/>
        <v>14</v>
      </c>
      <c r="AA77" s="37">
        <f t="shared" si="29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1</v>
      </c>
      <c r="AN77" s="154">
        <v>1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64</v>
      </c>
      <c r="N78" s="38" t="s">
        <v>69</v>
      </c>
      <c r="O78" s="38" t="s">
        <v>27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23"/>
        <v>14</v>
      </c>
      <c r="V78" s="37">
        <f t="shared" si="24"/>
        <v>0</v>
      </c>
      <c r="W78" s="37">
        <f t="shared" si="25"/>
        <v>12</v>
      </c>
      <c r="X78" s="37">
        <f t="shared" si="26"/>
        <v>15</v>
      </c>
      <c r="Y78" s="37">
        <f t="shared" si="27"/>
        <v>14</v>
      </c>
      <c r="Z78" s="37">
        <f t="shared" si="28"/>
        <v>14</v>
      </c>
      <c r="AA78" s="37">
        <f t="shared" si="29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29</v>
      </c>
      <c r="N79" s="38" t="s">
        <v>69</v>
      </c>
      <c r="O79" s="38" t="s">
        <v>27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23"/>
        <v>19</v>
      </c>
      <c r="V79" s="37">
        <f t="shared" si="24"/>
        <v>0</v>
      </c>
      <c r="W79" s="37">
        <f t="shared" si="25"/>
        <v>12</v>
      </c>
      <c r="X79" s="37">
        <f t="shared" si="26"/>
        <v>0</v>
      </c>
      <c r="Y79" s="37">
        <f t="shared" si="27"/>
        <v>0</v>
      </c>
      <c r="Z79" s="37">
        <f t="shared" si="28"/>
        <v>14</v>
      </c>
      <c r="AA79" s="37">
        <f t="shared" si="29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1</v>
      </c>
      <c r="AN79" s="154">
        <v>1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29</v>
      </c>
      <c r="N80" s="38" t="s">
        <v>89</v>
      </c>
      <c r="O80" s="38" t="s">
        <v>27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23"/>
        <v>19</v>
      </c>
      <c r="V80" s="37">
        <f t="shared" si="24"/>
        <v>7</v>
      </c>
      <c r="W80" s="37">
        <f t="shared" si="25"/>
        <v>12</v>
      </c>
      <c r="X80" s="37">
        <f t="shared" si="26"/>
        <v>19</v>
      </c>
      <c r="Y80" s="37">
        <f t="shared" si="27"/>
        <v>14</v>
      </c>
      <c r="Z80" s="37">
        <f t="shared" si="28"/>
        <v>14</v>
      </c>
      <c r="AA80" s="37">
        <f t="shared" si="29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1</v>
      </c>
      <c r="AN80" s="154">
        <v>1</v>
      </c>
      <c r="AO80" s="154">
        <v>1</v>
      </c>
      <c r="AP80" s="154">
        <v>1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27</v>
      </c>
      <c r="N81" s="38" t="s">
        <v>89</v>
      </c>
      <c r="O81" s="38" t="s">
        <v>27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23"/>
        <v>12</v>
      </c>
      <c r="V81" s="37">
        <f t="shared" si="24"/>
        <v>7</v>
      </c>
      <c r="W81" s="37">
        <f t="shared" si="25"/>
        <v>12</v>
      </c>
      <c r="X81" s="37">
        <f t="shared" si="26"/>
        <v>19</v>
      </c>
      <c r="Y81" s="37">
        <f t="shared" si="27"/>
        <v>14</v>
      </c>
      <c r="Z81" s="37">
        <f t="shared" si="28"/>
        <v>14</v>
      </c>
      <c r="AA81" s="37">
        <f t="shared" si="29"/>
        <v>19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1</v>
      </c>
      <c r="AN81" s="37">
        <v>1</v>
      </c>
      <c r="AO81" s="37">
        <v>1</v>
      </c>
      <c r="AP81" s="37">
        <v>1</v>
      </c>
      <c r="AQ81" s="37">
        <v>0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28</v>
      </c>
      <c r="N82" s="38" t="s">
        <v>21</v>
      </c>
      <c r="O82" s="38" t="s">
        <v>27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23"/>
        <v>15</v>
      </c>
      <c r="V82" s="37">
        <f t="shared" si="24"/>
        <v>12</v>
      </c>
      <c r="W82" s="37">
        <f t="shared" si="25"/>
        <v>12</v>
      </c>
      <c r="X82" s="37">
        <f t="shared" si="26"/>
        <v>11</v>
      </c>
      <c r="Y82" s="37">
        <f t="shared" si="27"/>
        <v>7</v>
      </c>
      <c r="Z82" s="37">
        <f t="shared" si="28"/>
        <v>14</v>
      </c>
      <c r="AA82" s="37">
        <f t="shared" si="29"/>
        <v>19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</v>
      </c>
      <c r="AN82" s="37">
        <v>1</v>
      </c>
      <c r="AO82" s="37">
        <v>1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64</v>
      </c>
      <c r="N83" s="38" t="s">
        <v>21</v>
      </c>
      <c r="O83" s="38" t="s">
        <v>27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23"/>
        <v>14</v>
      </c>
      <c r="V83" s="37">
        <f t="shared" si="24"/>
        <v>12</v>
      </c>
      <c r="W83" s="37">
        <f t="shared" si="25"/>
        <v>12</v>
      </c>
      <c r="X83" s="37">
        <f t="shared" si="26"/>
        <v>0</v>
      </c>
      <c r="Y83" s="37">
        <f t="shared" si="27"/>
        <v>7</v>
      </c>
      <c r="Z83" s="37">
        <f t="shared" si="28"/>
        <v>19</v>
      </c>
      <c r="AA83" s="37">
        <f t="shared" si="29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</v>
      </c>
      <c r="AN83" s="37">
        <v>1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64</v>
      </c>
      <c r="N84" s="38" t="s">
        <v>26</v>
      </c>
      <c r="O84" s="38" t="s">
        <v>27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23"/>
        <v>14</v>
      </c>
      <c r="V84" s="37">
        <f t="shared" si="24"/>
        <v>7</v>
      </c>
      <c r="W84" s="37">
        <f t="shared" si="25"/>
        <v>12</v>
      </c>
      <c r="X84" s="37">
        <f t="shared" si="26"/>
        <v>10</v>
      </c>
      <c r="Y84" s="37">
        <f t="shared" si="27"/>
        <v>0</v>
      </c>
      <c r="Z84" s="37">
        <f t="shared" si="28"/>
        <v>12</v>
      </c>
      <c r="AA84" s="37">
        <f t="shared" si="29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5">
        <v>82</v>
      </c>
      <c r="M85" s="38" t="s">
        <v>28</v>
      </c>
      <c r="N85" s="38" t="s">
        <v>26</v>
      </c>
      <c r="O85" s="38" t="s">
        <v>27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23"/>
        <v>15</v>
      </c>
      <c r="V85" s="37">
        <f t="shared" si="24"/>
        <v>7</v>
      </c>
      <c r="W85" s="37">
        <f t="shared" si="25"/>
        <v>12</v>
      </c>
      <c r="X85" s="37">
        <f t="shared" si="26"/>
        <v>14</v>
      </c>
      <c r="Y85" s="37">
        <f t="shared" si="27"/>
        <v>15</v>
      </c>
      <c r="Z85" s="37">
        <f t="shared" si="28"/>
        <v>12</v>
      </c>
      <c r="AA85" s="37">
        <f t="shared" si="29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29</v>
      </c>
      <c r="N86" s="38" t="s">
        <v>27</v>
      </c>
      <c r="O86" s="38" t="s">
        <v>27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23"/>
        <v>19</v>
      </c>
      <c r="V86" s="37">
        <f t="shared" si="24"/>
        <v>12</v>
      </c>
      <c r="W86" s="37">
        <f t="shared" si="25"/>
        <v>12</v>
      </c>
      <c r="X86" s="37">
        <f t="shared" si="26"/>
        <v>12</v>
      </c>
      <c r="Y86" s="37">
        <f t="shared" si="27"/>
        <v>15</v>
      </c>
      <c r="Z86" s="37">
        <f t="shared" si="28"/>
        <v>11</v>
      </c>
      <c r="AA86" s="37">
        <f t="shared" si="29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28</v>
      </c>
      <c r="N87" s="38" t="s">
        <v>27</v>
      </c>
      <c r="O87" s="38" t="s">
        <v>27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23"/>
        <v>15</v>
      </c>
      <c r="V87" s="37">
        <f t="shared" si="24"/>
        <v>12</v>
      </c>
      <c r="W87" s="37">
        <f t="shared" si="25"/>
        <v>12</v>
      </c>
      <c r="X87" s="37">
        <f t="shared" si="26"/>
        <v>10</v>
      </c>
      <c r="Y87" s="37">
        <f t="shared" si="27"/>
        <v>7</v>
      </c>
      <c r="Z87" s="37">
        <f t="shared" si="28"/>
        <v>19</v>
      </c>
      <c r="AA87" s="37">
        <f t="shared" si="29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3</v>
      </c>
      <c r="AK87" s="154" t="s">
        <v>256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27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23"/>
        <v>15</v>
      </c>
      <c r="V88" s="37">
        <f t="shared" si="24"/>
        <v>14</v>
      </c>
      <c r="W88" s="37">
        <f t="shared" si="25"/>
        <v>12</v>
      </c>
      <c r="X88" s="37">
        <f t="shared" si="26"/>
        <v>12</v>
      </c>
      <c r="Y88" s="37">
        <f t="shared" si="27"/>
        <v>12</v>
      </c>
      <c r="Z88" s="37">
        <f t="shared" si="28"/>
        <v>19</v>
      </c>
      <c r="AA88" s="37">
        <f t="shared" si="29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24</v>
      </c>
      <c r="O89" s="38" t="s">
        <v>27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23"/>
        <v>19</v>
      </c>
      <c r="V89" s="37">
        <f t="shared" si="24"/>
        <v>11</v>
      </c>
      <c r="W89" s="37">
        <f t="shared" si="25"/>
        <v>12</v>
      </c>
      <c r="X89" s="37">
        <f t="shared" si="26"/>
        <v>12</v>
      </c>
      <c r="Y89" s="37">
        <f t="shared" si="27"/>
        <v>7</v>
      </c>
      <c r="Z89" s="37">
        <f t="shared" si="28"/>
        <v>11</v>
      </c>
      <c r="AA89" s="37">
        <f t="shared" si="29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29</v>
      </c>
      <c r="O90" s="38" t="s">
        <v>27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23"/>
        <v>19</v>
      </c>
      <c r="V90" s="37">
        <f t="shared" si="24"/>
        <v>19</v>
      </c>
      <c r="W90" s="37">
        <f t="shared" si="25"/>
        <v>12</v>
      </c>
      <c r="X90" s="37">
        <f t="shared" si="26"/>
        <v>12</v>
      </c>
      <c r="Y90" s="37">
        <f t="shared" si="27"/>
        <v>10</v>
      </c>
      <c r="Z90" s="37">
        <f t="shared" si="28"/>
        <v>14</v>
      </c>
      <c r="AA90" s="37">
        <f t="shared" si="29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29</v>
      </c>
      <c r="N91" s="38" t="s">
        <v>29</v>
      </c>
      <c r="O91" s="38" t="s">
        <v>27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23"/>
        <v>19</v>
      </c>
      <c r="V91" s="37">
        <f t="shared" si="24"/>
        <v>19</v>
      </c>
      <c r="W91" s="37">
        <f t="shared" si="25"/>
        <v>12</v>
      </c>
      <c r="X91" s="37">
        <f t="shared" si="26"/>
        <v>19</v>
      </c>
      <c r="Y91" s="37">
        <f t="shared" si="27"/>
        <v>12</v>
      </c>
      <c r="Z91" s="37">
        <f t="shared" si="28"/>
        <v>11</v>
      </c>
      <c r="AA91" s="37">
        <f t="shared" si="29"/>
        <v>14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17</v>
      </c>
      <c r="O92" s="38" t="s">
        <v>27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23"/>
        <v>19</v>
      </c>
      <c r="V92" s="37">
        <f t="shared" si="24"/>
        <v>14</v>
      </c>
      <c r="W92" s="37">
        <f t="shared" si="25"/>
        <v>12</v>
      </c>
      <c r="X92" s="37">
        <f t="shared" si="26"/>
        <v>19</v>
      </c>
      <c r="Y92" s="37">
        <f t="shared" si="27"/>
        <v>12</v>
      </c>
      <c r="Z92" s="37">
        <f t="shared" si="28"/>
        <v>11</v>
      </c>
      <c r="AA92" s="37">
        <f t="shared" si="29"/>
        <v>14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28</v>
      </c>
      <c r="N93" s="38" t="s">
        <v>21</v>
      </c>
      <c r="O93" s="38" t="s">
        <v>27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23"/>
        <v>15</v>
      </c>
      <c r="V93" s="37">
        <f t="shared" si="24"/>
        <v>12</v>
      </c>
      <c r="W93" s="37">
        <f t="shared" si="25"/>
        <v>12</v>
      </c>
      <c r="X93" s="37">
        <f t="shared" si="26"/>
        <v>19</v>
      </c>
      <c r="Y93" s="37">
        <f t="shared" si="27"/>
        <v>7</v>
      </c>
      <c r="Z93" s="37">
        <f t="shared" si="28"/>
        <v>11</v>
      </c>
      <c r="AA93" s="37">
        <f t="shared" si="29"/>
        <v>14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</v>
      </c>
      <c r="AM93" s="154">
        <v>1</v>
      </c>
      <c r="AN93" s="154">
        <v>1</v>
      </c>
      <c r="AO93" s="154">
        <v>1</v>
      </c>
      <c r="AP93" s="154">
        <v>1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91</v>
      </c>
      <c r="M94" s="38" t="s">
        <v>24</v>
      </c>
      <c r="N94" s="38" t="s">
        <v>21</v>
      </c>
      <c r="O94" s="38" t="s">
        <v>27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23"/>
        <v>11</v>
      </c>
      <c r="V94" s="37">
        <f t="shared" si="24"/>
        <v>12</v>
      </c>
      <c r="W94" s="37">
        <f t="shared" si="25"/>
        <v>12</v>
      </c>
      <c r="X94" s="37">
        <f t="shared" si="26"/>
        <v>14</v>
      </c>
      <c r="Y94" s="37">
        <f t="shared" si="27"/>
        <v>7</v>
      </c>
      <c r="Z94" s="37">
        <f t="shared" si="28"/>
        <v>12</v>
      </c>
      <c r="AA94" s="37">
        <f t="shared" si="29"/>
        <v>14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70</v>
      </c>
      <c r="AN94" s="154">
        <v>1</v>
      </c>
      <c r="AO94" s="154">
        <v>70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27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23"/>
        <v>15</v>
      </c>
      <c r="V95" s="37">
        <f t="shared" si="24"/>
        <v>11</v>
      </c>
      <c r="W95" s="37">
        <f t="shared" si="25"/>
        <v>12</v>
      </c>
      <c r="X95" s="37">
        <f t="shared" si="26"/>
        <v>14</v>
      </c>
      <c r="Y95" s="37">
        <f t="shared" si="27"/>
        <v>0</v>
      </c>
      <c r="Z95" s="37">
        <f t="shared" si="28"/>
        <v>12</v>
      </c>
      <c r="AA95" s="37">
        <f t="shared" si="29"/>
        <v>19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1</v>
      </c>
      <c r="AM95" s="154">
        <v>1</v>
      </c>
      <c r="AN95" s="154">
        <v>5</v>
      </c>
      <c r="AO95" s="154">
        <v>1</v>
      </c>
      <c r="AP95" s="154">
        <v>1</v>
      </c>
      <c r="AQ95" s="154">
        <v>70</v>
      </c>
      <c r="AR95" s="154">
        <v>1</v>
      </c>
      <c r="AS95" s="151">
        <v>4</v>
      </c>
    </row>
    <row r="96" spans="12:45" x14ac:dyDescent="0.3">
      <c r="L96" s="15">
        <v>93</v>
      </c>
      <c r="M96" s="38" t="s">
        <v>64</v>
      </c>
      <c r="N96" s="38" t="s">
        <v>64</v>
      </c>
      <c r="O96" s="38" t="s">
        <v>27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23"/>
        <v>14</v>
      </c>
      <c r="V96" s="37">
        <f t="shared" si="24"/>
        <v>14</v>
      </c>
      <c r="W96" s="37">
        <f t="shared" si="25"/>
        <v>12</v>
      </c>
      <c r="X96" s="37">
        <f t="shared" si="26"/>
        <v>14</v>
      </c>
      <c r="Y96" s="37">
        <f t="shared" si="27"/>
        <v>15</v>
      </c>
      <c r="Z96" s="37">
        <f t="shared" si="28"/>
        <v>14</v>
      </c>
      <c r="AA96" s="37">
        <f t="shared" si="29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70</v>
      </c>
      <c r="AN96" s="154">
        <v>1</v>
      </c>
      <c r="AO96" s="154">
        <v>1</v>
      </c>
      <c r="AP96" s="154">
        <v>1</v>
      </c>
      <c r="AQ96" s="154">
        <v>70</v>
      </c>
      <c r="AR96" s="154">
        <v>1</v>
      </c>
      <c r="AS96" s="151">
        <v>5</v>
      </c>
    </row>
    <row r="97" spans="12:45" x14ac:dyDescent="0.3">
      <c r="L97" s="14">
        <v>94</v>
      </c>
      <c r="M97" s="38" t="s">
        <v>24</v>
      </c>
      <c r="N97" s="38" t="s">
        <v>18</v>
      </c>
      <c r="O97" s="38" t="s">
        <v>27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23"/>
        <v>11</v>
      </c>
      <c r="V97" s="37">
        <f t="shared" si="24"/>
        <v>10</v>
      </c>
      <c r="W97" s="37">
        <f t="shared" si="25"/>
        <v>12</v>
      </c>
      <c r="X97" s="37">
        <f t="shared" si="26"/>
        <v>19</v>
      </c>
      <c r="Y97" s="37">
        <f t="shared" si="27"/>
        <v>7</v>
      </c>
      <c r="Z97" s="37">
        <f t="shared" si="28"/>
        <v>14</v>
      </c>
      <c r="AA97" s="37">
        <f t="shared" si="29"/>
        <v>19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5</v>
      </c>
      <c r="AM97" s="154">
        <v>1</v>
      </c>
      <c r="AN97" s="154">
        <v>70</v>
      </c>
      <c r="AO97" s="154">
        <v>1</v>
      </c>
      <c r="AP97" s="154">
        <v>70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95</v>
      </c>
      <c r="M98" s="38" t="s">
        <v>26</v>
      </c>
      <c r="N98" s="38" t="s">
        <v>224</v>
      </c>
      <c r="O98" s="38" t="s">
        <v>27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23"/>
        <v>7</v>
      </c>
      <c r="V98" s="37">
        <f t="shared" si="24"/>
        <v>0</v>
      </c>
      <c r="W98" s="37">
        <f t="shared" si="25"/>
        <v>12</v>
      </c>
      <c r="X98" s="37">
        <f t="shared" si="26"/>
        <v>19</v>
      </c>
      <c r="Y98" s="37">
        <f t="shared" si="27"/>
        <v>7</v>
      </c>
      <c r="Z98" s="37">
        <f t="shared" si="28"/>
        <v>14</v>
      </c>
      <c r="AA98" s="37">
        <f t="shared" si="29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70</v>
      </c>
      <c r="AN98" s="154">
        <v>1</v>
      </c>
      <c r="AO98" s="154">
        <v>1</v>
      </c>
      <c r="AP98" s="154">
        <v>1</v>
      </c>
      <c r="AQ98" s="154">
        <v>70</v>
      </c>
      <c r="AR98" s="154">
        <v>1</v>
      </c>
      <c r="AS98" s="151">
        <v>7</v>
      </c>
    </row>
    <row r="99" spans="12:45" x14ac:dyDescent="0.3">
      <c r="L99" s="14">
        <v>96</v>
      </c>
      <c r="M99" s="38" t="s">
        <v>26</v>
      </c>
      <c r="N99" s="38" t="s">
        <v>64</v>
      </c>
      <c r="O99" s="38" t="s">
        <v>27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23"/>
        <v>7</v>
      </c>
      <c r="V99" s="37">
        <f t="shared" si="24"/>
        <v>14</v>
      </c>
      <c r="W99" s="37">
        <f t="shared" si="25"/>
        <v>12</v>
      </c>
      <c r="X99" s="37">
        <f t="shared" si="26"/>
        <v>0</v>
      </c>
      <c r="Y99" s="37">
        <f t="shared" si="27"/>
        <v>7</v>
      </c>
      <c r="Z99" s="37">
        <f t="shared" si="28"/>
        <v>19</v>
      </c>
      <c r="AA99" s="37">
        <f t="shared" si="29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</v>
      </c>
      <c r="AM99" s="37">
        <v>1</v>
      </c>
      <c r="AN99" s="37">
        <v>1</v>
      </c>
      <c r="AO99" s="37">
        <v>1</v>
      </c>
      <c r="AP99" s="37">
        <v>70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97</v>
      </c>
      <c r="M100" s="38" t="s">
        <v>27</v>
      </c>
      <c r="N100" s="38" t="s">
        <v>64</v>
      </c>
      <c r="O100" s="38" t="s">
        <v>27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ref="U100:U124" si="30">VLOOKUP(M100, $A$4:$J$29, 9, 0)</f>
        <v>12</v>
      </c>
      <c r="V100" s="37">
        <f t="shared" ref="V100:V124" si="31">VLOOKUP(N100, $A$4:$J$29, 9, 0)</f>
        <v>14</v>
      </c>
      <c r="W100" s="37">
        <f t="shared" ref="W100:W124" si="32">VLOOKUP(O100, $A$4:$J$29, 9, 0)</f>
        <v>12</v>
      </c>
      <c r="X100" s="37">
        <f t="shared" ref="X100:X124" si="33">VLOOKUP(P100, $A$4:$J$29, 9, 0)</f>
        <v>7</v>
      </c>
      <c r="Y100" s="37">
        <f t="shared" ref="Y100:Y124" si="34">VLOOKUP(Q100, $A$4:$J$29, 9, 0)</f>
        <v>7</v>
      </c>
      <c r="Z100" s="37">
        <f t="shared" ref="Z100:Z124" si="35">VLOOKUP(R100, $A$4:$J$29, 9, 0)</f>
        <v>10</v>
      </c>
      <c r="AA100" s="37">
        <f t="shared" ref="AA100:AA124" si="36">VLOOKUP(S100, $A$4:$J$29, 9, 0)</f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70</v>
      </c>
      <c r="AP100" s="37">
        <v>1</v>
      </c>
      <c r="AQ100" s="37">
        <v>70</v>
      </c>
      <c r="AR100" s="37">
        <v>1</v>
      </c>
      <c r="AS100" s="4">
        <v>9</v>
      </c>
    </row>
    <row r="101" spans="12:45" x14ac:dyDescent="0.3">
      <c r="L101" s="14">
        <v>98</v>
      </c>
      <c r="M101" s="38" t="s">
        <v>29</v>
      </c>
      <c r="N101" s="38" t="s">
        <v>21</v>
      </c>
      <c r="O101" s="38" t="s">
        <v>27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30"/>
        <v>19</v>
      </c>
      <c r="V101" s="37">
        <f t="shared" si="31"/>
        <v>12</v>
      </c>
      <c r="W101" s="37">
        <f t="shared" si="32"/>
        <v>12</v>
      </c>
      <c r="X101" s="37">
        <f t="shared" si="33"/>
        <v>7</v>
      </c>
      <c r="Y101" s="37">
        <f t="shared" si="34"/>
        <v>10</v>
      </c>
      <c r="Z101" s="37">
        <f t="shared" si="35"/>
        <v>10</v>
      </c>
      <c r="AA101" s="37">
        <f t="shared" si="36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</v>
      </c>
      <c r="AM101" s="37">
        <v>1</v>
      </c>
      <c r="AN101" s="37">
        <v>5</v>
      </c>
      <c r="AO101" s="37">
        <v>1</v>
      </c>
      <c r="AP101" s="37">
        <v>1</v>
      </c>
      <c r="AQ101" s="37">
        <v>1</v>
      </c>
      <c r="AR101" s="37">
        <v>3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30"/>
        <v>14</v>
      </c>
      <c r="V102" s="37">
        <f t="shared" si="31"/>
        <v>7</v>
      </c>
      <c r="W102" s="37">
        <f t="shared" si="32"/>
        <v>12</v>
      </c>
      <c r="X102" s="37">
        <f t="shared" si="33"/>
        <v>12</v>
      </c>
      <c r="Y102" s="37">
        <f t="shared" si="34"/>
        <v>15</v>
      </c>
      <c r="Z102" s="37">
        <f t="shared" si="35"/>
        <v>19</v>
      </c>
      <c r="AA102" s="37">
        <f t="shared" si="36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70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5">
        <v>100</v>
      </c>
      <c r="M103" s="38" t="s">
        <v>28</v>
      </c>
      <c r="N103" s="38" t="s">
        <v>232</v>
      </c>
      <c r="O103" s="38" t="s">
        <v>27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30"/>
        <v>15</v>
      </c>
      <c r="V103" s="37">
        <f t="shared" si="31"/>
        <v>0</v>
      </c>
      <c r="W103" s="37">
        <f t="shared" si="32"/>
        <v>12</v>
      </c>
      <c r="X103" s="37">
        <f t="shared" si="33"/>
        <v>12</v>
      </c>
      <c r="Y103" s="37">
        <f t="shared" si="34"/>
        <v>15</v>
      </c>
      <c r="Z103" s="37">
        <f t="shared" si="35"/>
        <v>19</v>
      </c>
      <c r="AA103" s="37">
        <f t="shared" si="36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70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4">
        <v>101</v>
      </c>
      <c r="M104" s="38" t="s">
        <v>89</v>
      </c>
      <c r="N104" s="38" t="s">
        <v>64</v>
      </c>
      <c r="O104" s="38" t="s">
        <v>27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30"/>
        <v>7</v>
      </c>
      <c r="V104" s="37">
        <f t="shared" si="31"/>
        <v>14</v>
      </c>
      <c r="W104" s="37">
        <f t="shared" si="32"/>
        <v>12</v>
      </c>
      <c r="X104" s="37">
        <f t="shared" si="33"/>
        <v>0</v>
      </c>
      <c r="Y104" s="37">
        <f t="shared" si="34"/>
        <v>10</v>
      </c>
      <c r="Z104" s="37">
        <f t="shared" si="35"/>
        <v>14</v>
      </c>
      <c r="AA104" s="37">
        <f t="shared" si="36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0</v>
      </c>
      <c r="AN104" s="154">
        <v>0</v>
      </c>
      <c r="AO104" s="154">
        <v>0</v>
      </c>
      <c r="AP104" s="154">
        <v>0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89</v>
      </c>
      <c r="N105" s="38" t="s">
        <v>69</v>
      </c>
      <c r="O105" s="38" t="s">
        <v>27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30"/>
        <v>7</v>
      </c>
      <c r="V105" s="37">
        <f t="shared" si="31"/>
        <v>0</v>
      </c>
      <c r="W105" s="37">
        <f t="shared" si="32"/>
        <v>12</v>
      </c>
      <c r="X105" s="37">
        <f t="shared" si="33"/>
        <v>14</v>
      </c>
      <c r="Y105" s="37">
        <f t="shared" si="34"/>
        <v>0</v>
      </c>
      <c r="Z105" s="37">
        <f t="shared" si="35"/>
        <v>14</v>
      </c>
      <c r="AA105" s="37">
        <f t="shared" si="36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26</v>
      </c>
      <c r="N106" s="38" t="s">
        <v>256</v>
      </c>
      <c r="O106" s="38" t="s">
        <v>27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30"/>
        <v>7</v>
      </c>
      <c r="V106" s="37">
        <f t="shared" si="31"/>
        <v>0</v>
      </c>
      <c r="W106" s="37">
        <f t="shared" si="32"/>
        <v>12</v>
      </c>
      <c r="X106" s="37">
        <f t="shared" si="33"/>
        <v>11</v>
      </c>
      <c r="Y106" s="37">
        <f t="shared" si="34"/>
        <v>15</v>
      </c>
      <c r="Z106" s="37">
        <f t="shared" si="35"/>
        <v>12</v>
      </c>
      <c r="AA106" s="3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27</v>
      </c>
      <c r="N107" s="38" t="s">
        <v>64</v>
      </c>
      <c r="O107" s="38" t="s">
        <v>27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30"/>
        <v>12</v>
      </c>
      <c r="V107" s="37">
        <f t="shared" si="31"/>
        <v>14</v>
      </c>
      <c r="W107" s="37">
        <f t="shared" si="32"/>
        <v>12</v>
      </c>
      <c r="X107" s="37">
        <f t="shared" si="33"/>
        <v>12</v>
      </c>
      <c r="Y107" s="37">
        <f t="shared" si="34"/>
        <v>15</v>
      </c>
      <c r="Z107" s="37">
        <f t="shared" si="35"/>
        <v>12</v>
      </c>
      <c r="AA107" s="37">
        <f t="shared" si="36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26</v>
      </c>
      <c r="N108" s="38" t="s">
        <v>64</v>
      </c>
      <c r="O108" s="38" t="s">
        <v>27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30"/>
        <v>7</v>
      </c>
      <c r="V108" s="37">
        <f t="shared" si="31"/>
        <v>14</v>
      </c>
      <c r="W108" s="37">
        <f t="shared" si="32"/>
        <v>12</v>
      </c>
      <c r="X108" s="37">
        <f t="shared" si="33"/>
        <v>12</v>
      </c>
      <c r="Y108" s="37">
        <f t="shared" si="34"/>
        <v>7</v>
      </c>
      <c r="Z108" s="37">
        <f t="shared" si="35"/>
        <v>19</v>
      </c>
      <c r="AA108" s="37">
        <f t="shared" si="36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1</v>
      </c>
      <c r="AN108" s="154">
        <v>1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29</v>
      </c>
      <c r="N109" s="38" t="s">
        <v>29</v>
      </c>
      <c r="O109" s="38" t="s">
        <v>27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30"/>
        <v>19</v>
      </c>
      <c r="V109" s="37">
        <f t="shared" si="31"/>
        <v>19</v>
      </c>
      <c r="W109" s="37">
        <f t="shared" si="32"/>
        <v>12</v>
      </c>
      <c r="X109" s="37">
        <f t="shared" si="33"/>
        <v>14</v>
      </c>
      <c r="Y109" s="37">
        <f t="shared" si="34"/>
        <v>15</v>
      </c>
      <c r="Z109" s="37">
        <f t="shared" si="35"/>
        <v>19</v>
      </c>
      <c r="AA109" s="3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1</v>
      </c>
      <c r="AN109" s="154">
        <v>1</v>
      </c>
      <c r="AO109" s="154">
        <v>1</v>
      </c>
      <c r="AP109" s="154">
        <v>1</v>
      </c>
      <c r="AQ109" s="154">
        <v>0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29</v>
      </c>
      <c r="N110" s="38" t="s">
        <v>27</v>
      </c>
      <c r="O110" s="38" t="s">
        <v>27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30"/>
        <v>19</v>
      </c>
      <c r="V110" s="37">
        <f t="shared" si="31"/>
        <v>12</v>
      </c>
      <c r="W110" s="37">
        <f t="shared" si="32"/>
        <v>12</v>
      </c>
      <c r="X110" s="37">
        <f t="shared" si="33"/>
        <v>14</v>
      </c>
      <c r="Y110" s="37">
        <f t="shared" si="34"/>
        <v>19</v>
      </c>
      <c r="Z110" s="37">
        <f t="shared" si="35"/>
        <v>11</v>
      </c>
      <c r="AA110" s="3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</v>
      </c>
      <c r="AN110" s="37">
        <v>1</v>
      </c>
      <c r="AO110" s="37">
        <v>1</v>
      </c>
      <c r="AP110" s="37">
        <v>1</v>
      </c>
      <c r="AQ110" s="37">
        <v>0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17</v>
      </c>
      <c r="N111" s="38" t="s">
        <v>27</v>
      </c>
      <c r="O111" s="38" t="s">
        <v>27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30"/>
        <v>14</v>
      </c>
      <c r="V111" s="37">
        <f t="shared" si="31"/>
        <v>12</v>
      </c>
      <c r="W111" s="37">
        <f t="shared" si="32"/>
        <v>12</v>
      </c>
      <c r="X111" s="37">
        <f t="shared" si="33"/>
        <v>15</v>
      </c>
      <c r="Y111" s="37">
        <f t="shared" si="34"/>
        <v>10</v>
      </c>
      <c r="Z111" s="37">
        <f t="shared" si="35"/>
        <v>11</v>
      </c>
      <c r="AA111" s="37">
        <f t="shared" si="36"/>
        <v>19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</v>
      </c>
      <c r="AN111" s="37">
        <v>1</v>
      </c>
      <c r="AO111" s="37">
        <v>1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109</v>
      </c>
      <c r="M112" s="38" t="s">
        <v>27</v>
      </c>
      <c r="N112" s="38" t="s">
        <v>21</v>
      </c>
      <c r="O112" s="38" t="s">
        <v>27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30"/>
        <v>12</v>
      </c>
      <c r="V112" s="37">
        <f t="shared" si="31"/>
        <v>12</v>
      </c>
      <c r="W112" s="37">
        <f t="shared" si="32"/>
        <v>12</v>
      </c>
      <c r="X112" s="37">
        <f t="shared" si="33"/>
        <v>19</v>
      </c>
      <c r="Y112" s="37">
        <f t="shared" si="34"/>
        <v>0</v>
      </c>
      <c r="Z112" s="37">
        <f t="shared" si="35"/>
        <v>19</v>
      </c>
      <c r="AA112" s="3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1</v>
      </c>
      <c r="AN112" s="37">
        <v>1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24</v>
      </c>
      <c r="O113" s="38" t="s">
        <v>27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30"/>
        <v>12</v>
      </c>
      <c r="V113" s="37">
        <f t="shared" si="31"/>
        <v>11</v>
      </c>
      <c r="W113" s="37">
        <f t="shared" si="32"/>
        <v>12</v>
      </c>
      <c r="X113" s="37">
        <f t="shared" si="33"/>
        <v>14</v>
      </c>
      <c r="Y113" s="37">
        <f t="shared" si="34"/>
        <v>7</v>
      </c>
      <c r="Z113" s="37">
        <f t="shared" si="35"/>
        <v>19</v>
      </c>
      <c r="AA113" s="3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28</v>
      </c>
      <c r="N114" s="38" t="s">
        <v>64</v>
      </c>
      <c r="O114" s="38" t="s">
        <v>27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30"/>
        <v>15</v>
      </c>
      <c r="V114" s="37">
        <f t="shared" si="31"/>
        <v>14</v>
      </c>
      <c r="W114" s="37">
        <f t="shared" si="32"/>
        <v>12</v>
      </c>
      <c r="X114" s="37">
        <f t="shared" si="33"/>
        <v>14</v>
      </c>
      <c r="Y114" s="37">
        <f t="shared" si="34"/>
        <v>15</v>
      </c>
      <c r="Z114" s="37">
        <f t="shared" si="35"/>
        <v>12</v>
      </c>
      <c r="AA114" s="37">
        <f t="shared" si="36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27</v>
      </c>
      <c r="O115" s="38" t="s">
        <v>27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30"/>
        <v>7</v>
      </c>
      <c r="V115" s="37">
        <f t="shared" si="31"/>
        <v>12</v>
      </c>
      <c r="W115" s="37">
        <f t="shared" si="32"/>
        <v>12</v>
      </c>
      <c r="X115" s="37">
        <f t="shared" si="33"/>
        <v>7</v>
      </c>
      <c r="Y115" s="37">
        <f t="shared" si="34"/>
        <v>7</v>
      </c>
      <c r="Z115" s="37">
        <f t="shared" si="35"/>
        <v>11</v>
      </c>
      <c r="AA115" s="37">
        <f t="shared" si="36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29</v>
      </c>
      <c r="N116" s="38" t="s">
        <v>27</v>
      </c>
      <c r="O116" s="38" t="s">
        <v>27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30"/>
        <v>19</v>
      </c>
      <c r="V116" s="37">
        <f t="shared" si="31"/>
        <v>12</v>
      </c>
      <c r="W116" s="37">
        <f t="shared" si="32"/>
        <v>12</v>
      </c>
      <c r="X116" s="37">
        <f t="shared" si="33"/>
        <v>0</v>
      </c>
      <c r="Y116" s="37">
        <f t="shared" si="34"/>
        <v>7</v>
      </c>
      <c r="Z116" s="37">
        <f t="shared" si="35"/>
        <v>12</v>
      </c>
      <c r="AA116" s="37">
        <f t="shared" si="36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29</v>
      </c>
      <c r="N117" s="38" t="s">
        <v>21</v>
      </c>
      <c r="O117" s="38" t="s">
        <v>27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30"/>
        <v>19</v>
      </c>
      <c r="V117" s="37">
        <f t="shared" si="31"/>
        <v>12</v>
      </c>
      <c r="W117" s="37">
        <f t="shared" si="32"/>
        <v>12</v>
      </c>
      <c r="X117" s="37">
        <f t="shared" si="33"/>
        <v>15</v>
      </c>
      <c r="Y117" s="37">
        <f t="shared" si="34"/>
        <v>7</v>
      </c>
      <c r="Z117" s="37">
        <f t="shared" si="35"/>
        <v>12</v>
      </c>
      <c r="AA117" s="37">
        <f t="shared" si="36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27</v>
      </c>
      <c r="N118" s="38" t="s">
        <v>21</v>
      </c>
      <c r="O118" s="38" t="s">
        <v>27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30"/>
        <v>12</v>
      </c>
      <c r="V118" s="37">
        <f t="shared" si="31"/>
        <v>12</v>
      </c>
      <c r="W118" s="37">
        <f t="shared" si="32"/>
        <v>12</v>
      </c>
      <c r="X118" s="37">
        <f t="shared" si="33"/>
        <v>7</v>
      </c>
      <c r="Y118" s="37">
        <f t="shared" si="34"/>
        <v>10</v>
      </c>
      <c r="Z118" s="37">
        <f t="shared" si="35"/>
        <v>11</v>
      </c>
      <c r="AA118" s="37">
        <f t="shared" si="36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29</v>
      </c>
      <c r="N119" s="38" t="s">
        <v>89</v>
      </c>
      <c r="O119" s="38" t="s">
        <v>27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30"/>
        <v>19</v>
      </c>
      <c r="V119" s="37">
        <f t="shared" si="31"/>
        <v>7</v>
      </c>
      <c r="W119" s="37">
        <f t="shared" si="32"/>
        <v>12</v>
      </c>
      <c r="X119" s="37">
        <f t="shared" si="33"/>
        <v>0</v>
      </c>
      <c r="Y119" s="37">
        <f t="shared" si="34"/>
        <v>0</v>
      </c>
      <c r="Z119" s="37">
        <f t="shared" si="35"/>
        <v>11</v>
      </c>
      <c r="AA119" s="37">
        <f t="shared" si="36"/>
        <v>19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29</v>
      </c>
      <c r="O120" s="38" t="s">
        <v>27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30"/>
        <v>19</v>
      </c>
      <c r="V120" s="37">
        <f t="shared" si="31"/>
        <v>19</v>
      </c>
      <c r="W120" s="37">
        <f t="shared" si="32"/>
        <v>12</v>
      </c>
      <c r="X120" s="37">
        <f t="shared" si="33"/>
        <v>14</v>
      </c>
      <c r="Y120" s="37">
        <f t="shared" si="34"/>
        <v>12</v>
      </c>
      <c r="Z120" s="37">
        <f t="shared" si="35"/>
        <v>12</v>
      </c>
      <c r="AA120" s="37">
        <f t="shared" si="36"/>
        <v>19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38" t="s">
        <v>64</v>
      </c>
      <c r="N121" s="38" t="s">
        <v>29</v>
      </c>
      <c r="O121" s="38" t="s">
        <v>27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si="30"/>
        <v>14</v>
      </c>
      <c r="V121" s="37">
        <f t="shared" si="31"/>
        <v>19</v>
      </c>
      <c r="W121" s="37">
        <f t="shared" si="32"/>
        <v>12</v>
      </c>
      <c r="X121" s="37">
        <f t="shared" si="33"/>
        <v>12</v>
      </c>
      <c r="Y121" s="37">
        <f t="shared" si="34"/>
        <v>12</v>
      </c>
      <c r="Z121" s="37">
        <f t="shared" si="35"/>
        <v>12</v>
      </c>
      <c r="AA121" s="37">
        <f t="shared" si="36"/>
        <v>19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29</v>
      </c>
      <c r="N122" s="38" t="s">
        <v>238</v>
      </c>
      <c r="O122" s="38" t="s">
        <v>27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30"/>
        <v>19</v>
      </c>
      <c r="V122" s="37">
        <f t="shared" si="31"/>
        <v>0</v>
      </c>
      <c r="W122" s="37">
        <f t="shared" si="32"/>
        <v>12</v>
      </c>
      <c r="X122" s="37">
        <f t="shared" si="33"/>
        <v>12</v>
      </c>
      <c r="Y122" s="37">
        <f t="shared" si="34"/>
        <v>7</v>
      </c>
      <c r="Z122" s="37">
        <f t="shared" si="35"/>
        <v>12</v>
      </c>
      <c r="AA122" s="37">
        <f t="shared" si="36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26</v>
      </c>
      <c r="N123" s="38" t="s">
        <v>27</v>
      </c>
      <c r="O123" s="38" t="s">
        <v>27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30"/>
        <v>7</v>
      </c>
      <c r="V123" s="37">
        <f t="shared" si="31"/>
        <v>12</v>
      </c>
      <c r="W123" s="37">
        <f t="shared" si="32"/>
        <v>12</v>
      </c>
      <c r="X123" s="37">
        <f t="shared" si="33"/>
        <v>14</v>
      </c>
      <c r="Y123" s="37">
        <f t="shared" si="34"/>
        <v>12</v>
      </c>
      <c r="Z123" s="37">
        <f t="shared" si="35"/>
        <v>11</v>
      </c>
      <c r="AA123" s="37">
        <f t="shared" si="36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26</v>
      </c>
      <c r="N124" s="38" t="s">
        <v>29</v>
      </c>
      <c r="O124" s="38" t="s">
        <v>27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30"/>
        <v>7</v>
      </c>
      <c r="V124" s="37">
        <f t="shared" si="31"/>
        <v>19</v>
      </c>
      <c r="W124" s="37">
        <f t="shared" si="32"/>
        <v>12</v>
      </c>
      <c r="X124" s="37">
        <f t="shared" si="33"/>
        <v>14</v>
      </c>
      <c r="Y124" s="37">
        <f t="shared" si="34"/>
        <v>7</v>
      </c>
      <c r="Z124" s="37">
        <f t="shared" si="35"/>
        <v>12</v>
      </c>
      <c r="AA124" s="37">
        <f t="shared" si="36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L125" s="15">
        <v>122</v>
      </c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L126" s="14">
        <v>123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L127" s="15">
        <v>124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L128" s="14">
        <v>125</v>
      </c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12:46" x14ac:dyDescent="0.3">
      <c r="L129" s="15">
        <v>126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12:46" x14ac:dyDescent="0.3">
      <c r="L130" s="15">
        <v>127</v>
      </c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12:46" x14ac:dyDescent="0.3">
      <c r="L131" s="14">
        <v>128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12:46" x14ac:dyDescent="0.3">
      <c r="L132" s="15">
        <v>129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12:46" x14ac:dyDescent="0.3">
      <c r="L133" s="14">
        <v>130</v>
      </c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AK145" s="154" t="s">
        <v>256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AT146" s="9"/>
    </row>
    <row r="147" spans="12:46" x14ac:dyDescent="0.3">
      <c r="L147" s="15">
        <v>144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abSelected="1" topLeftCell="A51" zoomScaleNormal="100" workbookViewId="0">
      <selection activeCell="C68" sqref="C68:C74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s">
        <v>26</v>
      </c>
      <c r="N4" s="156" t="s">
        <v>238</v>
      </c>
      <c r="O4" s="156" t="s">
        <v>24</v>
      </c>
      <c r="P4" s="156" t="s">
        <v>21</v>
      </c>
      <c r="Q4" s="156" t="s">
        <v>18</v>
      </c>
      <c r="R4" s="156" t="s">
        <v>64</v>
      </c>
      <c r="S4" s="157" t="s">
        <v>28</v>
      </c>
      <c r="U4" s="158">
        <f t="shared" ref="U4:U35" si="2">VLOOKUP(M4, $A$4:$J$29, 9, 0)</f>
        <v>26</v>
      </c>
      <c r="V4" s="158">
        <f t="shared" ref="V4:V35" si="3">VLOOKUP(N4, $A$4:$J$29, 9, 0)</f>
        <v>0</v>
      </c>
      <c r="W4" s="158">
        <f t="shared" ref="W4:W35" si="4">VLOOKUP(O4, $A$4:$J$29, 9, 0)</f>
        <v>21</v>
      </c>
      <c r="X4" s="158">
        <f t="shared" ref="X4:X35" si="5">VLOOKUP(P4, $A$4:$J$29, 9, 0)</f>
        <v>4</v>
      </c>
      <c r="Y4" s="158">
        <f t="shared" ref="Y4:Y35" si="6">VLOOKUP(Q4, $A$4:$J$29, 9, 0)</f>
        <v>22</v>
      </c>
      <c r="Z4" s="158">
        <f t="shared" ref="Z4:Z35" si="7">VLOOKUP(R4, $A$4:$J$29, 9, 0)</f>
        <v>23</v>
      </c>
      <c r="AA4" s="158">
        <f t="shared" ref="AA4:AA35" si="8">VLOOKUP(S4, $A$4:$J$29, 9, 0)</f>
        <v>26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3</v>
      </c>
      <c r="D5" s="10">
        <f t="shared" si="1"/>
        <v>1</v>
      </c>
      <c r="E5" s="10">
        <f t="shared" si="1"/>
        <v>2</v>
      </c>
      <c r="F5" s="10">
        <f t="shared" si="1"/>
        <v>1</v>
      </c>
      <c r="G5" s="10">
        <f t="shared" si="1"/>
        <v>1</v>
      </c>
      <c r="H5" s="10">
        <f t="shared" si="1"/>
        <v>1</v>
      </c>
      <c r="I5" s="10">
        <f t="shared" si="1"/>
        <v>1</v>
      </c>
      <c r="J5" s="4">
        <v>1</v>
      </c>
      <c r="K5" s="34"/>
      <c r="L5" s="14">
        <v>2</v>
      </c>
      <c r="M5" s="38" t="s">
        <v>26</v>
      </c>
      <c r="N5" s="38" t="s">
        <v>29</v>
      </c>
      <c r="O5" s="38" t="s">
        <v>19</v>
      </c>
      <c r="P5" s="38" t="s">
        <v>28</v>
      </c>
      <c r="Q5" s="38" t="s">
        <v>28</v>
      </c>
      <c r="R5" s="38" t="s">
        <v>24</v>
      </c>
      <c r="S5" s="24" t="s">
        <v>20</v>
      </c>
      <c r="U5" s="37">
        <f t="shared" si="2"/>
        <v>26</v>
      </c>
      <c r="V5" s="37">
        <f t="shared" si="3"/>
        <v>19</v>
      </c>
      <c r="W5" s="37">
        <f t="shared" si="4"/>
        <v>1</v>
      </c>
      <c r="X5" s="37">
        <f t="shared" si="5"/>
        <v>26</v>
      </c>
      <c r="Y5" s="37">
        <f t="shared" si="6"/>
        <v>26</v>
      </c>
      <c r="Z5" s="37">
        <f t="shared" si="7"/>
        <v>21</v>
      </c>
      <c r="AA5" s="37">
        <f t="shared" si="8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3</v>
      </c>
      <c r="D6" s="153">
        <f t="shared" si="1"/>
        <v>4</v>
      </c>
      <c r="E6" s="153">
        <f t="shared" si="1"/>
        <v>4</v>
      </c>
      <c r="F6" s="153">
        <f t="shared" si="1"/>
        <v>4</v>
      </c>
      <c r="G6" s="153">
        <f t="shared" si="1"/>
        <v>4</v>
      </c>
      <c r="H6" s="153">
        <f t="shared" si="1"/>
        <v>4</v>
      </c>
      <c r="I6" s="153">
        <f t="shared" si="1"/>
        <v>4</v>
      </c>
      <c r="J6" s="151">
        <v>2</v>
      </c>
      <c r="L6" s="15">
        <v>3</v>
      </c>
      <c r="M6" s="38" t="s">
        <v>26</v>
      </c>
      <c r="N6" s="38" t="s">
        <v>24</v>
      </c>
      <c r="O6" s="38" t="s">
        <v>28</v>
      </c>
      <c r="P6" s="38" t="s">
        <v>64</v>
      </c>
      <c r="Q6" s="38" t="s">
        <v>29</v>
      </c>
      <c r="R6" s="38" t="s">
        <v>17</v>
      </c>
      <c r="S6" s="24" t="s">
        <v>20</v>
      </c>
      <c r="U6" s="37">
        <f t="shared" si="2"/>
        <v>26</v>
      </c>
      <c r="V6" s="37">
        <f t="shared" si="3"/>
        <v>21</v>
      </c>
      <c r="W6" s="37">
        <f t="shared" si="4"/>
        <v>26</v>
      </c>
      <c r="X6" s="37">
        <f t="shared" si="5"/>
        <v>23</v>
      </c>
      <c r="Y6" s="37">
        <f t="shared" si="6"/>
        <v>19</v>
      </c>
      <c r="Z6" s="37">
        <f t="shared" si="7"/>
        <v>5</v>
      </c>
      <c r="AA6" s="37">
        <f t="shared" si="8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3</v>
      </c>
      <c r="D7" s="153">
        <f t="shared" si="1"/>
        <v>4</v>
      </c>
      <c r="E7" s="153">
        <f t="shared" si="1"/>
        <v>6</v>
      </c>
      <c r="F7" s="153">
        <f t="shared" si="1"/>
        <v>7</v>
      </c>
      <c r="G7" s="153">
        <f t="shared" si="1"/>
        <v>4</v>
      </c>
      <c r="H7" s="153">
        <f t="shared" si="1"/>
        <v>4</v>
      </c>
      <c r="I7" s="153">
        <f t="shared" si="1"/>
        <v>4</v>
      </c>
      <c r="J7" s="151">
        <v>3</v>
      </c>
      <c r="L7" s="14">
        <v>4</v>
      </c>
      <c r="M7" s="38" t="s">
        <v>26</v>
      </c>
      <c r="N7" s="38" t="s">
        <v>242</v>
      </c>
      <c r="O7" s="38" t="s">
        <v>26</v>
      </c>
      <c r="P7" s="38" t="s">
        <v>29</v>
      </c>
      <c r="Q7" s="38" t="s">
        <v>26</v>
      </c>
      <c r="R7" s="38" t="s">
        <v>26</v>
      </c>
      <c r="S7" s="24" t="s">
        <v>20</v>
      </c>
      <c r="U7" s="37">
        <f t="shared" si="2"/>
        <v>26</v>
      </c>
      <c r="V7" s="37">
        <f t="shared" si="3"/>
        <v>0</v>
      </c>
      <c r="W7" s="37">
        <f t="shared" si="4"/>
        <v>26</v>
      </c>
      <c r="X7" s="37">
        <f t="shared" si="5"/>
        <v>19</v>
      </c>
      <c r="Y7" s="37">
        <f t="shared" si="6"/>
        <v>26</v>
      </c>
      <c r="Z7" s="37">
        <f t="shared" si="7"/>
        <v>26</v>
      </c>
      <c r="AA7" s="37">
        <f t="shared" si="8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4</v>
      </c>
      <c r="D8" s="153">
        <f t="shared" si="1"/>
        <v>5</v>
      </c>
      <c r="E8" s="153">
        <f t="shared" si="1"/>
        <v>8</v>
      </c>
      <c r="F8" s="153">
        <f t="shared" si="1"/>
        <v>5</v>
      </c>
      <c r="G8" s="153">
        <f t="shared" si="1"/>
        <v>4</v>
      </c>
      <c r="H8" s="153">
        <f t="shared" si="1"/>
        <v>5</v>
      </c>
      <c r="I8" s="153">
        <f t="shared" si="1"/>
        <v>5</v>
      </c>
      <c r="J8" s="151">
        <v>4</v>
      </c>
      <c r="L8" s="15">
        <v>5</v>
      </c>
      <c r="M8" s="38" t="s">
        <v>28</v>
      </c>
      <c r="N8" s="38" t="s">
        <v>64</v>
      </c>
      <c r="O8" s="38" t="s">
        <v>20</v>
      </c>
      <c r="P8" s="38" t="s">
        <v>27</v>
      </c>
      <c r="Q8" s="38" t="s">
        <v>29</v>
      </c>
      <c r="R8" s="38" t="s">
        <v>18</v>
      </c>
      <c r="S8" s="24" t="s">
        <v>20</v>
      </c>
      <c r="U8" s="37">
        <f t="shared" si="2"/>
        <v>26</v>
      </c>
      <c r="V8" s="37">
        <f t="shared" si="3"/>
        <v>23</v>
      </c>
      <c r="W8" s="37">
        <f t="shared" si="4"/>
        <v>4</v>
      </c>
      <c r="X8" s="37">
        <f t="shared" si="5"/>
        <v>21</v>
      </c>
      <c r="Y8" s="37">
        <f t="shared" si="6"/>
        <v>19</v>
      </c>
      <c r="Z8" s="37">
        <f t="shared" si="7"/>
        <v>22</v>
      </c>
      <c r="AA8" s="37">
        <f t="shared" si="8"/>
        <v>4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21</v>
      </c>
      <c r="D9" s="153">
        <f t="shared" si="1"/>
        <v>5</v>
      </c>
      <c r="E9" s="153">
        <f t="shared" si="1"/>
        <v>21</v>
      </c>
      <c r="F9" s="153">
        <f t="shared" si="1"/>
        <v>11</v>
      </c>
      <c r="G9" s="153">
        <f t="shared" si="1"/>
        <v>17</v>
      </c>
      <c r="H9" s="153">
        <f t="shared" si="1"/>
        <v>21</v>
      </c>
      <c r="I9" s="153">
        <f t="shared" si="1"/>
        <v>22</v>
      </c>
      <c r="J9" s="151">
        <v>5</v>
      </c>
      <c r="L9" s="14">
        <v>6</v>
      </c>
      <c r="M9" s="38" t="s">
        <v>89</v>
      </c>
      <c r="N9" s="38" t="s">
        <v>64</v>
      </c>
      <c r="O9" s="38" t="s">
        <v>64</v>
      </c>
      <c r="P9" s="38" t="s">
        <v>89</v>
      </c>
      <c r="Q9" s="38" t="s">
        <v>27</v>
      </c>
      <c r="R9" s="38" t="s">
        <v>24</v>
      </c>
      <c r="S9" s="24" t="s">
        <v>28</v>
      </c>
      <c r="U9" s="37">
        <f t="shared" si="2"/>
        <v>27</v>
      </c>
      <c r="V9" s="37">
        <f t="shared" si="3"/>
        <v>23</v>
      </c>
      <c r="W9" s="37">
        <f t="shared" si="4"/>
        <v>23</v>
      </c>
      <c r="X9" s="37">
        <f t="shared" si="5"/>
        <v>27</v>
      </c>
      <c r="Y9" s="37">
        <f t="shared" si="6"/>
        <v>21</v>
      </c>
      <c r="Z9" s="37">
        <f t="shared" si="7"/>
        <v>21</v>
      </c>
      <c r="AA9" s="37">
        <f t="shared" si="8"/>
        <v>26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3</v>
      </c>
      <c r="D10" s="153">
        <f t="shared" si="1"/>
        <v>28</v>
      </c>
      <c r="E10" s="153">
        <f t="shared" si="1"/>
        <v>9</v>
      </c>
      <c r="F10" s="153">
        <f t="shared" si="1"/>
        <v>26</v>
      </c>
      <c r="G10" s="153">
        <f t="shared" si="1"/>
        <v>19</v>
      </c>
      <c r="H10" s="153">
        <f t="shared" si="1"/>
        <v>21</v>
      </c>
      <c r="I10" s="153">
        <f t="shared" si="1"/>
        <v>23</v>
      </c>
      <c r="J10" s="151">
        <v>6</v>
      </c>
      <c r="L10" s="15">
        <v>7</v>
      </c>
      <c r="M10" s="38" t="s">
        <v>89</v>
      </c>
      <c r="N10" s="38" t="s">
        <v>64</v>
      </c>
      <c r="O10" s="38" t="s">
        <v>27</v>
      </c>
      <c r="P10" s="38" t="s">
        <v>29</v>
      </c>
      <c r="Q10" s="38" t="s">
        <v>29</v>
      </c>
      <c r="R10" s="38" t="s">
        <v>18</v>
      </c>
      <c r="S10" s="24" t="s">
        <v>26</v>
      </c>
      <c r="U10" s="37">
        <f t="shared" si="2"/>
        <v>27</v>
      </c>
      <c r="V10" s="37">
        <f t="shared" si="3"/>
        <v>23</v>
      </c>
      <c r="W10" s="37">
        <f t="shared" si="4"/>
        <v>21</v>
      </c>
      <c r="X10" s="37">
        <f t="shared" si="5"/>
        <v>19</v>
      </c>
      <c r="Y10" s="37">
        <f t="shared" si="6"/>
        <v>19</v>
      </c>
      <c r="Z10" s="37">
        <f t="shared" si="7"/>
        <v>22</v>
      </c>
      <c r="AA10" s="37">
        <f t="shared" si="8"/>
        <v>26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51</v>
      </c>
      <c r="D11" s="153">
        <f t="shared" si="1"/>
        <v>9</v>
      </c>
      <c r="E11" s="153">
        <f t="shared" si="1"/>
        <v>28</v>
      </c>
      <c r="F11" s="153">
        <f t="shared" si="1"/>
        <v>12</v>
      </c>
      <c r="G11" s="153">
        <f t="shared" si="1"/>
        <v>18</v>
      </c>
      <c r="H11" s="153">
        <f t="shared" si="1"/>
        <v>25</v>
      </c>
      <c r="I11" s="153">
        <f t="shared" si="1"/>
        <v>27</v>
      </c>
      <c r="J11" s="151">
        <v>7</v>
      </c>
      <c r="L11" s="14">
        <v>8</v>
      </c>
      <c r="M11" s="38" t="s">
        <v>28</v>
      </c>
      <c r="N11" s="38" t="s">
        <v>64</v>
      </c>
      <c r="O11" s="38" t="s">
        <v>89</v>
      </c>
      <c r="P11" s="38" t="s">
        <v>27</v>
      </c>
      <c r="Q11" s="38" t="s">
        <v>232</v>
      </c>
      <c r="R11" s="38" t="s">
        <v>27</v>
      </c>
      <c r="S11" s="24" t="s">
        <v>89</v>
      </c>
      <c r="U11" s="37">
        <f t="shared" si="2"/>
        <v>26</v>
      </c>
      <c r="V11" s="37">
        <f t="shared" si="3"/>
        <v>23</v>
      </c>
      <c r="W11" s="37">
        <f t="shared" si="4"/>
        <v>27</v>
      </c>
      <c r="X11" s="37">
        <f t="shared" si="5"/>
        <v>21</v>
      </c>
      <c r="Y11" s="37">
        <f t="shared" si="6"/>
        <v>0</v>
      </c>
      <c r="Z11" s="37">
        <f t="shared" si="7"/>
        <v>21</v>
      </c>
      <c r="AA11" s="37">
        <f t="shared" si="8"/>
        <v>27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s">
        <v>89</v>
      </c>
      <c r="N12" s="38" t="s">
        <v>27</v>
      </c>
      <c r="O12" s="38" t="s">
        <v>28</v>
      </c>
      <c r="P12" s="38" t="s">
        <v>64</v>
      </c>
      <c r="Q12" s="38" t="s">
        <v>24</v>
      </c>
      <c r="R12" s="38" t="s">
        <v>89</v>
      </c>
      <c r="S12" s="24" t="s">
        <v>24</v>
      </c>
      <c r="U12" s="37">
        <f t="shared" si="2"/>
        <v>27</v>
      </c>
      <c r="V12" s="37">
        <f t="shared" si="3"/>
        <v>21</v>
      </c>
      <c r="W12" s="37">
        <f t="shared" si="4"/>
        <v>26</v>
      </c>
      <c r="X12" s="37">
        <f t="shared" si="5"/>
        <v>23</v>
      </c>
      <c r="Y12" s="37">
        <f t="shared" si="6"/>
        <v>21</v>
      </c>
      <c r="Z12" s="37">
        <f t="shared" si="7"/>
        <v>27</v>
      </c>
      <c r="AA12" s="37">
        <f t="shared" si="8"/>
        <v>21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47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38" t="s">
        <v>26</v>
      </c>
      <c r="N13" s="38" t="s">
        <v>29</v>
      </c>
      <c r="O13" s="38" t="s">
        <v>18</v>
      </c>
      <c r="P13" s="38" t="s">
        <v>24</v>
      </c>
      <c r="Q13" s="38" t="s">
        <v>26</v>
      </c>
      <c r="R13" s="38" t="s">
        <v>89</v>
      </c>
      <c r="S13" s="24" t="s">
        <v>19</v>
      </c>
      <c r="U13" s="37">
        <f t="shared" si="2"/>
        <v>26</v>
      </c>
      <c r="V13" s="37">
        <f t="shared" si="3"/>
        <v>19</v>
      </c>
      <c r="W13" s="37">
        <f t="shared" si="4"/>
        <v>22</v>
      </c>
      <c r="X13" s="37">
        <f t="shared" si="5"/>
        <v>21</v>
      </c>
      <c r="Y13" s="37">
        <f t="shared" si="6"/>
        <v>26</v>
      </c>
      <c r="Z13" s="37">
        <f t="shared" si="7"/>
        <v>27</v>
      </c>
      <c r="AA13" s="37">
        <f t="shared" si="8"/>
        <v>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s">
        <v>89</v>
      </c>
      <c r="N14" s="38" t="s">
        <v>29</v>
      </c>
      <c r="O14" s="38" t="s">
        <v>18</v>
      </c>
      <c r="P14" s="38" t="s">
        <v>27</v>
      </c>
      <c r="Q14" s="38" t="s">
        <v>18</v>
      </c>
      <c r="R14" s="38" t="s">
        <v>26</v>
      </c>
      <c r="S14" s="24" t="s">
        <v>27</v>
      </c>
      <c r="U14" s="37">
        <f t="shared" si="2"/>
        <v>27</v>
      </c>
      <c r="V14" s="37">
        <f t="shared" si="3"/>
        <v>19</v>
      </c>
      <c r="W14" s="37">
        <f t="shared" si="4"/>
        <v>22</v>
      </c>
      <c r="X14" s="37">
        <f t="shared" si="5"/>
        <v>21</v>
      </c>
      <c r="Y14" s="37">
        <f t="shared" si="6"/>
        <v>22</v>
      </c>
      <c r="Z14" s="37">
        <f t="shared" si="7"/>
        <v>26</v>
      </c>
      <c r="AA14" s="37">
        <f t="shared" si="8"/>
        <v>21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56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28</v>
      </c>
      <c r="P15" s="38" t="s">
        <v>64</v>
      </c>
      <c r="Q15" s="38" t="s">
        <v>24</v>
      </c>
      <c r="R15" s="38" t="s">
        <v>64</v>
      </c>
      <c r="S15" s="24" t="s">
        <v>26</v>
      </c>
      <c r="U15" s="37">
        <f t="shared" si="2"/>
        <v>26</v>
      </c>
      <c r="V15" s="37">
        <f t="shared" si="3"/>
        <v>0</v>
      </c>
      <c r="W15" s="37">
        <f t="shared" si="4"/>
        <v>26</v>
      </c>
      <c r="X15" s="37">
        <f t="shared" si="5"/>
        <v>23</v>
      </c>
      <c r="Y15" s="37">
        <f t="shared" si="6"/>
        <v>21</v>
      </c>
      <c r="Z15" s="37">
        <f t="shared" si="7"/>
        <v>23</v>
      </c>
      <c r="AA15" s="37">
        <f t="shared" si="8"/>
        <v>26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s">
        <v>28</v>
      </c>
      <c r="N16" s="38" t="s">
        <v>242</v>
      </c>
      <c r="O16" s="38" t="s">
        <v>26</v>
      </c>
      <c r="P16" s="38" t="s">
        <v>64</v>
      </c>
      <c r="Q16" s="38" t="s">
        <v>89</v>
      </c>
      <c r="R16" s="38" t="s">
        <v>27</v>
      </c>
      <c r="S16" s="24" t="s">
        <v>28</v>
      </c>
      <c r="U16" s="37">
        <f t="shared" si="2"/>
        <v>26</v>
      </c>
      <c r="V16" s="37">
        <f t="shared" si="3"/>
        <v>0</v>
      </c>
      <c r="W16" s="37">
        <f t="shared" si="4"/>
        <v>26</v>
      </c>
      <c r="X16" s="37">
        <f t="shared" si="5"/>
        <v>23</v>
      </c>
      <c r="Y16" s="37">
        <f t="shared" si="6"/>
        <v>27</v>
      </c>
      <c r="Z16" s="37">
        <f t="shared" si="7"/>
        <v>21</v>
      </c>
      <c r="AA16" s="37">
        <f t="shared" si="8"/>
        <v>26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18</v>
      </c>
      <c r="N17" s="38" t="s">
        <v>29</v>
      </c>
      <c r="O17" s="38" t="s">
        <v>26</v>
      </c>
      <c r="P17" s="38" t="s">
        <v>64</v>
      </c>
      <c r="Q17" s="38" t="s">
        <v>28</v>
      </c>
      <c r="R17" s="38" t="s">
        <v>29</v>
      </c>
      <c r="S17" s="24" t="s">
        <v>28</v>
      </c>
      <c r="U17" s="37">
        <f t="shared" si="2"/>
        <v>22</v>
      </c>
      <c r="V17" s="37">
        <f t="shared" si="3"/>
        <v>19</v>
      </c>
      <c r="W17" s="37">
        <f t="shared" si="4"/>
        <v>26</v>
      </c>
      <c r="X17" s="37">
        <f t="shared" si="5"/>
        <v>23</v>
      </c>
      <c r="Y17" s="37">
        <f t="shared" si="6"/>
        <v>26</v>
      </c>
      <c r="Z17" s="37">
        <f t="shared" si="7"/>
        <v>19</v>
      </c>
      <c r="AA17" s="37">
        <f t="shared" si="8"/>
        <v>26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s">
        <v>28</v>
      </c>
      <c r="N18" s="38" t="s">
        <v>26</v>
      </c>
      <c r="O18" s="38" t="s">
        <v>64</v>
      </c>
      <c r="P18" s="38" t="s">
        <v>29</v>
      </c>
      <c r="Q18" s="38" t="s">
        <v>64</v>
      </c>
      <c r="R18" s="38" t="s">
        <v>89</v>
      </c>
      <c r="S18" s="24" t="s">
        <v>28</v>
      </c>
      <c r="U18" s="37">
        <f t="shared" si="2"/>
        <v>26</v>
      </c>
      <c r="V18" s="37">
        <f t="shared" si="3"/>
        <v>26</v>
      </c>
      <c r="W18" s="37">
        <f t="shared" si="4"/>
        <v>23</v>
      </c>
      <c r="X18" s="37">
        <f t="shared" si="5"/>
        <v>19</v>
      </c>
      <c r="Y18" s="37">
        <f t="shared" si="6"/>
        <v>23</v>
      </c>
      <c r="Z18" s="37">
        <f t="shared" si="7"/>
        <v>27</v>
      </c>
      <c r="AA18" s="37">
        <f t="shared" si="8"/>
        <v>26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s">
        <v>26</v>
      </c>
      <c r="N19" s="38" t="s">
        <v>89</v>
      </c>
      <c r="O19" s="38" t="s">
        <v>26</v>
      </c>
      <c r="P19" s="38" t="s">
        <v>27</v>
      </c>
      <c r="Q19" s="38" t="s">
        <v>24</v>
      </c>
      <c r="R19" s="38" t="s">
        <v>29</v>
      </c>
      <c r="S19" s="24" t="s">
        <v>28</v>
      </c>
      <c r="U19" s="37">
        <f t="shared" si="2"/>
        <v>26</v>
      </c>
      <c r="V19" s="37">
        <f t="shared" si="3"/>
        <v>27</v>
      </c>
      <c r="W19" s="37">
        <f t="shared" si="4"/>
        <v>26</v>
      </c>
      <c r="X19" s="37">
        <f t="shared" si="5"/>
        <v>21</v>
      </c>
      <c r="Y19" s="37">
        <f t="shared" si="6"/>
        <v>21</v>
      </c>
      <c r="Z19" s="37">
        <f t="shared" si="7"/>
        <v>19</v>
      </c>
      <c r="AA19" s="37">
        <f t="shared" si="8"/>
        <v>26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9">COUNTIF(N$4:N$304,$A20)</f>
        <v>1</v>
      </c>
      <c r="E20" s="153">
        <f t="shared" ref="E20:E29" si="10">COUNTIF(O$4:O$304,$A20)</f>
        <v>2</v>
      </c>
      <c r="F20" s="153">
        <f t="shared" ref="F20:F29" si="11">COUNTIF(P$4:P$304,$A20)</f>
        <v>2</v>
      </c>
      <c r="G20" s="153">
        <f t="shared" ref="G20:G29" si="12">COUNTIF(Q$4:Q$304,$A20)</f>
        <v>2</v>
      </c>
      <c r="H20" s="153">
        <f t="shared" ref="H20:H29" si="13">COUNTIF(R$4:R$304,$A20)</f>
        <v>1</v>
      </c>
      <c r="I20" s="153">
        <f t="shared" ref="I20:I29" si="14">COUNTIF(S$4:S$304,$A20)</f>
        <v>0</v>
      </c>
      <c r="J20" s="151">
        <v>16</v>
      </c>
      <c r="L20" s="14">
        <v>17</v>
      </c>
      <c r="M20" s="38" t="s">
        <v>28</v>
      </c>
      <c r="N20" s="38" t="s">
        <v>64</v>
      </c>
      <c r="O20" s="38" t="s">
        <v>89</v>
      </c>
      <c r="P20" s="38" t="s">
        <v>27</v>
      </c>
      <c r="Q20" s="38" t="s">
        <v>24</v>
      </c>
      <c r="R20" s="38" t="s">
        <v>26</v>
      </c>
      <c r="S20" s="24" t="s">
        <v>89</v>
      </c>
      <c r="U20" s="37">
        <f t="shared" si="2"/>
        <v>26</v>
      </c>
      <c r="V20" s="37">
        <f t="shared" si="3"/>
        <v>23</v>
      </c>
      <c r="W20" s="37">
        <f t="shared" si="4"/>
        <v>27</v>
      </c>
      <c r="X20" s="37">
        <f t="shared" si="5"/>
        <v>21</v>
      </c>
      <c r="Y20" s="37">
        <f t="shared" si="6"/>
        <v>21</v>
      </c>
      <c r="Z20" s="37">
        <f t="shared" si="7"/>
        <v>26</v>
      </c>
      <c r="AA20" s="37">
        <f t="shared" si="8"/>
        <v>27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9"/>
        <v>4</v>
      </c>
      <c r="E21" s="153">
        <f t="shared" si="10"/>
        <v>1</v>
      </c>
      <c r="F21" s="153">
        <f t="shared" si="11"/>
        <v>3</v>
      </c>
      <c r="G21" s="153">
        <f t="shared" si="12"/>
        <v>3</v>
      </c>
      <c r="H21" s="153">
        <f t="shared" si="13"/>
        <v>2</v>
      </c>
      <c r="I21" s="153">
        <f t="shared" si="14"/>
        <v>0</v>
      </c>
      <c r="J21" s="151">
        <v>17</v>
      </c>
      <c r="L21" s="15">
        <v>18</v>
      </c>
      <c r="M21" s="38" t="s">
        <v>26</v>
      </c>
      <c r="N21" s="38" t="s">
        <v>26</v>
      </c>
      <c r="O21" s="38" t="s">
        <v>20</v>
      </c>
      <c r="P21" s="38" t="s">
        <v>29</v>
      </c>
      <c r="Q21" s="38" t="s">
        <v>64</v>
      </c>
      <c r="R21" s="38" t="s">
        <v>18</v>
      </c>
      <c r="S21" s="24" t="s">
        <v>27</v>
      </c>
      <c r="U21" s="37">
        <f t="shared" si="2"/>
        <v>26</v>
      </c>
      <c r="V21" s="37">
        <f t="shared" si="3"/>
        <v>26</v>
      </c>
      <c r="W21" s="37">
        <f t="shared" si="4"/>
        <v>4</v>
      </c>
      <c r="X21" s="37">
        <f t="shared" si="5"/>
        <v>19</v>
      </c>
      <c r="Y21" s="37">
        <f t="shared" si="6"/>
        <v>23</v>
      </c>
      <c r="Z21" s="37">
        <f t="shared" si="7"/>
        <v>22</v>
      </c>
      <c r="AA21" s="37">
        <f t="shared" si="8"/>
        <v>21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9"/>
        <v>1</v>
      </c>
      <c r="E22" s="153">
        <f t="shared" si="10"/>
        <v>3</v>
      </c>
      <c r="F22" s="153">
        <f t="shared" si="11"/>
        <v>2</v>
      </c>
      <c r="G22" s="153">
        <f t="shared" si="12"/>
        <v>3</v>
      </c>
      <c r="H22" s="153">
        <f t="shared" si="13"/>
        <v>2</v>
      </c>
      <c r="I22" s="153">
        <f t="shared" si="14"/>
        <v>0</v>
      </c>
      <c r="J22" s="151">
        <v>18</v>
      </c>
      <c r="L22" s="15">
        <v>19</v>
      </c>
      <c r="M22" s="38" t="s">
        <v>89</v>
      </c>
      <c r="N22" s="38" t="s">
        <v>64</v>
      </c>
      <c r="O22" s="38" t="s">
        <v>26</v>
      </c>
      <c r="P22" s="38" t="s">
        <v>24</v>
      </c>
      <c r="Q22" s="38" t="s">
        <v>28</v>
      </c>
      <c r="R22" s="38" t="s">
        <v>24</v>
      </c>
      <c r="S22" s="38" t="s">
        <v>27</v>
      </c>
      <c r="U22" s="37">
        <f t="shared" si="2"/>
        <v>27</v>
      </c>
      <c r="V22" s="37">
        <f t="shared" si="3"/>
        <v>23</v>
      </c>
      <c r="W22" s="37">
        <f t="shared" si="4"/>
        <v>26</v>
      </c>
      <c r="X22" s="37">
        <f t="shared" si="5"/>
        <v>21</v>
      </c>
      <c r="Y22" s="37">
        <f t="shared" si="6"/>
        <v>26</v>
      </c>
      <c r="Z22" s="37">
        <f t="shared" si="7"/>
        <v>21</v>
      </c>
      <c r="AA22" s="37">
        <f t="shared" si="8"/>
        <v>21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5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s">
        <v>89</v>
      </c>
      <c r="N23" s="38" t="s">
        <v>24</v>
      </c>
      <c r="O23" s="38" t="s">
        <v>18</v>
      </c>
      <c r="P23" s="38" t="s">
        <v>21</v>
      </c>
      <c r="Q23" s="38" t="s">
        <v>64</v>
      </c>
      <c r="R23" s="38" t="s">
        <v>28</v>
      </c>
      <c r="S23" s="24" t="s">
        <v>27</v>
      </c>
      <c r="U23" s="37">
        <f t="shared" si="2"/>
        <v>27</v>
      </c>
      <c r="V23" s="37">
        <f t="shared" si="3"/>
        <v>21</v>
      </c>
      <c r="W23" s="37">
        <f t="shared" si="4"/>
        <v>22</v>
      </c>
      <c r="X23" s="37">
        <f t="shared" si="5"/>
        <v>4</v>
      </c>
      <c r="Y23" s="37">
        <f t="shared" si="6"/>
        <v>23</v>
      </c>
      <c r="Z23" s="37">
        <f t="shared" si="7"/>
        <v>26</v>
      </c>
      <c r="AA23" s="37">
        <f t="shared" si="8"/>
        <v>21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s">
        <v>89</v>
      </c>
      <c r="N24" s="38" t="s">
        <v>236</v>
      </c>
      <c r="O24" s="38" t="s">
        <v>29</v>
      </c>
      <c r="P24" s="38" t="s">
        <v>28</v>
      </c>
      <c r="Q24" s="38" t="s">
        <v>238</v>
      </c>
      <c r="R24" s="38" t="s">
        <v>18</v>
      </c>
      <c r="S24" s="24" t="s">
        <v>27</v>
      </c>
      <c r="U24" s="37">
        <f t="shared" si="2"/>
        <v>27</v>
      </c>
      <c r="V24" s="37">
        <f t="shared" si="3"/>
        <v>0</v>
      </c>
      <c r="W24" s="37">
        <f t="shared" si="4"/>
        <v>19</v>
      </c>
      <c r="X24" s="37">
        <f t="shared" si="5"/>
        <v>26</v>
      </c>
      <c r="Y24" s="37">
        <f t="shared" si="6"/>
        <v>0</v>
      </c>
      <c r="Z24" s="37">
        <f t="shared" si="7"/>
        <v>22</v>
      </c>
      <c r="AA24" s="37">
        <f t="shared" si="8"/>
        <v>21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4</v>
      </c>
      <c r="E25" s="10">
        <f t="shared" si="10"/>
        <v>1</v>
      </c>
      <c r="F25" s="10">
        <f t="shared" si="11"/>
        <v>3</v>
      </c>
      <c r="G25" s="10">
        <f t="shared" si="12"/>
        <v>3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s">
        <v>28</v>
      </c>
      <c r="N25" s="38" t="s">
        <v>27</v>
      </c>
      <c r="O25" s="38" t="s">
        <v>29</v>
      </c>
      <c r="P25" s="38" t="s">
        <v>17</v>
      </c>
      <c r="Q25" s="38" t="s">
        <v>24</v>
      </c>
      <c r="R25" s="38" t="s">
        <v>24</v>
      </c>
      <c r="S25" s="24" t="s">
        <v>24</v>
      </c>
      <c r="U25" s="37">
        <f t="shared" si="2"/>
        <v>26</v>
      </c>
      <c r="V25" s="37">
        <f t="shared" si="3"/>
        <v>21</v>
      </c>
      <c r="W25" s="37">
        <f t="shared" si="4"/>
        <v>19</v>
      </c>
      <c r="X25" s="37">
        <f t="shared" si="5"/>
        <v>5</v>
      </c>
      <c r="Y25" s="37">
        <f t="shared" si="6"/>
        <v>21</v>
      </c>
      <c r="Z25" s="37">
        <f t="shared" si="7"/>
        <v>21</v>
      </c>
      <c r="AA25" s="3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24</v>
      </c>
      <c r="O26" s="38" t="s">
        <v>27</v>
      </c>
      <c r="P26" s="38" t="s">
        <v>89</v>
      </c>
      <c r="Q26" s="38" t="s">
        <v>27</v>
      </c>
      <c r="R26" s="38" t="s">
        <v>28</v>
      </c>
      <c r="S26" s="24" t="s">
        <v>28</v>
      </c>
      <c r="U26" s="37">
        <f t="shared" si="2"/>
        <v>26</v>
      </c>
      <c r="V26" s="37">
        <f t="shared" si="3"/>
        <v>21</v>
      </c>
      <c r="W26" s="37">
        <f t="shared" si="4"/>
        <v>21</v>
      </c>
      <c r="X26" s="37">
        <f t="shared" si="5"/>
        <v>27</v>
      </c>
      <c r="Y26" s="37">
        <f t="shared" si="6"/>
        <v>21</v>
      </c>
      <c r="Z26" s="37">
        <f t="shared" si="7"/>
        <v>26</v>
      </c>
      <c r="AA26" s="37">
        <f t="shared" si="8"/>
        <v>26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1</v>
      </c>
      <c r="F27" s="10">
        <f t="shared" si="11"/>
        <v>4</v>
      </c>
      <c r="G27" s="10">
        <f t="shared" si="12"/>
        <v>3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s">
        <v>89</v>
      </c>
      <c r="N27" s="38" t="s">
        <v>26</v>
      </c>
      <c r="O27" s="38" t="s">
        <v>28</v>
      </c>
      <c r="P27" s="38" t="s">
        <v>26</v>
      </c>
      <c r="Q27" s="38" t="s">
        <v>29</v>
      </c>
      <c r="R27" s="38" t="s">
        <v>28</v>
      </c>
      <c r="S27" s="24" t="s">
        <v>26</v>
      </c>
      <c r="U27" s="37">
        <f t="shared" si="2"/>
        <v>27</v>
      </c>
      <c r="V27" s="37">
        <f t="shared" si="3"/>
        <v>26</v>
      </c>
      <c r="W27" s="37">
        <f t="shared" si="4"/>
        <v>26</v>
      </c>
      <c r="X27" s="37">
        <f t="shared" si="5"/>
        <v>26</v>
      </c>
      <c r="Y27" s="37">
        <f t="shared" si="6"/>
        <v>19</v>
      </c>
      <c r="Z27" s="37">
        <f t="shared" si="7"/>
        <v>26</v>
      </c>
      <c r="AA27" s="37">
        <f t="shared" si="8"/>
        <v>26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9"/>
        <v>0</v>
      </c>
      <c r="E28" s="153">
        <f t="shared" si="10"/>
        <v>0</v>
      </c>
      <c r="F28" s="153">
        <f t="shared" si="11"/>
        <v>0</v>
      </c>
      <c r="G28" s="153">
        <f t="shared" si="12"/>
        <v>0</v>
      </c>
      <c r="H28" s="153">
        <f t="shared" si="13"/>
        <v>0</v>
      </c>
      <c r="I28" s="153">
        <f t="shared" si="14"/>
        <v>0</v>
      </c>
      <c r="J28" s="151">
        <v>24</v>
      </c>
      <c r="L28" s="15">
        <v>25</v>
      </c>
      <c r="M28" s="38" t="s">
        <v>19</v>
      </c>
      <c r="N28" s="38" t="s">
        <v>27</v>
      </c>
      <c r="O28" s="38" t="s">
        <v>26</v>
      </c>
      <c r="P28" s="38" t="s">
        <v>20</v>
      </c>
      <c r="Q28" s="38" t="s">
        <v>28</v>
      </c>
      <c r="R28" s="38" t="s">
        <v>64</v>
      </c>
      <c r="S28" s="24" t="s">
        <v>64</v>
      </c>
      <c r="U28" s="37">
        <f t="shared" si="2"/>
        <v>1</v>
      </c>
      <c r="V28" s="37">
        <f t="shared" si="3"/>
        <v>21</v>
      </c>
      <c r="W28" s="37">
        <f t="shared" si="4"/>
        <v>26</v>
      </c>
      <c r="X28" s="37">
        <f t="shared" si="5"/>
        <v>4</v>
      </c>
      <c r="Y28" s="37">
        <f t="shared" si="6"/>
        <v>26</v>
      </c>
      <c r="Z28" s="37">
        <f t="shared" si="7"/>
        <v>23</v>
      </c>
      <c r="AA28" s="37">
        <f t="shared" si="8"/>
        <v>23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9"/>
        <v>0</v>
      </c>
      <c r="E29" s="153">
        <f t="shared" si="10"/>
        <v>0</v>
      </c>
      <c r="F29" s="153">
        <f t="shared" si="11"/>
        <v>0</v>
      </c>
      <c r="G29" s="153">
        <f t="shared" si="12"/>
        <v>0</v>
      </c>
      <c r="H29" s="153">
        <f t="shared" si="13"/>
        <v>0</v>
      </c>
      <c r="I29" s="153">
        <f t="shared" si="14"/>
        <v>0</v>
      </c>
      <c r="J29" s="151">
        <v>25</v>
      </c>
      <c r="L29" s="14">
        <v>26</v>
      </c>
      <c r="M29" s="38" t="s">
        <v>18</v>
      </c>
      <c r="N29" s="38" t="s">
        <v>27</v>
      </c>
      <c r="O29" s="38" t="s">
        <v>228</v>
      </c>
      <c r="P29" s="38" t="s">
        <v>24</v>
      </c>
      <c r="Q29" s="38" t="s">
        <v>242</v>
      </c>
      <c r="R29" s="38" t="s">
        <v>89</v>
      </c>
      <c r="S29" s="24" t="s">
        <v>24</v>
      </c>
      <c r="U29" s="37">
        <f t="shared" si="2"/>
        <v>22</v>
      </c>
      <c r="V29" s="37">
        <f t="shared" si="3"/>
        <v>21</v>
      </c>
      <c r="W29" s="37">
        <f t="shared" si="4"/>
        <v>0</v>
      </c>
      <c r="X29" s="37">
        <f t="shared" si="5"/>
        <v>21</v>
      </c>
      <c r="Y29" s="37">
        <f t="shared" si="6"/>
        <v>0</v>
      </c>
      <c r="Z29" s="37">
        <f t="shared" si="7"/>
        <v>27</v>
      </c>
      <c r="AA29" s="37">
        <f t="shared" si="8"/>
        <v>21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5">SUM(D4:D29)</f>
        <v>200</v>
      </c>
      <c r="E30" s="170">
        <f t="shared" si="15"/>
        <v>200</v>
      </c>
      <c r="F30" s="170">
        <f t="shared" si="15"/>
        <v>200</v>
      </c>
      <c r="G30" s="170">
        <f t="shared" si="15"/>
        <v>200</v>
      </c>
      <c r="H30" s="170">
        <f t="shared" si="15"/>
        <v>200</v>
      </c>
      <c r="I30" s="170">
        <f t="shared" si="15"/>
        <v>200</v>
      </c>
      <c r="J30" s="13"/>
      <c r="L30" s="15">
        <v>27</v>
      </c>
      <c r="M30" s="38" t="s">
        <v>26</v>
      </c>
      <c r="N30" s="38" t="s">
        <v>24</v>
      </c>
      <c r="O30" s="38" t="s">
        <v>24</v>
      </c>
      <c r="P30" s="38" t="s">
        <v>89</v>
      </c>
      <c r="Q30" s="38" t="s">
        <v>28</v>
      </c>
      <c r="R30" s="38" t="s">
        <v>26</v>
      </c>
      <c r="S30" s="24" t="s">
        <v>18</v>
      </c>
      <c r="U30" s="37">
        <f t="shared" si="2"/>
        <v>26</v>
      </c>
      <c r="V30" s="37">
        <f t="shared" si="3"/>
        <v>21</v>
      </c>
      <c r="W30" s="37">
        <f t="shared" si="4"/>
        <v>21</v>
      </c>
      <c r="X30" s="37">
        <f t="shared" si="5"/>
        <v>27</v>
      </c>
      <c r="Y30" s="37">
        <f t="shared" si="6"/>
        <v>26</v>
      </c>
      <c r="Z30" s="37">
        <f t="shared" si="7"/>
        <v>26</v>
      </c>
      <c r="AA30" s="37">
        <f t="shared" si="8"/>
        <v>22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38" t="s">
        <v>18</v>
      </c>
      <c r="N31" s="38" t="s">
        <v>27</v>
      </c>
      <c r="O31" s="38" t="s">
        <v>89</v>
      </c>
      <c r="P31" s="38" t="s">
        <v>24</v>
      </c>
      <c r="Q31" s="38" t="s">
        <v>89</v>
      </c>
      <c r="R31" s="38" t="s">
        <v>89</v>
      </c>
      <c r="S31" s="24" t="s">
        <v>89</v>
      </c>
      <c r="U31" s="37">
        <f t="shared" si="2"/>
        <v>22</v>
      </c>
      <c r="V31" s="37">
        <f t="shared" si="3"/>
        <v>21</v>
      </c>
      <c r="W31" s="37">
        <f t="shared" si="4"/>
        <v>27</v>
      </c>
      <c r="X31" s="37">
        <f t="shared" si="5"/>
        <v>21</v>
      </c>
      <c r="Y31" s="37">
        <f t="shared" si="6"/>
        <v>27</v>
      </c>
      <c r="Z31" s="37">
        <f t="shared" si="7"/>
        <v>27</v>
      </c>
      <c r="AA31" s="37">
        <f t="shared" si="8"/>
        <v>27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18</v>
      </c>
      <c r="N32" s="38" t="s">
        <v>29</v>
      </c>
      <c r="O32" s="38" t="s">
        <v>89</v>
      </c>
      <c r="P32" s="38" t="s">
        <v>29</v>
      </c>
      <c r="Q32" s="38" t="s">
        <v>64</v>
      </c>
      <c r="R32" s="38" t="s">
        <v>18</v>
      </c>
      <c r="S32" s="24" t="s">
        <v>64</v>
      </c>
      <c r="U32" s="37">
        <f t="shared" si="2"/>
        <v>22</v>
      </c>
      <c r="V32" s="37">
        <f t="shared" si="3"/>
        <v>19</v>
      </c>
      <c r="W32" s="37">
        <f t="shared" si="4"/>
        <v>27</v>
      </c>
      <c r="X32" s="37">
        <f t="shared" si="5"/>
        <v>19</v>
      </c>
      <c r="Y32" s="37">
        <f t="shared" si="6"/>
        <v>23</v>
      </c>
      <c r="Z32" s="37">
        <f t="shared" si="7"/>
        <v>22</v>
      </c>
      <c r="AA32" s="37">
        <f t="shared" si="8"/>
        <v>23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205</v>
      </c>
      <c r="G33" s="155">
        <v>377</v>
      </c>
      <c r="H33" s="155">
        <v>0</v>
      </c>
      <c r="J33" s="13"/>
      <c r="L33" s="15">
        <v>30</v>
      </c>
      <c r="M33" s="38" t="s">
        <v>28</v>
      </c>
      <c r="N33" s="38" t="s">
        <v>68</v>
      </c>
      <c r="O33" s="38" t="s">
        <v>29</v>
      </c>
      <c r="P33" s="38" t="s">
        <v>29</v>
      </c>
      <c r="Q33" s="38" t="s">
        <v>242</v>
      </c>
      <c r="R33" s="38" t="s">
        <v>29</v>
      </c>
      <c r="S33" s="24" t="s">
        <v>21</v>
      </c>
      <c r="U33" s="37">
        <f t="shared" si="2"/>
        <v>26</v>
      </c>
      <c r="V33" s="37">
        <f t="shared" si="3"/>
        <v>1</v>
      </c>
      <c r="W33" s="37">
        <f t="shared" si="4"/>
        <v>19</v>
      </c>
      <c r="X33" s="37">
        <f t="shared" si="5"/>
        <v>19</v>
      </c>
      <c r="Y33" s="37">
        <f t="shared" si="6"/>
        <v>0</v>
      </c>
      <c r="Z33" s="37">
        <f t="shared" si="7"/>
        <v>19</v>
      </c>
      <c r="AA33" s="37">
        <f t="shared" si="8"/>
        <v>4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26</v>
      </c>
      <c r="N34" s="38" t="s">
        <v>27</v>
      </c>
      <c r="O34" s="38" t="s">
        <v>24</v>
      </c>
      <c r="P34" s="38" t="s">
        <v>28</v>
      </c>
      <c r="Q34" s="38" t="s">
        <v>18</v>
      </c>
      <c r="R34" s="38" t="s">
        <v>26</v>
      </c>
      <c r="S34" s="38" t="s">
        <v>21</v>
      </c>
      <c r="U34" s="37">
        <f t="shared" si="2"/>
        <v>26</v>
      </c>
      <c r="V34" s="37">
        <f t="shared" si="3"/>
        <v>21</v>
      </c>
      <c r="W34" s="37">
        <f t="shared" si="4"/>
        <v>21</v>
      </c>
      <c r="X34" s="37">
        <f t="shared" si="5"/>
        <v>26</v>
      </c>
      <c r="Y34" s="37">
        <f t="shared" si="6"/>
        <v>22</v>
      </c>
      <c r="Z34" s="37">
        <f t="shared" si="7"/>
        <v>26</v>
      </c>
      <c r="AA34" s="37">
        <f t="shared" si="8"/>
        <v>4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28</v>
      </c>
      <c r="P35" s="38" t="s">
        <v>29</v>
      </c>
      <c r="Q35" s="38" t="s">
        <v>27</v>
      </c>
      <c r="R35" s="38" t="s">
        <v>89</v>
      </c>
      <c r="S35" s="24" t="s">
        <v>21</v>
      </c>
      <c r="U35" s="37">
        <f t="shared" si="2"/>
        <v>26</v>
      </c>
      <c r="V35" s="37">
        <f t="shared" si="3"/>
        <v>21</v>
      </c>
      <c r="W35" s="37">
        <f t="shared" si="4"/>
        <v>26</v>
      </c>
      <c r="X35" s="37">
        <f t="shared" si="5"/>
        <v>19</v>
      </c>
      <c r="Y35" s="37">
        <f t="shared" si="6"/>
        <v>21</v>
      </c>
      <c r="Z35" s="37">
        <f t="shared" si="7"/>
        <v>27</v>
      </c>
      <c r="AA35" s="37">
        <f t="shared" si="8"/>
        <v>4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89</v>
      </c>
      <c r="N36" s="38" t="s">
        <v>24</v>
      </c>
      <c r="O36" s="38" t="s">
        <v>26</v>
      </c>
      <c r="P36" s="38" t="s">
        <v>29</v>
      </c>
      <c r="Q36" s="38" t="s">
        <v>20</v>
      </c>
      <c r="R36" s="38" t="s">
        <v>28</v>
      </c>
      <c r="S36" s="24" t="s">
        <v>21</v>
      </c>
      <c r="U36" s="37">
        <f t="shared" ref="U36:U67" si="16">VLOOKUP(M36, $A$4:$J$29, 9, 0)</f>
        <v>27</v>
      </c>
      <c r="V36" s="37">
        <f t="shared" ref="V36:V67" si="17">VLOOKUP(N36, $A$4:$J$29, 9, 0)</f>
        <v>21</v>
      </c>
      <c r="W36" s="37">
        <f t="shared" ref="W36:W67" si="18">VLOOKUP(O36, $A$4:$J$29, 9, 0)</f>
        <v>26</v>
      </c>
      <c r="X36" s="37">
        <f t="shared" ref="X36:X67" si="19">VLOOKUP(P36, $A$4:$J$29, 9, 0)</f>
        <v>19</v>
      </c>
      <c r="Y36" s="37">
        <f t="shared" ref="Y36:Y67" si="20">VLOOKUP(Q36, $A$4:$J$29, 9, 0)</f>
        <v>4</v>
      </c>
      <c r="Z36" s="37">
        <f t="shared" ref="Z36:Z67" si="21">VLOOKUP(R36, $A$4:$J$29, 9, 0)</f>
        <v>26</v>
      </c>
      <c r="AA36" s="37">
        <f t="shared" ref="AA36:AA67" si="22">VLOOKUP(S36, $A$4:$J$29, 9, 0)</f>
        <v>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28</v>
      </c>
      <c r="N37" s="38" t="s">
        <v>64</v>
      </c>
      <c r="O37" s="38" t="s">
        <v>89</v>
      </c>
      <c r="P37" s="38" t="s">
        <v>27</v>
      </c>
      <c r="Q37" s="38" t="s">
        <v>28</v>
      </c>
      <c r="R37" s="38" t="s">
        <v>18</v>
      </c>
      <c r="S37" s="24" t="s">
        <v>26</v>
      </c>
      <c r="U37" s="37">
        <f t="shared" si="16"/>
        <v>26</v>
      </c>
      <c r="V37" s="37">
        <f t="shared" si="17"/>
        <v>23</v>
      </c>
      <c r="W37" s="37">
        <f t="shared" si="18"/>
        <v>27</v>
      </c>
      <c r="X37" s="37">
        <f t="shared" si="19"/>
        <v>21</v>
      </c>
      <c r="Y37" s="37">
        <f t="shared" si="20"/>
        <v>26</v>
      </c>
      <c r="Z37" s="37">
        <f t="shared" si="21"/>
        <v>22</v>
      </c>
      <c r="AA37" s="37">
        <f t="shared" si="22"/>
        <v>26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26</v>
      </c>
      <c r="N38" s="38" t="s">
        <v>27</v>
      </c>
      <c r="O38" s="38" t="s">
        <v>26</v>
      </c>
      <c r="P38" s="38" t="s">
        <v>24</v>
      </c>
      <c r="Q38" s="38" t="s">
        <v>29</v>
      </c>
      <c r="R38" s="38" t="s">
        <v>28</v>
      </c>
      <c r="S38" s="24" t="s">
        <v>24</v>
      </c>
      <c r="U38" s="37">
        <f t="shared" si="16"/>
        <v>26</v>
      </c>
      <c r="V38" s="37">
        <f t="shared" si="17"/>
        <v>21</v>
      </c>
      <c r="W38" s="37">
        <f t="shared" si="18"/>
        <v>26</v>
      </c>
      <c r="X38" s="37">
        <f t="shared" si="19"/>
        <v>21</v>
      </c>
      <c r="Y38" s="37">
        <f t="shared" si="20"/>
        <v>19</v>
      </c>
      <c r="Z38" s="37">
        <f t="shared" si="21"/>
        <v>26</v>
      </c>
      <c r="AA38" s="37">
        <f t="shared" si="22"/>
        <v>21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28</v>
      </c>
      <c r="O39" s="38" t="s">
        <v>18</v>
      </c>
      <c r="P39" s="38" t="s">
        <v>24</v>
      </c>
      <c r="Q39" s="38" t="s">
        <v>89</v>
      </c>
      <c r="R39" s="38" t="s">
        <v>64</v>
      </c>
      <c r="S39" s="24" t="s">
        <v>89</v>
      </c>
      <c r="U39" s="37">
        <f t="shared" si="16"/>
        <v>27</v>
      </c>
      <c r="V39" s="37">
        <f t="shared" si="17"/>
        <v>26</v>
      </c>
      <c r="W39" s="37">
        <f t="shared" si="18"/>
        <v>22</v>
      </c>
      <c r="X39" s="37">
        <f t="shared" si="19"/>
        <v>21</v>
      </c>
      <c r="Y39" s="37">
        <f t="shared" si="20"/>
        <v>27</v>
      </c>
      <c r="Z39" s="37">
        <f t="shared" si="21"/>
        <v>23</v>
      </c>
      <c r="AA39" s="37">
        <f t="shared" si="22"/>
        <v>27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37" t="s">
        <v>89</v>
      </c>
      <c r="N40" s="37" t="s">
        <v>234</v>
      </c>
      <c r="O40" s="37" t="s">
        <v>26</v>
      </c>
      <c r="P40" s="175" t="s">
        <v>29</v>
      </c>
      <c r="Q40" s="37" t="s">
        <v>240</v>
      </c>
      <c r="R40" s="37" t="s">
        <v>232</v>
      </c>
      <c r="S40" s="37" t="s">
        <v>64</v>
      </c>
      <c r="U40" s="37">
        <f t="shared" si="16"/>
        <v>27</v>
      </c>
      <c r="V40" s="37">
        <f t="shared" si="17"/>
        <v>0</v>
      </c>
      <c r="W40" s="37">
        <f t="shared" si="18"/>
        <v>26</v>
      </c>
      <c r="X40" s="37">
        <f t="shared" si="19"/>
        <v>19</v>
      </c>
      <c r="Y40" s="37">
        <f t="shared" si="20"/>
        <v>0</v>
      </c>
      <c r="Z40" s="37">
        <f t="shared" si="21"/>
        <v>0</v>
      </c>
      <c r="AA40" s="37">
        <f t="shared" si="22"/>
        <v>23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26</v>
      </c>
      <c r="N41" s="38" t="s">
        <v>24</v>
      </c>
      <c r="O41" s="38" t="s">
        <v>26</v>
      </c>
      <c r="P41" s="38" t="s">
        <v>27</v>
      </c>
      <c r="Q41" s="38" t="s">
        <v>29</v>
      </c>
      <c r="R41" s="38" t="s">
        <v>21</v>
      </c>
      <c r="S41" s="24" t="s">
        <v>28</v>
      </c>
      <c r="U41" s="37">
        <f t="shared" si="16"/>
        <v>26</v>
      </c>
      <c r="V41" s="37">
        <f t="shared" si="17"/>
        <v>21</v>
      </c>
      <c r="W41" s="37">
        <f t="shared" si="18"/>
        <v>26</v>
      </c>
      <c r="X41" s="37">
        <f t="shared" si="19"/>
        <v>21</v>
      </c>
      <c r="Y41" s="37">
        <f t="shared" si="20"/>
        <v>19</v>
      </c>
      <c r="Z41" s="37">
        <f t="shared" si="21"/>
        <v>4</v>
      </c>
      <c r="AA41" s="37">
        <f t="shared" si="22"/>
        <v>26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28</v>
      </c>
      <c r="N42" s="38" t="s">
        <v>29</v>
      </c>
      <c r="O42" s="38" t="s">
        <v>89</v>
      </c>
      <c r="P42" s="38" t="s">
        <v>27</v>
      </c>
      <c r="Q42" s="38" t="s">
        <v>89</v>
      </c>
      <c r="R42" s="38" t="s">
        <v>29</v>
      </c>
      <c r="S42" s="24" t="s">
        <v>24</v>
      </c>
      <c r="U42" s="37">
        <f t="shared" si="16"/>
        <v>26</v>
      </c>
      <c r="V42" s="37">
        <f t="shared" si="17"/>
        <v>19</v>
      </c>
      <c r="W42" s="37">
        <f t="shared" si="18"/>
        <v>27</v>
      </c>
      <c r="X42" s="37">
        <f t="shared" si="19"/>
        <v>21</v>
      </c>
      <c r="Y42" s="37">
        <f t="shared" si="20"/>
        <v>27</v>
      </c>
      <c r="Z42" s="37">
        <f t="shared" si="21"/>
        <v>19</v>
      </c>
      <c r="AA42" s="37">
        <f t="shared" si="22"/>
        <v>21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20</v>
      </c>
      <c r="N43" s="38" t="s">
        <v>24</v>
      </c>
      <c r="O43" s="38" t="s">
        <v>89</v>
      </c>
      <c r="P43" s="38" t="s">
        <v>27</v>
      </c>
      <c r="Q43" s="38" t="s">
        <v>28</v>
      </c>
      <c r="R43" s="38" t="s">
        <v>18</v>
      </c>
      <c r="S43" s="24" t="s">
        <v>27</v>
      </c>
      <c r="U43" s="37">
        <f t="shared" si="16"/>
        <v>4</v>
      </c>
      <c r="V43" s="37">
        <f t="shared" si="17"/>
        <v>21</v>
      </c>
      <c r="W43" s="37">
        <f t="shared" si="18"/>
        <v>27</v>
      </c>
      <c r="X43" s="37">
        <f t="shared" si="19"/>
        <v>21</v>
      </c>
      <c r="Y43" s="37">
        <f t="shared" si="20"/>
        <v>26</v>
      </c>
      <c r="Z43" s="37">
        <f t="shared" si="21"/>
        <v>22</v>
      </c>
      <c r="AA43" s="37">
        <f t="shared" si="22"/>
        <v>21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89</v>
      </c>
      <c r="N44" s="38" t="s">
        <v>28</v>
      </c>
      <c r="O44" s="38" t="s">
        <v>236</v>
      </c>
      <c r="P44" s="38" t="s">
        <v>242</v>
      </c>
      <c r="Q44" s="38" t="s">
        <v>29</v>
      </c>
      <c r="R44" s="38" t="s">
        <v>18</v>
      </c>
      <c r="S44" s="24" t="s">
        <v>27</v>
      </c>
      <c r="U44" s="37">
        <f t="shared" si="16"/>
        <v>27</v>
      </c>
      <c r="V44" s="37">
        <f t="shared" si="17"/>
        <v>26</v>
      </c>
      <c r="W44" s="37">
        <f t="shared" si="18"/>
        <v>0</v>
      </c>
      <c r="X44" s="37">
        <f t="shared" si="19"/>
        <v>0</v>
      </c>
      <c r="Y44" s="37">
        <f t="shared" si="20"/>
        <v>19</v>
      </c>
      <c r="Z44" s="37">
        <f t="shared" si="21"/>
        <v>22</v>
      </c>
      <c r="AA44" s="37">
        <f t="shared" si="22"/>
        <v>21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28</v>
      </c>
      <c r="N45" s="38" t="s">
        <v>27</v>
      </c>
      <c r="O45" s="38" t="s">
        <v>28</v>
      </c>
      <c r="P45" s="38" t="s">
        <v>28</v>
      </c>
      <c r="Q45" s="38" t="s">
        <v>18</v>
      </c>
      <c r="R45" s="38" t="s">
        <v>234</v>
      </c>
      <c r="S45" s="24" t="s">
        <v>27</v>
      </c>
      <c r="U45" s="37">
        <f t="shared" si="16"/>
        <v>26</v>
      </c>
      <c r="V45" s="37">
        <f t="shared" si="17"/>
        <v>21</v>
      </c>
      <c r="W45" s="37">
        <f t="shared" si="18"/>
        <v>26</v>
      </c>
      <c r="X45" s="37">
        <f t="shared" si="19"/>
        <v>26</v>
      </c>
      <c r="Y45" s="37">
        <f t="shared" si="20"/>
        <v>22</v>
      </c>
      <c r="Z45" s="37">
        <f t="shared" si="21"/>
        <v>0</v>
      </c>
      <c r="AA45" s="37">
        <f t="shared" si="22"/>
        <v>21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28</v>
      </c>
      <c r="N46" s="38" t="s">
        <v>27</v>
      </c>
      <c r="O46" s="38" t="s">
        <v>18</v>
      </c>
      <c r="P46" s="38" t="s">
        <v>89</v>
      </c>
      <c r="Q46" s="38" t="s">
        <v>64</v>
      </c>
      <c r="R46" s="38" t="s">
        <v>89</v>
      </c>
      <c r="S46" s="24" t="s">
        <v>27</v>
      </c>
      <c r="U46" s="37">
        <f t="shared" si="16"/>
        <v>26</v>
      </c>
      <c r="V46" s="37">
        <f t="shared" si="17"/>
        <v>21</v>
      </c>
      <c r="W46" s="37">
        <f t="shared" si="18"/>
        <v>22</v>
      </c>
      <c r="X46" s="37">
        <f t="shared" si="19"/>
        <v>27</v>
      </c>
      <c r="Y46" s="37">
        <f t="shared" si="20"/>
        <v>23</v>
      </c>
      <c r="Z46" s="37">
        <f t="shared" si="21"/>
        <v>27</v>
      </c>
      <c r="AA46" s="37">
        <f t="shared" si="22"/>
        <v>21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28</v>
      </c>
      <c r="N47" s="38" t="s">
        <v>24</v>
      </c>
      <c r="O47" s="38" t="s">
        <v>24</v>
      </c>
      <c r="P47" s="38" t="s">
        <v>26</v>
      </c>
      <c r="Q47" s="38" t="s">
        <v>17</v>
      </c>
      <c r="R47" s="38" t="s">
        <v>89</v>
      </c>
      <c r="S47" s="24" t="s">
        <v>26</v>
      </c>
      <c r="U47" s="37">
        <f t="shared" si="16"/>
        <v>26</v>
      </c>
      <c r="V47" s="37">
        <f t="shared" si="17"/>
        <v>21</v>
      </c>
      <c r="W47" s="37">
        <f t="shared" si="18"/>
        <v>21</v>
      </c>
      <c r="X47" s="37">
        <f t="shared" si="19"/>
        <v>26</v>
      </c>
      <c r="Y47" s="37">
        <f t="shared" si="20"/>
        <v>5</v>
      </c>
      <c r="Z47" s="37">
        <f t="shared" si="21"/>
        <v>27</v>
      </c>
      <c r="AA47" s="37">
        <f t="shared" si="22"/>
        <v>26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29</v>
      </c>
      <c r="O48" s="38" t="s">
        <v>29</v>
      </c>
      <c r="P48" s="38" t="s">
        <v>89</v>
      </c>
      <c r="Q48" s="38" t="s">
        <v>24</v>
      </c>
      <c r="R48" s="38" t="s">
        <v>28</v>
      </c>
      <c r="S48" s="24" t="s">
        <v>89</v>
      </c>
      <c r="U48" s="37">
        <f t="shared" si="16"/>
        <v>26</v>
      </c>
      <c r="V48" s="37">
        <f t="shared" si="17"/>
        <v>19</v>
      </c>
      <c r="W48" s="37">
        <f t="shared" si="18"/>
        <v>19</v>
      </c>
      <c r="X48" s="37">
        <f t="shared" si="19"/>
        <v>27</v>
      </c>
      <c r="Y48" s="37">
        <f t="shared" si="20"/>
        <v>21</v>
      </c>
      <c r="Z48" s="37">
        <f t="shared" si="21"/>
        <v>26</v>
      </c>
      <c r="AA48" s="37">
        <f t="shared" si="22"/>
        <v>27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38" t="s">
        <v>26</v>
      </c>
      <c r="N49" s="38" t="s">
        <v>89</v>
      </c>
      <c r="O49" s="38" t="s">
        <v>28</v>
      </c>
      <c r="P49" s="38" t="s">
        <v>24</v>
      </c>
      <c r="Q49" s="38" t="s">
        <v>17</v>
      </c>
      <c r="R49" s="38" t="s">
        <v>24</v>
      </c>
      <c r="S49" s="24" t="s">
        <v>24</v>
      </c>
      <c r="U49" s="37">
        <f t="shared" si="16"/>
        <v>26</v>
      </c>
      <c r="V49" s="37">
        <f t="shared" si="17"/>
        <v>27</v>
      </c>
      <c r="W49" s="37">
        <f t="shared" si="18"/>
        <v>26</v>
      </c>
      <c r="X49" s="37">
        <f t="shared" si="19"/>
        <v>21</v>
      </c>
      <c r="Y49" s="37">
        <f t="shared" si="20"/>
        <v>5</v>
      </c>
      <c r="Z49" s="37">
        <f t="shared" si="21"/>
        <v>21</v>
      </c>
      <c r="AA49" s="37">
        <f t="shared" si="22"/>
        <v>21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26</v>
      </c>
      <c r="N50" s="38" t="s">
        <v>89</v>
      </c>
      <c r="O50" s="38" t="s">
        <v>28</v>
      </c>
      <c r="P50" s="38" t="s">
        <v>21</v>
      </c>
      <c r="Q50" s="38" t="s">
        <v>18</v>
      </c>
      <c r="R50" s="38" t="s">
        <v>28</v>
      </c>
      <c r="S50" s="24" t="s">
        <v>64</v>
      </c>
      <c r="U50" s="37">
        <f t="shared" si="16"/>
        <v>26</v>
      </c>
      <c r="V50" s="37">
        <f t="shared" si="17"/>
        <v>27</v>
      </c>
      <c r="W50" s="37">
        <f t="shared" si="18"/>
        <v>26</v>
      </c>
      <c r="X50" s="37">
        <f t="shared" si="19"/>
        <v>4</v>
      </c>
      <c r="Y50" s="37">
        <f t="shared" si="20"/>
        <v>22</v>
      </c>
      <c r="Z50" s="37">
        <f t="shared" si="21"/>
        <v>26</v>
      </c>
      <c r="AA50" s="37">
        <f t="shared" si="22"/>
        <v>23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21</v>
      </c>
      <c r="N51" s="38" t="s">
        <v>89</v>
      </c>
      <c r="O51" s="38" t="s">
        <v>28</v>
      </c>
      <c r="P51" s="38" t="s">
        <v>21</v>
      </c>
      <c r="Q51" s="38" t="s">
        <v>24</v>
      </c>
      <c r="R51" s="38" t="s">
        <v>230</v>
      </c>
      <c r="S51" s="24" t="s">
        <v>27</v>
      </c>
      <c r="U51" s="37">
        <f t="shared" si="16"/>
        <v>4</v>
      </c>
      <c r="V51" s="37">
        <f t="shared" si="17"/>
        <v>27</v>
      </c>
      <c r="W51" s="37">
        <f t="shared" si="18"/>
        <v>26</v>
      </c>
      <c r="X51" s="37">
        <f t="shared" si="19"/>
        <v>4</v>
      </c>
      <c r="Y51" s="37">
        <f t="shared" si="20"/>
        <v>21</v>
      </c>
      <c r="Z51" s="37">
        <f t="shared" si="21"/>
        <v>0</v>
      </c>
      <c r="AA51" s="37">
        <f t="shared" si="22"/>
        <v>21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18</v>
      </c>
      <c r="N52" s="38" t="s">
        <v>28</v>
      </c>
      <c r="O52" s="38" t="s">
        <v>24</v>
      </c>
      <c r="P52" s="38" t="s">
        <v>27</v>
      </c>
      <c r="Q52" s="38" t="s">
        <v>24</v>
      </c>
      <c r="R52" s="38" t="s">
        <v>21</v>
      </c>
      <c r="S52" s="24" t="s">
        <v>28</v>
      </c>
      <c r="U52" s="37">
        <f t="shared" si="16"/>
        <v>22</v>
      </c>
      <c r="V52" s="37">
        <f t="shared" si="17"/>
        <v>26</v>
      </c>
      <c r="W52" s="37">
        <f t="shared" si="18"/>
        <v>21</v>
      </c>
      <c r="X52" s="37">
        <f t="shared" si="19"/>
        <v>21</v>
      </c>
      <c r="Y52" s="37">
        <f t="shared" si="20"/>
        <v>21</v>
      </c>
      <c r="Z52" s="37">
        <f t="shared" si="21"/>
        <v>4</v>
      </c>
      <c r="AA52" s="37">
        <f t="shared" si="22"/>
        <v>26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28</v>
      </c>
      <c r="N53" s="38" t="s">
        <v>238</v>
      </c>
      <c r="O53" s="38" t="s">
        <v>89</v>
      </c>
      <c r="P53" s="38" t="s">
        <v>29</v>
      </c>
      <c r="Q53" s="38" t="s">
        <v>64</v>
      </c>
      <c r="R53" s="38" t="s">
        <v>64</v>
      </c>
      <c r="S53" s="24" t="s">
        <v>26</v>
      </c>
      <c r="U53" s="37">
        <f t="shared" si="16"/>
        <v>26</v>
      </c>
      <c r="V53" s="37">
        <f t="shared" si="17"/>
        <v>0</v>
      </c>
      <c r="W53" s="37">
        <f t="shared" si="18"/>
        <v>27</v>
      </c>
      <c r="X53" s="37">
        <f t="shared" si="19"/>
        <v>19</v>
      </c>
      <c r="Y53" s="37">
        <f t="shared" si="20"/>
        <v>23</v>
      </c>
      <c r="Z53" s="37">
        <f t="shared" si="21"/>
        <v>23</v>
      </c>
      <c r="AA53" s="37">
        <f t="shared" si="22"/>
        <v>26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18</v>
      </c>
      <c r="N54" s="38" t="s">
        <v>64</v>
      </c>
      <c r="O54" s="38" t="s">
        <v>242</v>
      </c>
      <c r="P54" s="38" t="s">
        <v>24</v>
      </c>
      <c r="Q54" s="38" t="s">
        <v>228</v>
      </c>
      <c r="R54" s="38" t="s">
        <v>64</v>
      </c>
      <c r="S54" s="24" t="s">
        <v>89</v>
      </c>
      <c r="U54" s="37">
        <f t="shared" si="16"/>
        <v>22</v>
      </c>
      <c r="V54" s="37">
        <f t="shared" si="17"/>
        <v>23</v>
      </c>
      <c r="W54" s="37">
        <f t="shared" si="18"/>
        <v>0</v>
      </c>
      <c r="X54" s="37">
        <f t="shared" si="19"/>
        <v>21</v>
      </c>
      <c r="Y54" s="37">
        <f t="shared" si="20"/>
        <v>0</v>
      </c>
      <c r="Z54" s="37">
        <f t="shared" si="21"/>
        <v>23</v>
      </c>
      <c r="AA54" s="37">
        <f t="shared" si="22"/>
        <v>27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28</v>
      </c>
      <c r="N55" s="38" t="s">
        <v>27</v>
      </c>
      <c r="O55" s="38" t="s">
        <v>18</v>
      </c>
      <c r="P55" s="38" t="s">
        <v>29</v>
      </c>
      <c r="Q55" s="38" t="s">
        <v>64</v>
      </c>
      <c r="R55" s="38" t="s">
        <v>27</v>
      </c>
      <c r="S55" s="24" t="s">
        <v>18</v>
      </c>
      <c r="U55" s="37">
        <f t="shared" si="16"/>
        <v>26</v>
      </c>
      <c r="V55" s="37">
        <f t="shared" si="17"/>
        <v>21</v>
      </c>
      <c r="W55" s="37">
        <f t="shared" si="18"/>
        <v>22</v>
      </c>
      <c r="X55" s="37">
        <f t="shared" si="19"/>
        <v>19</v>
      </c>
      <c r="Y55" s="37">
        <f t="shared" si="20"/>
        <v>23</v>
      </c>
      <c r="Z55" s="37">
        <f t="shared" si="21"/>
        <v>21</v>
      </c>
      <c r="AA55" s="37">
        <f t="shared" si="22"/>
        <v>22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18</v>
      </c>
      <c r="N56" s="38" t="s">
        <v>29</v>
      </c>
      <c r="O56" s="38" t="s">
        <v>18</v>
      </c>
      <c r="P56" s="38" t="s">
        <v>20</v>
      </c>
      <c r="Q56" s="38" t="s">
        <v>234</v>
      </c>
      <c r="R56" s="38" t="s">
        <v>20</v>
      </c>
      <c r="S56" s="24" t="s">
        <v>29</v>
      </c>
      <c r="U56" s="37">
        <f t="shared" si="16"/>
        <v>22</v>
      </c>
      <c r="V56" s="37">
        <f t="shared" si="17"/>
        <v>19</v>
      </c>
      <c r="W56" s="37">
        <f t="shared" si="18"/>
        <v>22</v>
      </c>
      <c r="X56" s="37">
        <f t="shared" si="19"/>
        <v>4</v>
      </c>
      <c r="Y56" s="37">
        <f t="shared" si="20"/>
        <v>0</v>
      </c>
      <c r="Z56" s="37">
        <f t="shared" si="21"/>
        <v>4</v>
      </c>
      <c r="AA56" s="37">
        <f t="shared" si="22"/>
        <v>19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26</v>
      </c>
      <c r="N57" s="38" t="s">
        <v>28</v>
      </c>
      <c r="O57" s="38" t="s">
        <v>28</v>
      </c>
      <c r="P57" s="38" t="s">
        <v>24</v>
      </c>
      <c r="Q57" s="38" t="s">
        <v>18</v>
      </c>
      <c r="R57" s="38" t="s">
        <v>29</v>
      </c>
      <c r="S57" s="24" t="s">
        <v>24</v>
      </c>
      <c r="U57" s="37">
        <f t="shared" si="16"/>
        <v>26</v>
      </c>
      <c r="V57" s="37">
        <f t="shared" si="17"/>
        <v>26</v>
      </c>
      <c r="W57" s="37">
        <f t="shared" si="18"/>
        <v>26</v>
      </c>
      <c r="X57" s="37">
        <f t="shared" si="19"/>
        <v>21</v>
      </c>
      <c r="Y57" s="37">
        <f t="shared" si="20"/>
        <v>22</v>
      </c>
      <c r="Z57" s="37">
        <f t="shared" si="21"/>
        <v>19</v>
      </c>
      <c r="AA57" s="37">
        <f t="shared" si="22"/>
        <v>21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38" t="s">
        <v>26</v>
      </c>
      <c r="N58" s="38" t="s">
        <v>89</v>
      </c>
      <c r="O58" s="38" t="s">
        <v>18</v>
      </c>
      <c r="P58" s="38" t="s">
        <v>230</v>
      </c>
      <c r="Q58" s="38" t="s">
        <v>64</v>
      </c>
      <c r="R58" s="38" t="s">
        <v>242</v>
      </c>
      <c r="S58" s="24" t="s">
        <v>64</v>
      </c>
      <c r="U58" s="37">
        <f t="shared" si="16"/>
        <v>26</v>
      </c>
      <c r="V58" s="37">
        <f t="shared" si="17"/>
        <v>27</v>
      </c>
      <c r="W58" s="37">
        <f t="shared" si="18"/>
        <v>22</v>
      </c>
      <c r="X58" s="37">
        <f t="shared" si="19"/>
        <v>0</v>
      </c>
      <c r="Y58" s="37">
        <f t="shared" si="20"/>
        <v>23</v>
      </c>
      <c r="Z58" s="37">
        <f t="shared" si="21"/>
        <v>0</v>
      </c>
      <c r="AA58" s="37">
        <f t="shared" si="22"/>
        <v>23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89</v>
      </c>
      <c r="N59" s="38" t="s">
        <v>27</v>
      </c>
      <c r="O59" s="38" t="s">
        <v>27</v>
      </c>
      <c r="P59" s="38" t="s">
        <v>64</v>
      </c>
      <c r="Q59" s="38" t="s">
        <v>64</v>
      </c>
      <c r="R59" s="38" t="s">
        <v>89</v>
      </c>
      <c r="S59" s="24" t="s">
        <v>26</v>
      </c>
      <c r="U59" s="37">
        <f t="shared" si="16"/>
        <v>27</v>
      </c>
      <c r="V59" s="37">
        <f t="shared" si="17"/>
        <v>21</v>
      </c>
      <c r="W59" s="37">
        <f t="shared" si="18"/>
        <v>21</v>
      </c>
      <c r="X59" s="37">
        <f t="shared" si="19"/>
        <v>23</v>
      </c>
      <c r="Y59" s="37">
        <f t="shared" si="20"/>
        <v>23</v>
      </c>
      <c r="Z59" s="37">
        <f t="shared" si="21"/>
        <v>27</v>
      </c>
      <c r="AA59" s="37">
        <f t="shared" si="22"/>
        <v>26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28</v>
      </c>
      <c r="N60" s="38" t="s">
        <v>24</v>
      </c>
      <c r="O60" s="38" t="s">
        <v>28</v>
      </c>
      <c r="P60" s="38" t="s">
        <v>27</v>
      </c>
      <c r="Q60" s="38" t="s">
        <v>26</v>
      </c>
      <c r="R60" s="38" t="s">
        <v>19</v>
      </c>
      <c r="S60" s="24" t="s">
        <v>28</v>
      </c>
      <c r="U60" s="37">
        <f t="shared" si="16"/>
        <v>26</v>
      </c>
      <c r="V60" s="37">
        <f t="shared" si="17"/>
        <v>21</v>
      </c>
      <c r="W60" s="37">
        <f t="shared" si="18"/>
        <v>26</v>
      </c>
      <c r="X60" s="37">
        <f t="shared" si="19"/>
        <v>21</v>
      </c>
      <c r="Y60" s="37">
        <f t="shared" si="20"/>
        <v>26</v>
      </c>
      <c r="Z60" s="37">
        <f t="shared" si="21"/>
        <v>1</v>
      </c>
      <c r="AA60" s="37">
        <f t="shared" si="22"/>
        <v>26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24</v>
      </c>
      <c r="N61" s="38" t="s">
        <v>64</v>
      </c>
      <c r="O61" s="38" t="s">
        <v>20</v>
      </c>
      <c r="P61" s="38" t="s">
        <v>18</v>
      </c>
      <c r="Q61" s="38" t="s">
        <v>89</v>
      </c>
      <c r="R61" s="38" t="s">
        <v>68</v>
      </c>
      <c r="S61" s="24" t="s">
        <v>89</v>
      </c>
      <c r="U61" s="37">
        <f t="shared" si="16"/>
        <v>21</v>
      </c>
      <c r="V61" s="37">
        <f t="shared" si="17"/>
        <v>23</v>
      </c>
      <c r="W61" s="37">
        <f t="shared" si="18"/>
        <v>4</v>
      </c>
      <c r="X61" s="37">
        <f t="shared" si="19"/>
        <v>22</v>
      </c>
      <c r="Y61" s="37">
        <f t="shared" si="20"/>
        <v>27</v>
      </c>
      <c r="Z61" s="37">
        <f t="shared" si="21"/>
        <v>1</v>
      </c>
      <c r="AA61" s="37">
        <f t="shared" si="22"/>
        <v>27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18</v>
      </c>
      <c r="N62" s="38" t="s">
        <v>27</v>
      </c>
      <c r="O62" s="38" t="s">
        <v>28</v>
      </c>
      <c r="P62" s="38" t="s">
        <v>21</v>
      </c>
      <c r="Q62" s="38" t="s">
        <v>89</v>
      </c>
      <c r="R62" s="38" t="s">
        <v>26</v>
      </c>
      <c r="S62" s="24" t="s">
        <v>89</v>
      </c>
      <c r="U62" s="37">
        <f t="shared" si="16"/>
        <v>22</v>
      </c>
      <c r="V62" s="37">
        <f t="shared" si="17"/>
        <v>21</v>
      </c>
      <c r="W62" s="37">
        <f t="shared" si="18"/>
        <v>26</v>
      </c>
      <c r="X62" s="37">
        <f t="shared" si="19"/>
        <v>4</v>
      </c>
      <c r="Y62" s="37">
        <f t="shared" si="20"/>
        <v>27</v>
      </c>
      <c r="Z62" s="37">
        <f t="shared" si="21"/>
        <v>26</v>
      </c>
      <c r="AA62" s="37">
        <f t="shared" si="22"/>
        <v>27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89</v>
      </c>
      <c r="N63" s="38" t="s">
        <v>28</v>
      </c>
      <c r="O63" s="38" t="s">
        <v>236</v>
      </c>
      <c r="P63" s="38" t="s">
        <v>24</v>
      </c>
      <c r="Q63" s="38" t="s">
        <v>27</v>
      </c>
      <c r="R63" s="38" t="s">
        <v>26</v>
      </c>
      <c r="S63" s="38" t="s">
        <v>89</v>
      </c>
      <c r="U63" s="37">
        <f t="shared" si="16"/>
        <v>27</v>
      </c>
      <c r="V63" s="37">
        <f t="shared" si="17"/>
        <v>26</v>
      </c>
      <c r="W63" s="37">
        <f t="shared" si="18"/>
        <v>0</v>
      </c>
      <c r="X63" s="37">
        <f t="shared" si="19"/>
        <v>21</v>
      </c>
      <c r="Y63" s="37">
        <f t="shared" si="20"/>
        <v>21</v>
      </c>
      <c r="Z63" s="37">
        <f t="shared" si="21"/>
        <v>26</v>
      </c>
      <c r="AA63" s="37">
        <f t="shared" si="22"/>
        <v>27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18</v>
      </c>
      <c r="N64" s="38" t="s">
        <v>89</v>
      </c>
      <c r="O64" s="38" t="s">
        <v>89</v>
      </c>
      <c r="P64" s="38" t="s">
        <v>240</v>
      </c>
      <c r="Q64" s="38" t="s">
        <v>64</v>
      </c>
      <c r="R64" s="38" t="s">
        <v>24</v>
      </c>
      <c r="S64" s="24" t="s">
        <v>89</v>
      </c>
      <c r="U64" s="37">
        <f t="shared" si="16"/>
        <v>22</v>
      </c>
      <c r="V64" s="37">
        <f t="shared" si="17"/>
        <v>27</v>
      </c>
      <c r="W64" s="37">
        <f t="shared" si="18"/>
        <v>27</v>
      </c>
      <c r="X64" s="37">
        <f t="shared" si="19"/>
        <v>0</v>
      </c>
      <c r="Y64" s="37">
        <f t="shared" si="20"/>
        <v>23</v>
      </c>
      <c r="Z64" s="37">
        <f t="shared" si="21"/>
        <v>21</v>
      </c>
      <c r="AA64" s="37">
        <f t="shared" si="22"/>
        <v>27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64</v>
      </c>
      <c r="N65" s="38" t="s">
        <v>20</v>
      </c>
      <c r="O65" s="38" t="s">
        <v>28</v>
      </c>
      <c r="P65" s="38" t="s">
        <v>29</v>
      </c>
      <c r="Q65" s="38" t="s">
        <v>26</v>
      </c>
      <c r="R65" s="38" t="s">
        <v>18</v>
      </c>
      <c r="S65" s="24" t="s">
        <v>26</v>
      </c>
      <c r="U65" s="37">
        <f t="shared" si="16"/>
        <v>23</v>
      </c>
      <c r="V65" s="37">
        <f t="shared" si="17"/>
        <v>4</v>
      </c>
      <c r="W65" s="37">
        <f t="shared" si="18"/>
        <v>26</v>
      </c>
      <c r="X65" s="37">
        <f t="shared" si="19"/>
        <v>19</v>
      </c>
      <c r="Y65" s="37">
        <f t="shared" si="20"/>
        <v>26</v>
      </c>
      <c r="Z65" s="37">
        <f t="shared" si="21"/>
        <v>22</v>
      </c>
      <c r="AA65" s="37">
        <f t="shared" si="22"/>
        <v>26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26</v>
      </c>
      <c r="N66" s="38" t="s">
        <v>17</v>
      </c>
      <c r="O66" s="38" t="s">
        <v>26</v>
      </c>
      <c r="P66" s="38" t="s">
        <v>29</v>
      </c>
      <c r="Q66" s="38" t="s">
        <v>29</v>
      </c>
      <c r="R66" s="38" t="s">
        <v>28</v>
      </c>
      <c r="S66" s="24" t="s">
        <v>28</v>
      </c>
      <c r="U66" s="37">
        <f t="shared" si="16"/>
        <v>26</v>
      </c>
      <c r="V66" s="37">
        <f t="shared" si="17"/>
        <v>5</v>
      </c>
      <c r="W66" s="37">
        <f t="shared" si="18"/>
        <v>26</v>
      </c>
      <c r="X66" s="37">
        <f t="shared" si="19"/>
        <v>19</v>
      </c>
      <c r="Y66" s="37">
        <f t="shared" si="20"/>
        <v>19</v>
      </c>
      <c r="Z66" s="37">
        <f t="shared" si="21"/>
        <v>26</v>
      </c>
      <c r="AA66" s="37">
        <f t="shared" si="22"/>
        <v>26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1000</v>
      </c>
      <c r="L67" s="15">
        <v>64</v>
      </c>
      <c r="M67" s="38" t="s">
        <v>89</v>
      </c>
      <c r="N67" s="38" t="s">
        <v>230</v>
      </c>
      <c r="O67" s="38" t="s">
        <v>18</v>
      </c>
      <c r="P67" s="38" t="s">
        <v>27</v>
      </c>
      <c r="Q67" s="38" t="s">
        <v>64</v>
      </c>
      <c r="R67" s="38" t="s">
        <v>29</v>
      </c>
      <c r="S67" s="24" t="s">
        <v>24</v>
      </c>
      <c r="U67" s="37">
        <f t="shared" si="16"/>
        <v>27</v>
      </c>
      <c r="V67" s="37">
        <f t="shared" si="17"/>
        <v>0</v>
      </c>
      <c r="W67" s="37">
        <f t="shared" si="18"/>
        <v>22</v>
      </c>
      <c r="X67" s="37">
        <f t="shared" si="19"/>
        <v>21</v>
      </c>
      <c r="Y67" s="37">
        <f t="shared" si="20"/>
        <v>23</v>
      </c>
      <c r="Z67" s="37">
        <f t="shared" si="21"/>
        <v>19</v>
      </c>
      <c r="AA67" s="37">
        <f t="shared" si="22"/>
        <v>21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89</v>
      </c>
      <c r="N68" s="38" t="s">
        <v>27</v>
      </c>
      <c r="O68" s="38" t="s">
        <v>26</v>
      </c>
      <c r="P68" s="38" t="s">
        <v>29</v>
      </c>
      <c r="Q68" s="38" t="s">
        <v>226</v>
      </c>
      <c r="R68" s="38" t="s">
        <v>28</v>
      </c>
      <c r="S68" s="24" t="s">
        <v>27</v>
      </c>
      <c r="U68" s="37">
        <f t="shared" ref="U68:U99" si="23">VLOOKUP(M68, $A$4:$J$29, 9, 0)</f>
        <v>27</v>
      </c>
      <c r="V68" s="37">
        <f t="shared" ref="V68:V99" si="24">VLOOKUP(N68, $A$4:$J$29, 9, 0)</f>
        <v>21</v>
      </c>
      <c r="W68" s="37">
        <f t="shared" ref="W68:W99" si="25">VLOOKUP(O68, $A$4:$J$29, 9, 0)</f>
        <v>26</v>
      </c>
      <c r="X68" s="37">
        <f t="shared" ref="X68:X99" si="26">VLOOKUP(P68, $A$4:$J$29, 9, 0)</f>
        <v>19</v>
      </c>
      <c r="Y68" s="37">
        <f t="shared" ref="Y68:Y99" si="27">VLOOKUP(Q68, $A$4:$J$29, 9, 0)</f>
        <v>0</v>
      </c>
      <c r="Z68" s="37">
        <f t="shared" ref="Z68:Z99" si="28">VLOOKUP(R68, $A$4:$J$29, 9, 0)</f>
        <v>26</v>
      </c>
      <c r="AA68" s="37">
        <f t="shared" ref="AA68:AA99" si="29">VLOOKUP(S68, $A$4:$J$29, 9, 0)</f>
        <v>21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5">
        <v>66</v>
      </c>
      <c r="M69" s="38" t="s">
        <v>26</v>
      </c>
      <c r="N69" s="38" t="s">
        <v>230</v>
      </c>
      <c r="O69" s="38" t="s">
        <v>26</v>
      </c>
      <c r="P69" s="38" t="s">
        <v>27</v>
      </c>
      <c r="Q69" s="38" t="s">
        <v>26</v>
      </c>
      <c r="R69" s="38" t="s">
        <v>26</v>
      </c>
      <c r="S69" s="24" t="s">
        <v>18</v>
      </c>
      <c r="U69" s="37">
        <f t="shared" si="23"/>
        <v>26</v>
      </c>
      <c r="V69" s="37">
        <f t="shared" si="24"/>
        <v>0</v>
      </c>
      <c r="W69" s="37">
        <f t="shared" si="25"/>
        <v>26</v>
      </c>
      <c r="X69" s="37">
        <f t="shared" si="26"/>
        <v>21</v>
      </c>
      <c r="Y69" s="37">
        <f t="shared" si="27"/>
        <v>26</v>
      </c>
      <c r="Z69" s="37">
        <f t="shared" si="28"/>
        <v>26</v>
      </c>
      <c r="AA69" s="37">
        <f t="shared" si="29"/>
        <v>22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4">
        <v>67</v>
      </c>
      <c r="M70" s="38" t="s">
        <v>28</v>
      </c>
      <c r="N70" s="38" t="s">
        <v>24</v>
      </c>
      <c r="O70" s="38" t="s">
        <v>26</v>
      </c>
      <c r="P70" s="38" t="s">
        <v>238</v>
      </c>
      <c r="Q70" s="38" t="s">
        <v>89</v>
      </c>
      <c r="R70" s="38" t="s">
        <v>28</v>
      </c>
      <c r="S70" s="24" t="s">
        <v>26</v>
      </c>
      <c r="U70" s="37">
        <f t="shared" si="23"/>
        <v>26</v>
      </c>
      <c r="V70" s="37">
        <f t="shared" si="24"/>
        <v>21</v>
      </c>
      <c r="W70" s="37">
        <f t="shared" si="25"/>
        <v>26</v>
      </c>
      <c r="X70" s="37">
        <f t="shared" si="26"/>
        <v>0</v>
      </c>
      <c r="Y70" s="37">
        <f t="shared" si="27"/>
        <v>27</v>
      </c>
      <c r="Z70" s="37">
        <f t="shared" si="28"/>
        <v>26</v>
      </c>
      <c r="AA70" s="37">
        <f t="shared" si="29"/>
        <v>26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s">
        <v>26</v>
      </c>
      <c r="N71" s="38" t="s">
        <v>24</v>
      </c>
      <c r="O71" s="38" t="s">
        <v>26</v>
      </c>
      <c r="P71" s="38" t="s">
        <v>27</v>
      </c>
      <c r="Q71" s="38" t="s">
        <v>89</v>
      </c>
      <c r="R71" s="38" t="s">
        <v>64</v>
      </c>
      <c r="S71" s="24" t="s">
        <v>89</v>
      </c>
      <c r="U71" s="37">
        <f t="shared" si="23"/>
        <v>26</v>
      </c>
      <c r="V71" s="37">
        <f t="shared" si="24"/>
        <v>21</v>
      </c>
      <c r="W71" s="37">
        <f t="shared" si="25"/>
        <v>26</v>
      </c>
      <c r="X71" s="37">
        <f t="shared" si="26"/>
        <v>21</v>
      </c>
      <c r="Y71" s="37">
        <f t="shared" si="27"/>
        <v>27</v>
      </c>
      <c r="Z71" s="37">
        <f t="shared" si="28"/>
        <v>23</v>
      </c>
      <c r="AA71" s="37">
        <f t="shared" si="29"/>
        <v>27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89</v>
      </c>
      <c r="N72" s="38" t="s">
        <v>24</v>
      </c>
      <c r="O72" s="38" t="s">
        <v>228</v>
      </c>
      <c r="P72" s="38" t="s">
        <v>24</v>
      </c>
      <c r="Q72" s="38" t="s">
        <v>24</v>
      </c>
      <c r="R72" s="38" t="s">
        <v>64</v>
      </c>
      <c r="S72" s="24" t="s">
        <v>28</v>
      </c>
      <c r="U72" s="37">
        <f t="shared" si="23"/>
        <v>27</v>
      </c>
      <c r="V72" s="37">
        <f t="shared" si="24"/>
        <v>21</v>
      </c>
      <c r="W72" s="37">
        <f t="shared" si="25"/>
        <v>0</v>
      </c>
      <c r="X72" s="37">
        <f t="shared" si="26"/>
        <v>21</v>
      </c>
      <c r="Y72" s="37">
        <f t="shared" si="27"/>
        <v>21</v>
      </c>
      <c r="Z72" s="37">
        <f t="shared" si="28"/>
        <v>23</v>
      </c>
      <c r="AA72" s="37">
        <f t="shared" si="29"/>
        <v>26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27</v>
      </c>
      <c r="N73" s="38" t="s">
        <v>64</v>
      </c>
      <c r="O73" s="38" t="s">
        <v>28</v>
      </c>
      <c r="P73" s="38" t="s">
        <v>27</v>
      </c>
      <c r="Q73" s="38" t="s">
        <v>240</v>
      </c>
      <c r="R73" s="38" t="s">
        <v>24</v>
      </c>
      <c r="S73" s="24" t="s">
        <v>64</v>
      </c>
      <c r="U73" s="37">
        <f t="shared" si="23"/>
        <v>21</v>
      </c>
      <c r="V73" s="37">
        <f t="shared" si="24"/>
        <v>23</v>
      </c>
      <c r="W73" s="37">
        <f t="shared" si="25"/>
        <v>26</v>
      </c>
      <c r="X73" s="37">
        <f t="shared" si="26"/>
        <v>21</v>
      </c>
      <c r="Y73" s="37">
        <f t="shared" si="27"/>
        <v>0</v>
      </c>
      <c r="Z73" s="37">
        <f t="shared" si="28"/>
        <v>21</v>
      </c>
      <c r="AA73" s="37">
        <f t="shared" si="29"/>
        <v>23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19</v>
      </c>
      <c r="N74" s="38" t="s">
        <v>240</v>
      </c>
      <c r="O74" s="38" t="s">
        <v>27</v>
      </c>
      <c r="P74" s="38" t="s">
        <v>24</v>
      </c>
      <c r="Q74" s="38" t="s">
        <v>228</v>
      </c>
      <c r="R74" s="38" t="s">
        <v>29</v>
      </c>
      <c r="S74" s="24" t="s">
        <v>18</v>
      </c>
      <c r="U74" s="37">
        <f t="shared" si="23"/>
        <v>1</v>
      </c>
      <c r="V74" s="37">
        <f t="shared" si="24"/>
        <v>0</v>
      </c>
      <c r="W74" s="37">
        <f t="shared" si="25"/>
        <v>21</v>
      </c>
      <c r="X74" s="37">
        <f t="shared" si="26"/>
        <v>21</v>
      </c>
      <c r="Y74" s="37">
        <f t="shared" si="27"/>
        <v>0</v>
      </c>
      <c r="Z74" s="37">
        <f t="shared" si="28"/>
        <v>19</v>
      </c>
      <c r="AA74" s="37">
        <f t="shared" si="29"/>
        <v>22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s">
        <v>28</v>
      </c>
      <c r="N75" s="38" t="s">
        <v>24</v>
      </c>
      <c r="O75" s="38" t="s">
        <v>17</v>
      </c>
      <c r="P75" s="38" t="s">
        <v>24</v>
      </c>
      <c r="Q75" s="38" t="s">
        <v>64</v>
      </c>
      <c r="R75" s="38" t="s">
        <v>29</v>
      </c>
      <c r="S75" s="24" t="s">
        <v>26</v>
      </c>
      <c r="U75" s="37">
        <f t="shared" si="23"/>
        <v>26</v>
      </c>
      <c r="V75" s="37">
        <f t="shared" si="24"/>
        <v>21</v>
      </c>
      <c r="W75" s="37">
        <f t="shared" si="25"/>
        <v>5</v>
      </c>
      <c r="X75" s="37">
        <f t="shared" si="26"/>
        <v>21</v>
      </c>
      <c r="Y75" s="37">
        <f t="shared" si="27"/>
        <v>23</v>
      </c>
      <c r="Z75" s="37">
        <f t="shared" si="28"/>
        <v>19</v>
      </c>
      <c r="AA75" s="37">
        <f t="shared" si="29"/>
        <v>26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38" t="s">
        <v>29</v>
      </c>
      <c r="N76" s="38" t="s">
        <v>18</v>
      </c>
      <c r="O76" s="38" t="s">
        <v>17</v>
      </c>
      <c r="P76" s="38" t="s">
        <v>24</v>
      </c>
      <c r="Q76" s="38" t="s">
        <v>19</v>
      </c>
      <c r="R76" s="38" t="s">
        <v>20</v>
      </c>
      <c r="S76" s="24" t="s">
        <v>24</v>
      </c>
      <c r="U76" s="37">
        <f t="shared" si="23"/>
        <v>19</v>
      </c>
      <c r="V76" s="37">
        <f t="shared" si="24"/>
        <v>22</v>
      </c>
      <c r="W76" s="37">
        <f t="shared" si="25"/>
        <v>5</v>
      </c>
      <c r="X76" s="37">
        <f t="shared" si="26"/>
        <v>21</v>
      </c>
      <c r="Y76" s="37">
        <f t="shared" si="27"/>
        <v>1</v>
      </c>
      <c r="Z76" s="37">
        <f t="shared" si="28"/>
        <v>4</v>
      </c>
      <c r="AA76" s="37">
        <f t="shared" si="29"/>
        <v>21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28</v>
      </c>
      <c r="N77" s="38" t="s">
        <v>20</v>
      </c>
      <c r="O77" s="38" t="s">
        <v>29</v>
      </c>
      <c r="P77" s="38" t="s">
        <v>64</v>
      </c>
      <c r="Q77" s="38" t="s">
        <v>236</v>
      </c>
      <c r="R77" s="38" t="s">
        <v>18</v>
      </c>
      <c r="S77" s="24" t="s">
        <v>68</v>
      </c>
      <c r="U77" s="37">
        <f t="shared" si="23"/>
        <v>26</v>
      </c>
      <c r="V77" s="37">
        <f t="shared" si="24"/>
        <v>4</v>
      </c>
      <c r="W77" s="37">
        <f t="shared" si="25"/>
        <v>19</v>
      </c>
      <c r="X77" s="37">
        <f t="shared" si="26"/>
        <v>23</v>
      </c>
      <c r="Y77" s="37">
        <f t="shared" si="27"/>
        <v>0</v>
      </c>
      <c r="Z77" s="37">
        <f t="shared" si="28"/>
        <v>22</v>
      </c>
      <c r="AA77" s="37">
        <f t="shared" si="29"/>
        <v>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28</v>
      </c>
      <c r="N78" s="38" t="s">
        <v>28</v>
      </c>
      <c r="O78" s="38" t="s">
        <v>18</v>
      </c>
      <c r="P78" s="38" t="s">
        <v>26</v>
      </c>
      <c r="Q78" s="38" t="s">
        <v>27</v>
      </c>
      <c r="R78" s="38" t="s">
        <v>28</v>
      </c>
      <c r="S78" s="24" t="s">
        <v>27</v>
      </c>
      <c r="U78" s="37">
        <f t="shared" si="23"/>
        <v>26</v>
      </c>
      <c r="V78" s="37">
        <f t="shared" si="24"/>
        <v>26</v>
      </c>
      <c r="W78" s="37">
        <f t="shared" si="25"/>
        <v>22</v>
      </c>
      <c r="X78" s="37">
        <f t="shared" si="26"/>
        <v>26</v>
      </c>
      <c r="Y78" s="37">
        <f t="shared" si="27"/>
        <v>21</v>
      </c>
      <c r="Z78" s="37">
        <f t="shared" si="28"/>
        <v>26</v>
      </c>
      <c r="AA78" s="37">
        <f t="shared" si="29"/>
        <v>21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89</v>
      </c>
      <c r="N79" s="38" t="s">
        <v>234</v>
      </c>
      <c r="O79" s="38" t="s">
        <v>17</v>
      </c>
      <c r="P79" s="38" t="s">
        <v>64</v>
      </c>
      <c r="Q79" s="38" t="s">
        <v>28</v>
      </c>
      <c r="R79" s="38" t="s">
        <v>26</v>
      </c>
      <c r="S79" s="24" t="s">
        <v>26</v>
      </c>
      <c r="U79" s="37">
        <f t="shared" si="23"/>
        <v>27</v>
      </c>
      <c r="V79" s="37">
        <f t="shared" si="24"/>
        <v>0</v>
      </c>
      <c r="W79" s="37">
        <f t="shared" si="25"/>
        <v>5</v>
      </c>
      <c r="X79" s="37">
        <f t="shared" si="26"/>
        <v>23</v>
      </c>
      <c r="Y79" s="37">
        <f t="shared" si="27"/>
        <v>26</v>
      </c>
      <c r="Z79" s="37">
        <f t="shared" si="28"/>
        <v>26</v>
      </c>
      <c r="AA79" s="37">
        <f t="shared" si="29"/>
        <v>26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28</v>
      </c>
      <c r="N80" s="38" t="s">
        <v>64</v>
      </c>
      <c r="O80" s="38" t="s">
        <v>29</v>
      </c>
      <c r="P80" s="38" t="s">
        <v>29</v>
      </c>
      <c r="Q80" s="38" t="s">
        <v>27</v>
      </c>
      <c r="R80" s="38" t="s">
        <v>26</v>
      </c>
      <c r="S80" s="38" t="s">
        <v>26</v>
      </c>
      <c r="U80" s="37">
        <f t="shared" si="23"/>
        <v>26</v>
      </c>
      <c r="V80" s="37">
        <f t="shared" si="24"/>
        <v>23</v>
      </c>
      <c r="W80" s="37">
        <f t="shared" si="25"/>
        <v>19</v>
      </c>
      <c r="X80" s="37">
        <f t="shared" si="26"/>
        <v>19</v>
      </c>
      <c r="Y80" s="37">
        <f t="shared" si="27"/>
        <v>21</v>
      </c>
      <c r="Z80" s="37">
        <f t="shared" si="28"/>
        <v>26</v>
      </c>
      <c r="AA80" s="3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28</v>
      </c>
      <c r="N81" s="38" t="s">
        <v>17</v>
      </c>
      <c r="O81" s="38" t="s">
        <v>18</v>
      </c>
      <c r="P81" s="38" t="s">
        <v>28</v>
      </c>
      <c r="Q81" s="38" t="s">
        <v>64</v>
      </c>
      <c r="R81" s="38" t="s">
        <v>26</v>
      </c>
      <c r="S81" s="24" t="s">
        <v>26</v>
      </c>
      <c r="U81" s="37">
        <f t="shared" si="23"/>
        <v>26</v>
      </c>
      <c r="V81" s="37">
        <f t="shared" si="24"/>
        <v>5</v>
      </c>
      <c r="W81" s="37">
        <f t="shared" si="25"/>
        <v>22</v>
      </c>
      <c r="X81" s="37">
        <f t="shared" si="26"/>
        <v>26</v>
      </c>
      <c r="Y81" s="37">
        <f t="shared" si="27"/>
        <v>23</v>
      </c>
      <c r="Z81" s="37">
        <f t="shared" si="28"/>
        <v>26</v>
      </c>
      <c r="AA81" s="37">
        <f t="shared" si="29"/>
        <v>26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26</v>
      </c>
      <c r="O82" s="38" t="s">
        <v>64</v>
      </c>
      <c r="P82" s="38" t="s">
        <v>24</v>
      </c>
      <c r="Q82" s="38" t="s">
        <v>21</v>
      </c>
      <c r="R82" s="38" t="s">
        <v>24</v>
      </c>
      <c r="S82" s="24" t="s">
        <v>26</v>
      </c>
      <c r="U82" s="37">
        <f t="shared" si="23"/>
        <v>26</v>
      </c>
      <c r="V82" s="37">
        <f t="shared" si="24"/>
        <v>26</v>
      </c>
      <c r="W82" s="37">
        <f t="shared" si="25"/>
        <v>23</v>
      </c>
      <c r="X82" s="37">
        <f t="shared" si="26"/>
        <v>21</v>
      </c>
      <c r="Y82" s="37">
        <f t="shared" si="27"/>
        <v>4</v>
      </c>
      <c r="Z82" s="37">
        <f t="shared" si="28"/>
        <v>21</v>
      </c>
      <c r="AA82" s="37">
        <f t="shared" si="29"/>
        <v>26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89</v>
      </c>
      <c r="N83" s="38" t="s">
        <v>64</v>
      </c>
      <c r="O83" s="38" t="s">
        <v>28</v>
      </c>
      <c r="P83" s="38" t="s">
        <v>18</v>
      </c>
      <c r="Q83" s="38" t="s">
        <v>240</v>
      </c>
      <c r="R83" s="38" t="s">
        <v>64</v>
      </c>
      <c r="S83" s="24" t="s">
        <v>89</v>
      </c>
      <c r="U83" s="37">
        <f t="shared" si="23"/>
        <v>27</v>
      </c>
      <c r="V83" s="37">
        <f t="shared" si="24"/>
        <v>23</v>
      </c>
      <c r="W83" s="37">
        <f t="shared" si="25"/>
        <v>26</v>
      </c>
      <c r="X83" s="37">
        <f t="shared" si="26"/>
        <v>22</v>
      </c>
      <c r="Y83" s="37">
        <f t="shared" si="27"/>
        <v>0</v>
      </c>
      <c r="Z83" s="37">
        <f t="shared" si="28"/>
        <v>23</v>
      </c>
      <c r="AA83" s="37">
        <f t="shared" si="29"/>
        <v>27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26</v>
      </c>
      <c r="N84" s="38" t="s">
        <v>27</v>
      </c>
      <c r="O84" s="38" t="s">
        <v>24</v>
      </c>
      <c r="P84" s="38" t="s">
        <v>18</v>
      </c>
      <c r="Q84" s="38" t="s">
        <v>89</v>
      </c>
      <c r="R84" s="38" t="s">
        <v>27</v>
      </c>
      <c r="S84" s="24" t="s">
        <v>28</v>
      </c>
      <c r="U84" s="37">
        <f t="shared" si="23"/>
        <v>26</v>
      </c>
      <c r="V84" s="37">
        <f t="shared" si="24"/>
        <v>21</v>
      </c>
      <c r="W84" s="37">
        <f t="shared" si="25"/>
        <v>21</v>
      </c>
      <c r="X84" s="37">
        <f t="shared" si="26"/>
        <v>22</v>
      </c>
      <c r="Y84" s="37">
        <f t="shared" si="27"/>
        <v>27</v>
      </c>
      <c r="Z84" s="37">
        <f t="shared" si="28"/>
        <v>21</v>
      </c>
      <c r="AA84" s="37">
        <f t="shared" si="29"/>
        <v>26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38" t="s">
        <v>27</v>
      </c>
      <c r="N85" s="38" t="s">
        <v>24</v>
      </c>
      <c r="O85" s="38" t="s">
        <v>28</v>
      </c>
      <c r="P85" s="38" t="s">
        <v>228</v>
      </c>
      <c r="Q85" s="38" t="s">
        <v>18</v>
      </c>
      <c r="R85" s="38" t="s">
        <v>29</v>
      </c>
      <c r="S85" s="24" t="s">
        <v>27</v>
      </c>
      <c r="U85" s="37">
        <f t="shared" si="23"/>
        <v>21</v>
      </c>
      <c r="V85" s="37">
        <f t="shared" si="24"/>
        <v>21</v>
      </c>
      <c r="W85" s="37">
        <f t="shared" si="25"/>
        <v>26</v>
      </c>
      <c r="X85" s="37">
        <f t="shared" si="26"/>
        <v>0</v>
      </c>
      <c r="Y85" s="37">
        <f t="shared" si="27"/>
        <v>22</v>
      </c>
      <c r="Z85" s="37">
        <f t="shared" si="28"/>
        <v>19</v>
      </c>
      <c r="AA85" s="37">
        <f t="shared" si="29"/>
        <v>21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238</v>
      </c>
      <c r="O86" s="38" t="s">
        <v>236</v>
      </c>
      <c r="P86" s="38" t="s">
        <v>28</v>
      </c>
      <c r="Q86" s="38" t="s">
        <v>28</v>
      </c>
      <c r="R86" s="38" t="s">
        <v>64</v>
      </c>
      <c r="S86" s="24" t="s">
        <v>24</v>
      </c>
      <c r="U86" s="37">
        <f t="shared" si="23"/>
        <v>27</v>
      </c>
      <c r="V86" s="37">
        <f t="shared" si="24"/>
        <v>0</v>
      </c>
      <c r="W86" s="37">
        <f t="shared" si="25"/>
        <v>0</v>
      </c>
      <c r="X86" s="37">
        <f t="shared" si="26"/>
        <v>26</v>
      </c>
      <c r="Y86" s="37">
        <f t="shared" si="27"/>
        <v>26</v>
      </c>
      <c r="Z86" s="37">
        <f t="shared" si="28"/>
        <v>23</v>
      </c>
      <c r="AA86" s="37">
        <f t="shared" si="29"/>
        <v>21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64</v>
      </c>
      <c r="N87" s="38" t="s">
        <v>18</v>
      </c>
      <c r="O87" s="38" t="s">
        <v>240</v>
      </c>
      <c r="P87" s="38" t="s">
        <v>24</v>
      </c>
      <c r="Q87" s="38" t="s">
        <v>224</v>
      </c>
      <c r="R87" s="38" t="s">
        <v>24</v>
      </c>
      <c r="S87" s="24" t="s">
        <v>64</v>
      </c>
      <c r="U87" s="37">
        <f t="shared" si="23"/>
        <v>23</v>
      </c>
      <c r="V87" s="37">
        <f t="shared" si="24"/>
        <v>22</v>
      </c>
      <c r="W87" s="37">
        <f t="shared" si="25"/>
        <v>0</v>
      </c>
      <c r="X87" s="37">
        <f t="shared" si="26"/>
        <v>21</v>
      </c>
      <c r="Y87" s="37">
        <f t="shared" si="27"/>
        <v>0</v>
      </c>
      <c r="Z87" s="37">
        <f t="shared" si="28"/>
        <v>21</v>
      </c>
      <c r="AA87" s="37">
        <f t="shared" si="29"/>
        <v>23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17</v>
      </c>
      <c r="P88" s="38" t="s">
        <v>29</v>
      </c>
      <c r="Q88" s="38" t="s">
        <v>29</v>
      </c>
      <c r="R88" s="38" t="s">
        <v>29</v>
      </c>
      <c r="S88" s="24" t="s">
        <v>64</v>
      </c>
      <c r="U88" s="37">
        <f t="shared" si="23"/>
        <v>26</v>
      </c>
      <c r="V88" s="37">
        <f t="shared" si="24"/>
        <v>23</v>
      </c>
      <c r="W88" s="37">
        <f t="shared" si="25"/>
        <v>5</v>
      </c>
      <c r="X88" s="37">
        <f t="shared" si="26"/>
        <v>19</v>
      </c>
      <c r="Y88" s="37">
        <f t="shared" si="27"/>
        <v>19</v>
      </c>
      <c r="Z88" s="37">
        <f t="shared" si="28"/>
        <v>19</v>
      </c>
      <c r="AA88" s="37">
        <f t="shared" si="29"/>
        <v>23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17</v>
      </c>
      <c r="N89" s="38" t="s">
        <v>24</v>
      </c>
      <c r="O89" s="38" t="s">
        <v>26</v>
      </c>
      <c r="P89" s="38" t="s">
        <v>24</v>
      </c>
      <c r="Q89" s="38" t="s">
        <v>29</v>
      </c>
      <c r="R89" s="38" t="s">
        <v>64</v>
      </c>
      <c r="S89" s="24" t="s">
        <v>64</v>
      </c>
      <c r="U89" s="37">
        <f t="shared" si="23"/>
        <v>5</v>
      </c>
      <c r="V89" s="37">
        <f t="shared" si="24"/>
        <v>21</v>
      </c>
      <c r="W89" s="37">
        <f t="shared" si="25"/>
        <v>26</v>
      </c>
      <c r="X89" s="37">
        <f t="shared" si="26"/>
        <v>21</v>
      </c>
      <c r="Y89" s="37">
        <f t="shared" si="27"/>
        <v>19</v>
      </c>
      <c r="Z89" s="37">
        <f t="shared" si="28"/>
        <v>23</v>
      </c>
      <c r="AA89" s="37">
        <f t="shared" si="29"/>
        <v>23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27</v>
      </c>
      <c r="O90" s="38" t="s">
        <v>24</v>
      </c>
      <c r="P90" s="38" t="s">
        <v>234</v>
      </c>
      <c r="Q90" s="38" t="s">
        <v>24</v>
      </c>
      <c r="R90" s="38" t="s">
        <v>17</v>
      </c>
      <c r="S90" s="24" t="s">
        <v>64</v>
      </c>
      <c r="U90" s="37">
        <f t="shared" si="23"/>
        <v>26</v>
      </c>
      <c r="V90" s="37">
        <f t="shared" si="24"/>
        <v>21</v>
      </c>
      <c r="W90" s="37">
        <f t="shared" si="25"/>
        <v>21</v>
      </c>
      <c r="X90" s="37">
        <f t="shared" si="26"/>
        <v>0</v>
      </c>
      <c r="Y90" s="37">
        <f t="shared" si="27"/>
        <v>21</v>
      </c>
      <c r="Z90" s="37">
        <f t="shared" si="28"/>
        <v>5</v>
      </c>
      <c r="AA90" s="37">
        <f t="shared" si="29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28</v>
      </c>
      <c r="N91" s="38" t="s">
        <v>21</v>
      </c>
      <c r="O91" s="38" t="s">
        <v>18</v>
      </c>
      <c r="P91" s="38" t="s">
        <v>18</v>
      </c>
      <c r="Q91" s="38" t="s">
        <v>26</v>
      </c>
      <c r="R91" s="38" t="s">
        <v>29</v>
      </c>
      <c r="S91" s="24" t="s">
        <v>28</v>
      </c>
      <c r="U91" s="37">
        <f t="shared" si="23"/>
        <v>26</v>
      </c>
      <c r="V91" s="37">
        <f t="shared" si="24"/>
        <v>4</v>
      </c>
      <c r="W91" s="37">
        <f t="shared" si="25"/>
        <v>22</v>
      </c>
      <c r="X91" s="37">
        <f t="shared" si="26"/>
        <v>22</v>
      </c>
      <c r="Y91" s="37">
        <f t="shared" si="27"/>
        <v>26</v>
      </c>
      <c r="Z91" s="37">
        <f t="shared" si="28"/>
        <v>19</v>
      </c>
      <c r="AA91" s="37">
        <f t="shared" si="29"/>
        <v>26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21</v>
      </c>
      <c r="N92" s="38" t="s">
        <v>89</v>
      </c>
      <c r="O92" s="38" t="s">
        <v>28</v>
      </c>
      <c r="P92" s="38" t="s">
        <v>18</v>
      </c>
      <c r="Q92" s="38" t="s">
        <v>238</v>
      </c>
      <c r="R92" s="38" t="s">
        <v>27</v>
      </c>
      <c r="S92" s="24" t="s">
        <v>27</v>
      </c>
      <c r="U92" s="37">
        <f t="shared" si="23"/>
        <v>4</v>
      </c>
      <c r="V92" s="37">
        <f t="shared" si="24"/>
        <v>27</v>
      </c>
      <c r="W92" s="37">
        <f t="shared" si="25"/>
        <v>26</v>
      </c>
      <c r="X92" s="37">
        <f t="shared" si="26"/>
        <v>22</v>
      </c>
      <c r="Y92" s="37">
        <f t="shared" si="27"/>
        <v>0</v>
      </c>
      <c r="Z92" s="37">
        <f t="shared" si="28"/>
        <v>21</v>
      </c>
      <c r="AA92" s="37">
        <f t="shared" si="29"/>
        <v>21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28</v>
      </c>
      <c r="N93" s="38" t="s">
        <v>27</v>
      </c>
      <c r="O93" s="38" t="s">
        <v>17</v>
      </c>
      <c r="P93" s="38" t="s">
        <v>26</v>
      </c>
      <c r="Q93" s="38" t="s">
        <v>230</v>
      </c>
      <c r="R93" s="38" t="s">
        <v>64</v>
      </c>
      <c r="S93" s="24" t="s">
        <v>24</v>
      </c>
      <c r="U93" s="37">
        <f t="shared" si="23"/>
        <v>26</v>
      </c>
      <c r="V93" s="37">
        <f t="shared" si="24"/>
        <v>21</v>
      </c>
      <c r="W93" s="37">
        <f t="shared" si="25"/>
        <v>5</v>
      </c>
      <c r="X93" s="37">
        <f t="shared" si="26"/>
        <v>26</v>
      </c>
      <c r="Y93" s="37">
        <f t="shared" si="27"/>
        <v>0</v>
      </c>
      <c r="Z93" s="37">
        <f t="shared" si="28"/>
        <v>23</v>
      </c>
      <c r="AA93" s="37">
        <f t="shared" si="29"/>
        <v>21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38" t="s">
        <v>18</v>
      </c>
      <c r="N94" s="38" t="s">
        <v>64</v>
      </c>
      <c r="O94" s="38" t="s">
        <v>26</v>
      </c>
      <c r="P94" s="38" t="s">
        <v>64</v>
      </c>
      <c r="Q94" s="38" t="s">
        <v>28</v>
      </c>
      <c r="R94" s="38" t="s">
        <v>26</v>
      </c>
      <c r="S94" s="24" t="s">
        <v>89</v>
      </c>
      <c r="U94" s="37">
        <f t="shared" si="23"/>
        <v>22</v>
      </c>
      <c r="V94" s="37">
        <f t="shared" si="24"/>
        <v>23</v>
      </c>
      <c r="W94" s="37">
        <f t="shared" si="25"/>
        <v>26</v>
      </c>
      <c r="X94" s="37">
        <f t="shared" si="26"/>
        <v>23</v>
      </c>
      <c r="Y94" s="37">
        <f t="shared" si="27"/>
        <v>26</v>
      </c>
      <c r="Z94" s="37">
        <f t="shared" si="28"/>
        <v>26</v>
      </c>
      <c r="AA94" s="37">
        <f t="shared" si="29"/>
        <v>27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26</v>
      </c>
      <c r="N95" s="38" t="s">
        <v>242</v>
      </c>
      <c r="O95" s="38" t="s">
        <v>24</v>
      </c>
      <c r="P95" s="38" t="s">
        <v>27</v>
      </c>
      <c r="Q95" s="38" t="s">
        <v>24</v>
      </c>
      <c r="R95" s="38" t="s">
        <v>64</v>
      </c>
      <c r="S95" s="24" t="s">
        <v>18</v>
      </c>
      <c r="U95" s="37">
        <f t="shared" si="23"/>
        <v>26</v>
      </c>
      <c r="V95" s="37">
        <f t="shared" si="24"/>
        <v>0</v>
      </c>
      <c r="W95" s="37">
        <f t="shared" si="25"/>
        <v>21</v>
      </c>
      <c r="X95" s="37">
        <f t="shared" si="26"/>
        <v>21</v>
      </c>
      <c r="Y95" s="37">
        <f t="shared" si="27"/>
        <v>21</v>
      </c>
      <c r="Z95" s="37">
        <f t="shared" si="28"/>
        <v>23</v>
      </c>
      <c r="AA95" s="37">
        <f t="shared" si="29"/>
        <v>22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s">
        <v>89</v>
      </c>
      <c r="N96" s="38" t="s">
        <v>24</v>
      </c>
      <c r="O96" s="38" t="s">
        <v>27</v>
      </c>
      <c r="P96" s="38" t="s">
        <v>236</v>
      </c>
      <c r="Q96" s="38" t="s">
        <v>26</v>
      </c>
      <c r="R96" s="38" t="s">
        <v>240</v>
      </c>
      <c r="S96" s="24" t="s">
        <v>89</v>
      </c>
      <c r="U96" s="37">
        <f t="shared" si="23"/>
        <v>27</v>
      </c>
      <c r="V96" s="37">
        <f t="shared" si="24"/>
        <v>21</v>
      </c>
      <c r="W96" s="37">
        <f t="shared" si="25"/>
        <v>21</v>
      </c>
      <c r="X96" s="37">
        <f t="shared" si="26"/>
        <v>0</v>
      </c>
      <c r="Y96" s="37">
        <f t="shared" si="27"/>
        <v>26</v>
      </c>
      <c r="Z96" s="37">
        <f t="shared" si="28"/>
        <v>0</v>
      </c>
      <c r="AA96" s="37">
        <f t="shared" si="29"/>
        <v>27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s">
        <v>28</v>
      </c>
      <c r="N97" s="38" t="s">
        <v>230</v>
      </c>
      <c r="O97" s="38" t="s">
        <v>18</v>
      </c>
      <c r="P97" s="38" t="s">
        <v>24</v>
      </c>
      <c r="Q97" s="38" t="s">
        <v>24</v>
      </c>
      <c r="R97" s="38" t="s">
        <v>18</v>
      </c>
      <c r="S97" s="24" t="s">
        <v>64</v>
      </c>
      <c r="U97" s="37">
        <f t="shared" si="23"/>
        <v>26</v>
      </c>
      <c r="V97" s="37">
        <f t="shared" si="24"/>
        <v>0</v>
      </c>
      <c r="W97" s="37">
        <f t="shared" si="25"/>
        <v>22</v>
      </c>
      <c r="X97" s="37">
        <f t="shared" si="26"/>
        <v>21</v>
      </c>
      <c r="Y97" s="37">
        <f t="shared" si="27"/>
        <v>21</v>
      </c>
      <c r="Z97" s="37">
        <f t="shared" si="28"/>
        <v>22</v>
      </c>
      <c r="AA97" s="37">
        <f t="shared" si="29"/>
        <v>23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s">
        <v>89</v>
      </c>
      <c r="N98" s="38" t="s">
        <v>29</v>
      </c>
      <c r="O98" s="38" t="s">
        <v>26</v>
      </c>
      <c r="P98" s="38" t="s">
        <v>238</v>
      </c>
      <c r="Q98" s="38" t="s">
        <v>26</v>
      </c>
      <c r="R98" s="38" t="s">
        <v>18</v>
      </c>
      <c r="S98" s="24" t="s">
        <v>28</v>
      </c>
      <c r="U98" s="37">
        <f t="shared" si="23"/>
        <v>27</v>
      </c>
      <c r="V98" s="37">
        <f t="shared" si="24"/>
        <v>19</v>
      </c>
      <c r="W98" s="37">
        <f t="shared" si="25"/>
        <v>26</v>
      </c>
      <c r="X98" s="37">
        <f t="shared" si="26"/>
        <v>0</v>
      </c>
      <c r="Y98" s="37">
        <f t="shared" si="27"/>
        <v>26</v>
      </c>
      <c r="Z98" s="37">
        <f t="shared" si="28"/>
        <v>22</v>
      </c>
      <c r="AA98" s="37">
        <f t="shared" si="29"/>
        <v>26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s">
        <v>26</v>
      </c>
      <c r="N99" s="38" t="s">
        <v>240</v>
      </c>
      <c r="O99" s="38" t="s">
        <v>29</v>
      </c>
      <c r="P99" s="38" t="s">
        <v>29</v>
      </c>
      <c r="Q99" s="38" t="s">
        <v>21</v>
      </c>
      <c r="R99" s="38" t="s">
        <v>28</v>
      </c>
      <c r="S99" s="24" t="s">
        <v>26</v>
      </c>
      <c r="U99" s="37">
        <f t="shared" si="23"/>
        <v>26</v>
      </c>
      <c r="V99" s="37">
        <f t="shared" si="24"/>
        <v>0</v>
      </c>
      <c r="W99" s="37">
        <f t="shared" si="25"/>
        <v>19</v>
      </c>
      <c r="X99" s="37">
        <f t="shared" si="26"/>
        <v>19</v>
      </c>
      <c r="Y99" s="37">
        <f t="shared" si="27"/>
        <v>4</v>
      </c>
      <c r="Z99" s="37">
        <f t="shared" si="28"/>
        <v>26</v>
      </c>
      <c r="AA99" s="37">
        <f t="shared" si="29"/>
        <v>26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s">
        <v>28</v>
      </c>
      <c r="N100" s="38" t="s">
        <v>29</v>
      </c>
      <c r="O100" s="38" t="s">
        <v>28</v>
      </c>
      <c r="P100" s="38" t="s">
        <v>28</v>
      </c>
      <c r="Q100" s="38" t="s">
        <v>27</v>
      </c>
      <c r="R100" s="38" t="s">
        <v>89</v>
      </c>
      <c r="S100" s="24" t="s">
        <v>89</v>
      </c>
      <c r="U100" s="37">
        <f t="shared" ref="U100:U131" si="30">VLOOKUP(M100, $A$4:$J$29, 9, 0)</f>
        <v>26</v>
      </c>
      <c r="V100" s="37">
        <f t="shared" ref="V100:V131" si="31">VLOOKUP(N100, $A$4:$J$29, 9, 0)</f>
        <v>19</v>
      </c>
      <c r="W100" s="37">
        <f t="shared" ref="W100:W131" si="32">VLOOKUP(O100, $A$4:$J$29, 9, 0)</f>
        <v>26</v>
      </c>
      <c r="X100" s="37">
        <f t="shared" ref="X100:X131" si="33">VLOOKUP(P100, $A$4:$J$29, 9, 0)</f>
        <v>26</v>
      </c>
      <c r="Y100" s="37">
        <f t="shared" ref="Y100:Y131" si="34">VLOOKUP(Q100, $A$4:$J$29, 9, 0)</f>
        <v>21</v>
      </c>
      <c r="Z100" s="37">
        <f t="shared" ref="Z100:Z131" si="35">VLOOKUP(R100, $A$4:$J$29, 9, 0)</f>
        <v>27</v>
      </c>
      <c r="AA100" s="37">
        <f t="shared" ref="AA100:AA131" si="36">VLOOKUP(S100, $A$4:$J$29, 9, 0)</f>
        <v>27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s">
        <v>26</v>
      </c>
      <c r="N101" s="38" t="s">
        <v>27</v>
      </c>
      <c r="O101" s="38" t="s">
        <v>27</v>
      </c>
      <c r="P101" s="38" t="s">
        <v>89</v>
      </c>
      <c r="Q101" s="38" t="s">
        <v>28</v>
      </c>
      <c r="R101" s="38" t="s">
        <v>29</v>
      </c>
      <c r="S101" s="24" t="s">
        <v>24</v>
      </c>
      <c r="U101" s="37">
        <f t="shared" si="30"/>
        <v>26</v>
      </c>
      <c r="V101" s="37">
        <f t="shared" si="31"/>
        <v>21</v>
      </c>
      <c r="W101" s="37">
        <f t="shared" si="32"/>
        <v>21</v>
      </c>
      <c r="X101" s="37">
        <f t="shared" si="33"/>
        <v>27</v>
      </c>
      <c r="Y101" s="37">
        <f t="shared" si="34"/>
        <v>26</v>
      </c>
      <c r="Z101" s="37">
        <f t="shared" si="35"/>
        <v>19</v>
      </c>
      <c r="AA101" s="37">
        <f t="shared" si="36"/>
        <v>21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232</v>
      </c>
      <c r="O102" s="38" t="s">
        <v>26</v>
      </c>
      <c r="P102" s="38" t="s">
        <v>64</v>
      </c>
      <c r="Q102" s="38" t="s">
        <v>29</v>
      </c>
      <c r="R102" s="38" t="s">
        <v>27</v>
      </c>
      <c r="S102" s="24" t="s">
        <v>24</v>
      </c>
      <c r="U102" s="37">
        <f t="shared" si="30"/>
        <v>27</v>
      </c>
      <c r="V102" s="37">
        <f t="shared" si="31"/>
        <v>0</v>
      </c>
      <c r="W102" s="37">
        <f t="shared" si="32"/>
        <v>26</v>
      </c>
      <c r="X102" s="37">
        <f t="shared" si="33"/>
        <v>23</v>
      </c>
      <c r="Y102" s="37">
        <f t="shared" si="34"/>
        <v>19</v>
      </c>
      <c r="Z102" s="37">
        <f t="shared" si="35"/>
        <v>21</v>
      </c>
      <c r="AA102" s="37">
        <f t="shared" si="36"/>
        <v>21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38" t="s">
        <v>24</v>
      </c>
      <c r="N103" s="38" t="s">
        <v>234</v>
      </c>
      <c r="O103" s="38" t="s">
        <v>26</v>
      </c>
      <c r="P103" s="38" t="s">
        <v>64</v>
      </c>
      <c r="Q103" s="38" t="s">
        <v>27</v>
      </c>
      <c r="R103" s="38" t="s">
        <v>28</v>
      </c>
      <c r="S103" s="24" t="s">
        <v>24</v>
      </c>
      <c r="U103" s="37">
        <f t="shared" si="30"/>
        <v>21</v>
      </c>
      <c r="V103" s="37">
        <f t="shared" si="31"/>
        <v>0</v>
      </c>
      <c r="W103" s="37">
        <f t="shared" si="32"/>
        <v>26</v>
      </c>
      <c r="X103" s="37">
        <f t="shared" si="33"/>
        <v>23</v>
      </c>
      <c r="Y103" s="37">
        <f t="shared" si="34"/>
        <v>21</v>
      </c>
      <c r="Z103" s="37">
        <f t="shared" si="35"/>
        <v>26</v>
      </c>
      <c r="AA103" s="37">
        <f t="shared" si="36"/>
        <v>21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21</v>
      </c>
      <c r="O104" s="38" t="s">
        <v>28</v>
      </c>
      <c r="P104" s="38" t="s">
        <v>89</v>
      </c>
      <c r="Q104" s="38" t="s">
        <v>21</v>
      </c>
      <c r="R104" s="38" t="s">
        <v>29</v>
      </c>
      <c r="S104" s="24" t="s">
        <v>24</v>
      </c>
      <c r="U104" s="37">
        <f t="shared" si="30"/>
        <v>26</v>
      </c>
      <c r="V104" s="37">
        <f t="shared" si="31"/>
        <v>4</v>
      </c>
      <c r="W104" s="37">
        <f t="shared" si="32"/>
        <v>26</v>
      </c>
      <c r="X104" s="37">
        <f t="shared" si="33"/>
        <v>27</v>
      </c>
      <c r="Y104" s="37">
        <f t="shared" si="34"/>
        <v>4</v>
      </c>
      <c r="Z104" s="37">
        <f t="shared" si="35"/>
        <v>19</v>
      </c>
      <c r="AA104" s="37">
        <f t="shared" si="36"/>
        <v>21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89</v>
      </c>
      <c r="N105" s="38" t="s">
        <v>27</v>
      </c>
      <c r="O105" s="38" t="s">
        <v>29</v>
      </c>
      <c r="P105" s="38" t="s">
        <v>17</v>
      </c>
      <c r="Q105" s="38" t="s">
        <v>29</v>
      </c>
      <c r="R105" s="38" t="s">
        <v>24</v>
      </c>
      <c r="S105" s="24" t="s">
        <v>89</v>
      </c>
      <c r="U105" s="37">
        <f t="shared" si="30"/>
        <v>27</v>
      </c>
      <c r="V105" s="37">
        <f t="shared" si="31"/>
        <v>21</v>
      </c>
      <c r="W105" s="37">
        <f t="shared" si="32"/>
        <v>19</v>
      </c>
      <c r="X105" s="37">
        <f t="shared" si="33"/>
        <v>5</v>
      </c>
      <c r="Y105" s="37">
        <f t="shared" si="34"/>
        <v>19</v>
      </c>
      <c r="Z105" s="37">
        <f t="shared" si="35"/>
        <v>21</v>
      </c>
      <c r="AA105" s="37">
        <f t="shared" si="36"/>
        <v>27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89</v>
      </c>
      <c r="N106" s="38" t="s">
        <v>234</v>
      </c>
      <c r="O106" s="38" t="s">
        <v>21</v>
      </c>
      <c r="P106" s="38" t="s">
        <v>28</v>
      </c>
      <c r="Q106" s="38" t="s">
        <v>24</v>
      </c>
      <c r="R106" s="38" t="s">
        <v>29</v>
      </c>
      <c r="S106" s="24" t="s">
        <v>28</v>
      </c>
      <c r="U106" s="37">
        <f t="shared" si="30"/>
        <v>27</v>
      </c>
      <c r="V106" s="37">
        <f t="shared" si="31"/>
        <v>0</v>
      </c>
      <c r="W106" s="37">
        <f t="shared" si="32"/>
        <v>4</v>
      </c>
      <c r="X106" s="37">
        <f t="shared" si="33"/>
        <v>26</v>
      </c>
      <c r="Y106" s="37">
        <f t="shared" si="34"/>
        <v>21</v>
      </c>
      <c r="Z106" s="37">
        <f t="shared" si="35"/>
        <v>19</v>
      </c>
      <c r="AA106" s="37">
        <f t="shared" si="36"/>
        <v>26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89</v>
      </c>
      <c r="N107" s="38" t="s">
        <v>29</v>
      </c>
      <c r="O107" s="38" t="s">
        <v>28</v>
      </c>
      <c r="P107" s="38" t="s">
        <v>28</v>
      </c>
      <c r="Q107" s="38" t="s">
        <v>18</v>
      </c>
      <c r="R107" s="38" t="s">
        <v>27</v>
      </c>
      <c r="S107" s="24" t="s">
        <v>29</v>
      </c>
      <c r="U107" s="37">
        <f t="shared" si="30"/>
        <v>27</v>
      </c>
      <c r="V107" s="37">
        <f t="shared" si="31"/>
        <v>19</v>
      </c>
      <c r="W107" s="37">
        <f t="shared" si="32"/>
        <v>26</v>
      </c>
      <c r="X107" s="37">
        <f t="shared" si="33"/>
        <v>26</v>
      </c>
      <c r="Y107" s="37">
        <f t="shared" si="34"/>
        <v>22</v>
      </c>
      <c r="Z107" s="37">
        <f t="shared" si="35"/>
        <v>21</v>
      </c>
      <c r="AA107" s="37">
        <f t="shared" si="36"/>
        <v>19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18</v>
      </c>
      <c r="N108" s="38" t="s">
        <v>64</v>
      </c>
      <c r="O108" s="38" t="s">
        <v>29</v>
      </c>
      <c r="P108" s="38" t="s">
        <v>24</v>
      </c>
      <c r="Q108" s="38" t="s">
        <v>24</v>
      </c>
      <c r="R108" s="38" t="s">
        <v>24</v>
      </c>
      <c r="S108" s="24" t="s">
        <v>29</v>
      </c>
      <c r="U108" s="37">
        <f t="shared" si="30"/>
        <v>22</v>
      </c>
      <c r="V108" s="37">
        <f t="shared" si="31"/>
        <v>23</v>
      </c>
      <c r="W108" s="37">
        <f t="shared" si="32"/>
        <v>19</v>
      </c>
      <c r="X108" s="37">
        <f t="shared" si="33"/>
        <v>21</v>
      </c>
      <c r="Y108" s="37">
        <f t="shared" si="34"/>
        <v>21</v>
      </c>
      <c r="Z108" s="37">
        <f t="shared" si="35"/>
        <v>21</v>
      </c>
      <c r="AA108" s="37">
        <f t="shared" si="36"/>
        <v>19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28</v>
      </c>
      <c r="N109" s="38" t="s">
        <v>238</v>
      </c>
      <c r="O109" s="38" t="s">
        <v>89</v>
      </c>
      <c r="P109" s="38" t="s">
        <v>26</v>
      </c>
      <c r="Q109" s="38" t="s">
        <v>29</v>
      </c>
      <c r="R109" s="38" t="s">
        <v>89</v>
      </c>
      <c r="S109" s="24" t="s">
        <v>29</v>
      </c>
      <c r="U109" s="37">
        <f t="shared" si="30"/>
        <v>26</v>
      </c>
      <c r="V109" s="37">
        <f t="shared" si="31"/>
        <v>0</v>
      </c>
      <c r="W109" s="37">
        <f t="shared" si="32"/>
        <v>27</v>
      </c>
      <c r="X109" s="37">
        <f t="shared" si="33"/>
        <v>26</v>
      </c>
      <c r="Y109" s="37">
        <f t="shared" si="34"/>
        <v>19</v>
      </c>
      <c r="Z109" s="37">
        <f t="shared" si="35"/>
        <v>27</v>
      </c>
      <c r="AA109" s="3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26</v>
      </c>
      <c r="N110" s="38" t="s">
        <v>234</v>
      </c>
      <c r="O110" s="38" t="s">
        <v>28</v>
      </c>
      <c r="P110" s="38" t="s">
        <v>64</v>
      </c>
      <c r="Q110" s="38" t="s">
        <v>89</v>
      </c>
      <c r="R110" s="38" t="s">
        <v>18</v>
      </c>
      <c r="S110" s="24" t="s">
        <v>29</v>
      </c>
      <c r="U110" s="37">
        <f t="shared" si="30"/>
        <v>26</v>
      </c>
      <c r="V110" s="37">
        <f t="shared" si="31"/>
        <v>0</v>
      </c>
      <c r="W110" s="37">
        <f t="shared" si="32"/>
        <v>26</v>
      </c>
      <c r="X110" s="37">
        <f t="shared" si="33"/>
        <v>23</v>
      </c>
      <c r="Y110" s="37">
        <f t="shared" si="34"/>
        <v>27</v>
      </c>
      <c r="Z110" s="37">
        <f t="shared" si="35"/>
        <v>22</v>
      </c>
      <c r="AA110" s="3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26</v>
      </c>
      <c r="N111" s="38" t="s">
        <v>29</v>
      </c>
      <c r="O111" s="38" t="s">
        <v>24</v>
      </c>
      <c r="P111" s="38" t="s">
        <v>18</v>
      </c>
      <c r="Q111" s="38" t="s">
        <v>26</v>
      </c>
      <c r="R111" s="38" t="s">
        <v>26</v>
      </c>
      <c r="S111" s="24" t="s">
        <v>27</v>
      </c>
      <c r="U111" s="37">
        <f t="shared" si="30"/>
        <v>26</v>
      </c>
      <c r="V111" s="37">
        <f t="shared" si="31"/>
        <v>19</v>
      </c>
      <c r="W111" s="37">
        <f t="shared" si="32"/>
        <v>21</v>
      </c>
      <c r="X111" s="37">
        <f t="shared" si="33"/>
        <v>22</v>
      </c>
      <c r="Y111" s="37">
        <f t="shared" si="34"/>
        <v>26</v>
      </c>
      <c r="Z111" s="37">
        <f t="shared" si="35"/>
        <v>26</v>
      </c>
      <c r="AA111" s="37">
        <f t="shared" si="36"/>
        <v>21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38" t="s">
        <v>28</v>
      </c>
      <c r="N112" s="38" t="s">
        <v>222</v>
      </c>
      <c r="O112" s="38" t="s">
        <v>28</v>
      </c>
      <c r="P112" s="38" t="s">
        <v>29</v>
      </c>
      <c r="Q112" s="38" t="s">
        <v>26</v>
      </c>
      <c r="R112" s="38" t="s">
        <v>18</v>
      </c>
      <c r="S112" s="24" t="s">
        <v>18</v>
      </c>
      <c r="U112" s="37">
        <f t="shared" si="30"/>
        <v>26</v>
      </c>
      <c r="V112" s="37">
        <f t="shared" si="31"/>
        <v>0</v>
      </c>
      <c r="W112" s="37">
        <f t="shared" si="32"/>
        <v>26</v>
      </c>
      <c r="X112" s="37">
        <f t="shared" si="33"/>
        <v>19</v>
      </c>
      <c r="Y112" s="37">
        <f t="shared" si="34"/>
        <v>26</v>
      </c>
      <c r="Z112" s="37">
        <f t="shared" si="35"/>
        <v>22</v>
      </c>
      <c r="AA112" s="37">
        <f t="shared" si="36"/>
        <v>22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28</v>
      </c>
      <c r="N113" s="38" t="s">
        <v>28</v>
      </c>
      <c r="O113" s="38" t="s">
        <v>21</v>
      </c>
      <c r="P113" s="38" t="s">
        <v>64</v>
      </c>
      <c r="Q113" s="38" t="s">
        <v>21</v>
      </c>
      <c r="R113" s="38" t="s">
        <v>26</v>
      </c>
      <c r="S113" s="38" t="s">
        <v>17</v>
      </c>
      <c r="U113" s="37">
        <f t="shared" si="30"/>
        <v>26</v>
      </c>
      <c r="V113" s="37">
        <f t="shared" si="31"/>
        <v>26</v>
      </c>
      <c r="W113" s="37">
        <f t="shared" si="32"/>
        <v>4</v>
      </c>
      <c r="X113" s="37">
        <f t="shared" si="33"/>
        <v>23</v>
      </c>
      <c r="Y113" s="37">
        <f t="shared" si="34"/>
        <v>4</v>
      </c>
      <c r="Z113" s="37">
        <f t="shared" si="35"/>
        <v>26</v>
      </c>
      <c r="AA113" s="37">
        <f t="shared" si="36"/>
        <v>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89</v>
      </c>
      <c r="N114" s="38" t="s">
        <v>29</v>
      </c>
      <c r="O114" s="38" t="s">
        <v>18</v>
      </c>
      <c r="P114" s="38" t="s">
        <v>27</v>
      </c>
      <c r="Q114" s="38" t="s">
        <v>89</v>
      </c>
      <c r="R114" s="38" t="s">
        <v>89</v>
      </c>
      <c r="S114" s="24" t="s">
        <v>29</v>
      </c>
      <c r="U114" s="37">
        <f t="shared" si="30"/>
        <v>27</v>
      </c>
      <c r="V114" s="37">
        <f t="shared" si="31"/>
        <v>19</v>
      </c>
      <c r="W114" s="37">
        <f t="shared" si="32"/>
        <v>22</v>
      </c>
      <c r="X114" s="37">
        <f t="shared" si="33"/>
        <v>21</v>
      </c>
      <c r="Y114" s="37">
        <f t="shared" si="34"/>
        <v>27</v>
      </c>
      <c r="Z114" s="37">
        <f t="shared" si="35"/>
        <v>27</v>
      </c>
      <c r="AA114" s="37">
        <f t="shared" si="36"/>
        <v>19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18</v>
      </c>
      <c r="N115" s="38" t="s">
        <v>28</v>
      </c>
      <c r="O115" s="38" t="s">
        <v>17</v>
      </c>
      <c r="P115" s="38" t="s">
        <v>18</v>
      </c>
      <c r="Q115" s="38" t="s">
        <v>26</v>
      </c>
      <c r="R115" s="38" t="s">
        <v>28</v>
      </c>
      <c r="S115" s="24" t="s">
        <v>26</v>
      </c>
      <c r="U115" s="37">
        <f t="shared" si="30"/>
        <v>22</v>
      </c>
      <c r="V115" s="37">
        <f t="shared" si="31"/>
        <v>26</v>
      </c>
      <c r="W115" s="37">
        <f t="shared" si="32"/>
        <v>5</v>
      </c>
      <c r="X115" s="37">
        <f t="shared" si="33"/>
        <v>22</v>
      </c>
      <c r="Y115" s="37">
        <f t="shared" si="34"/>
        <v>26</v>
      </c>
      <c r="Z115" s="37">
        <f t="shared" si="35"/>
        <v>26</v>
      </c>
      <c r="AA115" s="37">
        <f t="shared" si="36"/>
        <v>26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28</v>
      </c>
      <c r="N116" s="38" t="s">
        <v>89</v>
      </c>
      <c r="O116" s="38" t="s">
        <v>24</v>
      </c>
      <c r="P116" s="38" t="s">
        <v>64</v>
      </c>
      <c r="Q116" s="38" t="s">
        <v>28</v>
      </c>
      <c r="R116" s="38" t="s">
        <v>24</v>
      </c>
      <c r="S116" s="24" t="s">
        <v>17</v>
      </c>
      <c r="U116" s="37">
        <f t="shared" si="30"/>
        <v>26</v>
      </c>
      <c r="V116" s="37">
        <f t="shared" si="31"/>
        <v>27</v>
      </c>
      <c r="W116" s="37">
        <f t="shared" si="32"/>
        <v>21</v>
      </c>
      <c r="X116" s="37">
        <f t="shared" si="33"/>
        <v>23</v>
      </c>
      <c r="Y116" s="37">
        <f t="shared" si="34"/>
        <v>26</v>
      </c>
      <c r="Z116" s="37">
        <f t="shared" si="35"/>
        <v>21</v>
      </c>
      <c r="AA116" s="37">
        <f t="shared" si="36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89</v>
      </c>
      <c r="N117" s="38" t="s">
        <v>28</v>
      </c>
      <c r="O117" s="38" t="s">
        <v>224</v>
      </c>
      <c r="P117" s="38" t="s">
        <v>24</v>
      </c>
      <c r="Q117" s="38" t="s">
        <v>236</v>
      </c>
      <c r="R117" s="38" t="s">
        <v>28</v>
      </c>
      <c r="S117" s="24" t="s">
        <v>17</v>
      </c>
      <c r="U117" s="37">
        <f t="shared" si="30"/>
        <v>27</v>
      </c>
      <c r="V117" s="37">
        <f t="shared" si="31"/>
        <v>26</v>
      </c>
      <c r="W117" s="37">
        <f t="shared" si="32"/>
        <v>0</v>
      </c>
      <c r="X117" s="37">
        <f t="shared" si="33"/>
        <v>21</v>
      </c>
      <c r="Y117" s="37">
        <f t="shared" si="34"/>
        <v>0</v>
      </c>
      <c r="Z117" s="37">
        <f t="shared" si="35"/>
        <v>26</v>
      </c>
      <c r="AA117" s="37">
        <f t="shared" si="36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18</v>
      </c>
      <c r="O118" s="38" t="s">
        <v>24</v>
      </c>
      <c r="P118" s="38" t="s">
        <v>26</v>
      </c>
      <c r="Q118" s="38" t="s">
        <v>17</v>
      </c>
      <c r="R118" s="38" t="s">
        <v>236</v>
      </c>
      <c r="S118" s="24" t="s">
        <v>17</v>
      </c>
      <c r="U118" s="37">
        <f t="shared" si="30"/>
        <v>27</v>
      </c>
      <c r="V118" s="37">
        <f t="shared" si="31"/>
        <v>22</v>
      </c>
      <c r="W118" s="37">
        <f t="shared" si="32"/>
        <v>21</v>
      </c>
      <c r="X118" s="37">
        <f t="shared" si="33"/>
        <v>26</v>
      </c>
      <c r="Y118" s="37">
        <f t="shared" si="34"/>
        <v>5</v>
      </c>
      <c r="Z118" s="37">
        <f t="shared" si="35"/>
        <v>0</v>
      </c>
      <c r="AA118" s="37">
        <f t="shared" si="36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64</v>
      </c>
      <c r="O119" s="38" t="s">
        <v>64</v>
      </c>
      <c r="P119" s="38" t="s">
        <v>89</v>
      </c>
      <c r="Q119" s="38" t="s">
        <v>26</v>
      </c>
      <c r="R119" s="38" t="s">
        <v>26</v>
      </c>
      <c r="S119" s="24" t="s">
        <v>17</v>
      </c>
      <c r="U119" s="37">
        <f t="shared" si="30"/>
        <v>26</v>
      </c>
      <c r="V119" s="37">
        <f t="shared" si="31"/>
        <v>23</v>
      </c>
      <c r="W119" s="37">
        <f t="shared" si="32"/>
        <v>23</v>
      </c>
      <c r="X119" s="37">
        <f t="shared" si="33"/>
        <v>27</v>
      </c>
      <c r="Y119" s="37">
        <f t="shared" si="34"/>
        <v>26</v>
      </c>
      <c r="Z119" s="37">
        <f t="shared" si="35"/>
        <v>26</v>
      </c>
      <c r="AA119" s="37">
        <f t="shared" si="36"/>
        <v>5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24</v>
      </c>
      <c r="O120" s="38" t="s">
        <v>89</v>
      </c>
      <c r="P120" s="38" t="s">
        <v>18</v>
      </c>
      <c r="Q120" s="38" t="s">
        <v>26</v>
      </c>
      <c r="R120" s="38" t="s">
        <v>64</v>
      </c>
      <c r="S120" s="24" t="s">
        <v>28</v>
      </c>
      <c r="U120" s="37">
        <f t="shared" si="30"/>
        <v>26</v>
      </c>
      <c r="V120" s="37">
        <f t="shared" si="31"/>
        <v>21</v>
      </c>
      <c r="W120" s="37">
        <f t="shared" si="32"/>
        <v>27</v>
      </c>
      <c r="X120" s="37">
        <f t="shared" si="33"/>
        <v>22</v>
      </c>
      <c r="Y120" s="37">
        <f t="shared" si="34"/>
        <v>26</v>
      </c>
      <c r="Z120" s="37">
        <f t="shared" si="35"/>
        <v>23</v>
      </c>
      <c r="AA120" s="37">
        <f t="shared" si="36"/>
        <v>26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38" t="s">
        <v>89</v>
      </c>
      <c r="N121" s="38" t="s">
        <v>29</v>
      </c>
      <c r="O121" s="38" t="s">
        <v>26</v>
      </c>
      <c r="P121" s="38" t="s">
        <v>26</v>
      </c>
      <c r="Q121" s="38" t="s">
        <v>238</v>
      </c>
      <c r="R121" s="38" t="s">
        <v>64</v>
      </c>
      <c r="S121" s="24" t="s">
        <v>27</v>
      </c>
      <c r="U121" s="37">
        <f t="shared" si="30"/>
        <v>27</v>
      </c>
      <c r="V121" s="37">
        <f t="shared" si="31"/>
        <v>19</v>
      </c>
      <c r="W121" s="37">
        <f t="shared" si="32"/>
        <v>26</v>
      </c>
      <c r="X121" s="37">
        <f t="shared" si="33"/>
        <v>26</v>
      </c>
      <c r="Y121" s="37">
        <f t="shared" si="34"/>
        <v>0</v>
      </c>
      <c r="Z121" s="37">
        <f t="shared" si="35"/>
        <v>23</v>
      </c>
      <c r="AA121" s="37">
        <f t="shared" si="36"/>
        <v>21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20</v>
      </c>
      <c r="N122" s="38" t="s">
        <v>24</v>
      </c>
      <c r="O122" s="38" t="s">
        <v>24</v>
      </c>
      <c r="P122" s="38" t="s">
        <v>27</v>
      </c>
      <c r="Q122" s="38" t="s">
        <v>236</v>
      </c>
      <c r="R122" s="38" t="s">
        <v>26</v>
      </c>
      <c r="S122" s="24" t="s">
        <v>89</v>
      </c>
      <c r="U122" s="37">
        <f t="shared" si="30"/>
        <v>4</v>
      </c>
      <c r="V122" s="37">
        <f t="shared" si="31"/>
        <v>21</v>
      </c>
      <c r="W122" s="37">
        <f t="shared" si="32"/>
        <v>21</v>
      </c>
      <c r="X122" s="37">
        <f t="shared" si="33"/>
        <v>21</v>
      </c>
      <c r="Y122" s="37">
        <f t="shared" si="34"/>
        <v>0</v>
      </c>
      <c r="Z122" s="37">
        <f t="shared" si="35"/>
        <v>26</v>
      </c>
      <c r="AA122" s="37">
        <f t="shared" si="36"/>
        <v>27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28</v>
      </c>
      <c r="N123" s="38" t="s">
        <v>27</v>
      </c>
      <c r="O123" s="38" t="s">
        <v>234</v>
      </c>
      <c r="P123" s="38" t="s">
        <v>28</v>
      </c>
      <c r="Q123" s="38" t="s">
        <v>18</v>
      </c>
      <c r="R123" s="38" t="s">
        <v>64</v>
      </c>
      <c r="S123" s="24" t="s">
        <v>64</v>
      </c>
      <c r="U123" s="37">
        <f t="shared" si="30"/>
        <v>26</v>
      </c>
      <c r="V123" s="37">
        <f t="shared" si="31"/>
        <v>21</v>
      </c>
      <c r="W123" s="37">
        <f t="shared" si="32"/>
        <v>0</v>
      </c>
      <c r="X123" s="37">
        <f t="shared" si="33"/>
        <v>26</v>
      </c>
      <c r="Y123" s="37">
        <f t="shared" si="34"/>
        <v>22</v>
      </c>
      <c r="Z123" s="37">
        <f t="shared" si="35"/>
        <v>23</v>
      </c>
      <c r="AA123" s="37">
        <f t="shared" si="36"/>
        <v>23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28</v>
      </c>
      <c r="N124" s="38" t="s">
        <v>27</v>
      </c>
      <c r="O124" s="38" t="s">
        <v>89</v>
      </c>
      <c r="P124" s="38" t="s">
        <v>29</v>
      </c>
      <c r="Q124" s="38" t="s">
        <v>230</v>
      </c>
      <c r="R124" s="38" t="s">
        <v>17</v>
      </c>
      <c r="S124" s="24" t="s">
        <v>64</v>
      </c>
      <c r="U124" s="37">
        <f t="shared" si="30"/>
        <v>26</v>
      </c>
      <c r="V124" s="37">
        <f t="shared" si="31"/>
        <v>21</v>
      </c>
      <c r="W124" s="37">
        <f t="shared" si="32"/>
        <v>27</v>
      </c>
      <c r="X124" s="37">
        <f t="shared" si="33"/>
        <v>19</v>
      </c>
      <c r="Y124" s="37">
        <f t="shared" si="34"/>
        <v>0</v>
      </c>
      <c r="Z124" s="37">
        <f t="shared" si="35"/>
        <v>5</v>
      </c>
      <c r="AA124" s="37">
        <f t="shared" si="36"/>
        <v>23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ht="16.2" x14ac:dyDescent="0.3">
      <c r="L125" s="15">
        <v>122</v>
      </c>
      <c r="M125" t="s">
        <v>26</v>
      </c>
      <c r="N125" t="s">
        <v>24</v>
      </c>
      <c r="O125" t="s">
        <v>28</v>
      </c>
      <c r="P125" t="s">
        <v>29</v>
      </c>
      <c r="Q125" t="s">
        <v>27</v>
      </c>
      <c r="R125" t="s">
        <v>27</v>
      </c>
      <c r="S125" t="s">
        <v>64</v>
      </c>
      <c r="U125">
        <f t="shared" si="30"/>
        <v>26</v>
      </c>
      <c r="V125">
        <f t="shared" si="31"/>
        <v>21</v>
      </c>
      <c r="W125">
        <f t="shared" si="32"/>
        <v>26</v>
      </c>
      <c r="X125">
        <f t="shared" si="33"/>
        <v>19</v>
      </c>
      <c r="Y125">
        <f t="shared" si="34"/>
        <v>21</v>
      </c>
      <c r="Z125">
        <f t="shared" si="35"/>
        <v>21</v>
      </c>
      <c r="AA125">
        <f t="shared" si="36"/>
        <v>23</v>
      </c>
      <c r="AC125" s="31">
        <v>1</v>
      </c>
      <c r="AD125" s="31">
        <v>1</v>
      </c>
      <c r="AE125" s="31">
        <v>1</v>
      </c>
      <c r="AF125" s="31">
        <v>1</v>
      </c>
      <c r="AG125" s="31">
        <v>1</v>
      </c>
      <c r="AH125" s="31">
        <v>1</v>
      </c>
      <c r="AI125" s="31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ht="16.2" x14ac:dyDescent="0.3">
      <c r="L126" s="14">
        <v>123</v>
      </c>
      <c r="M126" t="s">
        <v>18</v>
      </c>
      <c r="N126" t="s">
        <v>29</v>
      </c>
      <c r="O126" t="s">
        <v>26</v>
      </c>
      <c r="P126" t="s">
        <v>29</v>
      </c>
      <c r="Q126" t="s">
        <v>20</v>
      </c>
      <c r="R126" t="s">
        <v>24</v>
      </c>
      <c r="S126" t="s">
        <v>64</v>
      </c>
      <c r="U126">
        <f t="shared" si="30"/>
        <v>22</v>
      </c>
      <c r="V126">
        <f t="shared" si="31"/>
        <v>19</v>
      </c>
      <c r="W126">
        <f t="shared" si="32"/>
        <v>26</v>
      </c>
      <c r="X126">
        <f t="shared" si="33"/>
        <v>19</v>
      </c>
      <c r="Y126">
        <f t="shared" si="34"/>
        <v>4</v>
      </c>
      <c r="Z126">
        <f t="shared" si="35"/>
        <v>21</v>
      </c>
      <c r="AA126">
        <f t="shared" si="36"/>
        <v>23</v>
      </c>
      <c r="AC126">
        <v>1</v>
      </c>
      <c r="AD126">
        <v>1</v>
      </c>
      <c r="AE126">
        <v>1</v>
      </c>
      <c r="AF126">
        <v>1</v>
      </c>
      <c r="AG126">
        <v>1</v>
      </c>
      <c r="AH126">
        <v>1</v>
      </c>
      <c r="AI126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ht="16.2" x14ac:dyDescent="0.3">
      <c r="L127" s="15">
        <v>124</v>
      </c>
      <c r="M127" t="s">
        <v>26</v>
      </c>
      <c r="N127" t="s">
        <v>64</v>
      </c>
      <c r="O127" t="s">
        <v>28</v>
      </c>
      <c r="P127" t="s">
        <v>17</v>
      </c>
      <c r="Q127" t="s">
        <v>232</v>
      </c>
      <c r="R127" t="s">
        <v>28</v>
      </c>
      <c r="S127" t="s">
        <v>89</v>
      </c>
      <c r="U127">
        <f t="shared" si="30"/>
        <v>26</v>
      </c>
      <c r="V127">
        <f t="shared" si="31"/>
        <v>23</v>
      </c>
      <c r="W127">
        <f t="shared" si="32"/>
        <v>26</v>
      </c>
      <c r="X127">
        <f t="shared" si="33"/>
        <v>5</v>
      </c>
      <c r="Y127">
        <f t="shared" si="34"/>
        <v>0</v>
      </c>
      <c r="Z127">
        <f t="shared" si="35"/>
        <v>26</v>
      </c>
      <c r="AA127">
        <f t="shared" si="36"/>
        <v>27</v>
      </c>
      <c r="AC127">
        <v>1</v>
      </c>
      <c r="AD127">
        <v>1</v>
      </c>
      <c r="AE127">
        <v>1</v>
      </c>
      <c r="AF127">
        <v>1</v>
      </c>
      <c r="AG127">
        <v>1</v>
      </c>
      <c r="AH127">
        <v>1</v>
      </c>
      <c r="AI127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ht="16.2" x14ac:dyDescent="0.3">
      <c r="L128" s="14">
        <v>125</v>
      </c>
      <c r="M128" t="s">
        <v>19</v>
      </c>
      <c r="N128" t="s">
        <v>26</v>
      </c>
      <c r="O128" t="s">
        <v>64</v>
      </c>
      <c r="P128" t="s">
        <v>24</v>
      </c>
      <c r="Q128" t="s">
        <v>27</v>
      </c>
      <c r="R128" t="s">
        <v>26</v>
      </c>
      <c r="S128" t="s">
        <v>29</v>
      </c>
      <c r="U128">
        <f t="shared" si="30"/>
        <v>1</v>
      </c>
      <c r="V128">
        <f t="shared" si="31"/>
        <v>26</v>
      </c>
      <c r="W128">
        <f t="shared" si="32"/>
        <v>23</v>
      </c>
      <c r="X128">
        <f t="shared" si="33"/>
        <v>21</v>
      </c>
      <c r="Y128">
        <f t="shared" si="34"/>
        <v>21</v>
      </c>
      <c r="Z128">
        <f t="shared" si="35"/>
        <v>26</v>
      </c>
      <c r="AA128">
        <f t="shared" si="36"/>
        <v>19</v>
      </c>
      <c r="AC128">
        <v>1</v>
      </c>
      <c r="AD128">
        <v>1</v>
      </c>
      <c r="AE128">
        <v>1</v>
      </c>
      <c r="AF128">
        <v>1</v>
      </c>
      <c r="AG128">
        <v>1</v>
      </c>
      <c r="AH128">
        <v>1</v>
      </c>
      <c r="AI12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ht="16.2" x14ac:dyDescent="0.3">
      <c r="L129" s="15">
        <v>126</v>
      </c>
      <c r="M129" t="s">
        <v>28</v>
      </c>
      <c r="N129" t="s">
        <v>20</v>
      </c>
      <c r="O129" t="s">
        <v>89</v>
      </c>
      <c r="P129" t="s">
        <v>19</v>
      </c>
      <c r="Q129" t="s">
        <v>64</v>
      </c>
      <c r="R129" t="s">
        <v>26</v>
      </c>
      <c r="S129" t="s">
        <v>29</v>
      </c>
      <c r="U129">
        <f t="shared" si="30"/>
        <v>26</v>
      </c>
      <c r="V129">
        <f t="shared" si="31"/>
        <v>4</v>
      </c>
      <c r="W129">
        <f t="shared" si="32"/>
        <v>27</v>
      </c>
      <c r="X129">
        <f t="shared" si="33"/>
        <v>1</v>
      </c>
      <c r="Y129">
        <f t="shared" si="34"/>
        <v>23</v>
      </c>
      <c r="Z129">
        <f t="shared" si="35"/>
        <v>26</v>
      </c>
      <c r="AA129">
        <f t="shared" si="36"/>
        <v>19</v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ht="16.2" x14ac:dyDescent="0.3">
      <c r="L130" s="15">
        <v>127</v>
      </c>
      <c r="M130" t="s">
        <v>28</v>
      </c>
      <c r="N130" t="s">
        <v>27</v>
      </c>
      <c r="O130" t="s">
        <v>29</v>
      </c>
      <c r="P130" t="s">
        <v>28</v>
      </c>
      <c r="Q130" t="s">
        <v>230</v>
      </c>
      <c r="R130" t="s">
        <v>29</v>
      </c>
      <c r="S130" t="s">
        <v>29</v>
      </c>
      <c r="U130">
        <f t="shared" si="30"/>
        <v>26</v>
      </c>
      <c r="V130">
        <f t="shared" si="31"/>
        <v>21</v>
      </c>
      <c r="W130">
        <f t="shared" si="32"/>
        <v>19</v>
      </c>
      <c r="X130">
        <f t="shared" si="33"/>
        <v>26</v>
      </c>
      <c r="Y130">
        <f t="shared" si="34"/>
        <v>0</v>
      </c>
      <c r="Z130">
        <f t="shared" si="35"/>
        <v>19</v>
      </c>
      <c r="AA130">
        <f t="shared" si="36"/>
        <v>19</v>
      </c>
      <c r="AC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ht="16.2" x14ac:dyDescent="0.3">
      <c r="L131" s="14">
        <v>128</v>
      </c>
      <c r="M131" t="s">
        <v>28</v>
      </c>
      <c r="N131" t="s">
        <v>29</v>
      </c>
      <c r="O131" t="s">
        <v>26</v>
      </c>
      <c r="P131" t="s">
        <v>17</v>
      </c>
      <c r="Q131" t="s">
        <v>24</v>
      </c>
      <c r="R131" t="s">
        <v>27</v>
      </c>
      <c r="S131" t="s">
        <v>29</v>
      </c>
      <c r="U131">
        <f t="shared" si="30"/>
        <v>26</v>
      </c>
      <c r="V131">
        <f t="shared" si="31"/>
        <v>19</v>
      </c>
      <c r="W131">
        <f t="shared" si="32"/>
        <v>26</v>
      </c>
      <c r="X131">
        <f t="shared" si="33"/>
        <v>5</v>
      </c>
      <c r="Y131">
        <f t="shared" si="34"/>
        <v>21</v>
      </c>
      <c r="Z131">
        <f t="shared" si="35"/>
        <v>21</v>
      </c>
      <c r="AA131">
        <f t="shared" si="36"/>
        <v>19</v>
      </c>
      <c r="AC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ht="16.2" x14ac:dyDescent="0.3">
      <c r="L132" s="15">
        <v>129</v>
      </c>
      <c r="M132" t="s">
        <v>26</v>
      </c>
      <c r="N132" t="s">
        <v>64</v>
      </c>
      <c r="O132" t="s">
        <v>29</v>
      </c>
      <c r="P132" t="s">
        <v>26</v>
      </c>
      <c r="Q132" t="s">
        <v>27</v>
      </c>
      <c r="R132" t="s">
        <v>64</v>
      </c>
      <c r="S132" t="s">
        <v>26</v>
      </c>
      <c r="U132">
        <f t="shared" ref="U132:U163" si="37">VLOOKUP(M132, $A$4:$J$29, 9, 0)</f>
        <v>26</v>
      </c>
      <c r="V132">
        <f t="shared" ref="V132:V163" si="38">VLOOKUP(N132, $A$4:$J$29, 9, 0)</f>
        <v>23</v>
      </c>
      <c r="W132">
        <f t="shared" ref="W132:W163" si="39">VLOOKUP(O132, $A$4:$J$29, 9, 0)</f>
        <v>19</v>
      </c>
      <c r="X132">
        <f t="shared" ref="X132:X163" si="40">VLOOKUP(P132, $A$4:$J$29, 9, 0)</f>
        <v>26</v>
      </c>
      <c r="Y132">
        <f t="shared" ref="Y132:Y163" si="41">VLOOKUP(Q132, $A$4:$J$29, 9, 0)</f>
        <v>21</v>
      </c>
      <c r="Z132">
        <f t="shared" ref="Z132:Z163" si="42">VLOOKUP(R132, $A$4:$J$29, 9, 0)</f>
        <v>23</v>
      </c>
      <c r="AA132">
        <f t="shared" ref="AA132:AA163" si="43">VLOOKUP(S132, $A$4:$J$29, 9, 0)</f>
        <v>26</v>
      </c>
      <c r="AC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ht="16.2" x14ac:dyDescent="0.3">
      <c r="L133" s="14">
        <v>130</v>
      </c>
      <c r="M133" t="s">
        <v>26</v>
      </c>
      <c r="N133" t="s">
        <v>28</v>
      </c>
      <c r="O133" t="s">
        <v>26</v>
      </c>
      <c r="P133" t="s">
        <v>24</v>
      </c>
      <c r="Q133" t="s">
        <v>18</v>
      </c>
      <c r="R133" t="s">
        <v>24</v>
      </c>
      <c r="S133" t="s">
        <v>27</v>
      </c>
      <c r="U133">
        <f t="shared" si="37"/>
        <v>26</v>
      </c>
      <c r="V133">
        <f t="shared" si="38"/>
        <v>26</v>
      </c>
      <c r="W133">
        <f t="shared" si="39"/>
        <v>26</v>
      </c>
      <c r="X133">
        <f t="shared" si="40"/>
        <v>21</v>
      </c>
      <c r="Y133">
        <f t="shared" si="41"/>
        <v>22</v>
      </c>
      <c r="Z133">
        <f t="shared" si="42"/>
        <v>21</v>
      </c>
      <c r="AA133">
        <f t="shared" si="43"/>
        <v>21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ht="16.2" x14ac:dyDescent="0.3">
      <c r="L134" s="15">
        <v>131</v>
      </c>
      <c r="M134" t="s">
        <v>26</v>
      </c>
      <c r="N134" t="s">
        <v>29</v>
      </c>
      <c r="O134" t="s">
        <v>17</v>
      </c>
      <c r="P134" t="s">
        <v>234</v>
      </c>
      <c r="Q134" t="s">
        <v>24</v>
      </c>
      <c r="R134" t="s">
        <v>26</v>
      </c>
      <c r="S134" t="s">
        <v>89</v>
      </c>
      <c r="U134">
        <f t="shared" si="37"/>
        <v>26</v>
      </c>
      <c r="V134">
        <f t="shared" si="38"/>
        <v>19</v>
      </c>
      <c r="W134">
        <f t="shared" si="39"/>
        <v>5</v>
      </c>
      <c r="X134">
        <f t="shared" si="40"/>
        <v>0</v>
      </c>
      <c r="Y134">
        <f t="shared" si="41"/>
        <v>21</v>
      </c>
      <c r="Z134">
        <f t="shared" si="42"/>
        <v>26</v>
      </c>
      <c r="AA134">
        <f t="shared" si="43"/>
        <v>27</v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1</v>
      </c>
      <c r="AI134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ht="16.2" x14ac:dyDescent="0.3">
      <c r="L135" s="14">
        <v>132</v>
      </c>
      <c r="M135" t="s">
        <v>20</v>
      </c>
      <c r="N135" t="s">
        <v>29</v>
      </c>
      <c r="O135" t="s">
        <v>226</v>
      </c>
      <c r="P135" t="s">
        <v>29</v>
      </c>
      <c r="Q135" t="s">
        <v>18</v>
      </c>
      <c r="R135" t="s">
        <v>28</v>
      </c>
      <c r="S135" t="s">
        <v>24</v>
      </c>
      <c r="U135">
        <f t="shared" si="37"/>
        <v>4</v>
      </c>
      <c r="V135">
        <f t="shared" si="38"/>
        <v>19</v>
      </c>
      <c r="W135">
        <f t="shared" si="39"/>
        <v>0</v>
      </c>
      <c r="X135">
        <f t="shared" si="40"/>
        <v>19</v>
      </c>
      <c r="Y135">
        <f t="shared" si="41"/>
        <v>22</v>
      </c>
      <c r="Z135">
        <f t="shared" si="42"/>
        <v>26</v>
      </c>
      <c r="AA135">
        <f t="shared" si="43"/>
        <v>21</v>
      </c>
      <c r="AC135">
        <v>1</v>
      </c>
      <c r="AD135">
        <v>1</v>
      </c>
      <c r="AE135">
        <v>1</v>
      </c>
      <c r="AF135">
        <v>1</v>
      </c>
      <c r="AG135">
        <v>1</v>
      </c>
      <c r="AH135">
        <v>1</v>
      </c>
      <c r="AI135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ht="16.2" x14ac:dyDescent="0.3">
      <c r="L136" s="15">
        <v>133</v>
      </c>
      <c r="M136" t="s">
        <v>29</v>
      </c>
      <c r="N136" t="s">
        <v>27</v>
      </c>
      <c r="O136" t="s">
        <v>89</v>
      </c>
      <c r="P136" t="s">
        <v>21</v>
      </c>
      <c r="Q136" t="s">
        <v>18</v>
      </c>
      <c r="R136" t="s">
        <v>27</v>
      </c>
      <c r="S136" t="s">
        <v>26</v>
      </c>
      <c r="U136">
        <f t="shared" si="37"/>
        <v>19</v>
      </c>
      <c r="V136">
        <f t="shared" si="38"/>
        <v>21</v>
      </c>
      <c r="W136">
        <f t="shared" si="39"/>
        <v>27</v>
      </c>
      <c r="X136">
        <f t="shared" si="40"/>
        <v>4</v>
      </c>
      <c r="Y136">
        <f t="shared" si="41"/>
        <v>22</v>
      </c>
      <c r="Z136">
        <f t="shared" si="42"/>
        <v>21</v>
      </c>
      <c r="AA136">
        <f t="shared" si="43"/>
        <v>26</v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1</v>
      </c>
      <c r="AI136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ht="16.2" x14ac:dyDescent="0.3">
      <c r="L137" s="14">
        <v>134</v>
      </c>
      <c r="M137" t="s">
        <v>28</v>
      </c>
      <c r="N137" t="s">
        <v>27</v>
      </c>
      <c r="O137" t="s">
        <v>17</v>
      </c>
      <c r="P137" t="s">
        <v>28</v>
      </c>
      <c r="Q137" t="s">
        <v>27</v>
      </c>
      <c r="R137" t="s">
        <v>27</v>
      </c>
      <c r="S137" t="s">
        <v>64</v>
      </c>
      <c r="U137">
        <f t="shared" si="37"/>
        <v>26</v>
      </c>
      <c r="V137">
        <f t="shared" si="38"/>
        <v>21</v>
      </c>
      <c r="W137">
        <f t="shared" si="39"/>
        <v>5</v>
      </c>
      <c r="X137">
        <f t="shared" si="40"/>
        <v>26</v>
      </c>
      <c r="Y137">
        <f t="shared" si="41"/>
        <v>21</v>
      </c>
      <c r="Z137">
        <f t="shared" si="42"/>
        <v>21</v>
      </c>
      <c r="AA137">
        <f t="shared" si="43"/>
        <v>23</v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ht="16.2" x14ac:dyDescent="0.3">
      <c r="L138" s="15">
        <v>135</v>
      </c>
      <c r="M138" t="s">
        <v>26</v>
      </c>
      <c r="N138" t="s">
        <v>27</v>
      </c>
      <c r="O138" t="s">
        <v>240</v>
      </c>
      <c r="P138" t="s">
        <v>27</v>
      </c>
      <c r="Q138" t="s">
        <v>28</v>
      </c>
      <c r="R138" t="s">
        <v>18</v>
      </c>
      <c r="S138" t="s">
        <v>18</v>
      </c>
      <c r="U138">
        <f t="shared" si="37"/>
        <v>26</v>
      </c>
      <c r="V138">
        <f t="shared" si="38"/>
        <v>21</v>
      </c>
      <c r="W138">
        <f t="shared" si="39"/>
        <v>0</v>
      </c>
      <c r="X138">
        <f t="shared" si="40"/>
        <v>21</v>
      </c>
      <c r="Y138">
        <f t="shared" si="41"/>
        <v>26</v>
      </c>
      <c r="Z138">
        <f t="shared" si="42"/>
        <v>22</v>
      </c>
      <c r="AA138">
        <f t="shared" si="43"/>
        <v>22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ht="16.2" x14ac:dyDescent="0.3">
      <c r="L139" s="15">
        <v>136</v>
      </c>
      <c r="M139" t="s">
        <v>28</v>
      </c>
      <c r="N139" t="s">
        <v>64</v>
      </c>
      <c r="O139" t="s">
        <v>64</v>
      </c>
      <c r="P139" t="s">
        <v>24</v>
      </c>
      <c r="Q139" t="s">
        <v>28</v>
      </c>
      <c r="R139" t="s">
        <v>18</v>
      </c>
      <c r="S139" t="s">
        <v>18</v>
      </c>
      <c r="U139">
        <f t="shared" si="37"/>
        <v>26</v>
      </c>
      <c r="V139">
        <f t="shared" si="38"/>
        <v>23</v>
      </c>
      <c r="W139">
        <f t="shared" si="39"/>
        <v>23</v>
      </c>
      <c r="X139">
        <f t="shared" si="40"/>
        <v>21</v>
      </c>
      <c r="Y139">
        <f t="shared" si="41"/>
        <v>26</v>
      </c>
      <c r="Z139">
        <f t="shared" si="42"/>
        <v>22</v>
      </c>
      <c r="AA139">
        <f t="shared" si="43"/>
        <v>22</v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1</v>
      </c>
      <c r="AI139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ht="16.2" x14ac:dyDescent="0.3">
      <c r="L140" s="14">
        <v>137</v>
      </c>
      <c r="M140" t="s">
        <v>18</v>
      </c>
      <c r="N140" t="s">
        <v>29</v>
      </c>
      <c r="O140" t="s">
        <v>18</v>
      </c>
      <c r="P140" t="s">
        <v>28</v>
      </c>
      <c r="Q140" t="s">
        <v>24</v>
      </c>
      <c r="R140" t="s">
        <v>29</v>
      </c>
      <c r="S140" t="s">
        <v>18</v>
      </c>
      <c r="U140">
        <f t="shared" si="37"/>
        <v>22</v>
      </c>
      <c r="V140">
        <f t="shared" si="38"/>
        <v>19</v>
      </c>
      <c r="W140">
        <f t="shared" si="39"/>
        <v>22</v>
      </c>
      <c r="X140">
        <f t="shared" si="40"/>
        <v>26</v>
      </c>
      <c r="Y140">
        <f t="shared" si="41"/>
        <v>21</v>
      </c>
      <c r="Z140">
        <f t="shared" si="42"/>
        <v>19</v>
      </c>
      <c r="AA140">
        <f t="shared" si="43"/>
        <v>22</v>
      </c>
      <c r="AC140">
        <v>1</v>
      </c>
      <c r="AD140">
        <v>1</v>
      </c>
      <c r="AE140">
        <v>1</v>
      </c>
      <c r="AF140">
        <v>1</v>
      </c>
      <c r="AG140">
        <v>1</v>
      </c>
      <c r="AH140">
        <v>1</v>
      </c>
      <c r="AI140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ht="16.2" x14ac:dyDescent="0.3">
      <c r="L141" s="15">
        <v>138</v>
      </c>
      <c r="M141" t="s">
        <v>26</v>
      </c>
      <c r="N141" t="s">
        <v>17</v>
      </c>
      <c r="O141" t="s">
        <v>89</v>
      </c>
      <c r="P141" t="s">
        <v>20</v>
      </c>
      <c r="Q141" t="s">
        <v>89</v>
      </c>
      <c r="R141" t="s">
        <v>28</v>
      </c>
      <c r="S141" t="s">
        <v>18</v>
      </c>
      <c r="U141">
        <f t="shared" si="37"/>
        <v>26</v>
      </c>
      <c r="V141">
        <f t="shared" si="38"/>
        <v>5</v>
      </c>
      <c r="W141">
        <f t="shared" si="39"/>
        <v>27</v>
      </c>
      <c r="X141">
        <f t="shared" si="40"/>
        <v>4</v>
      </c>
      <c r="Y141">
        <f t="shared" si="41"/>
        <v>27</v>
      </c>
      <c r="Z141">
        <f t="shared" si="42"/>
        <v>26</v>
      </c>
      <c r="AA141">
        <f t="shared" si="43"/>
        <v>22</v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1</v>
      </c>
      <c r="AI141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ht="16.2" x14ac:dyDescent="0.3">
      <c r="L142" s="14">
        <v>139</v>
      </c>
      <c r="M142" t="s">
        <v>18</v>
      </c>
      <c r="N142" t="s">
        <v>26</v>
      </c>
      <c r="O142" t="s">
        <v>27</v>
      </c>
      <c r="P142" t="s">
        <v>17</v>
      </c>
      <c r="Q142" t="s">
        <v>26</v>
      </c>
      <c r="R142" t="s">
        <v>89</v>
      </c>
      <c r="S142" t="s">
        <v>29</v>
      </c>
      <c r="U142">
        <f t="shared" si="37"/>
        <v>22</v>
      </c>
      <c r="V142">
        <f t="shared" si="38"/>
        <v>26</v>
      </c>
      <c r="W142">
        <f t="shared" si="39"/>
        <v>21</v>
      </c>
      <c r="X142">
        <f t="shared" si="40"/>
        <v>5</v>
      </c>
      <c r="Y142">
        <f t="shared" si="41"/>
        <v>26</v>
      </c>
      <c r="Z142">
        <f t="shared" si="42"/>
        <v>27</v>
      </c>
      <c r="AA142">
        <f t="shared" si="43"/>
        <v>19</v>
      </c>
      <c r="AC142">
        <v>1</v>
      </c>
      <c r="AD142">
        <v>1</v>
      </c>
      <c r="AE142">
        <v>1</v>
      </c>
      <c r="AF142">
        <v>1</v>
      </c>
      <c r="AG142">
        <v>1</v>
      </c>
      <c r="AH142">
        <v>1</v>
      </c>
      <c r="AI142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ht="16.2" x14ac:dyDescent="0.3">
      <c r="L143" s="15">
        <v>140</v>
      </c>
      <c r="M143" t="s">
        <v>26</v>
      </c>
      <c r="N143" t="s">
        <v>28</v>
      </c>
      <c r="O143" t="s">
        <v>21</v>
      </c>
      <c r="P143" t="s">
        <v>89</v>
      </c>
      <c r="Q143" t="s">
        <v>29</v>
      </c>
      <c r="R143" t="s">
        <v>20</v>
      </c>
      <c r="S143" t="s">
        <v>89</v>
      </c>
      <c r="U143">
        <f t="shared" si="37"/>
        <v>26</v>
      </c>
      <c r="V143">
        <f t="shared" si="38"/>
        <v>26</v>
      </c>
      <c r="W143">
        <f t="shared" si="39"/>
        <v>4</v>
      </c>
      <c r="X143">
        <f t="shared" si="40"/>
        <v>27</v>
      </c>
      <c r="Y143">
        <f t="shared" si="41"/>
        <v>19</v>
      </c>
      <c r="Z143">
        <f t="shared" si="42"/>
        <v>4</v>
      </c>
      <c r="AA143">
        <f t="shared" si="43"/>
        <v>27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ht="16.2" x14ac:dyDescent="0.3">
      <c r="L144" s="14">
        <v>141</v>
      </c>
      <c r="M144" t="s">
        <v>89</v>
      </c>
      <c r="N144" t="s">
        <v>64</v>
      </c>
      <c r="O144" t="s">
        <v>26</v>
      </c>
      <c r="P144" t="s">
        <v>236</v>
      </c>
      <c r="Q144" t="s">
        <v>27</v>
      </c>
      <c r="R144" t="s">
        <v>24</v>
      </c>
      <c r="S144" t="s">
        <v>26</v>
      </c>
      <c r="U144">
        <f t="shared" si="37"/>
        <v>27</v>
      </c>
      <c r="V144">
        <f t="shared" si="38"/>
        <v>23</v>
      </c>
      <c r="W144">
        <f t="shared" si="39"/>
        <v>26</v>
      </c>
      <c r="X144">
        <f t="shared" si="40"/>
        <v>0</v>
      </c>
      <c r="Y144">
        <f t="shared" si="41"/>
        <v>21</v>
      </c>
      <c r="Z144">
        <f t="shared" si="42"/>
        <v>21</v>
      </c>
      <c r="AA144">
        <f t="shared" si="43"/>
        <v>26</v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ht="16.2" x14ac:dyDescent="0.3">
      <c r="L145" s="15">
        <v>142</v>
      </c>
      <c r="M145" t="s">
        <v>18</v>
      </c>
      <c r="N145" t="s">
        <v>29</v>
      </c>
      <c r="O145" t="s">
        <v>19</v>
      </c>
      <c r="P145" t="s">
        <v>27</v>
      </c>
      <c r="Q145" t="s">
        <v>24</v>
      </c>
      <c r="R145" t="s">
        <v>26</v>
      </c>
      <c r="S145" t="s">
        <v>24</v>
      </c>
      <c r="U145">
        <f t="shared" si="37"/>
        <v>22</v>
      </c>
      <c r="V145">
        <f t="shared" si="38"/>
        <v>19</v>
      </c>
      <c r="W145">
        <f t="shared" si="39"/>
        <v>1</v>
      </c>
      <c r="X145">
        <f t="shared" si="40"/>
        <v>21</v>
      </c>
      <c r="Y145">
        <f t="shared" si="41"/>
        <v>21</v>
      </c>
      <c r="Z145">
        <f t="shared" si="42"/>
        <v>26</v>
      </c>
      <c r="AA145">
        <f t="shared" si="43"/>
        <v>21</v>
      </c>
      <c r="AC145">
        <v>1</v>
      </c>
      <c r="AD145">
        <v>1</v>
      </c>
      <c r="AE145">
        <v>1</v>
      </c>
      <c r="AF145">
        <v>1</v>
      </c>
      <c r="AG145">
        <v>1</v>
      </c>
      <c r="AH145">
        <v>1</v>
      </c>
      <c r="AI145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ht="16.2" x14ac:dyDescent="0.3">
      <c r="L146" s="14">
        <v>143</v>
      </c>
      <c r="M146" t="s">
        <v>18</v>
      </c>
      <c r="N146" t="s">
        <v>64</v>
      </c>
      <c r="O146" t="s">
        <v>18</v>
      </c>
      <c r="P146" t="s">
        <v>64</v>
      </c>
      <c r="Q146" t="s">
        <v>27</v>
      </c>
      <c r="R146" t="s">
        <v>27</v>
      </c>
      <c r="S146" t="s">
        <v>28</v>
      </c>
      <c r="U146">
        <f t="shared" si="37"/>
        <v>22</v>
      </c>
      <c r="V146">
        <f t="shared" si="38"/>
        <v>23</v>
      </c>
      <c r="W146">
        <f t="shared" si="39"/>
        <v>22</v>
      </c>
      <c r="X146">
        <f t="shared" si="40"/>
        <v>23</v>
      </c>
      <c r="Y146">
        <f t="shared" si="41"/>
        <v>21</v>
      </c>
      <c r="Z146">
        <f t="shared" si="42"/>
        <v>21</v>
      </c>
      <c r="AA146">
        <f t="shared" si="43"/>
        <v>26</v>
      </c>
      <c r="AC146">
        <v>1</v>
      </c>
      <c r="AD146">
        <v>1</v>
      </c>
      <c r="AE146">
        <v>1</v>
      </c>
      <c r="AF146">
        <v>1</v>
      </c>
      <c r="AG146">
        <v>1</v>
      </c>
      <c r="AH146">
        <v>1</v>
      </c>
      <c r="AI146">
        <v>1</v>
      </c>
      <c r="AT146" s="9"/>
    </row>
    <row r="147" spans="12:46" ht="16.2" x14ac:dyDescent="0.3">
      <c r="L147" s="15">
        <v>144</v>
      </c>
      <c r="M147" t="s">
        <v>18</v>
      </c>
      <c r="N147" t="s">
        <v>29</v>
      </c>
      <c r="O147" t="s">
        <v>28</v>
      </c>
      <c r="P147" t="s">
        <v>29</v>
      </c>
      <c r="Q147" t="s">
        <v>28</v>
      </c>
      <c r="R147" t="s">
        <v>89</v>
      </c>
      <c r="S147" t="s">
        <v>64</v>
      </c>
      <c r="U147">
        <f t="shared" si="37"/>
        <v>22</v>
      </c>
      <c r="V147">
        <f t="shared" si="38"/>
        <v>19</v>
      </c>
      <c r="W147">
        <f t="shared" si="39"/>
        <v>26</v>
      </c>
      <c r="X147">
        <f t="shared" si="40"/>
        <v>19</v>
      </c>
      <c r="Y147">
        <f t="shared" si="41"/>
        <v>26</v>
      </c>
      <c r="Z147">
        <f t="shared" si="42"/>
        <v>27</v>
      </c>
      <c r="AA147">
        <f t="shared" si="43"/>
        <v>23</v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O147" s="9"/>
      <c r="AP147" s="9"/>
      <c r="AQ147" s="9"/>
      <c r="AR147" s="9"/>
      <c r="AS147" s="9"/>
      <c r="AT147" s="9"/>
    </row>
    <row r="148" spans="12:46" ht="16.2" x14ac:dyDescent="0.3">
      <c r="L148" s="15">
        <v>145</v>
      </c>
      <c r="M148" t="s">
        <v>17</v>
      </c>
      <c r="N148" t="s">
        <v>17</v>
      </c>
      <c r="O148" t="s">
        <v>27</v>
      </c>
      <c r="P148" t="s">
        <v>234</v>
      </c>
      <c r="Q148" t="s">
        <v>234</v>
      </c>
      <c r="R148" t="s">
        <v>21</v>
      </c>
      <c r="S148" t="s">
        <v>64</v>
      </c>
      <c r="U148">
        <f t="shared" si="37"/>
        <v>5</v>
      </c>
      <c r="V148">
        <f t="shared" si="38"/>
        <v>5</v>
      </c>
      <c r="W148">
        <f t="shared" si="39"/>
        <v>21</v>
      </c>
      <c r="X148">
        <f t="shared" si="40"/>
        <v>0</v>
      </c>
      <c r="Y148">
        <f t="shared" si="41"/>
        <v>0</v>
      </c>
      <c r="Z148">
        <f t="shared" si="42"/>
        <v>4</v>
      </c>
      <c r="AA148">
        <f t="shared" si="43"/>
        <v>23</v>
      </c>
      <c r="AC148">
        <v>1</v>
      </c>
      <c r="AD148">
        <v>1</v>
      </c>
      <c r="AE148">
        <v>1</v>
      </c>
      <c r="AF148">
        <v>1</v>
      </c>
      <c r="AG148">
        <v>1</v>
      </c>
      <c r="AH148">
        <v>1</v>
      </c>
      <c r="AI148">
        <v>1</v>
      </c>
      <c r="AO148" s="9"/>
      <c r="AP148" s="9"/>
      <c r="AQ148" s="9"/>
      <c r="AR148" s="9"/>
      <c r="AS148" s="9"/>
      <c r="AT148" s="9"/>
    </row>
    <row r="149" spans="12:46" ht="16.2" x14ac:dyDescent="0.3">
      <c r="L149" s="14">
        <v>146</v>
      </c>
      <c r="M149" t="s">
        <v>89</v>
      </c>
      <c r="N149" t="s">
        <v>224</v>
      </c>
      <c r="O149" t="s">
        <v>89</v>
      </c>
      <c r="P149" t="s">
        <v>242</v>
      </c>
      <c r="Q149" t="s">
        <v>29</v>
      </c>
      <c r="R149" t="s">
        <v>24</v>
      </c>
      <c r="S149" t="s">
        <v>64</v>
      </c>
      <c r="U149">
        <f t="shared" si="37"/>
        <v>27</v>
      </c>
      <c r="V149">
        <f t="shared" si="38"/>
        <v>0</v>
      </c>
      <c r="W149">
        <f t="shared" si="39"/>
        <v>27</v>
      </c>
      <c r="X149">
        <f t="shared" si="40"/>
        <v>0</v>
      </c>
      <c r="Y149">
        <f t="shared" si="41"/>
        <v>19</v>
      </c>
      <c r="Z149">
        <f t="shared" si="42"/>
        <v>21</v>
      </c>
      <c r="AA149">
        <f t="shared" si="43"/>
        <v>23</v>
      </c>
      <c r="AC149">
        <v>1</v>
      </c>
      <c r="AD149">
        <v>1</v>
      </c>
      <c r="AE149">
        <v>1</v>
      </c>
      <c r="AF149">
        <v>1</v>
      </c>
      <c r="AG149">
        <v>1</v>
      </c>
      <c r="AH149">
        <v>1</v>
      </c>
      <c r="AI149">
        <v>1</v>
      </c>
      <c r="AO149" s="9"/>
      <c r="AP149" s="9"/>
      <c r="AQ149" s="9"/>
      <c r="AR149" s="9"/>
      <c r="AS149" s="9"/>
      <c r="AT149" s="9"/>
    </row>
    <row r="150" spans="12:46" ht="16.2" x14ac:dyDescent="0.3">
      <c r="L150" s="15">
        <v>147</v>
      </c>
      <c r="M150" t="s">
        <v>89</v>
      </c>
      <c r="N150" t="s">
        <v>64</v>
      </c>
      <c r="O150" t="s">
        <v>64</v>
      </c>
      <c r="P150" t="s">
        <v>89</v>
      </c>
      <c r="Q150" t="s">
        <v>64</v>
      </c>
      <c r="R150" t="s">
        <v>17</v>
      </c>
      <c r="S150" t="s">
        <v>64</v>
      </c>
      <c r="U150">
        <f t="shared" si="37"/>
        <v>27</v>
      </c>
      <c r="V150">
        <f t="shared" si="38"/>
        <v>23</v>
      </c>
      <c r="W150">
        <f t="shared" si="39"/>
        <v>23</v>
      </c>
      <c r="X150">
        <f t="shared" si="40"/>
        <v>27</v>
      </c>
      <c r="Y150">
        <f t="shared" si="41"/>
        <v>23</v>
      </c>
      <c r="Z150">
        <f t="shared" si="42"/>
        <v>5</v>
      </c>
      <c r="AA150">
        <f t="shared" si="43"/>
        <v>23</v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O150" s="9"/>
      <c r="AP150" s="9"/>
      <c r="AQ150" s="9"/>
      <c r="AR150" s="9"/>
      <c r="AS150" s="9"/>
      <c r="AT150" s="9"/>
    </row>
    <row r="151" spans="12:46" ht="16.2" x14ac:dyDescent="0.3">
      <c r="L151" s="14">
        <v>148</v>
      </c>
      <c r="M151" t="s">
        <v>89</v>
      </c>
      <c r="N151" t="s">
        <v>64</v>
      </c>
      <c r="O151" t="s">
        <v>89</v>
      </c>
      <c r="P151" t="s">
        <v>64</v>
      </c>
      <c r="Q151" t="s">
        <v>28</v>
      </c>
      <c r="R151" t="s">
        <v>26</v>
      </c>
      <c r="S151" t="s">
        <v>28</v>
      </c>
      <c r="U151">
        <f t="shared" si="37"/>
        <v>27</v>
      </c>
      <c r="V151">
        <f t="shared" si="38"/>
        <v>23</v>
      </c>
      <c r="W151">
        <f t="shared" si="39"/>
        <v>27</v>
      </c>
      <c r="X151">
        <f t="shared" si="40"/>
        <v>23</v>
      </c>
      <c r="Y151">
        <f t="shared" si="41"/>
        <v>26</v>
      </c>
      <c r="Z151">
        <f t="shared" si="42"/>
        <v>26</v>
      </c>
      <c r="AA151">
        <f t="shared" si="43"/>
        <v>26</v>
      </c>
      <c r="AC151">
        <v>1</v>
      </c>
      <c r="AD151">
        <v>1</v>
      </c>
      <c r="AE151">
        <v>1</v>
      </c>
      <c r="AF151">
        <v>1</v>
      </c>
      <c r="AG151">
        <v>1</v>
      </c>
      <c r="AH151">
        <v>1</v>
      </c>
      <c r="AI151">
        <v>1</v>
      </c>
      <c r="AO151" s="9"/>
      <c r="AP151" s="9"/>
      <c r="AQ151" s="9"/>
      <c r="AR151" s="9"/>
      <c r="AS151" s="9"/>
      <c r="AT151" s="9"/>
    </row>
    <row r="152" spans="12:46" ht="16.2" x14ac:dyDescent="0.3">
      <c r="L152" s="15">
        <v>149</v>
      </c>
      <c r="M152" t="s">
        <v>89</v>
      </c>
      <c r="N152" t="s">
        <v>24</v>
      </c>
      <c r="O152" t="s">
        <v>28</v>
      </c>
      <c r="P152" t="s">
        <v>28</v>
      </c>
      <c r="Q152" t="s">
        <v>64</v>
      </c>
      <c r="R152" t="s">
        <v>18</v>
      </c>
      <c r="S152" t="s">
        <v>89</v>
      </c>
      <c r="U152">
        <f t="shared" si="37"/>
        <v>27</v>
      </c>
      <c r="V152">
        <f t="shared" si="38"/>
        <v>21</v>
      </c>
      <c r="W152">
        <f t="shared" si="39"/>
        <v>26</v>
      </c>
      <c r="X152">
        <f t="shared" si="40"/>
        <v>26</v>
      </c>
      <c r="Y152">
        <f t="shared" si="41"/>
        <v>23</v>
      </c>
      <c r="Z152">
        <f t="shared" si="42"/>
        <v>22</v>
      </c>
      <c r="AA152">
        <f t="shared" si="43"/>
        <v>27</v>
      </c>
      <c r="AC152">
        <v>1</v>
      </c>
      <c r="AD152">
        <v>1</v>
      </c>
      <c r="AE152">
        <v>1</v>
      </c>
      <c r="AF152">
        <v>1</v>
      </c>
      <c r="AG152">
        <v>1</v>
      </c>
      <c r="AH152">
        <v>1</v>
      </c>
      <c r="AI152">
        <v>1</v>
      </c>
      <c r="AO152" s="9"/>
      <c r="AP152" s="9"/>
      <c r="AQ152" s="9"/>
      <c r="AR152" s="9"/>
      <c r="AS152" s="9"/>
      <c r="AT152" s="9"/>
    </row>
    <row r="153" spans="12:46" ht="16.2" x14ac:dyDescent="0.3">
      <c r="L153" s="14">
        <v>150</v>
      </c>
      <c r="M153" t="s">
        <v>24</v>
      </c>
      <c r="N153" t="s">
        <v>29</v>
      </c>
      <c r="O153" t="s">
        <v>24</v>
      </c>
      <c r="P153" t="s">
        <v>27</v>
      </c>
      <c r="Q153" t="s">
        <v>24</v>
      </c>
      <c r="R153" t="s">
        <v>28</v>
      </c>
      <c r="S153" t="s">
        <v>26</v>
      </c>
      <c r="U153">
        <f t="shared" si="37"/>
        <v>21</v>
      </c>
      <c r="V153">
        <f t="shared" si="38"/>
        <v>19</v>
      </c>
      <c r="W153">
        <f t="shared" si="39"/>
        <v>21</v>
      </c>
      <c r="X153">
        <f t="shared" si="40"/>
        <v>21</v>
      </c>
      <c r="Y153">
        <f t="shared" si="41"/>
        <v>21</v>
      </c>
      <c r="Z153">
        <f t="shared" si="42"/>
        <v>26</v>
      </c>
      <c r="AA153">
        <f t="shared" si="43"/>
        <v>26</v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O153" s="9"/>
      <c r="AP153" s="9"/>
      <c r="AQ153" s="9"/>
      <c r="AR153" s="9"/>
      <c r="AS153" s="9"/>
      <c r="AT153" s="9"/>
    </row>
    <row r="154" spans="12:46" ht="16.2" x14ac:dyDescent="0.3">
      <c r="L154" s="15">
        <v>151</v>
      </c>
      <c r="M154" t="s">
        <v>28</v>
      </c>
      <c r="N154" t="s">
        <v>24</v>
      </c>
      <c r="O154" t="s">
        <v>28</v>
      </c>
      <c r="P154" t="s">
        <v>18</v>
      </c>
      <c r="Q154" t="s">
        <v>64</v>
      </c>
      <c r="R154" t="s">
        <v>24</v>
      </c>
      <c r="S154" t="s">
        <v>18</v>
      </c>
      <c r="U154">
        <f t="shared" si="37"/>
        <v>26</v>
      </c>
      <c r="V154">
        <f t="shared" si="38"/>
        <v>21</v>
      </c>
      <c r="W154">
        <f t="shared" si="39"/>
        <v>26</v>
      </c>
      <c r="X154">
        <f t="shared" si="40"/>
        <v>22</v>
      </c>
      <c r="Y154">
        <f t="shared" si="41"/>
        <v>23</v>
      </c>
      <c r="Z154">
        <f t="shared" si="42"/>
        <v>21</v>
      </c>
      <c r="AA154">
        <f t="shared" si="43"/>
        <v>22</v>
      </c>
      <c r="AC154">
        <v>1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O154" s="9"/>
      <c r="AP154" s="9"/>
      <c r="AQ154" s="9"/>
      <c r="AR154" s="9"/>
      <c r="AS154" s="9"/>
      <c r="AT154" s="9"/>
    </row>
    <row r="155" spans="12:46" ht="16.2" x14ac:dyDescent="0.3">
      <c r="L155" s="14">
        <v>152</v>
      </c>
      <c r="M155" t="s">
        <v>89</v>
      </c>
      <c r="N155" t="s">
        <v>230</v>
      </c>
      <c r="O155" t="s">
        <v>64</v>
      </c>
      <c r="P155" t="s">
        <v>26</v>
      </c>
      <c r="Q155" t="s">
        <v>28</v>
      </c>
      <c r="R155" t="s">
        <v>26</v>
      </c>
      <c r="S155" t="s">
        <v>28</v>
      </c>
      <c r="U155">
        <f t="shared" si="37"/>
        <v>27</v>
      </c>
      <c r="V155">
        <f t="shared" si="38"/>
        <v>0</v>
      </c>
      <c r="W155">
        <f t="shared" si="39"/>
        <v>23</v>
      </c>
      <c r="X155">
        <f t="shared" si="40"/>
        <v>26</v>
      </c>
      <c r="Y155">
        <f t="shared" si="41"/>
        <v>26</v>
      </c>
      <c r="Z155">
        <f t="shared" si="42"/>
        <v>26</v>
      </c>
      <c r="AA155">
        <f t="shared" si="43"/>
        <v>26</v>
      </c>
      <c r="AC155">
        <v>1</v>
      </c>
      <c r="AD155">
        <v>1</v>
      </c>
      <c r="AE155">
        <v>1</v>
      </c>
      <c r="AF155">
        <v>1</v>
      </c>
      <c r="AG155">
        <v>1</v>
      </c>
      <c r="AH155">
        <v>1</v>
      </c>
      <c r="AI155">
        <v>1</v>
      </c>
      <c r="AO155" s="9"/>
      <c r="AP155" s="9"/>
      <c r="AQ155" s="9"/>
      <c r="AR155" s="9"/>
      <c r="AS155" s="9"/>
      <c r="AT155" s="9"/>
    </row>
    <row r="156" spans="12:46" ht="16.2" x14ac:dyDescent="0.3">
      <c r="L156" s="15">
        <v>153</v>
      </c>
      <c r="M156" t="s">
        <v>26</v>
      </c>
      <c r="N156" t="s">
        <v>27</v>
      </c>
      <c r="O156" t="s">
        <v>24</v>
      </c>
      <c r="P156" t="s">
        <v>28</v>
      </c>
      <c r="Q156" t="s">
        <v>26</v>
      </c>
      <c r="R156" t="s">
        <v>28</v>
      </c>
      <c r="S156" t="s">
        <v>27</v>
      </c>
      <c r="U156">
        <f t="shared" si="37"/>
        <v>26</v>
      </c>
      <c r="V156">
        <f t="shared" si="38"/>
        <v>21</v>
      </c>
      <c r="W156">
        <f t="shared" si="39"/>
        <v>21</v>
      </c>
      <c r="X156">
        <f t="shared" si="40"/>
        <v>26</v>
      </c>
      <c r="Y156">
        <f t="shared" si="41"/>
        <v>26</v>
      </c>
      <c r="Z156">
        <f t="shared" si="42"/>
        <v>26</v>
      </c>
      <c r="AA156">
        <f t="shared" si="43"/>
        <v>21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O156" s="9"/>
      <c r="AP156" s="9"/>
      <c r="AQ156" s="9"/>
      <c r="AR156" s="9"/>
      <c r="AS156" s="9"/>
      <c r="AT156" s="9"/>
    </row>
    <row r="157" spans="12:46" ht="16.2" x14ac:dyDescent="0.3">
      <c r="L157" s="15">
        <v>154</v>
      </c>
      <c r="M157" t="s">
        <v>18</v>
      </c>
      <c r="N157" t="s">
        <v>28</v>
      </c>
      <c r="O157" t="s">
        <v>29</v>
      </c>
      <c r="P157" t="s">
        <v>230</v>
      </c>
      <c r="Q157" t="s">
        <v>18</v>
      </c>
      <c r="R157" t="s">
        <v>228</v>
      </c>
      <c r="S157" t="s">
        <v>26</v>
      </c>
      <c r="U157">
        <f t="shared" si="37"/>
        <v>22</v>
      </c>
      <c r="V157">
        <f t="shared" si="38"/>
        <v>26</v>
      </c>
      <c r="W157">
        <f t="shared" si="39"/>
        <v>19</v>
      </c>
      <c r="X157">
        <f t="shared" si="40"/>
        <v>0</v>
      </c>
      <c r="Y157">
        <f t="shared" si="41"/>
        <v>22</v>
      </c>
      <c r="Z157">
        <f t="shared" si="42"/>
        <v>0</v>
      </c>
      <c r="AA157">
        <f t="shared" si="43"/>
        <v>26</v>
      </c>
      <c r="AC157">
        <v>1</v>
      </c>
      <c r="AD157">
        <v>1</v>
      </c>
      <c r="AE157">
        <v>1</v>
      </c>
      <c r="AF157">
        <v>1</v>
      </c>
      <c r="AG157">
        <v>1</v>
      </c>
      <c r="AH157">
        <v>1</v>
      </c>
      <c r="AI157">
        <v>1</v>
      </c>
      <c r="AO157" s="9"/>
      <c r="AP157" s="9"/>
      <c r="AQ157" s="9"/>
      <c r="AR157" s="9"/>
      <c r="AS157" s="9"/>
      <c r="AT157" s="9"/>
    </row>
    <row r="158" spans="12:46" ht="16.2" x14ac:dyDescent="0.3">
      <c r="L158" s="14">
        <v>155</v>
      </c>
      <c r="M158" t="s">
        <v>24</v>
      </c>
      <c r="N158" t="s">
        <v>24</v>
      </c>
      <c r="O158" t="s">
        <v>28</v>
      </c>
      <c r="P158" t="s">
        <v>27</v>
      </c>
      <c r="Q158" t="s">
        <v>64</v>
      </c>
      <c r="R158" t="s">
        <v>20</v>
      </c>
      <c r="S158" t="s">
        <v>89</v>
      </c>
      <c r="U158">
        <f t="shared" si="37"/>
        <v>21</v>
      </c>
      <c r="V158">
        <f t="shared" si="38"/>
        <v>21</v>
      </c>
      <c r="W158">
        <f t="shared" si="39"/>
        <v>26</v>
      </c>
      <c r="X158">
        <f t="shared" si="40"/>
        <v>21</v>
      </c>
      <c r="Y158">
        <f t="shared" si="41"/>
        <v>23</v>
      </c>
      <c r="Z158">
        <f t="shared" si="42"/>
        <v>4</v>
      </c>
      <c r="AA158">
        <f t="shared" si="43"/>
        <v>27</v>
      </c>
      <c r="AC158">
        <v>1</v>
      </c>
      <c r="AD158">
        <v>1</v>
      </c>
      <c r="AE158">
        <v>1</v>
      </c>
      <c r="AF158">
        <v>1</v>
      </c>
      <c r="AG158">
        <v>1</v>
      </c>
      <c r="AH158">
        <v>1</v>
      </c>
      <c r="AI158">
        <v>1</v>
      </c>
      <c r="AO158" s="9"/>
      <c r="AP158" s="9"/>
      <c r="AQ158" s="9"/>
      <c r="AR158" s="9"/>
      <c r="AS158" s="9"/>
      <c r="AT158" s="9"/>
    </row>
    <row r="159" spans="12:46" ht="16.2" x14ac:dyDescent="0.3">
      <c r="L159" s="15">
        <v>156</v>
      </c>
      <c r="M159" t="s">
        <v>26</v>
      </c>
      <c r="N159" t="s">
        <v>64</v>
      </c>
      <c r="O159" t="s">
        <v>18</v>
      </c>
      <c r="P159" t="s">
        <v>64</v>
      </c>
      <c r="Q159" t="s">
        <v>20</v>
      </c>
      <c r="R159" t="s">
        <v>28</v>
      </c>
      <c r="S159" t="s">
        <v>29</v>
      </c>
      <c r="U159">
        <f t="shared" si="37"/>
        <v>26</v>
      </c>
      <c r="V159">
        <f t="shared" si="38"/>
        <v>23</v>
      </c>
      <c r="W159">
        <f t="shared" si="39"/>
        <v>22</v>
      </c>
      <c r="X159">
        <f t="shared" si="40"/>
        <v>23</v>
      </c>
      <c r="Y159">
        <f t="shared" si="41"/>
        <v>4</v>
      </c>
      <c r="Z159">
        <f t="shared" si="42"/>
        <v>26</v>
      </c>
      <c r="AA159">
        <f t="shared" si="43"/>
        <v>19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1</v>
      </c>
      <c r="AI159">
        <v>1</v>
      </c>
      <c r="AO159" s="9"/>
      <c r="AP159" s="9"/>
      <c r="AQ159" s="9"/>
      <c r="AR159" s="9"/>
      <c r="AS159" s="9"/>
      <c r="AT159" s="9"/>
    </row>
    <row r="160" spans="12:46" ht="16.2" x14ac:dyDescent="0.3">
      <c r="L160" s="14">
        <v>157</v>
      </c>
      <c r="M160" t="s">
        <v>28</v>
      </c>
      <c r="N160" t="s">
        <v>24</v>
      </c>
      <c r="O160" t="s">
        <v>89</v>
      </c>
      <c r="P160" t="s">
        <v>24</v>
      </c>
      <c r="Q160" t="s">
        <v>18</v>
      </c>
      <c r="R160" t="s">
        <v>27</v>
      </c>
      <c r="S160" t="s">
        <v>29</v>
      </c>
      <c r="U160">
        <f t="shared" si="37"/>
        <v>26</v>
      </c>
      <c r="V160">
        <f t="shared" si="38"/>
        <v>21</v>
      </c>
      <c r="W160">
        <f t="shared" si="39"/>
        <v>27</v>
      </c>
      <c r="X160">
        <f t="shared" si="40"/>
        <v>21</v>
      </c>
      <c r="Y160">
        <f t="shared" si="41"/>
        <v>22</v>
      </c>
      <c r="Z160">
        <f t="shared" si="42"/>
        <v>21</v>
      </c>
      <c r="AA160">
        <f t="shared" si="43"/>
        <v>19</v>
      </c>
      <c r="AC160">
        <v>1</v>
      </c>
      <c r="AD160">
        <v>1</v>
      </c>
      <c r="AE160">
        <v>1</v>
      </c>
      <c r="AF160">
        <v>1</v>
      </c>
      <c r="AG160">
        <v>1</v>
      </c>
      <c r="AH160">
        <v>1</v>
      </c>
      <c r="AI160">
        <v>1</v>
      </c>
      <c r="AO160" s="9"/>
      <c r="AP160" s="9"/>
      <c r="AQ160" s="9"/>
      <c r="AR160" s="9"/>
      <c r="AS160" s="9"/>
      <c r="AT160" s="9"/>
    </row>
    <row r="161" spans="12:46" ht="16.2" x14ac:dyDescent="0.3">
      <c r="L161" s="15">
        <v>158</v>
      </c>
      <c r="M161" t="s">
        <v>26</v>
      </c>
      <c r="N161" t="s">
        <v>29</v>
      </c>
      <c r="O161" t="s">
        <v>18</v>
      </c>
      <c r="P161" t="s">
        <v>234</v>
      </c>
      <c r="Q161" t="s">
        <v>89</v>
      </c>
      <c r="R161" t="s">
        <v>18</v>
      </c>
      <c r="S161" t="s">
        <v>29</v>
      </c>
      <c r="U161">
        <f t="shared" si="37"/>
        <v>26</v>
      </c>
      <c r="V161">
        <f t="shared" si="38"/>
        <v>19</v>
      </c>
      <c r="W161">
        <f t="shared" si="39"/>
        <v>22</v>
      </c>
      <c r="X161">
        <f t="shared" si="40"/>
        <v>0</v>
      </c>
      <c r="Y161">
        <f t="shared" si="41"/>
        <v>27</v>
      </c>
      <c r="Z161">
        <f t="shared" si="42"/>
        <v>22</v>
      </c>
      <c r="AA161">
        <f t="shared" si="43"/>
        <v>19</v>
      </c>
      <c r="AC161">
        <v>1</v>
      </c>
      <c r="AD161">
        <v>1</v>
      </c>
      <c r="AE161">
        <v>1</v>
      </c>
      <c r="AF161">
        <v>1</v>
      </c>
      <c r="AG161">
        <v>1</v>
      </c>
      <c r="AH161">
        <v>1</v>
      </c>
      <c r="AI161">
        <v>1</v>
      </c>
      <c r="AO161" s="9"/>
      <c r="AP161" s="9"/>
      <c r="AQ161" s="9"/>
      <c r="AR161" s="9"/>
      <c r="AS161" s="9"/>
      <c r="AT161" s="9"/>
    </row>
    <row r="162" spans="12:46" ht="16.2" x14ac:dyDescent="0.3">
      <c r="L162" s="14">
        <v>159</v>
      </c>
      <c r="M162" t="s">
        <v>26</v>
      </c>
      <c r="N162" t="s">
        <v>64</v>
      </c>
      <c r="O162" t="s">
        <v>64</v>
      </c>
      <c r="P162" t="s">
        <v>242</v>
      </c>
      <c r="Q162" t="s">
        <v>232</v>
      </c>
      <c r="R162" t="s">
        <v>238</v>
      </c>
      <c r="S162" t="s">
        <v>29</v>
      </c>
      <c r="U162">
        <f t="shared" si="37"/>
        <v>26</v>
      </c>
      <c r="V162">
        <f t="shared" si="38"/>
        <v>23</v>
      </c>
      <c r="W162">
        <f t="shared" si="39"/>
        <v>23</v>
      </c>
      <c r="X162">
        <f t="shared" si="40"/>
        <v>0</v>
      </c>
      <c r="Y162">
        <f t="shared" si="41"/>
        <v>0</v>
      </c>
      <c r="Z162">
        <f t="shared" si="42"/>
        <v>0</v>
      </c>
      <c r="AA162">
        <f t="shared" si="43"/>
        <v>19</v>
      </c>
      <c r="AC162">
        <v>1</v>
      </c>
      <c r="AD162">
        <v>1</v>
      </c>
      <c r="AE162">
        <v>1</v>
      </c>
      <c r="AF162">
        <v>1</v>
      </c>
      <c r="AG162">
        <v>1</v>
      </c>
      <c r="AH162">
        <v>1</v>
      </c>
      <c r="AI162">
        <v>1</v>
      </c>
      <c r="AO162" s="9"/>
      <c r="AP162" s="9"/>
      <c r="AQ162" s="9"/>
      <c r="AR162" s="9"/>
      <c r="AS162" s="9"/>
      <c r="AT162" s="9"/>
    </row>
    <row r="163" spans="12:46" ht="16.2" x14ac:dyDescent="0.3">
      <c r="L163" s="15">
        <v>160</v>
      </c>
      <c r="M163" t="s">
        <v>89</v>
      </c>
      <c r="N163" t="s">
        <v>29</v>
      </c>
      <c r="O163" t="s">
        <v>232</v>
      </c>
      <c r="P163" t="s">
        <v>26</v>
      </c>
      <c r="Q163" t="s">
        <v>17</v>
      </c>
      <c r="R163" t="s">
        <v>89</v>
      </c>
      <c r="S163" t="s">
        <v>18</v>
      </c>
      <c r="U163">
        <f t="shared" si="37"/>
        <v>27</v>
      </c>
      <c r="V163">
        <f t="shared" si="38"/>
        <v>19</v>
      </c>
      <c r="W163">
        <f t="shared" si="39"/>
        <v>0</v>
      </c>
      <c r="X163">
        <f t="shared" si="40"/>
        <v>26</v>
      </c>
      <c r="Y163">
        <f t="shared" si="41"/>
        <v>5</v>
      </c>
      <c r="Z163">
        <f t="shared" si="42"/>
        <v>27</v>
      </c>
      <c r="AA163">
        <f t="shared" si="43"/>
        <v>22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O163" s="9"/>
      <c r="AP163" s="9"/>
      <c r="AQ163" s="9"/>
      <c r="AR163" s="9"/>
      <c r="AS163" s="9"/>
      <c r="AT163" s="9"/>
    </row>
    <row r="164" spans="12:46" ht="16.2" x14ac:dyDescent="0.3">
      <c r="L164" s="14">
        <v>161</v>
      </c>
      <c r="M164" t="s">
        <v>26</v>
      </c>
      <c r="N164" t="s">
        <v>26</v>
      </c>
      <c r="O164" t="s">
        <v>89</v>
      </c>
      <c r="P164" t="s">
        <v>27</v>
      </c>
      <c r="Q164" t="s">
        <v>64</v>
      </c>
      <c r="R164" t="s">
        <v>89</v>
      </c>
      <c r="S164" t="s">
        <v>89</v>
      </c>
      <c r="U164">
        <f t="shared" ref="U164:U195" si="44">VLOOKUP(M164, $A$4:$J$29, 9, 0)</f>
        <v>26</v>
      </c>
      <c r="V164">
        <f t="shared" ref="V164:V195" si="45">VLOOKUP(N164, $A$4:$J$29, 9, 0)</f>
        <v>26</v>
      </c>
      <c r="W164">
        <f t="shared" ref="W164:W195" si="46">VLOOKUP(O164, $A$4:$J$29, 9, 0)</f>
        <v>27</v>
      </c>
      <c r="X164">
        <f t="shared" ref="X164:X195" si="47">VLOOKUP(P164, $A$4:$J$29, 9, 0)</f>
        <v>21</v>
      </c>
      <c r="Y164">
        <f t="shared" ref="Y164:Y195" si="48">VLOOKUP(Q164, $A$4:$J$29, 9, 0)</f>
        <v>23</v>
      </c>
      <c r="Z164">
        <f t="shared" ref="Z164:Z195" si="49">VLOOKUP(R164, $A$4:$J$29, 9, 0)</f>
        <v>27</v>
      </c>
      <c r="AA164">
        <f t="shared" ref="AA164:AA195" si="50">VLOOKUP(S164, $A$4:$J$29, 9, 0)</f>
        <v>27</v>
      </c>
      <c r="AC164">
        <v>1</v>
      </c>
      <c r="AD164">
        <v>1</v>
      </c>
      <c r="AE164">
        <v>1</v>
      </c>
      <c r="AF164">
        <v>1</v>
      </c>
      <c r="AG164">
        <v>1</v>
      </c>
      <c r="AH164">
        <v>1</v>
      </c>
      <c r="AI164">
        <v>1</v>
      </c>
      <c r="AO164" s="9"/>
      <c r="AP164" s="9"/>
      <c r="AQ164" s="9"/>
      <c r="AR164" s="9"/>
      <c r="AS164" s="9"/>
      <c r="AT164" s="9"/>
    </row>
    <row r="165" spans="12:46" ht="16.2" x14ac:dyDescent="0.3">
      <c r="L165" s="15">
        <v>162</v>
      </c>
      <c r="M165" t="s">
        <v>17</v>
      </c>
      <c r="N165" t="s">
        <v>29</v>
      </c>
      <c r="O165" t="s">
        <v>18</v>
      </c>
      <c r="P165" t="s">
        <v>64</v>
      </c>
      <c r="Q165" t="s">
        <v>29</v>
      </c>
      <c r="R165" t="s">
        <v>64</v>
      </c>
      <c r="S165" t="s">
        <v>28</v>
      </c>
      <c r="U165">
        <f t="shared" si="44"/>
        <v>5</v>
      </c>
      <c r="V165">
        <f t="shared" si="45"/>
        <v>19</v>
      </c>
      <c r="W165">
        <f t="shared" si="46"/>
        <v>22</v>
      </c>
      <c r="X165">
        <f t="shared" si="47"/>
        <v>23</v>
      </c>
      <c r="Y165">
        <f t="shared" si="48"/>
        <v>19</v>
      </c>
      <c r="Z165">
        <f t="shared" si="49"/>
        <v>23</v>
      </c>
      <c r="AA165">
        <f t="shared" si="50"/>
        <v>26</v>
      </c>
      <c r="AC165">
        <v>1</v>
      </c>
      <c r="AD165">
        <v>1</v>
      </c>
      <c r="AE165">
        <v>1</v>
      </c>
      <c r="AF165">
        <v>1</v>
      </c>
      <c r="AG165">
        <v>1</v>
      </c>
      <c r="AH165">
        <v>1</v>
      </c>
      <c r="AI165">
        <v>1</v>
      </c>
      <c r="AO165" s="9"/>
      <c r="AP165" s="9"/>
      <c r="AQ165" s="9"/>
      <c r="AR165" s="9"/>
      <c r="AS165" s="9"/>
      <c r="AT165" s="9"/>
    </row>
    <row r="166" spans="12:46" ht="16.2" x14ac:dyDescent="0.3">
      <c r="L166" s="15">
        <v>163</v>
      </c>
      <c r="M166" t="s">
        <v>21</v>
      </c>
      <c r="N166" t="s">
        <v>24</v>
      </c>
      <c r="O166" t="s">
        <v>89</v>
      </c>
      <c r="P166" t="s">
        <v>18</v>
      </c>
      <c r="Q166" t="s">
        <v>89</v>
      </c>
      <c r="R166" t="s">
        <v>232</v>
      </c>
      <c r="S166" t="s">
        <v>24</v>
      </c>
      <c r="U166">
        <f t="shared" si="44"/>
        <v>4</v>
      </c>
      <c r="V166">
        <f t="shared" si="45"/>
        <v>21</v>
      </c>
      <c r="W166">
        <f t="shared" si="46"/>
        <v>27</v>
      </c>
      <c r="X166">
        <f t="shared" si="47"/>
        <v>22</v>
      </c>
      <c r="Y166">
        <f t="shared" si="48"/>
        <v>27</v>
      </c>
      <c r="Z166">
        <f t="shared" si="49"/>
        <v>0</v>
      </c>
      <c r="AA166">
        <f t="shared" si="50"/>
        <v>21</v>
      </c>
      <c r="AC166">
        <v>1</v>
      </c>
      <c r="AD166">
        <v>1</v>
      </c>
      <c r="AE166">
        <v>1</v>
      </c>
      <c r="AF166">
        <v>1</v>
      </c>
      <c r="AG166">
        <v>1</v>
      </c>
      <c r="AH166">
        <v>1</v>
      </c>
      <c r="AI166">
        <v>1</v>
      </c>
      <c r="AO166" s="9"/>
      <c r="AP166" s="9"/>
      <c r="AQ166" s="9"/>
      <c r="AR166" s="9"/>
      <c r="AS166" s="9"/>
      <c r="AT166" s="9"/>
    </row>
    <row r="167" spans="12:46" ht="16.2" x14ac:dyDescent="0.3">
      <c r="L167" s="14">
        <v>164</v>
      </c>
      <c r="M167" t="s">
        <v>26</v>
      </c>
      <c r="N167" t="s">
        <v>24</v>
      </c>
      <c r="O167" t="s">
        <v>26</v>
      </c>
      <c r="P167" t="s">
        <v>21</v>
      </c>
      <c r="Q167" t="s">
        <v>28</v>
      </c>
      <c r="R167" t="s">
        <v>27</v>
      </c>
      <c r="S167" t="s">
        <v>18</v>
      </c>
      <c r="U167">
        <f t="shared" si="44"/>
        <v>26</v>
      </c>
      <c r="V167">
        <f t="shared" si="45"/>
        <v>21</v>
      </c>
      <c r="W167">
        <f t="shared" si="46"/>
        <v>26</v>
      </c>
      <c r="X167">
        <f t="shared" si="47"/>
        <v>4</v>
      </c>
      <c r="Y167">
        <f t="shared" si="48"/>
        <v>26</v>
      </c>
      <c r="Z167">
        <f t="shared" si="49"/>
        <v>21</v>
      </c>
      <c r="AA167">
        <f t="shared" si="50"/>
        <v>22</v>
      </c>
      <c r="AC167">
        <v>1</v>
      </c>
      <c r="AD167">
        <v>1</v>
      </c>
      <c r="AE167">
        <v>1</v>
      </c>
      <c r="AF167">
        <v>1</v>
      </c>
      <c r="AG167">
        <v>1</v>
      </c>
      <c r="AH167">
        <v>1</v>
      </c>
      <c r="AI167">
        <v>1</v>
      </c>
      <c r="AO167" s="9"/>
      <c r="AP167" s="9"/>
      <c r="AQ167" s="9"/>
      <c r="AR167" s="9"/>
      <c r="AS167" s="9"/>
      <c r="AT167" s="9"/>
    </row>
    <row r="168" spans="12:46" ht="16.2" x14ac:dyDescent="0.3">
      <c r="L168" s="15">
        <v>165</v>
      </c>
      <c r="M168" t="s">
        <v>89</v>
      </c>
      <c r="N168" t="s">
        <v>21</v>
      </c>
      <c r="O168" t="s">
        <v>29</v>
      </c>
      <c r="P168" t="s">
        <v>64</v>
      </c>
      <c r="Q168" t="s">
        <v>27</v>
      </c>
      <c r="R168" t="s">
        <v>27</v>
      </c>
      <c r="S168" t="s">
        <v>26</v>
      </c>
      <c r="U168">
        <f t="shared" si="44"/>
        <v>27</v>
      </c>
      <c r="V168">
        <f t="shared" si="45"/>
        <v>4</v>
      </c>
      <c r="W168">
        <f t="shared" si="46"/>
        <v>19</v>
      </c>
      <c r="X168">
        <f t="shared" si="47"/>
        <v>23</v>
      </c>
      <c r="Y168">
        <f t="shared" si="48"/>
        <v>21</v>
      </c>
      <c r="Z168">
        <f t="shared" si="49"/>
        <v>21</v>
      </c>
      <c r="AA168">
        <f t="shared" si="50"/>
        <v>26</v>
      </c>
      <c r="AC168">
        <v>1</v>
      </c>
      <c r="AD168">
        <v>1</v>
      </c>
      <c r="AE168">
        <v>1</v>
      </c>
      <c r="AF168">
        <v>1</v>
      </c>
      <c r="AG168">
        <v>1</v>
      </c>
      <c r="AH168">
        <v>1</v>
      </c>
      <c r="AI168">
        <v>1</v>
      </c>
      <c r="AO168" s="9"/>
      <c r="AP168" s="9"/>
      <c r="AQ168" s="9"/>
      <c r="AR168" s="9"/>
      <c r="AS168" s="9"/>
      <c r="AT168" s="9"/>
    </row>
    <row r="169" spans="12:46" ht="16.2" x14ac:dyDescent="0.3">
      <c r="L169" s="14">
        <v>166</v>
      </c>
      <c r="M169" t="s">
        <v>28</v>
      </c>
      <c r="N169" t="s">
        <v>19</v>
      </c>
      <c r="O169" t="s">
        <v>232</v>
      </c>
      <c r="P169" t="s">
        <v>242</v>
      </c>
      <c r="Q169" t="s">
        <v>26</v>
      </c>
      <c r="R169" t="s">
        <v>64</v>
      </c>
      <c r="S169" t="s">
        <v>28</v>
      </c>
      <c r="U169">
        <f t="shared" si="44"/>
        <v>26</v>
      </c>
      <c r="V169">
        <f t="shared" si="45"/>
        <v>1</v>
      </c>
      <c r="W169">
        <f t="shared" si="46"/>
        <v>0</v>
      </c>
      <c r="X169">
        <f t="shared" si="47"/>
        <v>0</v>
      </c>
      <c r="Y169">
        <f t="shared" si="48"/>
        <v>26</v>
      </c>
      <c r="Z169">
        <f t="shared" si="49"/>
        <v>23</v>
      </c>
      <c r="AA169">
        <f t="shared" si="50"/>
        <v>26</v>
      </c>
      <c r="AC169">
        <v>1</v>
      </c>
      <c r="AD169">
        <v>1</v>
      </c>
      <c r="AE169">
        <v>1</v>
      </c>
      <c r="AF169">
        <v>1</v>
      </c>
      <c r="AG169">
        <v>1</v>
      </c>
      <c r="AH169">
        <v>1</v>
      </c>
      <c r="AI169">
        <v>1</v>
      </c>
      <c r="AO169" s="9"/>
      <c r="AP169" s="9"/>
      <c r="AQ169" s="9"/>
      <c r="AR169" s="9"/>
      <c r="AS169" s="9"/>
      <c r="AT169" s="9"/>
    </row>
    <row r="170" spans="12:46" ht="16.2" x14ac:dyDescent="0.3">
      <c r="L170" s="15">
        <v>167</v>
      </c>
      <c r="M170" t="s">
        <v>89</v>
      </c>
      <c r="N170" t="s">
        <v>242</v>
      </c>
      <c r="O170" t="s">
        <v>20</v>
      </c>
      <c r="P170" t="s">
        <v>230</v>
      </c>
      <c r="Q170" t="s">
        <v>18</v>
      </c>
      <c r="R170" t="s">
        <v>17</v>
      </c>
      <c r="S170" t="s">
        <v>24</v>
      </c>
      <c r="U170">
        <f t="shared" si="44"/>
        <v>27</v>
      </c>
      <c r="V170">
        <f t="shared" si="45"/>
        <v>0</v>
      </c>
      <c r="W170">
        <f t="shared" si="46"/>
        <v>4</v>
      </c>
      <c r="X170">
        <f t="shared" si="47"/>
        <v>0</v>
      </c>
      <c r="Y170">
        <f t="shared" si="48"/>
        <v>22</v>
      </c>
      <c r="Z170">
        <f t="shared" si="49"/>
        <v>5</v>
      </c>
      <c r="AA170">
        <f t="shared" si="50"/>
        <v>21</v>
      </c>
      <c r="AC170">
        <v>1</v>
      </c>
      <c r="AD170">
        <v>1</v>
      </c>
      <c r="AE170">
        <v>1</v>
      </c>
      <c r="AF170">
        <v>1</v>
      </c>
      <c r="AG170">
        <v>1</v>
      </c>
      <c r="AH170">
        <v>1</v>
      </c>
      <c r="AI170">
        <v>1</v>
      </c>
      <c r="AO170" s="9"/>
      <c r="AP170" s="9"/>
      <c r="AQ170" s="9"/>
      <c r="AR170" s="9"/>
      <c r="AS170" s="9"/>
      <c r="AT170" s="9"/>
    </row>
    <row r="171" spans="12:46" ht="16.2" x14ac:dyDescent="0.3">
      <c r="L171" s="14">
        <v>168</v>
      </c>
      <c r="M171" t="s">
        <v>28</v>
      </c>
      <c r="N171" t="s">
        <v>24</v>
      </c>
      <c r="O171" t="s">
        <v>26</v>
      </c>
      <c r="P171" t="s">
        <v>64</v>
      </c>
      <c r="Q171" t="s">
        <v>24</v>
      </c>
      <c r="R171" t="s">
        <v>24</v>
      </c>
      <c r="S171" t="s">
        <v>18</v>
      </c>
      <c r="U171">
        <f t="shared" si="44"/>
        <v>26</v>
      </c>
      <c r="V171">
        <f t="shared" si="45"/>
        <v>21</v>
      </c>
      <c r="W171">
        <f t="shared" si="46"/>
        <v>26</v>
      </c>
      <c r="X171">
        <f t="shared" si="47"/>
        <v>23</v>
      </c>
      <c r="Y171">
        <f t="shared" si="48"/>
        <v>21</v>
      </c>
      <c r="Z171">
        <f t="shared" si="49"/>
        <v>21</v>
      </c>
      <c r="AA171">
        <f t="shared" si="50"/>
        <v>22</v>
      </c>
      <c r="AC171">
        <v>1</v>
      </c>
      <c r="AD171">
        <v>1</v>
      </c>
      <c r="AE171">
        <v>1</v>
      </c>
      <c r="AF171">
        <v>1</v>
      </c>
      <c r="AG171">
        <v>1</v>
      </c>
      <c r="AH171">
        <v>1</v>
      </c>
      <c r="AI171">
        <v>1</v>
      </c>
      <c r="AO171" s="9"/>
      <c r="AP171" s="9"/>
      <c r="AQ171" s="9"/>
      <c r="AR171" s="9"/>
      <c r="AS171" s="9"/>
      <c r="AT171" s="9"/>
    </row>
    <row r="172" spans="12:46" ht="16.2" x14ac:dyDescent="0.3">
      <c r="L172" s="15">
        <v>169</v>
      </c>
      <c r="M172" t="s">
        <v>89</v>
      </c>
      <c r="N172" t="s">
        <v>27</v>
      </c>
      <c r="O172" t="s">
        <v>28</v>
      </c>
      <c r="P172" t="s">
        <v>64</v>
      </c>
      <c r="Q172" t="s">
        <v>89</v>
      </c>
      <c r="R172" t="s">
        <v>27</v>
      </c>
      <c r="S172" t="s">
        <v>29</v>
      </c>
      <c r="U172">
        <f t="shared" si="44"/>
        <v>27</v>
      </c>
      <c r="V172">
        <f t="shared" si="45"/>
        <v>21</v>
      </c>
      <c r="W172">
        <f t="shared" si="46"/>
        <v>26</v>
      </c>
      <c r="X172">
        <f t="shared" si="47"/>
        <v>23</v>
      </c>
      <c r="Y172">
        <f t="shared" si="48"/>
        <v>27</v>
      </c>
      <c r="Z172">
        <f t="shared" si="49"/>
        <v>21</v>
      </c>
      <c r="AA172">
        <f t="shared" si="50"/>
        <v>19</v>
      </c>
      <c r="AC172">
        <v>1</v>
      </c>
      <c r="AD172">
        <v>1</v>
      </c>
      <c r="AE172">
        <v>1</v>
      </c>
      <c r="AF172">
        <v>1</v>
      </c>
      <c r="AG172">
        <v>1</v>
      </c>
      <c r="AH172">
        <v>1</v>
      </c>
      <c r="AI172">
        <v>1</v>
      </c>
      <c r="AO172" s="9"/>
      <c r="AP172" s="9"/>
      <c r="AQ172" s="9"/>
      <c r="AR172" s="9"/>
      <c r="AS172" s="9"/>
      <c r="AT172" s="9"/>
    </row>
    <row r="173" spans="12:46" ht="16.2" x14ac:dyDescent="0.3">
      <c r="L173" s="14">
        <v>170</v>
      </c>
      <c r="M173" t="s">
        <v>89</v>
      </c>
      <c r="N173" t="s">
        <v>64</v>
      </c>
      <c r="O173" t="s">
        <v>89</v>
      </c>
      <c r="P173" t="s">
        <v>29</v>
      </c>
      <c r="Q173" t="s">
        <v>68</v>
      </c>
      <c r="R173" t="s">
        <v>27</v>
      </c>
      <c r="S173" t="s">
        <v>29</v>
      </c>
      <c r="U173">
        <f t="shared" si="44"/>
        <v>27</v>
      </c>
      <c r="V173">
        <f t="shared" si="45"/>
        <v>23</v>
      </c>
      <c r="W173">
        <f t="shared" si="46"/>
        <v>27</v>
      </c>
      <c r="X173">
        <f t="shared" si="47"/>
        <v>19</v>
      </c>
      <c r="Y173">
        <f t="shared" si="48"/>
        <v>1</v>
      </c>
      <c r="Z173">
        <f t="shared" si="49"/>
        <v>21</v>
      </c>
      <c r="AA173">
        <f t="shared" si="50"/>
        <v>19</v>
      </c>
      <c r="AC173">
        <v>1</v>
      </c>
      <c r="AD173">
        <v>1</v>
      </c>
      <c r="AE173">
        <v>1</v>
      </c>
      <c r="AF173">
        <v>1</v>
      </c>
      <c r="AG173">
        <v>1</v>
      </c>
      <c r="AH173">
        <v>1</v>
      </c>
      <c r="AI173">
        <v>1</v>
      </c>
      <c r="AO173" s="9"/>
      <c r="AP173" s="9"/>
      <c r="AQ173" s="9"/>
      <c r="AR173" s="9"/>
      <c r="AS173" s="9"/>
      <c r="AT173" s="9"/>
    </row>
    <row r="174" spans="12:46" ht="16.2" x14ac:dyDescent="0.3">
      <c r="L174" s="15">
        <v>171</v>
      </c>
      <c r="M174" t="s">
        <v>89</v>
      </c>
      <c r="N174" t="s">
        <v>24</v>
      </c>
      <c r="O174" t="s">
        <v>68</v>
      </c>
      <c r="P174" t="s">
        <v>18</v>
      </c>
      <c r="Q174" t="s">
        <v>89</v>
      </c>
      <c r="R174" t="s">
        <v>230</v>
      </c>
      <c r="S174" t="s">
        <v>29</v>
      </c>
      <c r="U174">
        <f t="shared" si="44"/>
        <v>27</v>
      </c>
      <c r="V174">
        <f t="shared" si="45"/>
        <v>21</v>
      </c>
      <c r="W174">
        <f t="shared" si="46"/>
        <v>1</v>
      </c>
      <c r="X174">
        <f t="shared" si="47"/>
        <v>22</v>
      </c>
      <c r="Y174">
        <f t="shared" si="48"/>
        <v>27</v>
      </c>
      <c r="Z174">
        <f t="shared" si="49"/>
        <v>0</v>
      </c>
      <c r="AA174">
        <f t="shared" si="50"/>
        <v>19</v>
      </c>
      <c r="AC174">
        <v>1</v>
      </c>
      <c r="AD174">
        <v>1</v>
      </c>
      <c r="AE174">
        <v>1</v>
      </c>
      <c r="AF174">
        <v>1</v>
      </c>
      <c r="AG174">
        <v>1</v>
      </c>
      <c r="AH174">
        <v>1</v>
      </c>
      <c r="AI174">
        <v>1</v>
      </c>
      <c r="AO174" s="9"/>
      <c r="AP174" s="9"/>
      <c r="AQ174" s="9"/>
      <c r="AR174" s="9"/>
      <c r="AS174" s="9"/>
      <c r="AT174" s="9"/>
    </row>
    <row r="175" spans="12:46" ht="16.2" x14ac:dyDescent="0.3">
      <c r="L175" s="15">
        <v>172</v>
      </c>
      <c r="M175" t="s">
        <v>18</v>
      </c>
      <c r="N175" t="s">
        <v>24</v>
      </c>
      <c r="O175" t="s">
        <v>29</v>
      </c>
      <c r="P175" t="s">
        <v>64</v>
      </c>
      <c r="Q175" t="s">
        <v>28</v>
      </c>
      <c r="R175" t="s">
        <v>27</v>
      </c>
      <c r="S175" t="s">
        <v>29</v>
      </c>
      <c r="U175">
        <f t="shared" si="44"/>
        <v>22</v>
      </c>
      <c r="V175">
        <f t="shared" si="45"/>
        <v>21</v>
      </c>
      <c r="W175">
        <f t="shared" si="46"/>
        <v>19</v>
      </c>
      <c r="X175">
        <f t="shared" si="47"/>
        <v>23</v>
      </c>
      <c r="Y175">
        <f t="shared" si="48"/>
        <v>26</v>
      </c>
      <c r="Z175">
        <f t="shared" si="49"/>
        <v>21</v>
      </c>
      <c r="AA175">
        <f t="shared" si="50"/>
        <v>19</v>
      </c>
      <c r="AC175">
        <v>1</v>
      </c>
      <c r="AD175">
        <v>1</v>
      </c>
      <c r="AE175">
        <v>1</v>
      </c>
      <c r="AF175">
        <v>1</v>
      </c>
      <c r="AG175">
        <v>1</v>
      </c>
      <c r="AH175">
        <v>1</v>
      </c>
      <c r="AI175">
        <v>1</v>
      </c>
      <c r="AO175" s="9"/>
      <c r="AP175" s="9"/>
      <c r="AQ175" s="9"/>
      <c r="AR175" s="9"/>
      <c r="AS175" s="9"/>
      <c r="AT175" s="9"/>
    </row>
    <row r="176" spans="12:46" ht="16.2" x14ac:dyDescent="0.3">
      <c r="L176" s="14">
        <v>173</v>
      </c>
      <c r="M176" t="s">
        <v>64</v>
      </c>
      <c r="N176" t="s">
        <v>29</v>
      </c>
      <c r="O176" t="s">
        <v>18</v>
      </c>
      <c r="P176" t="s">
        <v>226</v>
      </c>
      <c r="Q176" t="s">
        <v>29</v>
      </c>
      <c r="R176" t="s">
        <v>24</v>
      </c>
      <c r="S176" t="s">
        <v>28</v>
      </c>
      <c r="U176">
        <f t="shared" si="44"/>
        <v>23</v>
      </c>
      <c r="V176">
        <f t="shared" si="45"/>
        <v>19</v>
      </c>
      <c r="W176">
        <f t="shared" si="46"/>
        <v>22</v>
      </c>
      <c r="X176">
        <f t="shared" si="47"/>
        <v>0</v>
      </c>
      <c r="Y176">
        <f t="shared" si="48"/>
        <v>19</v>
      </c>
      <c r="Z176">
        <f t="shared" si="49"/>
        <v>21</v>
      </c>
      <c r="AA176">
        <f t="shared" si="50"/>
        <v>26</v>
      </c>
      <c r="AC176">
        <v>1</v>
      </c>
      <c r="AD176">
        <v>1</v>
      </c>
      <c r="AE176">
        <v>1</v>
      </c>
      <c r="AF176">
        <v>1</v>
      </c>
      <c r="AG176">
        <v>1</v>
      </c>
      <c r="AH176">
        <v>1</v>
      </c>
      <c r="AI176">
        <v>1</v>
      </c>
      <c r="AO176" s="9"/>
      <c r="AP176" s="9"/>
      <c r="AQ176" s="9"/>
      <c r="AR176" s="9"/>
      <c r="AS176" s="9"/>
      <c r="AT176" s="9"/>
    </row>
    <row r="177" spans="12:46" ht="16.2" x14ac:dyDescent="0.3">
      <c r="L177" s="15">
        <v>174</v>
      </c>
      <c r="M177" t="s">
        <v>28</v>
      </c>
      <c r="N177" t="s">
        <v>24</v>
      </c>
      <c r="O177" t="s">
        <v>28</v>
      </c>
      <c r="P177" t="s">
        <v>24</v>
      </c>
      <c r="Q177" t="s">
        <v>28</v>
      </c>
      <c r="R177" t="s">
        <v>89</v>
      </c>
      <c r="S177" t="s">
        <v>27</v>
      </c>
      <c r="U177">
        <f t="shared" si="44"/>
        <v>26</v>
      </c>
      <c r="V177">
        <f t="shared" si="45"/>
        <v>21</v>
      </c>
      <c r="W177">
        <f t="shared" si="46"/>
        <v>26</v>
      </c>
      <c r="X177">
        <f t="shared" si="47"/>
        <v>21</v>
      </c>
      <c r="Y177">
        <f t="shared" si="48"/>
        <v>26</v>
      </c>
      <c r="Z177">
        <f t="shared" si="49"/>
        <v>27</v>
      </c>
      <c r="AA177">
        <f t="shared" si="50"/>
        <v>21</v>
      </c>
      <c r="AC177">
        <v>1</v>
      </c>
      <c r="AD177">
        <v>1</v>
      </c>
      <c r="AE177">
        <v>1</v>
      </c>
      <c r="AF177">
        <v>1</v>
      </c>
      <c r="AG177">
        <v>1</v>
      </c>
      <c r="AH177">
        <v>1</v>
      </c>
      <c r="AI177">
        <v>1</v>
      </c>
      <c r="AO177" s="9"/>
      <c r="AP177" s="9"/>
      <c r="AQ177" s="9"/>
      <c r="AR177" s="9"/>
      <c r="AS177" s="9"/>
      <c r="AT177" s="9"/>
    </row>
    <row r="178" spans="12:46" ht="16.2" x14ac:dyDescent="0.3">
      <c r="L178" s="14">
        <v>175</v>
      </c>
      <c r="M178" t="s">
        <v>17</v>
      </c>
      <c r="N178" t="s">
        <v>27</v>
      </c>
      <c r="O178" t="s">
        <v>230</v>
      </c>
      <c r="P178" t="s">
        <v>240</v>
      </c>
      <c r="Q178" t="s">
        <v>29</v>
      </c>
      <c r="R178" t="s">
        <v>89</v>
      </c>
      <c r="S178" t="s">
        <v>18</v>
      </c>
      <c r="U178">
        <f t="shared" si="44"/>
        <v>5</v>
      </c>
      <c r="V178">
        <f t="shared" si="45"/>
        <v>21</v>
      </c>
      <c r="W178">
        <f t="shared" si="46"/>
        <v>0</v>
      </c>
      <c r="X178">
        <f t="shared" si="47"/>
        <v>0</v>
      </c>
      <c r="Y178">
        <f t="shared" si="48"/>
        <v>19</v>
      </c>
      <c r="Z178">
        <f t="shared" si="49"/>
        <v>27</v>
      </c>
      <c r="AA178">
        <f t="shared" si="50"/>
        <v>22</v>
      </c>
      <c r="AC178">
        <v>1</v>
      </c>
      <c r="AD178">
        <v>1</v>
      </c>
      <c r="AE178">
        <v>1</v>
      </c>
      <c r="AF178">
        <v>1</v>
      </c>
      <c r="AG178">
        <v>1</v>
      </c>
      <c r="AH178">
        <v>1</v>
      </c>
      <c r="AI178">
        <v>1</v>
      </c>
      <c r="AO178" s="9"/>
      <c r="AP178" s="9"/>
      <c r="AQ178" s="9"/>
      <c r="AR178" s="9"/>
      <c r="AS178" s="9"/>
      <c r="AT178" s="9"/>
    </row>
    <row r="179" spans="12:46" ht="16.2" x14ac:dyDescent="0.3">
      <c r="L179" s="15">
        <v>176</v>
      </c>
      <c r="M179" t="s">
        <v>89</v>
      </c>
      <c r="N179" t="s">
        <v>89</v>
      </c>
      <c r="O179" t="s">
        <v>21</v>
      </c>
      <c r="P179" t="s">
        <v>27</v>
      </c>
      <c r="Q179" t="s">
        <v>24</v>
      </c>
      <c r="R179" t="s">
        <v>21</v>
      </c>
      <c r="S179" t="s">
        <v>18</v>
      </c>
      <c r="U179">
        <f t="shared" si="44"/>
        <v>27</v>
      </c>
      <c r="V179">
        <f t="shared" si="45"/>
        <v>27</v>
      </c>
      <c r="W179">
        <f t="shared" si="46"/>
        <v>4</v>
      </c>
      <c r="X179">
        <f t="shared" si="47"/>
        <v>21</v>
      </c>
      <c r="Y179">
        <f t="shared" si="48"/>
        <v>21</v>
      </c>
      <c r="Z179">
        <f t="shared" si="49"/>
        <v>4</v>
      </c>
      <c r="AA179">
        <f t="shared" si="50"/>
        <v>22</v>
      </c>
      <c r="AC179">
        <v>1</v>
      </c>
      <c r="AD179">
        <v>1</v>
      </c>
      <c r="AE179">
        <v>1</v>
      </c>
      <c r="AF179">
        <v>1</v>
      </c>
      <c r="AG179">
        <v>1</v>
      </c>
      <c r="AH179">
        <v>1</v>
      </c>
      <c r="AI179">
        <v>1</v>
      </c>
      <c r="AO179" s="9"/>
      <c r="AP179" s="9"/>
      <c r="AQ179" s="9"/>
      <c r="AR179" s="9"/>
      <c r="AS179" s="9"/>
      <c r="AT179" s="9"/>
    </row>
    <row r="180" spans="12:46" ht="16.2" x14ac:dyDescent="0.3">
      <c r="L180" s="14">
        <v>177</v>
      </c>
      <c r="M180" t="s">
        <v>28</v>
      </c>
      <c r="N180" t="s">
        <v>29</v>
      </c>
      <c r="O180" t="s">
        <v>24</v>
      </c>
      <c r="P180" t="s">
        <v>24</v>
      </c>
      <c r="Q180" t="s">
        <v>26</v>
      </c>
      <c r="R180" t="s">
        <v>18</v>
      </c>
      <c r="S180" t="s">
        <v>18</v>
      </c>
      <c r="U180">
        <f t="shared" si="44"/>
        <v>26</v>
      </c>
      <c r="V180">
        <f t="shared" si="45"/>
        <v>19</v>
      </c>
      <c r="W180">
        <f t="shared" si="46"/>
        <v>21</v>
      </c>
      <c r="X180">
        <f t="shared" si="47"/>
        <v>21</v>
      </c>
      <c r="Y180">
        <f t="shared" si="48"/>
        <v>26</v>
      </c>
      <c r="Z180">
        <f t="shared" si="49"/>
        <v>22</v>
      </c>
      <c r="AA180">
        <f t="shared" si="50"/>
        <v>22</v>
      </c>
      <c r="AC180">
        <v>1</v>
      </c>
      <c r="AD180">
        <v>1</v>
      </c>
      <c r="AE180">
        <v>1</v>
      </c>
      <c r="AF180">
        <v>1</v>
      </c>
      <c r="AG180">
        <v>1</v>
      </c>
      <c r="AH180">
        <v>1</v>
      </c>
      <c r="AI180">
        <v>1</v>
      </c>
      <c r="AO180" s="9"/>
      <c r="AP180" s="9"/>
      <c r="AQ180" s="9"/>
      <c r="AR180" s="9"/>
      <c r="AS180" s="9"/>
      <c r="AT180" s="9"/>
    </row>
    <row r="181" spans="12:46" ht="16.2" x14ac:dyDescent="0.3">
      <c r="L181" s="15">
        <v>178</v>
      </c>
      <c r="M181" t="s">
        <v>89</v>
      </c>
      <c r="N181" t="s">
        <v>24</v>
      </c>
      <c r="O181" t="s">
        <v>89</v>
      </c>
      <c r="P181" t="s">
        <v>26</v>
      </c>
      <c r="Q181" t="s">
        <v>24</v>
      </c>
      <c r="R181" t="s">
        <v>18</v>
      </c>
      <c r="S181" t="s">
        <v>18</v>
      </c>
      <c r="U181">
        <f t="shared" si="44"/>
        <v>27</v>
      </c>
      <c r="V181">
        <f t="shared" si="45"/>
        <v>21</v>
      </c>
      <c r="W181">
        <f t="shared" si="46"/>
        <v>27</v>
      </c>
      <c r="X181">
        <f t="shared" si="47"/>
        <v>26</v>
      </c>
      <c r="Y181">
        <f t="shared" si="48"/>
        <v>21</v>
      </c>
      <c r="Z181">
        <f t="shared" si="49"/>
        <v>22</v>
      </c>
      <c r="AA181">
        <f t="shared" si="50"/>
        <v>22</v>
      </c>
      <c r="AC181">
        <v>1</v>
      </c>
      <c r="AD181">
        <v>1</v>
      </c>
      <c r="AE181">
        <v>1</v>
      </c>
      <c r="AF181">
        <v>1</v>
      </c>
      <c r="AG181">
        <v>1</v>
      </c>
      <c r="AH181">
        <v>1</v>
      </c>
      <c r="AI181">
        <v>1</v>
      </c>
      <c r="AO181" s="9"/>
      <c r="AP181" s="9"/>
      <c r="AQ181" s="9"/>
      <c r="AR181" s="9"/>
      <c r="AS181" s="9"/>
      <c r="AT181" s="9"/>
    </row>
    <row r="182" spans="12:46" ht="16.2" x14ac:dyDescent="0.3">
      <c r="L182" s="14">
        <v>179</v>
      </c>
      <c r="M182" t="s">
        <v>89</v>
      </c>
      <c r="N182" t="s">
        <v>228</v>
      </c>
      <c r="O182" t="s">
        <v>29</v>
      </c>
      <c r="P182" t="s">
        <v>26</v>
      </c>
      <c r="Q182" t="s">
        <v>28</v>
      </c>
      <c r="R182" t="s">
        <v>236</v>
      </c>
      <c r="S182" t="s">
        <v>64</v>
      </c>
      <c r="U182">
        <f t="shared" si="44"/>
        <v>27</v>
      </c>
      <c r="V182">
        <f t="shared" si="45"/>
        <v>0</v>
      </c>
      <c r="W182">
        <f t="shared" si="46"/>
        <v>19</v>
      </c>
      <c r="X182">
        <f t="shared" si="47"/>
        <v>26</v>
      </c>
      <c r="Y182">
        <f t="shared" si="48"/>
        <v>26</v>
      </c>
      <c r="Z182">
        <f t="shared" si="49"/>
        <v>0</v>
      </c>
      <c r="AA182">
        <f t="shared" si="50"/>
        <v>23</v>
      </c>
      <c r="AC182">
        <v>1</v>
      </c>
      <c r="AD182">
        <v>1</v>
      </c>
      <c r="AE182">
        <v>1</v>
      </c>
      <c r="AF182">
        <v>1</v>
      </c>
      <c r="AG182">
        <v>1</v>
      </c>
      <c r="AH182">
        <v>1</v>
      </c>
      <c r="AI182">
        <v>1</v>
      </c>
      <c r="AO182" s="9"/>
      <c r="AP182" s="9"/>
      <c r="AQ182" s="9"/>
      <c r="AR182" s="9"/>
      <c r="AS182" s="9"/>
      <c r="AT182" s="9"/>
    </row>
    <row r="183" spans="12:46" ht="16.2" x14ac:dyDescent="0.3">
      <c r="L183" s="15">
        <v>180</v>
      </c>
      <c r="M183" t="s">
        <v>26</v>
      </c>
      <c r="N183" t="s">
        <v>27</v>
      </c>
      <c r="O183" t="s">
        <v>240</v>
      </c>
      <c r="P183" t="s">
        <v>68</v>
      </c>
      <c r="Q183" t="s">
        <v>18</v>
      </c>
      <c r="R183" t="s">
        <v>26</v>
      </c>
      <c r="S183" t="s">
        <v>89</v>
      </c>
      <c r="U183">
        <f t="shared" si="44"/>
        <v>26</v>
      </c>
      <c r="V183">
        <f t="shared" si="45"/>
        <v>21</v>
      </c>
      <c r="W183">
        <f t="shared" si="46"/>
        <v>0</v>
      </c>
      <c r="X183">
        <f t="shared" si="47"/>
        <v>1</v>
      </c>
      <c r="Y183">
        <f t="shared" si="48"/>
        <v>22</v>
      </c>
      <c r="Z183">
        <f t="shared" si="49"/>
        <v>26</v>
      </c>
      <c r="AA183">
        <f t="shared" si="50"/>
        <v>27</v>
      </c>
      <c r="AC183">
        <v>1</v>
      </c>
      <c r="AD183">
        <v>1</v>
      </c>
      <c r="AE183">
        <v>1</v>
      </c>
      <c r="AF183">
        <v>1</v>
      </c>
      <c r="AG183">
        <v>1</v>
      </c>
      <c r="AH183">
        <v>1</v>
      </c>
      <c r="AI183">
        <v>1</v>
      </c>
      <c r="AO183" s="9"/>
      <c r="AP183" s="9"/>
      <c r="AQ183" s="9"/>
      <c r="AR183" s="9"/>
      <c r="AS183" s="9"/>
      <c r="AT183" s="9"/>
    </row>
    <row r="184" spans="12:46" ht="16.2" x14ac:dyDescent="0.3">
      <c r="L184" s="15">
        <v>181</v>
      </c>
      <c r="M184" t="s">
        <v>28</v>
      </c>
      <c r="N184" t="s">
        <v>29</v>
      </c>
      <c r="O184" t="s">
        <v>89</v>
      </c>
      <c r="P184" t="s">
        <v>29</v>
      </c>
      <c r="Q184" t="s">
        <v>28</v>
      </c>
      <c r="R184" t="s">
        <v>28</v>
      </c>
      <c r="S184" t="s">
        <v>24</v>
      </c>
      <c r="U184">
        <f t="shared" si="44"/>
        <v>26</v>
      </c>
      <c r="V184">
        <f t="shared" si="45"/>
        <v>19</v>
      </c>
      <c r="W184">
        <f t="shared" si="46"/>
        <v>27</v>
      </c>
      <c r="X184">
        <f t="shared" si="47"/>
        <v>19</v>
      </c>
      <c r="Y184">
        <f t="shared" si="48"/>
        <v>26</v>
      </c>
      <c r="Z184">
        <f t="shared" si="49"/>
        <v>26</v>
      </c>
      <c r="AA184">
        <f t="shared" si="50"/>
        <v>21</v>
      </c>
      <c r="AC184">
        <v>1</v>
      </c>
      <c r="AD184">
        <v>1</v>
      </c>
      <c r="AE184">
        <v>1</v>
      </c>
      <c r="AF184">
        <v>1</v>
      </c>
      <c r="AG184">
        <v>1</v>
      </c>
      <c r="AH184">
        <v>1</v>
      </c>
      <c r="AI184">
        <v>1</v>
      </c>
      <c r="AO184" s="9"/>
      <c r="AP184" s="9"/>
      <c r="AQ184" s="9"/>
      <c r="AR184" s="9"/>
      <c r="AS184" s="9"/>
      <c r="AT184" s="9"/>
    </row>
    <row r="185" spans="12:46" ht="16.2" x14ac:dyDescent="0.3">
      <c r="L185" s="14">
        <v>182</v>
      </c>
      <c r="M185" t="s">
        <v>28</v>
      </c>
      <c r="N185" t="s">
        <v>29</v>
      </c>
      <c r="O185" t="s">
        <v>28</v>
      </c>
      <c r="P185" t="s">
        <v>29</v>
      </c>
      <c r="Q185" t="s">
        <v>26</v>
      </c>
      <c r="R185" t="s">
        <v>240</v>
      </c>
      <c r="S185" t="s">
        <v>18</v>
      </c>
      <c r="U185">
        <f t="shared" si="44"/>
        <v>26</v>
      </c>
      <c r="V185">
        <f t="shared" si="45"/>
        <v>19</v>
      </c>
      <c r="W185">
        <f t="shared" si="46"/>
        <v>26</v>
      </c>
      <c r="X185">
        <f t="shared" si="47"/>
        <v>19</v>
      </c>
      <c r="Y185">
        <f t="shared" si="48"/>
        <v>26</v>
      </c>
      <c r="Z185">
        <f t="shared" si="49"/>
        <v>0</v>
      </c>
      <c r="AA185">
        <f t="shared" si="50"/>
        <v>22</v>
      </c>
      <c r="AC185">
        <v>1</v>
      </c>
      <c r="AD185">
        <v>1</v>
      </c>
      <c r="AE185">
        <v>1</v>
      </c>
      <c r="AF185">
        <v>1</v>
      </c>
      <c r="AG185">
        <v>1</v>
      </c>
      <c r="AH185">
        <v>1</v>
      </c>
      <c r="AI185">
        <v>1</v>
      </c>
      <c r="AO185" s="9"/>
      <c r="AP185" s="9"/>
      <c r="AQ185" s="9"/>
      <c r="AR185" s="9"/>
      <c r="AS185" s="9"/>
      <c r="AT185" s="9"/>
    </row>
    <row r="186" spans="12:46" ht="16.2" x14ac:dyDescent="0.3">
      <c r="L186" s="15">
        <v>183</v>
      </c>
      <c r="M186" t="s">
        <v>28</v>
      </c>
      <c r="N186" t="s">
        <v>26</v>
      </c>
      <c r="O186" t="s">
        <v>26</v>
      </c>
      <c r="P186" t="s">
        <v>89</v>
      </c>
      <c r="Q186" t="s">
        <v>24</v>
      </c>
      <c r="R186" t="s">
        <v>64</v>
      </c>
      <c r="S186" t="s">
        <v>28</v>
      </c>
      <c r="U186">
        <f t="shared" si="44"/>
        <v>26</v>
      </c>
      <c r="V186">
        <f t="shared" si="45"/>
        <v>26</v>
      </c>
      <c r="W186">
        <f t="shared" si="46"/>
        <v>26</v>
      </c>
      <c r="X186">
        <f t="shared" si="47"/>
        <v>27</v>
      </c>
      <c r="Y186">
        <f t="shared" si="48"/>
        <v>21</v>
      </c>
      <c r="Z186">
        <f t="shared" si="49"/>
        <v>23</v>
      </c>
      <c r="AA186">
        <f t="shared" si="50"/>
        <v>26</v>
      </c>
      <c r="AC186">
        <v>1</v>
      </c>
      <c r="AD186">
        <v>1</v>
      </c>
      <c r="AE186">
        <v>1</v>
      </c>
      <c r="AF186">
        <v>1</v>
      </c>
      <c r="AG186">
        <v>1</v>
      </c>
      <c r="AH186">
        <v>1</v>
      </c>
      <c r="AI186">
        <v>1</v>
      </c>
      <c r="AO186" s="9"/>
      <c r="AP186" s="9"/>
      <c r="AQ186" s="9"/>
      <c r="AR186" s="9"/>
      <c r="AS186" s="9"/>
      <c r="AT186" s="9"/>
    </row>
    <row r="187" spans="12:46" ht="16.2" x14ac:dyDescent="0.3">
      <c r="L187" s="14">
        <v>184</v>
      </c>
      <c r="M187" t="s">
        <v>28</v>
      </c>
      <c r="N187" t="s">
        <v>64</v>
      </c>
      <c r="O187" t="s">
        <v>89</v>
      </c>
      <c r="P187" t="s">
        <v>89</v>
      </c>
      <c r="Q187" t="s">
        <v>20</v>
      </c>
      <c r="R187" t="s">
        <v>64</v>
      </c>
      <c r="S187" t="s">
        <v>26</v>
      </c>
      <c r="U187">
        <f t="shared" si="44"/>
        <v>26</v>
      </c>
      <c r="V187">
        <f t="shared" si="45"/>
        <v>23</v>
      </c>
      <c r="W187">
        <f t="shared" si="46"/>
        <v>27</v>
      </c>
      <c r="X187">
        <f t="shared" si="47"/>
        <v>27</v>
      </c>
      <c r="Y187">
        <f t="shared" si="48"/>
        <v>4</v>
      </c>
      <c r="Z187">
        <f t="shared" si="49"/>
        <v>23</v>
      </c>
      <c r="AA187">
        <f t="shared" si="50"/>
        <v>26</v>
      </c>
      <c r="AC187">
        <v>1</v>
      </c>
      <c r="AD187">
        <v>1</v>
      </c>
      <c r="AE187">
        <v>1</v>
      </c>
      <c r="AF187">
        <v>1</v>
      </c>
      <c r="AG187">
        <v>1</v>
      </c>
      <c r="AH187">
        <v>1</v>
      </c>
      <c r="AI187">
        <v>1</v>
      </c>
      <c r="AO187" s="9"/>
      <c r="AP187" s="9"/>
      <c r="AQ187" s="9"/>
      <c r="AR187" s="9"/>
      <c r="AS187" s="9"/>
      <c r="AT187" s="9"/>
    </row>
    <row r="188" spans="12:46" ht="16.2" x14ac:dyDescent="0.3">
      <c r="L188" s="15">
        <v>185</v>
      </c>
      <c r="M188" t="s">
        <v>89</v>
      </c>
      <c r="N188" t="s">
        <v>29</v>
      </c>
      <c r="O188" t="s">
        <v>89</v>
      </c>
      <c r="P188" t="s">
        <v>232</v>
      </c>
      <c r="Q188" t="s">
        <v>27</v>
      </c>
      <c r="R188" t="s">
        <v>28</v>
      </c>
      <c r="S188" t="s">
        <v>27</v>
      </c>
      <c r="U188">
        <f t="shared" si="44"/>
        <v>27</v>
      </c>
      <c r="V188">
        <f t="shared" si="45"/>
        <v>19</v>
      </c>
      <c r="W188">
        <f t="shared" si="46"/>
        <v>27</v>
      </c>
      <c r="X188">
        <f t="shared" si="47"/>
        <v>0</v>
      </c>
      <c r="Y188">
        <f t="shared" si="48"/>
        <v>21</v>
      </c>
      <c r="Z188">
        <f t="shared" si="49"/>
        <v>26</v>
      </c>
      <c r="AA188">
        <f t="shared" si="50"/>
        <v>21</v>
      </c>
      <c r="AC188">
        <v>1</v>
      </c>
      <c r="AD188">
        <v>1</v>
      </c>
      <c r="AE188">
        <v>1</v>
      </c>
      <c r="AF188">
        <v>1</v>
      </c>
      <c r="AG188">
        <v>1</v>
      </c>
      <c r="AH188">
        <v>1</v>
      </c>
      <c r="AI188">
        <v>1</v>
      </c>
      <c r="AO188" s="9"/>
      <c r="AP188" s="9"/>
      <c r="AQ188" s="9"/>
      <c r="AR188" s="9"/>
      <c r="AS188" s="9"/>
      <c r="AT188" s="9"/>
    </row>
    <row r="189" spans="12:46" ht="16.2" x14ac:dyDescent="0.3">
      <c r="L189" s="14">
        <v>186</v>
      </c>
      <c r="M189" t="s">
        <v>28</v>
      </c>
      <c r="N189" t="s">
        <v>18</v>
      </c>
      <c r="O189" t="s">
        <v>28</v>
      </c>
      <c r="P189" t="s">
        <v>64</v>
      </c>
      <c r="Q189" t="s">
        <v>26</v>
      </c>
      <c r="R189" t="s">
        <v>27</v>
      </c>
      <c r="S189" t="s">
        <v>89</v>
      </c>
      <c r="U189">
        <f t="shared" si="44"/>
        <v>26</v>
      </c>
      <c r="V189">
        <f t="shared" si="45"/>
        <v>22</v>
      </c>
      <c r="W189">
        <f t="shared" si="46"/>
        <v>26</v>
      </c>
      <c r="X189">
        <f t="shared" si="47"/>
        <v>23</v>
      </c>
      <c r="Y189">
        <f t="shared" si="48"/>
        <v>26</v>
      </c>
      <c r="Z189">
        <f t="shared" si="49"/>
        <v>21</v>
      </c>
      <c r="AA189">
        <f t="shared" si="50"/>
        <v>27</v>
      </c>
      <c r="AC189">
        <v>1</v>
      </c>
      <c r="AD189">
        <v>1</v>
      </c>
      <c r="AE189">
        <v>1</v>
      </c>
      <c r="AF189">
        <v>1</v>
      </c>
      <c r="AG189">
        <v>1</v>
      </c>
      <c r="AH189">
        <v>1</v>
      </c>
      <c r="AI189">
        <v>1</v>
      </c>
      <c r="AO189" s="9"/>
      <c r="AP189" s="9"/>
      <c r="AQ189" s="9"/>
      <c r="AR189" s="9"/>
      <c r="AS189" s="9"/>
      <c r="AT189" s="9"/>
    </row>
    <row r="190" spans="12:46" ht="16.2" x14ac:dyDescent="0.3">
      <c r="L190" s="15">
        <v>187</v>
      </c>
      <c r="M190" t="s">
        <v>18</v>
      </c>
      <c r="N190" t="s">
        <v>29</v>
      </c>
      <c r="O190" t="s">
        <v>89</v>
      </c>
      <c r="P190" t="s">
        <v>228</v>
      </c>
      <c r="Q190" t="s">
        <v>27</v>
      </c>
      <c r="R190" t="s">
        <v>18</v>
      </c>
      <c r="S190" t="s">
        <v>28</v>
      </c>
      <c r="U190">
        <f t="shared" si="44"/>
        <v>22</v>
      </c>
      <c r="V190">
        <f t="shared" si="45"/>
        <v>19</v>
      </c>
      <c r="W190">
        <f t="shared" si="46"/>
        <v>27</v>
      </c>
      <c r="X190">
        <f t="shared" si="47"/>
        <v>0</v>
      </c>
      <c r="Y190">
        <f t="shared" si="48"/>
        <v>21</v>
      </c>
      <c r="Z190">
        <f t="shared" si="49"/>
        <v>22</v>
      </c>
      <c r="AA190">
        <f t="shared" si="50"/>
        <v>26</v>
      </c>
      <c r="AC190">
        <v>1</v>
      </c>
      <c r="AD190">
        <v>1</v>
      </c>
      <c r="AE190">
        <v>1</v>
      </c>
      <c r="AF190">
        <v>1</v>
      </c>
      <c r="AG190">
        <v>1</v>
      </c>
      <c r="AH190">
        <v>1</v>
      </c>
      <c r="AI190">
        <v>1</v>
      </c>
      <c r="AO190" s="9"/>
      <c r="AP190" s="9"/>
      <c r="AQ190" s="9"/>
      <c r="AR190" s="9"/>
      <c r="AS190" s="9"/>
      <c r="AT190" s="9"/>
    </row>
    <row r="191" spans="12:46" ht="16.2" x14ac:dyDescent="0.3">
      <c r="L191" s="14">
        <v>188</v>
      </c>
      <c r="M191" t="s">
        <v>89</v>
      </c>
      <c r="N191" t="s">
        <v>21</v>
      </c>
      <c r="O191" t="s">
        <v>26</v>
      </c>
      <c r="P191" t="s">
        <v>24</v>
      </c>
      <c r="Q191" t="s">
        <v>28</v>
      </c>
      <c r="R191" t="s">
        <v>89</v>
      </c>
      <c r="S191" t="s">
        <v>26</v>
      </c>
      <c r="U191">
        <f t="shared" si="44"/>
        <v>27</v>
      </c>
      <c r="V191">
        <f t="shared" si="45"/>
        <v>4</v>
      </c>
      <c r="W191">
        <f t="shared" si="46"/>
        <v>26</v>
      </c>
      <c r="X191">
        <f t="shared" si="47"/>
        <v>21</v>
      </c>
      <c r="Y191">
        <f t="shared" si="48"/>
        <v>26</v>
      </c>
      <c r="Z191">
        <f t="shared" si="49"/>
        <v>27</v>
      </c>
      <c r="AA191">
        <f t="shared" si="50"/>
        <v>26</v>
      </c>
      <c r="AC191">
        <v>1</v>
      </c>
      <c r="AD191">
        <v>1</v>
      </c>
      <c r="AE191">
        <v>1</v>
      </c>
      <c r="AF191">
        <v>1</v>
      </c>
      <c r="AG191">
        <v>1</v>
      </c>
      <c r="AH191">
        <v>1</v>
      </c>
      <c r="AI191">
        <v>1</v>
      </c>
      <c r="AO191" s="9"/>
      <c r="AP191" s="9"/>
      <c r="AQ191" s="9"/>
      <c r="AR191" s="9"/>
      <c r="AS191" s="9"/>
      <c r="AT191" s="9"/>
    </row>
    <row r="192" spans="12:46" ht="16.2" x14ac:dyDescent="0.3">
      <c r="L192" s="15">
        <v>189</v>
      </c>
      <c r="M192" t="s">
        <v>89</v>
      </c>
      <c r="N192" t="s">
        <v>29</v>
      </c>
      <c r="O192" t="s">
        <v>238</v>
      </c>
      <c r="P192" t="s">
        <v>29</v>
      </c>
      <c r="Q192" t="s">
        <v>28</v>
      </c>
      <c r="R192" t="s">
        <v>26</v>
      </c>
      <c r="S192" t="s">
        <v>18</v>
      </c>
      <c r="U192">
        <f t="shared" si="44"/>
        <v>27</v>
      </c>
      <c r="V192">
        <f t="shared" si="45"/>
        <v>19</v>
      </c>
      <c r="W192">
        <f t="shared" si="46"/>
        <v>0</v>
      </c>
      <c r="X192">
        <f t="shared" si="47"/>
        <v>19</v>
      </c>
      <c r="Y192">
        <f t="shared" si="48"/>
        <v>26</v>
      </c>
      <c r="Z192">
        <f t="shared" si="49"/>
        <v>26</v>
      </c>
      <c r="AA192">
        <f t="shared" si="50"/>
        <v>22</v>
      </c>
      <c r="AC192">
        <v>1</v>
      </c>
      <c r="AD192">
        <v>1</v>
      </c>
      <c r="AE192">
        <v>1</v>
      </c>
      <c r="AF192">
        <v>1</v>
      </c>
      <c r="AG192">
        <v>1</v>
      </c>
      <c r="AH192">
        <v>1</v>
      </c>
      <c r="AI192">
        <v>1</v>
      </c>
      <c r="AO192" s="9"/>
      <c r="AP192" s="9"/>
      <c r="AQ192" s="9"/>
      <c r="AR192" s="9"/>
      <c r="AS192" s="9"/>
      <c r="AT192" s="9"/>
    </row>
    <row r="193" spans="12:46" ht="16.2" x14ac:dyDescent="0.3">
      <c r="L193" s="15">
        <v>190</v>
      </c>
      <c r="M193" t="s">
        <v>27</v>
      </c>
      <c r="N193" t="s">
        <v>27</v>
      </c>
      <c r="O193" t="s">
        <v>28</v>
      </c>
      <c r="P193" t="s">
        <v>64</v>
      </c>
      <c r="Q193" t="s">
        <v>234</v>
      </c>
      <c r="R193" t="s">
        <v>89</v>
      </c>
      <c r="S193" t="s">
        <v>89</v>
      </c>
      <c r="U193">
        <f t="shared" si="44"/>
        <v>21</v>
      </c>
      <c r="V193">
        <f t="shared" si="45"/>
        <v>21</v>
      </c>
      <c r="W193">
        <f t="shared" si="46"/>
        <v>26</v>
      </c>
      <c r="X193">
        <f t="shared" si="47"/>
        <v>23</v>
      </c>
      <c r="Y193">
        <f t="shared" si="48"/>
        <v>0</v>
      </c>
      <c r="Z193">
        <f t="shared" si="49"/>
        <v>27</v>
      </c>
      <c r="AA193">
        <f t="shared" si="50"/>
        <v>27</v>
      </c>
      <c r="AC193">
        <v>1</v>
      </c>
      <c r="AD193">
        <v>1</v>
      </c>
      <c r="AE193">
        <v>1</v>
      </c>
      <c r="AF193">
        <v>1</v>
      </c>
      <c r="AG193">
        <v>1</v>
      </c>
      <c r="AH193">
        <v>1</v>
      </c>
      <c r="AI193">
        <v>1</v>
      </c>
      <c r="AO193" s="9"/>
      <c r="AP193" s="9"/>
      <c r="AQ193" s="9"/>
      <c r="AR193" s="9"/>
      <c r="AS193" s="9"/>
      <c r="AT193" s="9"/>
    </row>
    <row r="194" spans="12:46" ht="16.2" x14ac:dyDescent="0.3">
      <c r="L194" s="14">
        <v>191</v>
      </c>
      <c r="M194" t="s">
        <v>89</v>
      </c>
      <c r="N194" t="s">
        <v>29</v>
      </c>
      <c r="O194" t="s">
        <v>21</v>
      </c>
      <c r="P194" t="s">
        <v>64</v>
      </c>
      <c r="Q194" t="s">
        <v>29</v>
      </c>
      <c r="R194" t="s">
        <v>28</v>
      </c>
      <c r="S194" t="s">
        <v>64</v>
      </c>
      <c r="U194">
        <f t="shared" si="44"/>
        <v>27</v>
      </c>
      <c r="V194">
        <f t="shared" si="45"/>
        <v>19</v>
      </c>
      <c r="W194">
        <f t="shared" si="46"/>
        <v>4</v>
      </c>
      <c r="X194">
        <f t="shared" si="47"/>
        <v>23</v>
      </c>
      <c r="Y194">
        <f t="shared" si="48"/>
        <v>19</v>
      </c>
      <c r="Z194">
        <f t="shared" si="49"/>
        <v>26</v>
      </c>
      <c r="AA194">
        <f t="shared" si="50"/>
        <v>23</v>
      </c>
      <c r="AC194">
        <v>1</v>
      </c>
      <c r="AD194">
        <v>1</v>
      </c>
      <c r="AE194">
        <v>1</v>
      </c>
      <c r="AF194">
        <v>1</v>
      </c>
      <c r="AG194">
        <v>1</v>
      </c>
      <c r="AH194">
        <v>1</v>
      </c>
      <c r="AI194">
        <v>1</v>
      </c>
      <c r="AO194" s="9"/>
      <c r="AP194" s="9"/>
      <c r="AQ194" s="9"/>
      <c r="AR194" s="9"/>
      <c r="AS194" s="9"/>
      <c r="AT194" s="9"/>
    </row>
    <row r="195" spans="12:46" ht="16.2" x14ac:dyDescent="0.3">
      <c r="L195" s="15">
        <v>192</v>
      </c>
      <c r="M195" t="s">
        <v>28</v>
      </c>
      <c r="N195" t="s">
        <v>27</v>
      </c>
      <c r="O195" t="s">
        <v>232</v>
      </c>
      <c r="P195" t="s">
        <v>20</v>
      </c>
      <c r="Q195" t="s">
        <v>26</v>
      </c>
      <c r="R195" t="s">
        <v>89</v>
      </c>
      <c r="S195" t="s">
        <v>26</v>
      </c>
      <c r="U195">
        <f t="shared" si="44"/>
        <v>26</v>
      </c>
      <c r="V195">
        <f t="shared" si="45"/>
        <v>21</v>
      </c>
      <c r="W195">
        <f t="shared" si="46"/>
        <v>0</v>
      </c>
      <c r="X195">
        <f t="shared" si="47"/>
        <v>4</v>
      </c>
      <c r="Y195">
        <f t="shared" si="48"/>
        <v>26</v>
      </c>
      <c r="Z195">
        <f t="shared" si="49"/>
        <v>27</v>
      </c>
      <c r="AA195">
        <f t="shared" si="50"/>
        <v>26</v>
      </c>
      <c r="AC195">
        <v>1</v>
      </c>
      <c r="AD195">
        <v>1</v>
      </c>
      <c r="AE195">
        <v>1</v>
      </c>
      <c r="AF195">
        <v>1</v>
      </c>
      <c r="AG195">
        <v>1</v>
      </c>
      <c r="AH195">
        <v>1</v>
      </c>
      <c r="AI195">
        <v>1</v>
      </c>
      <c r="AO195" s="9"/>
      <c r="AP195" s="9"/>
      <c r="AQ195" s="9"/>
      <c r="AR195" s="9"/>
      <c r="AS195" s="9"/>
      <c r="AT195" s="9"/>
    </row>
    <row r="196" spans="12:46" ht="16.2" x14ac:dyDescent="0.3">
      <c r="L196" s="14">
        <v>193</v>
      </c>
      <c r="M196" t="s">
        <v>26</v>
      </c>
      <c r="N196" t="s">
        <v>18</v>
      </c>
      <c r="O196" t="s">
        <v>29</v>
      </c>
      <c r="P196" t="s">
        <v>27</v>
      </c>
      <c r="Q196" t="s">
        <v>242</v>
      </c>
      <c r="R196" t="s">
        <v>29</v>
      </c>
      <c r="S196" t="s">
        <v>18</v>
      </c>
      <c r="U196">
        <f t="shared" ref="U196:U203" si="51">VLOOKUP(M196, $A$4:$J$29, 9, 0)</f>
        <v>26</v>
      </c>
      <c r="V196">
        <f t="shared" ref="V196:V203" si="52">VLOOKUP(N196, $A$4:$J$29, 9, 0)</f>
        <v>22</v>
      </c>
      <c r="W196">
        <f t="shared" ref="W196:W203" si="53">VLOOKUP(O196, $A$4:$J$29, 9, 0)</f>
        <v>19</v>
      </c>
      <c r="X196">
        <f t="shared" ref="X196:X203" si="54">VLOOKUP(P196, $A$4:$J$29, 9, 0)</f>
        <v>21</v>
      </c>
      <c r="Y196">
        <f t="shared" ref="Y196:Y203" si="55">VLOOKUP(Q196, $A$4:$J$29, 9, 0)</f>
        <v>0</v>
      </c>
      <c r="Z196">
        <f t="shared" ref="Z196:Z203" si="56">VLOOKUP(R196, $A$4:$J$29, 9, 0)</f>
        <v>19</v>
      </c>
      <c r="AA196">
        <f t="shared" ref="AA196:AA203" si="57">VLOOKUP(S196, $A$4:$J$29, 9, 0)</f>
        <v>22</v>
      </c>
      <c r="AC196">
        <v>1</v>
      </c>
      <c r="AD196">
        <v>1</v>
      </c>
      <c r="AE196">
        <v>1</v>
      </c>
      <c r="AF196">
        <v>1</v>
      </c>
      <c r="AG196">
        <v>1</v>
      </c>
      <c r="AH196">
        <v>1</v>
      </c>
      <c r="AI196">
        <v>1</v>
      </c>
      <c r="AO196" s="9"/>
      <c r="AP196" s="9"/>
      <c r="AQ196" s="9"/>
      <c r="AR196" s="9"/>
      <c r="AS196" s="9"/>
      <c r="AT196" s="9"/>
    </row>
    <row r="197" spans="12:46" ht="16.2" x14ac:dyDescent="0.3">
      <c r="L197" s="15">
        <v>194</v>
      </c>
      <c r="M197" t="s">
        <v>26</v>
      </c>
      <c r="N197" t="s">
        <v>27</v>
      </c>
      <c r="O197" t="s">
        <v>26</v>
      </c>
      <c r="P197" t="s">
        <v>26</v>
      </c>
      <c r="Q197" t="s">
        <v>89</v>
      </c>
      <c r="R197" t="s">
        <v>89</v>
      </c>
      <c r="S197" t="s">
        <v>28</v>
      </c>
      <c r="U197">
        <f t="shared" si="51"/>
        <v>26</v>
      </c>
      <c r="V197">
        <f t="shared" si="52"/>
        <v>21</v>
      </c>
      <c r="W197">
        <f t="shared" si="53"/>
        <v>26</v>
      </c>
      <c r="X197">
        <f t="shared" si="54"/>
        <v>26</v>
      </c>
      <c r="Y197">
        <f t="shared" si="55"/>
        <v>27</v>
      </c>
      <c r="Z197">
        <f t="shared" si="56"/>
        <v>27</v>
      </c>
      <c r="AA197">
        <f t="shared" si="57"/>
        <v>26</v>
      </c>
      <c r="AC197">
        <v>1</v>
      </c>
      <c r="AD197">
        <v>1</v>
      </c>
      <c r="AE197">
        <v>1</v>
      </c>
      <c r="AF197">
        <v>1</v>
      </c>
      <c r="AG197">
        <v>1</v>
      </c>
      <c r="AH197">
        <v>1</v>
      </c>
      <c r="AI197">
        <v>1</v>
      </c>
      <c r="AO197" s="9"/>
      <c r="AP197" s="9"/>
      <c r="AQ197" s="9"/>
      <c r="AR197" s="9"/>
      <c r="AS197" s="9"/>
      <c r="AT197" s="9"/>
    </row>
    <row r="198" spans="12:46" ht="16.2" x14ac:dyDescent="0.3">
      <c r="L198" s="14">
        <v>195</v>
      </c>
      <c r="M198" t="s">
        <v>89</v>
      </c>
      <c r="N198" t="s">
        <v>27</v>
      </c>
      <c r="O198" t="s">
        <v>89</v>
      </c>
      <c r="P198" t="s">
        <v>24</v>
      </c>
      <c r="Q198" t="s">
        <v>27</v>
      </c>
      <c r="R198" t="s">
        <v>29</v>
      </c>
      <c r="S198" t="s">
        <v>24</v>
      </c>
      <c r="U198">
        <f t="shared" si="51"/>
        <v>27</v>
      </c>
      <c r="V198">
        <f t="shared" si="52"/>
        <v>21</v>
      </c>
      <c r="W198">
        <f t="shared" si="53"/>
        <v>27</v>
      </c>
      <c r="X198">
        <f t="shared" si="54"/>
        <v>21</v>
      </c>
      <c r="Y198">
        <f t="shared" si="55"/>
        <v>21</v>
      </c>
      <c r="Z198">
        <f t="shared" si="56"/>
        <v>19</v>
      </c>
      <c r="AA198">
        <f t="shared" si="57"/>
        <v>21</v>
      </c>
      <c r="AC198">
        <v>1</v>
      </c>
      <c r="AD198">
        <v>1</v>
      </c>
      <c r="AE198">
        <v>1</v>
      </c>
      <c r="AF198">
        <v>1</v>
      </c>
      <c r="AG198">
        <v>1</v>
      </c>
      <c r="AH198">
        <v>1</v>
      </c>
      <c r="AI198">
        <v>1</v>
      </c>
      <c r="AO198" s="9"/>
      <c r="AP198" s="9"/>
      <c r="AQ198" s="9"/>
      <c r="AR198" s="9"/>
      <c r="AS198" s="9"/>
      <c r="AT198" s="9"/>
    </row>
    <row r="199" spans="12:46" ht="16.2" x14ac:dyDescent="0.3">
      <c r="L199" s="15">
        <v>196</v>
      </c>
      <c r="M199" t="s">
        <v>89</v>
      </c>
      <c r="N199" t="s">
        <v>64</v>
      </c>
      <c r="O199" t="s">
        <v>18</v>
      </c>
      <c r="P199" t="s">
        <v>232</v>
      </c>
      <c r="Q199" t="s">
        <v>18</v>
      </c>
      <c r="R199" t="s">
        <v>89</v>
      </c>
      <c r="S199" t="s">
        <v>89</v>
      </c>
      <c r="U199">
        <f t="shared" si="51"/>
        <v>27</v>
      </c>
      <c r="V199">
        <f t="shared" si="52"/>
        <v>23</v>
      </c>
      <c r="W199">
        <f t="shared" si="53"/>
        <v>22</v>
      </c>
      <c r="X199">
        <f t="shared" si="54"/>
        <v>0</v>
      </c>
      <c r="Y199">
        <f t="shared" si="55"/>
        <v>22</v>
      </c>
      <c r="Z199">
        <f t="shared" si="56"/>
        <v>27</v>
      </c>
      <c r="AA199">
        <f t="shared" si="57"/>
        <v>27</v>
      </c>
      <c r="AC199">
        <v>1</v>
      </c>
      <c r="AD199">
        <v>1</v>
      </c>
      <c r="AE199">
        <v>1</v>
      </c>
      <c r="AF199">
        <v>1</v>
      </c>
      <c r="AG199">
        <v>1</v>
      </c>
      <c r="AH199">
        <v>1</v>
      </c>
      <c r="AI199">
        <v>1</v>
      </c>
      <c r="AO199" s="9"/>
      <c r="AP199" s="9"/>
      <c r="AQ199" s="9"/>
      <c r="AR199" s="9"/>
      <c r="AS199" s="9"/>
      <c r="AT199" s="9"/>
    </row>
    <row r="200" spans="12:46" ht="16.2" x14ac:dyDescent="0.3">
      <c r="L200" s="14">
        <v>197</v>
      </c>
      <c r="M200" t="s">
        <v>26</v>
      </c>
      <c r="N200" t="s">
        <v>17</v>
      </c>
      <c r="O200" t="s">
        <v>89</v>
      </c>
      <c r="P200" t="s">
        <v>224</v>
      </c>
      <c r="Q200" t="s">
        <v>89</v>
      </c>
      <c r="R200" t="s">
        <v>24</v>
      </c>
      <c r="S200" t="s">
        <v>26</v>
      </c>
      <c r="U200">
        <f t="shared" si="51"/>
        <v>26</v>
      </c>
      <c r="V200">
        <f t="shared" si="52"/>
        <v>5</v>
      </c>
      <c r="W200">
        <f t="shared" si="53"/>
        <v>27</v>
      </c>
      <c r="X200">
        <f t="shared" si="54"/>
        <v>0</v>
      </c>
      <c r="Y200">
        <f t="shared" si="55"/>
        <v>27</v>
      </c>
      <c r="Z200">
        <f t="shared" si="56"/>
        <v>21</v>
      </c>
      <c r="AA200">
        <f t="shared" si="57"/>
        <v>26</v>
      </c>
      <c r="AC200">
        <v>1</v>
      </c>
      <c r="AD200">
        <v>1</v>
      </c>
      <c r="AE200">
        <v>1</v>
      </c>
      <c r="AF200">
        <v>1</v>
      </c>
      <c r="AG200">
        <v>1</v>
      </c>
      <c r="AH200">
        <v>1</v>
      </c>
      <c r="AI200">
        <v>1</v>
      </c>
      <c r="AO200" s="9"/>
      <c r="AP200" s="9"/>
      <c r="AQ200" s="9"/>
      <c r="AR200" s="9"/>
      <c r="AS200" s="9"/>
      <c r="AT200" s="9"/>
    </row>
    <row r="201" spans="12:46" ht="16.2" x14ac:dyDescent="0.3">
      <c r="L201" s="15">
        <v>198</v>
      </c>
      <c r="M201" t="s">
        <v>28</v>
      </c>
      <c r="N201" t="s">
        <v>20</v>
      </c>
      <c r="O201" t="s">
        <v>26</v>
      </c>
      <c r="P201" t="s">
        <v>64</v>
      </c>
      <c r="Q201" t="s">
        <v>27</v>
      </c>
      <c r="R201" t="s">
        <v>89</v>
      </c>
      <c r="S201" t="s">
        <v>64</v>
      </c>
      <c r="U201">
        <f t="shared" si="51"/>
        <v>26</v>
      </c>
      <c r="V201">
        <f t="shared" si="52"/>
        <v>4</v>
      </c>
      <c r="W201">
        <f t="shared" si="53"/>
        <v>26</v>
      </c>
      <c r="X201">
        <f t="shared" si="54"/>
        <v>23</v>
      </c>
      <c r="Y201">
        <f t="shared" si="55"/>
        <v>21</v>
      </c>
      <c r="Z201">
        <f t="shared" si="56"/>
        <v>27</v>
      </c>
      <c r="AA201">
        <f t="shared" si="57"/>
        <v>23</v>
      </c>
      <c r="AC201">
        <v>1</v>
      </c>
      <c r="AD201">
        <v>1</v>
      </c>
      <c r="AE201">
        <v>1</v>
      </c>
      <c r="AF201">
        <v>1</v>
      </c>
      <c r="AG201">
        <v>1</v>
      </c>
      <c r="AH201">
        <v>1</v>
      </c>
      <c r="AI201">
        <v>1</v>
      </c>
      <c r="AO201" s="9"/>
      <c r="AP201" s="9"/>
      <c r="AQ201" s="9"/>
      <c r="AR201" s="9"/>
      <c r="AS201" s="9"/>
      <c r="AT201" s="9"/>
    </row>
    <row r="202" spans="12:46" ht="16.2" x14ac:dyDescent="0.3">
      <c r="L202" s="15">
        <v>199</v>
      </c>
      <c r="M202" t="s">
        <v>26</v>
      </c>
      <c r="N202" t="s">
        <v>26</v>
      </c>
      <c r="O202" t="s">
        <v>28</v>
      </c>
      <c r="P202" t="s">
        <v>24</v>
      </c>
      <c r="Q202" t="s">
        <v>29</v>
      </c>
      <c r="R202" t="s">
        <v>89</v>
      </c>
      <c r="S202" t="s">
        <v>18</v>
      </c>
      <c r="U202">
        <f t="shared" si="51"/>
        <v>26</v>
      </c>
      <c r="V202">
        <f t="shared" si="52"/>
        <v>26</v>
      </c>
      <c r="W202">
        <f t="shared" si="53"/>
        <v>26</v>
      </c>
      <c r="X202">
        <f t="shared" si="54"/>
        <v>21</v>
      </c>
      <c r="Y202">
        <f t="shared" si="55"/>
        <v>19</v>
      </c>
      <c r="Z202">
        <f t="shared" si="56"/>
        <v>27</v>
      </c>
      <c r="AA202">
        <f t="shared" si="57"/>
        <v>22</v>
      </c>
      <c r="AC202">
        <v>1</v>
      </c>
      <c r="AD202">
        <v>1</v>
      </c>
      <c r="AE202">
        <v>1</v>
      </c>
      <c r="AF202">
        <v>1</v>
      </c>
      <c r="AG202">
        <v>1</v>
      </c>
      <c r="AH202">
        <v>1</v>
      </c>
      <c r="AI202">
        <v>1</v>
      </c>
      <c r="AO202" s="9"/>
      <c r="AP202" s="9"/>
      <c r="AQ202" s="9"/>
      <c r="AR202" s="9"/>
      <c r="AS202" s="9"/>
      <c r="AT202" s="9"/>
    </row>
    <row r="203" spans="12:46" ht="16.2" x14ac:dyDescent="0.3">
      <c r="L203" s="14">
        <v>200</v>
      </c>
      <c r="M203" t="s">
        <v>28</v>
      </c>
      <c r="N203" t="s">
        <v>24</v>
      </c>
      <c r="O203" t="s">
        <v>21</v>
      </c>
      <c r="P203" t="s">
        <v>238</v>
      </c>
      <c r="Q203" t="s">
        <v>28</v>
      </c>
      <c r="R203" t="s">
        <v>27</v>
      </c>
      <c r="S203" t="s">
        <v>27</v>
      </c>
      <c r="U203">
        <f t="shared" si="51"/>
        <v>26</v>
      </c>
      <c r="V203">
        <f t="shared" si="52"/>
        <v>21</v>
      </c>
      <c r="W203">
        <f t="shared" si="53"/>
        <v>4</v>
      </c>
      <c r="X203">
        <f t="shared" si="54"/>
        <v>0</v>
      </c>
      <c r="Y203">
        <f t="shared" si="55"/>
        <v>26</v>
      </c>
      <c r="Z203">
        <f t="shared" si="56"/>
        <v>21</v>
      </c>
      <c r="AA203">
        <f t="shared" si="57"/>
        <v>21</v>
      </c>
      <c r="AC203">
        <v>1</v>
      </c>
      <c r="AD203">
        <v>1</v>
      </c>
      <c r="AE203">
        <v>1</v>
      </c>
      <c r="AF203">
        <v>1</v>
      </c>
      <c r="AG203">
        <v>1</v>
      </c>
      <c r="AH203">
        <v>1</v>
      </c>
      <c r="AI203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L4" sqref="L4:L203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 cm="1">
        <f t="array" ref="L4:L203">_xlfn.SEQUENCE(200)</f>
        <v>1</v>
      </c>
      <c r="M4" s="156" t="s">
        <v>89</v>
      </c>
      <c r="N4" s="156" t="s">
        <v>20</v>
      </c>
      <c r="O4" s="156" t="s">
        <v>26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U35" si="2">VLOOKUP(M4, $A$4:$J$29, 9, 0)</f>
        <v>7</v>
      </c>
      <c r="V4" s="158">
        <f t="shared" ref="V4:V35" si="3">VLOOKUP(N4, $A$4:$J$29, 9, 0)</f>
        <v>0</v>
      </c>
      <c r="W4" s="158">
        <f t="shared" ref="W4:W35" si="4">VLOOKUP(O4, $A$4:$J$29, 9, 0)</f>
        <v>7</v>
      </c>
      <c r="X4" s="158">
        <f t="shared" ref="X4:X35" si="5">VLOOKUP(P4, $A$4:$J$29, 9, 0)</f>
        <v>14</v>
      </c>
      <c r="Y4" s="158">
        <f t="shared" ref="Y4:Y35" si="6">VLOOKUP(Q4, $A$4:$J$29, 9, 0)</f>
        <v>10</v>
      </c>
      <c r="Z4" s="158">
        <f t="shared" ref="Z4:Z35" si="7">VLOOKUP(R4, $A$4:$J$29, 9, 0)</f>
        <v>11</v>
      </c>
      <c r="AA4" s="158">
        <f t="shared" ref="AA4:AA35" si="8">VLOOKUP(S4, $A$4:$J$29, 9, 0)</f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20</v>
      </c>
      <c r="O5" s="38" t="s">
        <v>26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3"/>
        <v>0</v>
      </c>
      <c r="W5" s="37">
        <f t="shared" si="4"/>
        <v>7</v>
      </c>
      <c r="X5" s="37">
        <f t="shared" si="5"/>
        <v>11</v>
      </c>
      <c r="Y5" s="37">
        <f t="shared" si="6"/>
        <v>0</v>
      </c>
      <c r="Z5" s="37">
        <f t="shared" si="7"/>
        <v>7</v>
      </c>
      <c r="AA5" s="37">
        <f t="shared" si="8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0</v>
      </c>
      <c r="D6" s="153">
        <f t="shared" si="1"/>
        <v>121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3</v>
      </c>
      <c r="M6" s="38" t="s">
        <v>28</v>
      </c>
      <c r="N6" s="38" t="s">
        <v>20</v>
      </c>
      <c r="O6" s="38" t="s">
        <v>21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3"/>
        <v>0</v>
      </c>
      <c r="W6" s="37">
        <f t="shared" si="4"/>
        <v>12</v>
      </c>
      <c r="X6" s="37">
        <f t="shared" si="5"/>
        <v>11</v>
      </c>
      <c r="Y6" s="37">
        <f t="shared" si="6"/>
        <v>14</v>
      </c>
      <c r="Z6" s="37">
        <f t="shared" si="7"/>
        <v>14</v>
      </c>
      <c r="AA6" s="37">
        <f t="shared" si="8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1</v>
      </c>
      <c r="D7" s="153">
        <f t="shared" si="1"/>
        <v>0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4</v>
      </c>
      <c r="M7" s="38" t="s">
        <v>29</v>
      </c>
      <c r="N7" s="38" t="s">
        <v>20</v>
      </c>
      <c r="O7" s="38" t="s">
        <v>24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19</v>
      </c>
      <c r="V7" s="37">
        <f t="shared" si="3"/>
        <v>0</v>
      </c>
      <c r="W7" s="37">
        <f t="shared" si="4"/>
        <v>11</v>
      </c>
      <c r="X7" s="37">
        <f t="shared" si="5"/>
        <v>11</v>
      </c>
      <c r="Y7" s="37">
        <f t="shared" si="6"/>
        <v>14</v>
      </c>
      <c r="Z7" s="37">
        <f t="shared" si="7"/>
        <v>19</v>
      </c>
      <c r="AA7" s="37">
        <f t="shared" si="8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3</v>
      </c>
      <c r="D8" s="153">
        <f t="shared" si="1"/>
        <v>0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5</v>
      </c>
      <c r="M8" s="38" t="s">
        <v>26</v>
      </c>
      <c r="N8" s="38" t="s">
        <v>20</v>
      </c>
      <c r="O8" s="38" t="s">
        <v>226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3"/>
        <v>0</v>
      </c>
      <c r="W8" s="37">
        <f t="shared" si="4"/>
        <v>0</v>
      </c>
      <c r="X8" s="37">
        <f t="shared" si="5"/>
        <v>12</v>
      </c>
      <c r="Y8" s="37">
        <f t="shared" si="6"/>
        <v>7</v>
      </c>
      <c r="Z8" s="37">
        <f t="shared" si="7"/>
        <v>19</v>
      </c>
      <c r="AA8" s="37">
        <f t="shared" si="8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8</v>
      </c>
      <c r="D9" s="153">
        <f t="shared" si="1"/>
        <v>0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6</v>
      </c>
      <c r="M9" s="38" t="s">
        <v>28</v>
      </c>
      <c r="N9" s="38" t="s">
        <v>20</v>
      </c>
      <c r="O9" s="38" t="s">
        <v>17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3"/>
        <v>0</v>
      </c>
      <c r="W9" s="37">
        <f t="shared" si="4"/>
        <v>14</v>
      </c>
      <c r="X9" s="37">
        <f t="shared" si="5"/>
        <v>12</v>
      </c>
      <c r="Y9" s="37">
        <f t="shared" si="6"/>
        <v>7</v>
      </c>
      <c r="Z9" s="37">
        <f t="shared" si="7"/>
        <v>14</v>
      </c>
      <c r="AA9" s="37">
        <f t="shared" si="8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0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7</v>
      </c>
      <c r="M10" s="38" t="s">
        <v>26</v>
      </c>
      <c r="N10" s="38" t="s">
        <v>20</v>
      </c>
      <c r="O10" s="38" t="s">
        <v>24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3"/>
        <v>0</v>
      </c>
      <c r="W10" s="37">
        <f t="shared" si="4"/>
        <v>11</v>
      </c>
      <c r="X10" s="37">
        <f t="shared" si="5"/>
        <v>12</v>
      </c>
      <c r="Y10" s="37">
        <f t="shared" si="6"/>
        <v>7</v>
      </c>
      <c r="Z10" s="37">
        <f t="shared" si="7"/>
        <v>14</v>
      </c>
      <c r="AA10" s="37">
        <f t="shared" si="8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8</v>
      </c>
      <c r="M11" s="38" t="s">
        <v>29</v>
      </c>
      <c r="N11" s="38" t="s">
        <v>20</v>
      </c>
      <c r="O11" s="38" t="s">
        <v>26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19</v>
      </c>
      <c r="V11" s="37">
        <f t="shared" si="3"/>
        <v>0</v>
      </c>
      <c r="W11" s="37">
        <f t="shared" si="4"/>
        <v>7</v>
      </c>
      <c r="X11" s="37">
        <f t="shared" si="5"/>
        <v>19</v>
      </c>
      <c r="Y11" s="37">
        <f t="shared" si="6"/>
        <v>15</v>
      </c>
      <c r="Z11" s="37">
        <f t="shared" si="7"/>
        <v>14</v>
      </c>
      <c r="AA11" s="37">
        <f t="shared" si="8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1"/>
        <v>0</v>
      </c>
      <c r="E12" s="10">
        <f t="shared" si="1"/>
        <v>21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9</v>
      </c>
      <c r="M12" s="38" t="s">
        <v>64</v>
      </c>
      <c r="N12" s="38" t="s">
        <v>20</v>
      </c>
      <c r="O12" s="38" t="s">
        <v>26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14</v>
      </c>
      <c r="V12" s="37">
        <f t="shared" si="3"/>
        <v>0</v>
      </c>
      <c r="W12" s="37">
        <f t="shared" si="4"/>
        <v>7</v>
      </c>
      <c r="X12" s="37">
        <f t="shared" si="5"/>
        <v>14</v>
      </c>
      <c r="Y12" s="37">
        <f t="shared" si="6"/>
        <v>15</v>
      </c>
      <c r="Z12" s="37">
        <f t="shared" si="7"/>
        <v>7</v>
      </c>
      <c r="AA12" s="37">
        <f t="shared" si="8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19</v>
      </c>
      <c r="D13" s="10">
        <f t="shared" si="1"/>
        <v>0</v>
      </c>
      <c r="E13" s="10">
        <f t="shared" si="1"/>
        <v>19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5">
        <v>10</v>
      </c>
      <c r="M13" s="38" t="s">
        <v>28</v>
      </c>
      <c r="N13" s="38" t="s">
        <v>20</v>
      </c>
      <c r="O13" s="38" t="s">
        <v>17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3"/>
        <v>0</v>
      </c>
      <c r="W13" s="37">
        <f t="shared" si="4"/>
        <v>14</v>
      </c>
      <c r="X13" s="37">
        <f t="shared" si="5"/>
        <v>12</v>
      </c>
      <c r="Y13" s="37">
        <f t="shared" si="6"/>
        <v>7</v>
      </c>
      <c r="Z13" s="37">
        <f t="shared" si="7"/>
        <v>14</v>
      </c>
      <c r="AA13" s="37">
        <f t="shared" si="8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14</v>
      </c>
      <c r="D14" s="10">
        <f t="shared" si="1"/>
        <v>0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4">
        <v>11</v>
      </c>
      <c r="M14" s="38" t="s">
        <v>28</v>
      </c>
      <c r="N14" s="38" t="s">
        <v>20</v>
      </c>
      <c r="O14" s="38" t="s">
        <v>28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3"/>
        <v>0</v>
      </c>
      <c r="W14" s="37">
        <f t="shared" si="4"/>
        <v>15</v>
      </c>
      <c r="X14" s="37">
        <f t="shared" si="5"/>
        <v>0</v>
      </c>
      <c r="Y14" s="37">
        <f t="shared" si="6"/>
        <v>7</v>
      </c>
      <c r="Z14" s="37">
        <f t="shared" si="7"/>
        <v>14</v>
      </c>
      <c r="AA14" s="37">
        <f t="shared" si="8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0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5">
        <v>12</v>
      </c>
      <c r="M15" s="38" t="s">
        <v>29</v>
      </c>
      <c r="N15" s="38" t="s">
        <v>20</v>
      </c>
      <c r="O15" s="38" t="s">
        <v>28</v>
      </c>
      <c r="P15" s="38" t="s">
        <v>234</v>
      </c>
      <c r="Q15" s="38" t="s">
        <v>26</v>
      </c>
      <c r="R15" s="38" t="s">
        <v>89</v>
      </c>
      <c r="S15" s="24" t="s">
        <v>17</v>
      </c>
      <c r="U15" s="37">
        <f t="shared" si="2"/>
        <v>19</v>
      </c>
      <c r="V15" s="37">
        <f t="shared" si="3"/>
        <v>0</v>
      </c>
      <c r="W15" s="37">
        <f t="shared" si="4"/>
        <v>15</v>
      </c>
      <c r="X15" s="37">
        <f t="shared" si="5"/>
        <v>0</v>
      </c>
      <c r="Y15" s="37">
        <f t="shared" si="6"/>
        <v>7</v>
      </c>
      <c r="Z15" s="37">
        <f t="shared" si="7"/>
        <v>7</v>
      </c>
      <c r="AA15" s="37">
        <f t="shared" si="8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30</v>
      </c>
      <c r="D16" s="10">
        <f t="shared" si="1"/>
        <v>0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4">
        <v>13</v>
      </c>
      <c r="M16" s="38" t="s">
        <v>29</v>
      </c>
      <c r="N16" s="38" t="s">
        <v>20</v>
      </c>
      <c r="O16" s="38" t="s">
        <v>224</v>
      </c>
      <c r="P16" s="38" t="s">
        <v>24</v>
      </c>
      <c r="Q16" s="38" t="s">
        <v>26</v>
      </c>
      <c r="R16" s="38" t="s">
        <v>89</v>
      </c>
      <c r="S16" s="24" t="s">
        <v>18</v>
      </c>
      <c r="U16" s="37">
        <f t="shared" si="2"/>
        <v>19</v>
      </c>
      <c r="V16" s="37">
        <f t="shared" si="3"/>
        <v>0</v>
      </c>
      <c r="W16" s="37">
        <f t="shared" si="4"/>
        <v>0</v>
      </c>
      <c r="X16" s="37">
        <f t="shared" si="5"/>
        <v>11</v>
      </c>
      <c r="Y16" s="37">
        <f t="shared" si="6"/>
        <v>7</v>
      </c>
      <c r="Z16" s="37">
        <f t="shared" si="7"/>
        <v>7</v>
      </c>
      <c r="AA16" s="37">
        <f t="shared" si="8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26</v>
      </c>
      <c r="N17" s="38" t="s">
        <v>20</v>
      </c>
      <c r="O17" s="38" t="s">
        <v>238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3"/>
        <v>0</v>
      </c>
      <c r="W17" s="37">
        <f t="shared" si="4"/>
        <v>0</v>
      </c>
      <c r="X17" s="37">
        <f t="shared" si="5"/>
        <v>11</v>
      </c>
      <c r="Y17" s="37">
        <f t="shared" si="6"/>
        <v>7</v>
      </c>
      <c r="Z17" s="37">
        <f t="shared" si="7"/>
        <v>14</v>
      </c>
      <c r="AA17" s="37">
        <f t="shared" si="8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s">
        <v>89</v>
      </c>
      <c r="N18" s="38" t="s">
        <v>20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7</v>
      </c>
      <c r="V18" s="37">
        <f t="shared" si="3"/>
        <v>0</v>
      </c>
      <c r="W18" s="37">
        <f t="shared" si="4"/>
        <v>12</v>
      </c>
      <c r="X18" s="37">
        <f t="shared" si="5"/>
        <v>7</v>
      </c>
      <c r="Y18" s="37">
        <f t="shared" si="6"/>
        <v>7</v>
      </c>
      <c r="Z18" s="37">
        <f t="shared" si="7"/>
        <v>12</v>
      </c>
      <c r="AA18" s="37">
        <f t="shared" si="8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s">
        <v>28</v>
      </c>
      <c r="N19" s="38" t="s">
        <v>20</v>
      </c>
      <c r="O19" s="38" t="s">
        <v>18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3"/>
        <v>0</v>
      </c>
      <c r="W19" s="37">
        <f t="shared" si="4"/>
        <v>10</v>
      </c>
      <c r="X19" s="37">
        <f t="shared" si="5"/>
        <v>0</v>
      </c>
      <c r="Y19" s="37">
        <f t="shared" si="6"/>
        <v>0</v>
      </c>
      <c r="Z19" s="37">
        <f t="shared" si="7"/>
        <v>14</v>
      </c>
      <c r="AA19" s="37">
        <f t="shared" si="8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9">COUNTIF(N$4:N$304,$A20)</f>
        <v>0</v>
      </c>
      <c r="E20" s="153">
        <f t="shared" ref="E20:E29" si="10">COUNTIF(O$4:O$304,$A20)</f>
        <v>2</v>
      </c>
      <c r="F20" s="153">
        <f t="shared" ref="F20:F29" si="11">COUNTIF(P$4:P$304,$A20)</f>
        <v>1</v>
      </c>
      <c r="G20" s="153">
        <f t="shared" ref="G20:G29" si="12">COUNTIF(Q$4:Q$304,$A20)</f>
        <v>1</v>
      </c>
      <c r="H20" s="153">
        <f t="shared" ref="H20:H29" si="13">COUNTIF(R$4:R$304,$A20)</f>
        <v>0</v>
      </c>
      <c r="I20" s="153">
        <f t="shared" ref="I20:I29" si="14">COUNTIF(S$4:S$304,$A20)</f>
        <v>0</v>
      </c>
      <c r="J20" s="151">
        <v>16</v>
      </c>
      <c r="L20" s="14">
        <v>17</v>
      </c>
      <c r="M20" s="38" t="s">
        <v>29</v>
      </c>
      <c r="N20" s="38" t="s">
        <v>20</v>
      </c>
      <c r="O20" s="38" t="s">
        <v>18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si="2"/>
        <v>19</v>
      </c>
      <c r="V20" s="37">
        <f t="shared" si="3"/>
        <v>0</v>
      </c>
      <c r="W20" s="37">
        <f t="shared" si="4"/>
        <v>10</v>
      </c>
      <c r="X20" s="37">
        <f t="shared" si="5"/>
        <v>12</v>
      </c>
      <c r="Y20" s="37">
        <f t="shared" si="6"/>
        <v>12</v>
      </c>
      <c r="Z20" s="37">
        <f t="shared" si="7"/>
        <v>14</v>
      </c>
      <c r="AA20" s="37">
        <f t="shared" si="8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9"/>
        <v>0</v>
      </c>
      <c r="E21" s="153">
        <f t="shared" si="10"/>
        <v>0</v>
      </c>
      <c r="F21" s="153">
        <f t="shared" si="11"/>
        <v>4</v>
      </c>
      <c r="G21" s="153">
        <f t="shared" si="12"/>
        <v>1</v>
      </c>
      <c r="H21" s="153">
        <f t="shared" si="13"/>
        <v>0</v>
      </c>
      <c r="I21" s="153">
        <f t="shared" si="14"/>
        <v>0</v>
      </c>
      <c r="J21" s="151">
        <v>17</v>
      </c>
      <c r="L21" s="15">
        <v>18</v>
      </c>
      <c r="M21" s="38" t="s">
        <v>64</v>
      </c>
      <c r="N21" s="38" t="s">
        <v>20</v>
      </c>
      <c r="O21" s="38" t="s">
        <v>228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2"/>
        <v>14</v>
      </c>
      <c r="V21" s="37">
        <f t="shared" si="3"/>
        <v>0</v>
      </c>
      <c r="W21" s="37">
        <f t="shared" si="4"/>
        <v>0</v>
      </c>
      <c r="X21" s="37">
        <f t="shared" si="5"/>
        <v>0</v>
      </c>
      <c r="Y21" s="37">
        <f t="shared" si="6"/>
        <v>7</v>
      </c>
      <c r="Z21" s="37">
        <f t="shared" si="7"/>
        <v>14</v>
      </c>
      <c r="AA21" s="37">
        <f t="shared" si="8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9"/>
        <v>0</v>
      </c>
      <c r="E22" s="153">
        <f t="shared" si="10"/>
        <v>1</v>
      </c>
      <c r="F22" s="153">
        <f t="shared" si="11"/>
        <v>2</v>
      </c>
      <c r="G22" s="153">
        <f t="shared" si="12"/>
        <v>2</v>
      </c>
      <c r="H22" s="153">
        <f t="shared" si="13"/>
        <v>0</v>
      </c>
      <c r="I22" s="153">
        <f t="shared" si="14"/>
        <v>0</v>
      </c>
      <c r="J22" s="151">
        <v>18</v>
      </c>
      <c r="L22" s="15">
        <v>19</v>
      </c>
      <c r="M22" s="38" t="s">
        <v>29</v>
      </c>
      <c r="N22" s="38" t="s">
        <v>20</v>
      </c>
      <c r="O22" s="38" t="s">
        <v>26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2"/>
        <v>19</v>
      </c>
      <c r="V22" s="37">
        <f t="shared" si="3"/>
        <v>0</v>
      </c>
      <c r="W22" s="37">
        <f t="shared" si="4"/>
        <v>7</v>
      </c>
      <c r="X22" s="37">
        <f t="shared" si="5"/>
        <v>14</v>
      </c>
      <c r="Y22" s="37">
        <f t="shared" si="6"/>
        <v>7</v>
      </c>
      <c r="Z22" s="37">
        <f t="shared" si="7"/>
        <v>10</v>
      </c>
      <c r="AA22" s="37">
        <f t="shared" si="8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0</v>
      </c>
      <c r="E23" s="10">
        <f t="shared" si="10"/>
        <v>2</v>
      </c>
      <c r="F23" s="10">
        <f t="shared" si="11"/>
        <v>1</v>
      </c>
      <c r="G23" s="10">
        <f t="shared" si="12"/>
        <v>1</v>
      </c>
      <c r="H23" s="10">
        <f t="shared" si="13"/>
        <v>0</v>
      </c>
      <c r="I23" s="10">
        <f t="shared" si="14"/>
        <v>0</v>
      </c>
      <c r="J23" s="4">
        <v>19</v>
      </c>
      <c r="L23" s="14">
        <v>20</v>
      </c>
      <c r="M23" s="38" t="s">
        <v>89</v>
      </c>
      <c r="N23" s="38" t="s">
        <v>20</v>
      </c>
      <c r="O23" s="38" t="s">
        <v>24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2"/>
        <v>7</v>
      </c>
      <c r="V23" s="37">
        <f t="shared" si="3"/>
        <v>0</v>
      </c>
      <c r="W23" s="37">
        <f t="shared" si="4"/>
        <v>11</v>
      </c>
      <c r="X23" s="37">
        <f t="shared" si="5"/>
        <v>14</v>
      </c>
      <c r="Y23" s="37">
        <f t="shared" si="6"/>
        <v>12</v>
      </c>
      <c r="Z23" s="37">
        <f t="shared" si="7"/>
        <v>19</v>
      </c>
      <c r="AA23" s="37">
        <f t="shared" si="8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0</v>
      </c>
      <c r="E24" s="10">
        <f t="shared" si="10"/>
        <v>1</v>
      </c>
      <c r="F24" s="10">
        <f t="shared" si="11"/>
        <v>1</v>
      </c>
      <c r="G24" s="10">
        <f t="shared" si="12"/>
        <v>1</v>
      </c>
      <c r="H24" s="10">
        <f t="shared" si="13"/>
        <v>0</v>
      </c>
      <c r="I24" s="10">
        <f t="shared" si="14"/>
        <v>0</v>
      </c>
      <c r="J24" s="4">
        <v>20</v>
      </c>
      <c r="L24" s="15">
        <v>21</v>
      </c>
      <c r="M24" s="38" t="s">
        <v>21</v>
      </c>
      <c r="N24" s="38" t="s">
        <v>20</v>
      </c>
      <c r="O24" s="38" t="s">
        <v>234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2"/>
        <v>12</v>
      </c>
      <c r="V24" s="37">
        <f t="shared" si="3"/>
        <v>0</v>
      </c>
      <c r="W24" s="37">
        <f t="shared" si="4"/>
        <v>0</v>
      </c>
      <c r="X24" s="37">
        <f t="shared" si="5"/>
        <v>12</v>
      </c>
      <c r="Y24" s="37">
        <f t="shared" si="6"/>
        <v>7</v>
      </c>
      <c r="Z24" s="37">
        <f t="shared" si="7"/>
        <v>19</v>
      </c>
      <c r="AA24" s="37">
        <f t="shared" si="8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0</v>
      </c>
      <c r="E25" s="10">
        <f t="shared" si="10"/>
        <v>1</v>
      </c>
      <c r="F25" s="10">
        <f t="shared" si="11"/>
        <v>1</v>
      </c>
      <c r="G25" s="10">
        <f t="shared" si="12"/>
        <v>0</v>
      </c>
      <c r="H25" s="10">
        <f t="shared" si="13"/>
        <v>0</v>
      </c>
      <c r="I25" s="10">
        <f t="shared" si="14"/>
        <v>0</v>
      </c>
      <c r="J25" s="4">
        <v>21</v>
      </c>
      <c r="L25" s="14">
        <v>22</v>
      </c>
      <c r="M25" s="38" t="s">
        <v>27</v>
      </c>
      <c r="N25" s="38" t="s">
        <v>20</v>
      </c>
      <c r="O25" s="38" t="s">
        <v>18</v>
      </c>
      <c r="P25" s="38" t="s">
        <v>29</v>
      </c>
      <c r="Q25" s="38" t="s">
        <v>89</v>
      </c>
      <c r="R25" s="38" t="s">
        <v>29</v>
      </c>
      <c r="S25" s="24" t="s">
        <v>27</v>
      </c>
      <c r="U25" s="37">
        <f t="shared" si="2"/>
        <v>12</v>
      </c>
      <c r="V25" s="37">
        <f t="shared" si="3"/>
        <v>0</v>
      </c>
      <c r="W25" s="37">
        <f t="shared" si="4"/>
        <v>10</v>
      </c>
      <c r="X25" s="37">
        <f t="shared" si="5"/>
        <v>19</v>
      </c>
      <c r="Y25" s="37">
        <f t="shared" si="6"/>
        <v>7</v>
      </c>
      <c r="Z25" s="37">
        <f t="shared" si="7"/>
        <v>19</v>
      </c>
      <c r="AA25" s="37">
        <f t="shared" si="8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0</v>
      </c>
      <c r="E26" s="10">
        <f t="shared" si="10"/>
        <v>1</v>
      </c>
      <c r="F26" s="10">
        <f t="shared" si="11"/>
        <v>1</v>
      </c>
      <c r="G26" s="10">
        <f t="shared" si="12"/>
        <v>1</v>
      </c>
      <c r="H26" s="10">
        <f t="shared" si="13"/>
        <v>0</v>
      </c>
      <c r="I26" s="10">
        <f t="shared" si="14"/>
        <v>0</v>
      </c>
      <c r="J26" s="4">
        <v>22</v>
      </c>
      <c r="L26" s="15">
        <v>23</v>
      </c>
      <c r="M26" s="38" t="s">
        <v>27</v>
      </c>
      <c r="N26" s="38" t="s">
        <v>20</v>
      </c>
      <c r="O26" s="38" t="s">
        <v>18</v>
      </c>
      <c r="P26" s="38" t="s">
        <v>29</v>
      </c>
      <c r="Q26" s="38" t="s">
        <v>29</v>
      </c>
      <c r="R26" s="38" t="s">
        <v>18</v>
      </c>
      <c r="S26" s="24" t="s">
        <v>27</v>
      </c>
      <c r="U26" s="37">
        <f t="shared" si="2"/>
        <v>12</v>
      </c>
      <c r="V26" s="37">
        <f t="shared" si="3"/>
        <v>0</v>
      </c>
      <c r="W26" s="37">
        <f t="shared" si="4"/>
        <v>10</v>
      </c>
      <c r="X26" s="37">
        <f t="shared" si="5"/>
        <v>19</v>
      </c>
      <c r="Y26" s="37">
        <f t="shared" si="6"/>
        <v>19</v>
      </c>
      <c r="Z26" s="37">
        <f t="shared" si="7"/>
        <v>10</v>
      </c>
      <c r="AA26" s="37">
        <f t="shared" si="8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0</v>
      </c>
      <c r="E27" s="10">
        <f t="shared" si="10"/>
        <v>1</v>
      </c>
      <c r="F27" s="10">
        <f t="shared" si="11"/>
        <v>1</v>
      </c>
      <c r="G27" s="10">
        <f t="shared" si="12"/>
        <v>0</v>
      </c>
      <c r="H27" s="10">
        <f t="shared" si="13"/>
        <v>0</v>
      </c>
      <c r="I27" s="10">
        <f t="shared" si="14"/>
        <v>0</v>
      </c>
      <c r="J27" s="4">
        <v>23</v>
      </c>
      <c r="L27" s="14">
        <v>24</v>
      </c>
      <c r="M27" s="38" t="s">
        <v>18</v>
      </c>
      <c r="N27" s="38" t="s">
        <v>20</v>
      </c>
      <c r="O27" s="38" t="s">
        <v>18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2"/>
        <v>10</v>
      </c>
      <c r="V27" s="37">
        <f t="shared" si="3"/>
        <v>0</v>
      </c>
      <c r="W27" s="37">
        <f t="shared" si="4"/>
        <v>10</v>
      </c>
      <c r="X27" s="37">
        <f t="shared" si="5"/>
        <v>19</v>
      </c>
      <c r="Y27" s="37">
        <f t="shared" si="6"/>
        <v>10</v>
      </c>
      <c r="Z27" s="37">
        <f t="shared" si="7"/>
        <v>10</v>
      </c>
      <c r="AA27" s="37">
        <f t="shared" si="8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9"/>
        <v>0</v>
      </c>
      <c r="E28" s="153">
        <f t="shared" si="10"/>
        <v>0</v>
      </c>
      <c r="F28" s="153">
        <f t="shared" si="11"/>
        <v>0</v>
      </c>
      <c r="G28" s="153">
        <f t="shared" si="12"/>
        <v>0</v>
      </c>
      <c r="H28" s="153">
        <f t="shared" si="13"/>
        <v>0</v>
      </c>
      <c r="I28" s="153">
        <f t="shared" si="14"/>
        <v>0</v>
      </c>
      <c r="J28" s="151">
        <v>24</v>
      </c>
      <c r="L28" s="15">
        <v>25</v>
      </c>
      <c r="M28" s="38" t="s">
        <v>18</v>
      </c>
      <c r="N28" s="38" t="s">
        <v>20</v>
      </c>
      <c r="O28" s="38" t="s">
        <v>28</v>
      </c>
      <c r="P28" s="38" t="s">
        <v>64</v>
      </c>
      <c r="Q28" s="38" t="s">
        <v>17</v>
      </c>
      <c r="R28" s="38" t="s">
        <v>24</v>
      </c>
      <c r="S28" s="24" t="s">
        <v>29</v>
      </c>
      <c r="U28" s="37">
        <f t="shared" si="2"/>
        <v>10</v>
      </c>
      <c r="V28" s="37">
        <f t="shared" si="3"/>
        <v>0</v>
      </c>
      <c r="W28" s="37">
        <f t="shared" si="4"/>
        <v>15</v>
      </c>
      <c r="X28" s="37">
        <f t="shared" si="5"/>
        <v>14</v>
      </c>
      <c r="Y28" s="37">
        <f t="shared" si="6"/>
        <v>14</v>
      </c>
      <c r="Z28" s="37">
        <f t="shared" si="7"/>
        <v>11</v>
      </c>
      <c r="AA28" s="37">
        <f t="shared" si="8"/>
        <v>19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9"/>
        <v>0</v>
      </c>
      <c r="E29" s="153">
        <f t="shared" si="10"/>
        <v>0</v>
      </c>
      <c r="F29" s="153">
        <f t="shared" si="11"/>
        <v>0</v>
      </c>
      <c r="G29" s="153">
        <f t="shared" si="12"/>
        <v>0</v>
      </c>
      <c r="H29" s="153">
        <f t="shared" si="13"/>
        <v>0</v>
      </c>
      <c r="I29" s="153">
        <f t="shared" si="14"/>
        <v>0</v>
      </c>
      <c r="J29" s="151">
        <v>25</v>
      </c>
      <c r="L29" s="14">
        <v>26</v>
      </c>
      <c r="M29" s="38" t="s">
        <v>89</v>
      </c>
      <c r="N29" s="38" t="s">
        <v>20</v>
      </c>
      <c r="O29" s="38" t="s">
        <v>28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2"/>
        <v>7</v>
      </c>
      <c r="V29" s="37">
        <f t="shared" si="3"/>
        <v>0</v>
      </c>
      <c r="W29" s="37">
        <f t="shared" si="4"/>
        <v>15</v>
      </c>
      <c r="X29" s="37">
        <f t="shared" si="5"/>
        <v>14</v>
      </c>
      <c r="Y29" s="37">
        <f t="shared" si="6"/>
        <v>19</v>
      </c>
      <c r="Z29" s="37">
        <f t="shared" si="7"/>
        <v>14</v>
      </c>
      <c r="AA29" s="37">
        <f t="shared" si="8"/>
        <v>19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5">SUM(D4:D29)</f>
        <v>121</v>
      </c>
      <c r="E30" s="170">
        <f t="shared" si="15"/>
        <v>121</v>
      </c>
      <c r="F30" s="170">
        <f t="shared" si="15"/>
        <v>121</v>
      </c>
      <c r="G30" s="170">
        <f t="shared" si="15"/>
        <v>121</v>
      </c>
      <c r="H30" s="170">
        <f t="shared" si="15"/>
        <v>121</v>
      </c>
      <c r="I30" s="170">
        <f t="shared" si="15"/>
        <v>121</v>
      </c>
      <c r="J30" s="13"/>
      <c r="L30" s="15">
        <v>27</v>
      </c>
      <c r="M30" s="38" t="s">
        <v>28</v>
      </c>
      <c r="N30" s="38" t="s">
        <v>20</v>
      </c>
      <c r="O30" s="38" t="s">
        <v>89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2"/>
        <v>15</v>
      </c>
      <c r="V30" s="37">
        <f t="shared" si="3"/>
        <v>0</v>
      </c>
      <c r="W30" s="37">
        <f t="shared" si="4"/>
        <v>7</v>
      </c>
      <c r="X30" s="37">
        <f t="shared" si="5"/>
        <v>12</v>
      </c>
      <c r="Y30" s="37">
        <f t="shared" si="6"/>
        <v>12</v>
      </c>
      <c r="Z30" s="37">
        <f t="shared" si="7"/>
        <v>12</v>
      </c>
      <c r="AA30" s="37">
        <f t="shared" si="8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38" t="s">
        <v>28</v>
      </c>
      <c r="N31" s="38" t="s">
        <v>20</v>
      </c>
      <c r="O31" s="38" t="s">
        <v>17</v>
      </c>
      <c r="P31" s="38" t="s">
        <v>27</v>
      </c>
      <c r="Q31" s="38" t="s">
        <v>27</v>
      </c>
      <c r="R31" s="38" t="s">
        <v>64</v>
      </c>
      <c r="S31" s="24" t="s">
        <v>29</v>
      </c>
      <c r="U31" s="37">
        <f t="shared" si="2"/>
        <v>15</v>
      </c>
      <c r="V31" s="37">
        <f t="shared" si="3"/>
        <v>0</v>
      </c>
      <c r="W31" s="37">
        <f t="shared" si="4"/>
        <v>14</v>
      </c>
      <c r="X31" s="37">
        <f t="shared" si="5"/>
        <v>12</v>
      </c>
      <c r="Y31" s="37">
        <f t="shared" si="6"/>
        <v>12</v>
      </c>
      <c r="Z31" s="37">
        <f t="shared" si="7"/>
        <v>14</v>
      </c>
      <c r="AA31" s="37">
        <f t="shared" si="8"/>
        <v>19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27</v>
      </c>
      <c r="N32" s="38" t="s">
        <v>20</v>
      </c>
      <c r="O32" s="38" t="s">
        <v>228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2"/>
        <v>12</v>
      </c>
      <c r="V32" s="37">
        <f t="shared" si="3"/>
        <v>0</v>
      </c>
      <c r="W32" s="37">
        <f t="shared" si="4"/>
        <v>0</v>
      </c>
      <c r="X32" s="37">
        <f t="shared" si="5"/>
        <v>0</v>
      </c>
      <c r="Y32" s="37">
        <f t="shared" si="6"/>
        <v>7</v>
      </c>
      <c r="Z32" s="37">
        <f t="shared" si="7"/>
        <v>11</v>
      </c>
      <c r="AA32" s="37">
        <f t="shared" si="8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s">
        <v>27</v>
      </c>
      <c r="N33" s="38" t="s">
        <v>20</v>
      </c>
      <c r="O33" s="38" t="s">
        <v>18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2"/>
        <v>12</v>
      </c>
      <c r="V33" s="37">
        <f t="shared" si="3"/>
        <v>0</v>
      </c>
      <c r="W33" s="37">
        <f t="shared" si="4"/>
        <v>10</v>
      </c>
      <c r="X33" s="37">
        <f t="shared" si="5"/>
        <v>12</v>
      </c>
      <c r="Y33" s="37">
        <f t="shared" si="6"/>
        <v>7</v>
      </c>
      <c r="Z33" s="37">
        <f t="shared" si="7"/>
        <v>12</v>
      </c>
      <c r="AA33" s="37">
        <f t="shared" si="8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s">
        <v>18</v>
      </c>
      <c r="N34" s="38" t="s">
        <v>20</v>
      </c>
      <c r="O34" s="38" t="s">
        <v>28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2"/>
        <v>10</v>
      </c>
      <c r="V34" s="37">
        <f t="shared" si="3"/>
        <v>0</v>
      </c>
      <c r="W34" s="37">
        <f t="shared" si="4"/>
        <v>15</v>
      </c>
      <c r="X34" s="37">
        <f t="shared" si="5"/>
        <v>7</v>
      </c>
      <c r="Y34" s="37">
        <f t="shared" si="6"/>
        <v>7</v>
      </c>
      <c r="Z34" s="37">
        <f t="shared" si="7"/>
        <v>12</v>
      </c>
      <c r="AA34" s="3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s">
        <v>89</v>
      </c>
      <c r="N35" s="38" t="s">
        <v>20</v>
      </c>
      <c r="O35" s="38" t="s">
        <v>28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2"/>
        <v>7</v>
      </c>
      <c r="V35" s="37">
        <f t="shared" si="3"/>
        <v>0</v>
      </c>
      <c r="W35" s="37">
        <f t="shared" si="4"/>
        <v>15</v>
      </c>
      <c r="X35" s="37">
        <f t="shared" si="5"/>
        <v>0</v>
      </c>
      <c r="Y35" s="37">
        <f t="shared" si="6"/>
        <v>19</v>
      </c>
      <c r="Z35" s="37">
        <f t="shared" si="7"/>
        <v>19</v>
      </c>
      <c r="AA35" s="37">
        <f t="shared" si="8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s">
        <v>89</v>
      </c>
      <c r="N36" s="38" t="s">
        <v>20</v>
      </c>
      <c r="O36" s="38" t="s">
        <v>24</v>
      </c>
      <c r="P36" s="38" t="s">
        <v>24</v>
      </c>
      <c r="Q36" s="38" t="s">
        <v>29</v>
      </c>
      <c r="R36" s="38" t="s">
        <v>28</v>
      </c>
      <c r="S36" s="24" t="s">
        <v>64</v>
      </c>
      <c r="U36" s="37">
        <f t="shared" ref="U36:U67" si="16">VLOOKUP(M36, $A$4:$J$29, 9, 0)</f>
        <v>7</v>
      </c>
      <c r="V36" s="37">
        <f t="shared" ref="V36:V67" si="17">VLOOKUP(N36, $A$4:$J$29, 9, 0)</f>
        <v>0</v>
      </c>
      <c r="W36" s="37">
        <f t="shared" ref="W36:W67" si="18">VLOOKUP(O36, $A$4:$J$29, 9, 0)</f>
        <v>11</v>
      </c>
      <c r="X36" s="37">
        <f t="shared" ref="X36:X67" si="19">VLOOKUP(P36, $A$4:$J$29, 9, 0)</f>
        <v>11</v>
      </c>
      <c r="Y36" s="37">
        <f t="shared" ref="Y36:Y67" si="20">VLOOKUP(Q36, $A$4:$J$29, 9, 0)</f>
        <v>19</v>
      </c>
      <c r="Z36" s="37">
        <f t="shared" ref="Z36:Z67" si="21">VLOOKUP(R36, $A$4:$J$29, 9, 0)</f>
        <v>15</v>
      </c>
      <c r="AA36" s="37">
        <f t="shared" ref="AA36:AA67" si="22">VLOOKUP(S36, $A$4:$J$29, 9, 0)</f>
        <v>14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s">
        <v>28</v>
      </c>
      <c r="N37" s="38" t="s">
        <v>20</v>
      </c>
      <c r="O37" s="38" t="s">
        <v>28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16"/>
        <v>15</v>
      </c>
      <c r="V37" s="37">
        <f t="shared" si="17"/>
        <v>0</v>
      </c>
      <c r="W37" s="37">
        <f t="shared" si="18"/>
        <v>15</v>
      </c>
      <c r="X37" s="37">
        <f t="shared" si="19"/>
        <v>12</v>
      </c>
      <c r="Y37" s="37">
        <f t="shared" si="20"/>
        <v>7</v>
      </c>
      <c r="Z37" s="37">
        <f t="shared" si="21"/>
        <v>11</v>
      </c>
      <c r="AA37" s="37">
        <f t="shared" si="22"/>
        <v>14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s">
        <v>26</v>
      </c>
      <c r="N38" s="38" t="s">
        <v>20</v>
      </c>
      <c r="O38" s="38" t="s">
        <v>18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16"/>
        <v>7</v>
      </c>
      <c r="V38" s="37">
        <f t="shared" si="17"/>
        <v>0</v>
      </c>
      <c r="W38" s="37">
        <f t="shared" si="18"/>
        <v>10</v>
      </c>
      <c r="X38" s="37">
        <f t="shared" si="19"/>
        <v>19</v>
      </c>
      <c r="Y38" s="37">
        <f t="shared" si="20"/>
        <v>7</v>
      </c>
      <c r="Z38" s="37">
        <f t="shared" si="21"/>
        <v>11</v>
      </c>
      <c r="AA38" s="37">
        <f t="shared" si="22"/>
        <v>14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s">
        <v>64</v>
      </c>
      <c r="N39" s="38" t="s">
        <v>20</v>
      </c>
      <c r="O39" s="38" t="s">
        <v>18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16"/>
        <v>14</v>
      </c>
      <c r="V39" s="37">
        <f t="shared" si="17"/>
        <v>0</v>
      </c>
      <c r="W39" s="37">
        <f t="shared" si="18"/>
        <v>10</v>
      </c>
      <c r="X39" s="37">
        <f t="shared" si="19"/>
        <v>14</v>
      </c>
      <c r="Y39" s="37">
        <f t="shared" si="20"/>
        <v>7</v>
      </c>
      <c r="Z39" s="37">
        <f t="shared" si="21"/>
        <v>11</v>
      </c>
      <c r="AA39" s="37">
        <f t="shared" si="22"/>
        <v>14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37" t="s">
        <v>29</v>
      </c>
      <c r="N40" s="175" t="s">
        <v>20</v>
      </c>
      <c r="O40" s="37" t="s">
        <v>28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16"/>
        <v>19</v>
      </c>
      <c r="V40" s="37">
        <f t="shared" si="17"/>
        <v>0</v>
      </c>
      <c r="W40" s="37">
        <f t="shared" si="18"/>
        <v>15</v>
      </c>
      <c r="X40" s="37">
        <f t="shared" si="19"/>
        <v>14</v>
      </c>
      <c r="Y40" s="37">
        <f t="shared" si="20"/>
        <v>10</v>
      </c>
      <c r="Z40" s="37">
        <f t="shared" si="21"/>
        <v>7</v>
      </c>
      <c r="AA40" s="37">
        <f t="shared" si="22"/>
        <v>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s">
        <v>89</v>
      </c>
      <c r="N41" s="38" t="s">
        <v>20</v>
      </c>
      <c r="O41" s="38" t="s">
        <v>28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16"/>
        <v>7</v>
      </c>
      <c r="V41" s="37">
        <f t="shared" si="17"/>
        <v>0</v>
      </c>
      <c r="W41" s="37">
        <f t="shared" si="18"/>
        <v>15</v>
      </c>
      <c r="X41" s="37">
        <f t="shared" si="19"/>
        <v>14</v>
      </c>
      <c r="Y41" s="37">
        <f t="shared" si="20"/>
        <v>15</v>
      </c>
      <c r="Z41" s="37">
        <f t="shared" si="21"/>
        <v>7</v>
      </c>
      <c r="AA41" s="37">
        <f t="shared" si="22"/>
        <v>7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s">
        <v>89</v>
      </c>
      <c r="N42" s="38" t="s">
        <v>20</v>
      </c>
      <c r="O42" s="38" t="s">
        <v>18</v>
      </c>
      <c r="P42" s="38" t="s">
        <v>27</v>
      </c>
      <c r="Q42" s="38" t="s">
        <v>28</v>
      </c>
      <c r="R42" s="38" t="s">
        <v>24</v>
      </c>
      <c r="S42" s="24" t="s">
        <v>89</v>
      </c>
      <c r="U42" s="37">
        <f t="shared" si="16"/>
        <v>7</v>
      </c>
      <c r="V42" s="37">
        <f t="shared" si="17"/>
        <v>0</v>
      </c>
      <c r="W42" s="37">
        <f t="shared" si="18"/>
        <v>10</v>
      </c>
      <c r="X42" s="37">
        <f t="shared" si="19"/>
        <v>12</v>
      </c>
      <c r="Y42" s="37">
        <f t="shared" si="20"/>
        <v>15</v>
      </c>
      <c r="Z42" s="37">
        <f t="shared" si="21"/>
        <v>11</v>
      </c>
      <c r="AA42" s="37">
        <f t="shared" si="22"/>
        <v>7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s">
        <v>28</v>
      </c>
      <c r="N43" s="38" t="s">
        <v>20</v>
      </c>
      <c r="O43" s="38" t="s">
        <v>29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16"/>
        <v>15</v>
      </c>
      <c r="V43" s="37">
        <f t="shared" si="17"/>
        <v>0</v>
      </c>
      <c r="W43" s="37">
        <f t="shared" si="18"/>
        <v>19</v>
      </c>
      <c r="X43" s="37">
        <f t="shared" si="19"/>
        <v>14</v>
      </c>
      <c r="Y43" s="37">
        <f t="shared" si="20"/>
        <v>10</v>
      </c>
      <c r="Z43" s="37">
        <f t="shared" si="21"/>
        <v>11</v>
      </c>
      <c r="AA43" s="37">
        <f t="shared" si="22"/>
        <v>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s">
        <v>29</v>
      </c>
      <c r="N44" s="38" t="s">
        <v>20</v>
      </c>
      <c r="O44" s="38" t="s">
        <v>28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16"/>
        <v>19</v>
      </c>
      <c r="V44" s="37">
        <f t="shared" si="17"/>
        <v>0</v>
      </c>
      <c r="W44" s="37">
        <f t="shared" si="18"/>
        <v>15</v>
      </c>
      <c r="X44" s="37">
        <f t="shared" si="19"/>
        <v>19</v>
      </c>
      <c r="Y44" s="37">
        <f t="shared" si="20"/>
        <v>10</v>
      </c>
      <c r="Z44" s="37">
        <f t="shared" si="21"/>
        <v>12</v>
      </c>
      <c r="AA44" s="37">
        <f t="shared" si="22"/>
        <v>14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s">
        <v>18</v>
      </c>
      <c r="N45" s="38" t="s">
        <v>20</v>
      </c>
      <c r="O45" s="38" t="s">
        <v>28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16"/>
        <v>10</v>
      </c>
      <c r="V45" s="37">
        <f t="shared" si="17"/>
        <v>0</v>
      </c>
      <c r="W45" s="37">
        <f t="shared" si="18"/>
        <v>15</v>
      </c>
      <c r="X45" s="37">
        <f t="shared" si="19"/>
        <v>19</v>
      </c>
      <c r="Y45" s="37">
        <f t="shared" si="20"/>
        <v>14</v>
      </c>
      <c r="Z45" s="37">
        <f t="shared" si="21"/>
        <v>12</v>
      </c>
      <c r="AA45" s="37">
        <f t="shared" si="22"/>
        <v>14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s">
        <v>27</v>
      </c>
      <c r="N46" s="38" t="s">
        <v>20</v>
      </c>
      <c r="O46" s="38" t="s">
        <v>232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16"/>
        <v>12</v>
      </c>
      <c r="V46" s="37">
        <f t="shared" si="17"/>
        <v>0</v>
      </c>
      <c r="W46" s="37">
        <f t="shared" si="18"/>
        <v>0</v>
      </c>
      <c r="X46" s="37">
        <f t="shared" si="19"/>
        <v>19</v>
      </c>
      <c r="Y46" s="37">
        <f t="shared" si="20"/>
        <v>12</v>
      </c>
      <c r="Z46" s="37">
        <f t="shared" si="21"/>
        <v>11</v>
      </c>
      <c r="AA46" s="37">
        <f t="shared" si="22"/>
        <v>14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s">
        <v>29</v>
      </c>
      <c r="N47" s="38" t="s">
        <v>20</v>
      </c>
      <c r="O47" s="38" t="s">
        <v>24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16"/>
        <v>19</v>
      </c>
      <c r="V47" s="37">
        <f t="shared" si="17"/>
        <v>0</v>
      </c>
      <c r="W47" s="37">
        <f t="shared" si="18"/>
        <v>11</v>
      </c>
      <c r="X47" s="37">
        <f t="shared" si="19"/>
        <v>12</v>
      </c>
      <c r="Y47" s="37">
        <f t="shared" si="20"/>
        <v>7</v>
      </c>
      <c r="Z47" s="37">
        <f t="shared" si="21"/>
        <v>11</v>
      </c>
      <c r="AA47" s="37">
        <f t="shared" si="22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20</v>
      </c>
      <c r="O48" s="38" t="s">
        <v>26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16"/>
        <v>7</v>
      </c>
      <c r="V48" s="37">
        <f t="shared" si="17"/>
        <v>0</v>
      </c>
      <c r="W48" s="37">
        <f t="shared" si="18"/>
        <v>7</v>
      </c>
      <c r="X48" s="37">
        <f t="shared" si="19"/>
        <v>12</v>
      </c>
      <c r="Y48" s="37">
        <f t="shared" si="20"/>
        <v>7</v>
      </c>
      <c r="Z48" s="37">
        <f t="shared" si="21"/>
        <v>7</v>
      </c>
      <c r="AA48" s="37">
        <f t="shared" si="22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38" t="s">
        <v>26</v>
      </c>
      <c r="N49" s="38" t="s">
        <v>20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16"/>
        <v>7</v>
      </c>
      <c r="V49" s="37">
        <f t="shared" si="17"/>
        <v>0</v>
      </c>
      <c r="W49" s="37">
        <f t="shared" si="18"/>
        <v>0</v>
      </c>
      <c r="X49" s="37">
        <f t="shared" si="19"/>
        <v>12</v>
      </c>
      <c r="Y49" s="37">
        <f t="shared" si="20"/>
        <v>15</v>
      </c>
      <c r="Z49" s="37">
        <f t="shared" si="21"/>
        <v>7</v>
      </c>
      <c r="AA49" s="37">
        <f t="shared" si="22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28</v>
      </c>
      <c r="N50" s="38" t="s">
        <v>20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16"/>
        <v>15</v>
      </c>
      <c r="V50" s="37">
        <f t="shared" si="17"/>
        <v>0</v>
      </c>
      <c r="W50" s="37">
        <f t="shared" si="18"/>
        <v>12</v>
      </c>
      <c r="X50" s="37">
        <f t="shared" si="19"/>
        <v>12</v>
      </c>
      <c r="Y50" s="37">
        <f t="shared" si="20"/>
        <v>15</v>
      </c>
      <c r="Z50" s="37">
        <f t="shared" si="21"/>
        <v>14</v>
      </c>
      <c r="AA50" s="37">
        <f t="shared" si="22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27</v>
      </c>
      <c r="N51" s="38" t="s">
        <v>20</v>
      </c>
      <c r="O51" s="38" t="s">
        <v>24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16"/>
        <v>12</v>
      </c>
      <c r="V51" s="37">
        <f t="shared" si="17"/>
        <v>0</v>
      </c>
      <c r="W51" s="37">
        <f t="shared" si="18"/>
        <v>11</v>
      </c>
      <c r="X51" s="37">
        <f t="shared" si="19"/>
        <v>12</v>
      </c>
      <c r="Y51" s="37">
        <f t="shared" si="20"/>
        <v>7</v>
      </c>
      <c r="Z51" s="37">
        <f t="shared" si="21"/>
        <v>14</v>
      </c>
      <c r="AA51" s="37">
        <f t="shared" si="22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29</v>
      </c>
      <c r="N52" s="38" t="s">
        <v>20</v>
      </c>
      <c r="O52" s="38" t="s">
        <v>24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16"/>
        <v>19</v>
      </c>
      <c r="V52" s="37">
        <f t="shared" si="17"/>
        <v>0</v>
      </c>
      <c r="W52" s="37">
        <f t="shared" si="18"/>
        <v>11</v>
      </c>
      <c r="X52" s="37">
        <f t="shared" si="19"/>
        <v>14</v>
      </c>
      <c r="Y52" s="37">
        <f t="shared" si="20"/>
        <v>7</v>
      </c>
      <c r="Z52" s="37">
        <f t="shared" si="21"/>
        <v>12</v>
      </c>
      <c r="AA52" s="37">
        <f t="shared" si="22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28</v>
      </c>
      <c r="N53" s="38" t="s">
        <v>20</v>
      </c>
      <c r="O53" s="38" t="s">
        <v>28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16"/>
        <v>15</v>
      </c>
      <c r="V53" s="37">
        <f t="shared" si="17"/>
        <v>0</v>
      </c>
      <c r="W53" s="37">
        <f t="shared" si="18"/>
        <v>15</v>
      </c>
      <c r="X53" s="37">
        <f t="shared" si="19"/>
        <v>14</v>
      </c>
      <c r="Y53" s="37">
        <f t="shared" si="20"/>
        <v>12</v>
      </c>
      <c r="Z53" s="37">
        <f t="shared" si="21"/>
        <v>12</v>
      </c>
      <c r="AA53" s="37">
        <f t="shared" si="22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89</v>
      </c>
      <c r="N54" s="38" t="s">
        <v>20</v>
      </c>
      <c r="O54" s="38" t="s">
        <v>28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16"/>
        <v>7</v>
      </c>
      <c r="V54" s="37">
        <f t="shared" si="17"/>
        <v>0</v>
      </c>
      <c r="W54" s="37">
        <f t="shared" si="18"/>
        <v>15</v>
      </c>
      <c r="X54" s="37">
        <f t="shared" si="19"/>
        <v>14</v>
      </c>
      <c r="Y54" s="37">
        <f t="shared" si="20"/>
        <v>12</v>
      </c>
      <c r="Z54" s="37">
        <f t="shared" si="21"/>
        <v>19</v>
      </c>
      <c r="AA54" s="37">
        <f t="shared" si="22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26</v>
      </c>
      <c r="N55" s="38" t="s">
        <v>20</v>
      </c>
      <c r="O55" s="38" t="s">
        <v>64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16"/>
        <v>7</v>
      </c>
      <c r="V55" s="37">
        <f t="shared" si="17"/>
        <v>0</v>
      </c>
      <c r="W55" s="37">
        <f t="shared" si="18"/>
        <v>14</v>
      </c>
      <c r="X55" s="37">
        <f t="shared" si="19"/>
        <v>14</v>
      </c>
      <c r="Y55" s="37">
        <f t="shared" si="20"/>
        <v>12</v>
      </c>
      <c r="Z55" s="37">
        <f t="shared" si="21"/>
        <v>19</v>
      </c>
      <c r="AA55" s="37">
        <f t="shared" si="22"/>
        <v>14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28</v>
      </c>
      <c r="N56" s="38" t="s">
        <v>20</v>
      </c>
      <c r="O56" s="38" t="s">
        <v>26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16"/>
        <v>15</v>
      </c>
      <c r="V56" s="37">
        <f t="shared" si="17"/>
        <v>0</v>
      </c>
      <c r="W56" s="37">
        <f t="shared" si="18"/>
        <v>7</v>
      </c>
      <c r="X56" s="37">
        <f t="shared" si="19"/>
        <v>15</v>
      </c>
      <c r="Y56" s="37">
        <f t="shared" si="20"/>
        <v>15</v>
      </c>
      <c r="Z56" s="37">
        <f t="shared" si="21"/>
        <v>11</v>
      </c>
      <c r="AA56" s="37">
        <f t="shared" si="22"/>
        <v>14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28</v>
      </c>
      <c r="N57" s="38" t="s">
        <v>20</v>
      </c>
      <c r="O57" s="38" t="s">
        <v>26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si="16"/>
        <v>15</v>
      </c>
      <c r="V57" s="37">
        <f t="shared" si="17"/>
        <v>0</v>
      </c>
      <c r="W57" s="37">
        <f t="shared" si="18"/>
        <v>7</v>
      </c>
      <c r="X57" s="37">
        <f t="shared" si="19"/>
        <v>15</v>
      </c>
      <c r="Y57" s="37">
        <f t="shared" si="20"/>
        <v>11</v>
      </c>
      <c r="Z57" s="37">
        <f t="shared" si="21"/>
        <v>12</v>
      </c>
      <c r="AA57" s="37">
        <f t="shared" si="22"/>
        <v>14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38" t="s">
        <v>18</v>
      </c>
      <c r="N58" s="38" t="s">
        <v>20</v>
      </c>
      <c r="O58" s="38" t="s">
        <v>18</v>
      </c>
      <c r="P58" s="38" t="s">
        <v>64</v>
      </c>
      <c r="Q58" s="38" t="s">
        <v>24</v>
      </c>
      <c r="R58" s="38" t="s">
        <v>27</v>
      </c>
      <c r="S58" s="24" t="s">
        <v>89</v>
      </c>
      <c r="U58" s="37">
        <f t="shared" si="16"/>
        <v>10</v>
      </c>
      <c r="V58" s="37">
        <f t="shared" si="17"/>
        <v>0</v>
      </c>
      <c r="W58" s="37">
        <f t="shared" si="18"/>
        <v>10</v>
      </c>
      <c r="X58" s="37">
        <f t="shared" si="19"/>
        <v>14</v>
      </c>
      <c r="Y58" s="37">
        <f t="shared" si="20"/>
        <v>11</v>
      </c>
      <c r="Z58" s="37">
        <f t="shared" si="21"/>
        <v>12</v>
      </c>
      <c r="AA58" s="37">
        <f t="shared" si="22"/>
        <v>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18</v>
      </c>
      <c r="N59" s="38" t="s">
        <v>20</v>
      </c>
      <c r="O59" s="38" t="s">
        <v>28</v>
      </c>
      <c r="P59" s="38" t="s">
        <v>64</v>
      </c>
      <c r="Q59" s="38" t="s">
        <v>21</v>
      </c>
      <c r="R59" s="38" t="s">
        <v>64</v>
      </c>
      <c r="S59" s="24" t="s">
        <v>89</v>
      </c>
      <c r="U59" s="37">
        <f t="shared" si="16"/>
        <v>10</v>
      </c>
      <c r="V59" s="37">
        <f t="shared" si="17"/>
        <v>0</v>
      </c>
      <c r="W59" s="37">
        <f t="shared" si="18"/>
        <v>15</v>
      </c>
      <c r="X59" s="37">
        <f t="shared" si="19"/>
        <v>14</v>
      </c>
      <c r="Y59" s="37">
        <f t="shared" si="20"/>
        <v>12</v>
      </c>
      <c r="Z59" s="37">
        <f t="shared" si="21"/>
        <v>14</v>
      </c>
      <c r="AA59" s="37">
        <f t="shared" si="22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29</v>
      </c>
      <c r="N60" s="38" t="s">
        <v>20</v>
      </c>
      <c r="O60" s="38" t="s">
        <v>28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6"/>
        <v>19</v>
      </c>
      <c r="V60" s="37">
        <f t="shared" si="17"/>
        <v>0</v>
      </c>
      <c r="W60" s="37">
        <f t="shared" si="18"/>
        <v>15</v>
      </c>
      <c r="X60" s="37">
        <f t="shared" si="19"/>
        <v>0</v>
      </c>
      <c r="Y60" s="37">
        <f t="shared" si="20"/>
        <v>12</v>
      </c>
      <c r="Z60" s="37">
        <f t="shared" si="21"/>
        <v>11</v>
      </c>
      <c r="AA60" s="37">
        <f t="shared" si="22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29</v>
      </c>
      <c r="N61" s="38" t="s">
        <v>20</v>
      </c>
      <c r="O61" s="38" t="s">
        <v>29</v>
      </c>
      <c r="P61" s="38" t="s">
        <v>18</v>
      </c>
      <c r="Q61" s="38" t="s">
        <v>28</v>
      </c>
      <c r="R61" s="38" t="s">
        <v>26</v>
      </c>
      <c r="S61" s="24" t="s">
        <v>26</v>
      </c>
      <c r="U61" s="37">
        <f t="shared" si="16"/>
        <v>19</v>
      </c>
      <c r="V61" s="37">
        <f t="shared" si="17"/>
        <v>0</v>
      </c>
      <c r="W61" s="37">
        <f t="shared" si="18"/>
        <v>19</v>
      </c>
      <c r="X61" s="37">
        <f t="shared" si="19"/>
        <v>10</v>
      </c>
      <c r="Y61" s="37">
        <f t="shared" si="20"/>
        <v>15</v>
      </c>
      <c r="Z61" s="37">
        <f t="shared" si="21"/>
        <v>7</v>
      </c>
      <c r="AA61" s="37">
        <f t="shared" si="22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89</v>
      </c>
      <c r="N62" s="38" t="s">
        <v>20</v>
      </c>
      <c r="O62" s="38" t="s">
        <v>24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6"/>
        <v>7</v>
      </c>
      <c r="V62" s="37">
        <f t="shared" si="17"/>
        <v>0</v>
      </c>
      <c r="W62" s="37">
        <f t="shared" si="18"/>
        <v>11</v>
      </c>
      <c r="X62" s="37">
        <f t="shared" si="19"/>
        <v>11</v>
      </c>
      <c r="Y62" s="37">
        <f t="shared" si="20"/>
        <v>15</v>
      </c>
      <c r="Z62" s="37">
        <f t="shared" si="21"/>
        <v>11</v>
      </c>
      <c r="AA62" s="37">
        <f t="shared" si="22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26</v>
      </c>
      <c r="N63" s="38" t="s">
        <v>20</v>
      </c>
      <c r="O63" s="38" t="s">
        <v>29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6"/>
        <v>7</v>
      </c>
      <c r="V63" s="37">
        <f t="shared" si="17"/>
        <v>0</v>
      </c>
      <c r="W63" s="37">
        <f t="shared" si="18"/>
        <v>19</v>
      </c>
      <c r="X63" s="37">
        <f t="shared" si="19"/>
        <v>14</v>
      </c>
      <c r="Y63" s="37">
        <f t="shared" si="20"/>
        <v>7</v>
      </c>
      <c r="Z63" s="37">
        <f t="shared" si="21"/>
        <v>14</v>
      </c>
      <c r="AA63" s="37">
        <f t="shared" si="22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6"/>
        <v>7</v>
      </c>
      <c r="V64" s="37">
        <f t="shared" si="17"/>
        <v>0</v>
      </c>
      <c r="W64" s="37">
        <f t="shared" si="18"/>
        <v>0</v>
      </c>
      <c r="X64" s="37">
        <f t="shared" si="19"/>
        <v>14</v>
      </c>
      <c r="Y64" s="37">
        <f t="shared" si="20"/>
        <v>15</v>
      </c>
      <c r="Z64" s="37">
        <f t="shared" si="21"/>
        <v>11</v>
      </c>
      <c r="AA64" s="37">
        <f t="shared" si="22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28</v>
      </c>
      <c r="N65" s="38" t="s">
        <v>20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6"/>
        <v>15</v>
      </c>
      <c r="V65" s="37">
        <f t="shared" si="17"/>
        <v>0</v>
      </c>
      <c r="W65" s="37">
        <f t="shared" si="18"/>
        <v>7</v>
      </c>
      <c r="X65" s="37">
        <f t="shared" si="19"/>
        <v>14</v>
      </c>
      <c r="Y65" s="37">
        <f t="shared" si="20"/>
        <v>15</v>
      </c>
      <c r="Z65" s="37">
        <f t="shared" si="21"/>
        <v>11</v>
      </c>
      <c r="AA65" s="37">
        <f t="shared" si="22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26</v>
      </c>
      <c r="N66" s="38" t="s">
        <v>20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6"/>
        <v>7</v>
      </c>
      <c r="V66" s="37">
        <f t="shared" si="17"/>
        <v>0</v>
      </c>
      <c r="W66" s="37">
        <f t="shared" si="18"/>
        <v>7</v>
      </c>
      <c r="X66" s="37">
        <f t="shared" si="19"/>
        <v>12</v>
      </c>
      <c r="Y66" s="37">
        <f t="shared" si="20"/>
        <v>7</v>
      </c>
      <c r="Z66" s="37">
        <f t="shared" si="21"/>
        <v>7</v>
      </c>
      <c r="AA66" s="37">
        <f t="shared" si="22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0</v>
      </c>
      <c r="L67" s="15">
        <v>64</v>
      </c>
      <c r="M67" s="38" t="s">
        <v>29</v>
      </c>
      <c r="N67" s="38" t="s">
        <v>20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6"/>
        <v>19</v>
      </c>
      <c r="V67" s="37">
        <f t="shared" si="17"/>
        <v>0</v>
      </c>
      <c r="W67" s="37">
        <f t="shared" si="18"/>
        <v>7</v>
      </c>
      <c r="X67" s="37">
        <f t="shared" si="19"/>
        <v>12</v>
      </c>
      <c r="Y67" s="37">
        <f t="shared" si="20"/>
        <v>10</v>
      </c>
      <c r="Z67" s="37">
        <f t="shared" si="21"/>
        <v>19</v>
      </c>
      <c r="AA67" s="37">
        <f t="shared" si="22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17</v>
      </c>
      <c r="N68" s="38" t="s">
        <v>20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ref="U68:U99" si="23">VLOOKUP(M68, $A$4:$J$29, 9, 0)</f>
        <v>14</v>
      </c>
      <c r="V68" s="37">
        <f t="shared" ref="V68:V99" si="24">VLOOKUP(N68, $A$4:$J$29, 9, 0)</f>
        <v>0</v>
      </c>
      <c r="W68" s="37">
        <f t="shared" ref="W68:W99" si="25">VLOOKUP(O68, $A$4:$J$29, 9, 0)</f>
        <v>10</v>
      </c>
      <c r="X68" s="37">
        <f t="shared" ref="X68:X99" si="26">VLOOKUP(P68, $A$4:$J$29, 9, 0)</f>
        <v>19</v>
      </c>
      <c r="Y68" s="37">
        <f t="shared" ref="Y68:Y99" si="27">VLOOKUP(Q68, $A$4:$J$29, 9, 0)</f>
        <v>7</v>
      </c>
      <c r="Z68" s="37">
        <f t="shared" ref="Z68:Z99" si="28">VLOOKUP(R68, $A$4:$J$29, 9, 0)</f>
        <v>19</v>
      </c>
      <c r="AA68" s="3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100</v>
      </c>
      <c r="L69" s="15">
        <v>66</v>
      </c>
      <c r="M69" s="38" t="s">
        <v>27</v>
      </c>
      <c r="N69" s="38" t="s">
        <v>20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23"/>
        <v>12</v>
      </c>
      <c r="V69" s="37">
        <f t="shared" si="24"/>
        <v>0</v>
      </c>
      <c r="W69" s="37">
        <f t="shared" si="25"/>
        <v>11</v>
      </c>
      <c r="X69" s="37">
        <f t="shared" si="26"/>
        <v>19</v>
      </c>
      <c r="Y69" s="37">
        <f t="shared" si="27"/>
        <v>7</v>
      </c>
      <c r="Z69" s="37">
        <f t="shared" si="28"/>
        <v>12</v>
      </c>
      <c r="AA69" s="3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100</v>
      </c>
      <c r="L70" s="14">
        <v>67</v>
      </c>
      <c r="M70" s="38" t="s">
        <v>27</v>
      </c>
      <c r="N70" s="38" t="s">
        <v>20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23"/>
        <v>12</v>
      </c>
      <c r="V70" s="37">
        <f t="shared" si="24"/>
        <v>0</v>
      </c>
      <c r="W70" s="37">
        <f t="shared" si="25"/>
        <v>11</v>
      </c>
      <c r="X70" s="37">
        <f t="shared" si="26"/>
        <v>19</v>
      </c>
      <c r="Y70" s="37">
        <f t="shared" si="27"/>
        <v>10</v>
      </c>
      <c r="Z70" s="37">
        <f t="shared" si="28"/>
        <v>11</v>
      </c>
      <c r="AA70" s="3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15</v>
      </c>
      <c r="L71" s="15">
        <v>68</v>
      </c>
      <c r="M71" s="38" t="s">
        <v>18</v>
      </c>
      <c r="N71" s="38" t="s">
        <v>20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23"/>
        <v>10</v>
      </c>
      <c r="V71" s="37">
        <f t="shared" si="24"/>
        <v>0</v>
      </c>
      <c r="W71" s="37">
        <f t="shared" si="25"/>
        <v>11</v>
      </c>
      <c r="X71" s="37">
        <f t="shared" si="26"/>
        <v>7</v>
      </c>
      <c r="Y71" s="37">
        <f t="shared" si="27"/>
        <v>10</v>
      </c>
      <c r="Z71" s="37">
        <f t="shared" si="28"/>
        <v>14</v>
      </c>
      <c r="AA71" s="37">
        <f t="shared" si="29"/>
        <v>19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18</v>
      </c>
      <c r="N72" s="38" t="s">
        <v>20</v>
      </c>
      <c r="O72" s="38" t="s">
        <v>28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23"/>
        <v>10</v>
      </c>
      <c r="V72" s="37">
        <f t="shared" si="24"/>
        <v>0</v>
      </c>
      <c r="W72" s="37">
        <f t="shared" si="25"/>
        <v>15</v>
      </c>
      <c r="X72" s="37">
        <f t="shared" si="26"/>
        <v>0</v>
      </c>
      <c r="Y72" s="37">
        <f t="shared" si="27"/>
        <v>0</v>
      </c>
      <c r="Z72" s="37">
        <f t="shared" si="28"/>
        <v>14</v>
      </c>
      <c r="AA72" s="37">
        <f t="shared" si="29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26</v>
      </c>
      <c r="N73" s="38" t="s">
        <v>20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23"/>
        <v>7</v>
      </c>
      <c r="V73" s="37">
        <f t="shared" si="24"/>
        <v>0</v>
      </c>
      <c r="W73" s="37">
        <f t="shared" si="25"/>
        <v>15</v>
      </c>
      <c r="X73" s="37">
        <f t="shared" si="26"/>
        <v>14</v>
      </c>
      <c r="Y73" s="37">
        <f t="shared" si="27"/>
        <v>14</v>
      </c>
      <c r="Z73" s="37">
        <f t="shared" si="28"/>
        <v>19</v>
      </c>
      <c r="AA73" s="37">
        <f t="shared" si="29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29</v>
      </c>
      <c r="N74" s="38" t="s">
        <v>20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23"/>
        <v>19</v>
      </c>
      <c r="V74" s="37">
        <f t="shared" si="24"/>
        <v>0</v>
      </c>
      <c r="W74" s="37">
        <f t="shared" si="25"/>
        <v>15</v>
      </c>
      <c r="X74" s="37">
        <f t="shared" si="26"/>
        <v>14</v>
      </c>
      <c r="Y74" s="37">
        <f t="shared" si="27"/>
        <v>10</v>
      </c>
      <c r="Z74" s="37">
        <f t="shared" si="28"/>
        <v>15</v>
      </c>
      <c r="AA74" s="37">
        <f t="shared" si="29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5">
        <v>72</v>
      </c>
      <c r="M75" s="38" t="s">
        <v>29</v>
      </c>
      <c r="N75" s="38" t="s">
        <v>20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23"/>
        <v>19</v>
      </c>
      <c r="V75" s="37">
        <f t="shared" si="24"/>
        <v>0</v>
      </c>
      <c r="W75" s="37">
        <f t="shared" si="25"/>
        <v>7</v>
      </c>
      <c r="X75" s="37">
        <f t="shared" si="26"/>
        <v>11</v>
      </c>
      <c r="Y75" s="37">
        <f t="shared" si="27"/>
        <v>11</v>
      </c>
      <c r="Z75" s="37">
        <f t="shared" si="28"/>
        <v>11</v>
      </c>
      <c r="AA75" s="37">
        <f t="shared" si="29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38" t="s">
        <v>26</v>
      </c>
      <c r="N76" s="38" t="s">
        <v>20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23"/>
        <v>7</v>
      </c>
      <c r="V76" s="37">
        <f t="shared" si="24"/>
        <v>0</v>
      </c>
      <c r="W76" s="37">
        <f t="shared" si="25"/>
        <v>10</v>
      </c>
      <c r="X76" s="37">
        <f t="shared" si="26"/>
        <v>14</v>
      </c>
      <c r="Y76" s="37">
        <f t="shared" si="27"/>
        <v>10</v>
      </c>
      <c r="Z76" s="37">
        <f t="shared" si="28"/>
        <v>11</v>
      </c>
      <c r="AA76" s="37">
        <f t="shared" si="29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28</v>
      </c>
      <c r="N77" s="38" t="s">
        <v>20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23"/>
        <v>15</v>
      </c>
      <c r="V77" s="37">
        <f t="shared" si="24"/>
        <v>0</v>
      </c>
      <c r="W77" s="37">
        <f t="shared" si="25"/>
        <v>15</v>
      </c>
      <c r="X77" s="37">
        <f t="shared" si="26"/>
        <v>15</v>
      </c>
      <c r="Y77" s="37">
        <f t="shared" si="27"/>
        <v>14</v>
      </c>
      <c r="Z77" s="37">
        <f t="shared" si="28"/>
        <v>14</v>
      </c>
      <c r="AA77" s="37">
        <f t="shared" si="29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64</v>
      </c>
      <c r="N78" s="38" t="s">
        <v>20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23"/>
        <v>14</v>
      </c>
      <c r="V78" s="37">
        <f t="shared" si="24"/>
        <v>0</v>
      </c>
      <c r="W78" s="37">
        <f t="shared" si="25"/>
        <v>15</v>
      </c>
      <c r="X78" s="37">
        <f t="shared" si="26"/>
        <v>15</v>
      </c>
      <c r="Y78" s="37">
        <f t="shared" si="27"/>
        <v>14</v>
      </c>
      <c r="Z78" s="37">
        <f t="shared" si="28"/>
        <v>14</v>
      </c>
      <c r="AA78" s="37">
        <f t="shared" si="29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29</v>
      </c>
      <c r="N79" s="38" t="s">
        <v>20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23"/>
        <v>19</v>
      </c>
      <c r="V79" s="37">
        <f t="shared" si="24"/>
        <v>0</v>
      </c>
      <c r="W79" s="37">
        <f t="shared" si="25"/>
        <v>11</v>
      </c>
      <c r="X79" s="37">
        <f t="shared" si="26"/>
        <v>0</v>
      </c>
      <c r="Y79" s="37">
        <f t="shared" si="27"/>
        <v>0</v>
      </c>
      <c r="Z79" s="37">
        <f t="shared" si="28"/>
        <v>14</v>
      </c>
      <c r="AA79" s="37">
        <f t="shared" si="29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29</v>
      </c>
      <c r="N80" s="38" t="s">
        <v>20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23"/>
        <v>19</v>
      </c>
      <c r="V80" s="37">
        <f t="shared" si="24"/>
        <v>0</v>
      </c>
      <c r="W80" s="37">
        <f t="shared" si="25"/>
        <v>7</v>
      </c>
      <c r="X80" s="37">
        <f t="shared" si="26"/>
        <v>19</v>
      </c>
      <c r="Y80" s="37">
        <f t="shared" si="27"/>
        <v>14</v>
      </c>
      <c r="Z80" s="37">
        <f t="shared" si="28"/>
        <v>14</v>
      </c>
      <c r="AA80" s="37">
        <f t="shared" si="29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27</v>
      </c>
      <c r="N81" s="38" t="s">
        <v>20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23"/>
        <v>12</v>
      </c>
      <c r="V81" s="37">
        <f t="shared" si="24"/>
        <v>0</v>
      </c>
      <c r="W81" s="37">
        <f t="shared" si="25"/>
        <v>7</v>
      </c>
      <c r="X81" s="37">
        <f t="shared" si="26"/>
        <v>19</v>
      </c>
      <c r="Y81" s="37">
        <f t="shared" si="27"/>
        <v>14</v>
      </c>
      <c r="Z81" s="37">
        <f t="shared" si="28"/>
        <v>14</v>
      </c>
      <c r="AA81" s="37">
        <f t="shared" si="29"/>
        <v>19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28</v>
      </c>
      <c r="N82" s="38" t="s">
        <v>20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23"/>
        <v>15</v>
      </c>
      <c r="V82" s="37">
        <f t="shared" si="24"/>
        <v>0</v>
      </c>
      <c r="W82" s="37">
        <f t="shared" si="25"/>
        <v>7</v>
      </c>
      <c r="X82" s="37">
        <f t="shared" si="26"/>
        <v>11</v>
      </c>
      <c r="Y82" s="37">
        <f t="shared" si="27"/>
        <v>7</v>
      </c>
      <c r="Z82" s="37">
        <f t="shared" si="28"/>
        <v>14</v>
      </c>
      <c r="AA82" s="37">
        <f t="shared" si="29"/>
        <v>19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64</v>
      </c>
      <c r="N83" s="38" t="s">
        <v>20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23"/>
        <v>14</v>
      </c>
      <c r="V83" s="37">
        <f t="shared" si="24"/>
        <v>0</v>
      </c>
      <c r="W83" s="37">
        <f t="shared" si="25"/>
        <v>10</v>
      </c>
      <c r="X83" s="37">
        <f t="shared" si="26"/>
        <v>0</v>
      </c>
      <c r="Y83" s="37">
        <f t="shared" si="27"/>
        <v>7</v>
      </c>
      <c r="Z83" s="37">
        <f t="shared" si="28"/>
        <v>19</v>
      </c>
      <c r="AA83" s="37">
        <f t="shared" si="29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64</v>
      </c>
      <c r="N84" s="38" t="s">
        <v>20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23"/>
        <v>14</v>
      </c>
      <c r="V84" s="37">
        <f t="shared" si="24"/>
        <v>0</v>
      </c>
      <c r="W84" s="37">
        <f t="shared" si="25"/>
        <v>15</v>
      </c>
      <c r="X84" s="37">
        <f t="shared" si="26"/>
        <v>10</v>
      </c>
      <c r="Y84" s="37">
        <f t="shared" si="27"/>
        <v>0</v>
      </c>
      <c r="Z84" s="37">
        <f t="shared" si="28"/>
        <v>12</v>
      </c>
      <c r="AA84" s="37">
        <f t="shared" si="29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5">
        <v>82</v>
      </c>
      <c r="M85" s="38" t="s">
        <v>28</v>
      </c>
      <c r="N85" s="38" t="s">
        <v>20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23"/>
        <v>15</v>
      </c>
      <c r="V85" s="37">
        <f t="shared" si="24"/>
        <v>0</v>
      </c>
      <c r="W85" s="37">
        <f t="shared" si="25"/>
        <v>12</v>
      </c>
      <c r="X85" s="37">
        <f t="shared" si="26"/>
        <v>14</v>
      </c>
      <c r="Y85" s="37">
        <f t="shared" si="27"/>
        <v>15</v>
      </c>
      <c r="Z85" s="37">
        <f t="shared" si="28"/>
        <v>12</v>
      </c>
      <c r="AA85" s="37">
        <f t="shared" si="29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29</v>
      </c>
      <c r="N86" s="38" t="s">
        <v>20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23"/>
        <v>19</v>
      </c>
      <c r="V86" s="37">
        <f t="shared" si="24"/>
        <v>0</v>
      </c>
      <c r="W86" s="37">
        <f t="shared" si="25"/>
        <v>12</v>
      </c>
      <c r="X86" s="37">
        <f t="shared" si="26"/>
        <v>12</v>
      </c>
      <c r="Y86" s="37">
        <f t="shared" si="27"/>
        <v>15</v>
      </c>
      <c r="Z86" s="37">
        <f t="shared" si="28"/>
        <v>11</v>
      </c>
      <c r="AA86" s="37">
        <f t="shared" si="29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28</v>
      </c>
      <c r="N87" s="38" t="s">
        <v>20</v>
      </c>
      <c r="O87" s="38" t="s">
        <v>21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23"/>
        <v>15</v>
      </c>
      <c r="V87" s="37">
        <f t="shared" si="24"/>
        <v>0</v>
      </c>
      <c r="W87" s="37">
        <f t="shared" si="25"/>
        <v>12</v>
      </c>
      <c r="X87" s="37">
        <f t="shared" si="26"/>
        <v>10</v>
      </c>
      <c r="Y87" s="37">
        <f t="shared" si="27"/>
        <v>7</v>
      </c>
      <c r="Z87" s="37">
        <f t="shared" si="28"/>
        <v>19</v>
      </c>
      <c r="AA87" s="37">
        <f t="shared" si="29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20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23"/>
        <v>15</v>
      </c>
      <c r="V88" s="37">
        <f t="shared" si="24"/>
        <v>0</v>
      </c>
      <c r="W88" s="37">
        <f t="shared" si="25"/>
        <v>10</v>
      </c>
      <c r="X88" s="37">
        <f t="shared" si="26"/>
        <v>12</v>
      </c>
      <c r="Y88" s="37">
        <f t="shared" si="27"/>
        <v>12</v>
      </c>
      <c r="Z88" s="37">
        <f t="shared" si="28"/>
        <v>19</v>
      </c>
      <c r="AA88" s="37">
        <f t="shared" si="29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20</v>
      </c>
      <c r="O89" s="38" t="s">
        <v>234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23"/>
        <v>19</v>
      </c>
      <c r="V89" s="37">
        <f t="shared" si="24"/>
        <v>0</v>
      </c>
      <c r="W89" s="37">
        <f t="shared" si="25"/>
        <v>0</v>
      </c>
      <c r="X89" s="37">
        <f t="shared" si="26"/>
        <v>12</v>
      </c>
      <c r="Y89" s="37">
        <f t="shared" si="27"/>
        <v>7</v>
      </c>
      <c r="Z89" s="37">
        <f t="shared" si="28"/>
        <v>11</v>
      </c>
      <c r="AA89" s="37">
        <f t="shared" si="29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20</v>
      </c>
      <c r="O90" s="38" t="s">
        <v>24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23"/>
        <v>19</v>
      </c>
      <c r="V90" s="37">
        <f t="shared" si="24"/>
        <v>0</v>
      </c>
      <c r="W90" s="37">
        <f t="shared" si="25"/>
        <v>11</v>
      </c>
      <c r="X90" s="37">
        <f t="shared" si="26"/>
        <v>12</v>
      </c>
      <c r="Y90" s="37">
        <f t="shared" si="27"/>
        <v>10</v>
      </c>
      <c r="Z90" s="37">
        <f t="shared" si="28"/>
        <v>14</v>
      </c>
      <c r="AA90" s="37">
        <f t="shared" si="29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29</v>
      </c>
      <c r="N91" s="38" t="s">
        <v>20</v>
      </c>
      <c r="O91" s="38" t="s">
        <v>24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23"/>
        <v>19</v>
      </c>
      <c r="V91" s="37">
        <f t="shared" si="24"/>
        <v>0</v>
      </c>
      <c r="W91" s="37">
        <f t="shared" si="25"/>
        <v>11</v>
      </c>
      <c r="X91" s="37">
        <f t="shared" si="26"/>
        <v>19</v>
      </c>
      <c r="Y91" s="37">
        <f t="shared" si="27"/>
        <v>12</v>
      </c>
      <c r="Z91" s="37">
        <f t="shared" si="28"/>
        <v>11</v>
      </c>
      <c r="AA91" s="37">
        <f t="shared" si="29"/>
        <v>14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20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23"/>
        <v>19</v>
      </c>
      <c r="V92" s="37">
        <f t="shared" si="24"/>
        <v>0</v>
      </c>
      <c r="W92" s="37">
        <f t="shared" si="25"/>
        <v>15</v>
      </c>
      <c r="X92" s="37">
        <f t="shared" si="26"/>
        <v>19</v>
      </c>
      <c r="Y92" s="37">
        <f t="shared" si="27"/>
        <v>12</v>
      </c>
      <c r="Z92" s="37">
        <f t="shared" si="28"/>
        <v>11</v>
      </c>
      <c r="AA92" s="37">
        <f t="shared" si="29"/>
        <v>14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28</v>
      </c>
      <c r="N93" s="38" t="s">
        <v>20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23"/>
        <v>15</v>
      </c>
      <c r="V93" s="37">
        <f t="shared" si="24"/>
        <v>0</v>
      </c>
      <c r="W93" s="37">
        <f t="shared" si="25"/>
        <v>15</v>
      </c>
      <c r="X93" s="37">
        <f t="shared" si="26"/>
        <v>19</v>
      </c>
      <c r="Y93" s="37">
        <f t="shared" si="27"/>
        <v>7</v>
      </c>
      <c r="Z93" s="37">
        <f t="shared" si="28"/>
        <v>11</v>
      </c>
      <c r="AA93" s="37">
        <f t="shared" si="29"/>
        <v>14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91</v>
      </c>
      <c r="M94" s="38" t="s">
        <v>24</v>
      </c>
      <c r="N94" s="38" t="s">
        <v>20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23"/>
        <v>11</v>
      </c>
      <c r="V94" s="37">
        <f t="shared" si="24"/>
        <v>0</v>
      </c>
      <c r="W94" s="37">
        <f t="shared" si="25"/>
        <v>10</v>
      </c>
      <c r="X94" s="37">
        <f t="shared" si="26"/>
        <v>14</v>
      </c>
      <c r="Y94" s="37">
        <f t="shared" si="27"/>
        <v>7</v>
      </c>
      <c r="Z94" s="37">
        <f t="shared" si="28"/>
        <v>12</v>
      </c>
      <c r="AA94" s="37">
        <f t="shared" si="29"/>
        <v>14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28</v>
      </c>
      <c r="N95" s="38" t="s">
        <v>20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23"/>
        <v>15</v>
      </c>
      <c r="V95" s="37">
        <f t="shared" si="24"/>
        <v>0</v>
      </c>
      <c r="W95" s="37">
        <f t="shared" si="25"/>
        <v>15</v>
      </c>
      <c r="X95" s="37">
        <f t="shared" si="26"/>
        <v>14</v>
      </c>
      <c r="Y95" s="37">
        <f t="shared" si="27"/>
        <v>0</v>
      </c>
      <c r="Z95" s="37">
        <f t="shared" si="28"/>
        <v>12</v>
      </c>
      <c r="AA95" s="37">
        <f t="shared" si="29"/>
        <v>19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 x14ac:dyDescent="0.3">
      <c r="L96" s="15">
        <v>93</v>
      </c>
      <c r="M96" s="38" t="s">
        <v>64</v>
      </c>
      <c r="N96" s="38" t="s">
        <v>20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23"/>
        <v>14</v>
      </c>
      <c r="V96" s="37">
        <f t="shared" si="24"/>
        <v>0</v>
      </c>
      <c r="W96" s="37">
        <f t="shared" si="25"/>
        <v>15</v>
      </c>
      <c r="X96" s="37">
        <f t="shared" si="26"/>
        <v>14</v>
      </c>
      <c r="Y96" s="37">
        <f t="shared" si="27"/>
        <v>15</v>
      </c>
      <c r="Z96" s="37">
        <f t="shared" si="28"/>
        <v>14</v>
      </c>
      <c r="AA96" s="37">
        <f t="shared" si="29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 x14ac:dyDescent="0.3">
      <c r="L97" s="14">
        <v>94</v>
      </c>
      <c r="M97" s="38" t="s">
        <v>24</v>
      </c>
      <c r="N97" s="38" t="s">
        <v>20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23"/>
        <v>11</v>
      </c>
      <c r="V97" s="37">
        <f t="shared" si="24"/>
        <v>0</v>
      </c>
      <c r="W97" s="37">
        <f t="shared" si="25"/>
        <v>19</v>
      </c>
      <c r="X97" s="37">
        <f t="shared" si="26"/>
        <v>19</v>
      </c>
      <c r="Y97" s="37">
        <f t="shared" si="27"/>
        <v>7</v>
      </c>
      <c r="Z97" s="37">
        <f t="shared" si="28"/>
        <v>14</v>
      </c>
      <c r="AA97" s="37">
        <f t="shared" si="29"/>
        <v>19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95</v>
      </c>
      <c r="M98" s="38" t="s">
        <v>26</v>
      </c>
      <c r="N98" s="38" t="s">
        <v>20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23"/>
        <v>7</v>
      </c>
      <c r="V98" s="37">
        <f t="shared" si="24"/>
        <v>0</v>
      </c>
      <c r="W98" s="37">
        <f t="shared" si="25"/>
        <v>15</v>
      </c>
      <c r="X98" s="37">
        <f t="shared" si="26"/>
        <v>19</v>
      </c>
      <c r="Y98" s="37">
        <f t="shared" si="27"/>
        <v>7</v>
      </c>
      <c r="Z98" s="37">
        <f t="shared" si="28"/>
        <v>14</v>
      </c>
      <c r="AA98" s="37">
        <f t="shared" si="29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 x14ac:dyDescent="0.3">
      <c r="L99" s="14">
        <v>96</v>
      </c>
      <c r="M99" s="38" t="s">
        <v>26</v>
      </c>
      <c r="N99" s="38" t="s">
        <v>20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23"/>
        <v>7</v>
      </c>
      <c r="V99" s="37">
        <f t="shared" si="24"/>
        <v>0</v>
      </c>
      <c r="W99" s="37">
        <f t="shared" si="25"/>
        <v>15</v>
      </c>
      <c r="X99" s="37">
        <f t="shared" si="26"/>
        <v>0</v>
      </c>
      <c r="Y99" s="37">
        <f t="shared" si="27"/>
        <v>7</v>
      </c>
      <c r="Z99" s="37">
        <f t="shared" si="28"/>
        <v>19</v>
      </c>
      <c r="AA99" s="37">
        <f t="shared" si="29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97</v>
      </c>
      <c r="M100" s="38" t="s">
        <v>27</v>
      </c>
      <c r="N100" s="38" t="s">
        <v>20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ref="U100:U124" si="30">VLOOKUP(M100, $A$4:$J$29, 9, 0)</f>
        <v>12</v>
      </c>
      <c r="V100" s="37">
        <f t="shared" ref="V100:V124" si="31">VLOOKUP(N100, $A$4:$J$29, 9, 0)</f>
        <v>0</v>
      </c>
      <c r="W100" s="37">
        <f t="shared" ref="W100:W124" si="32">VLOOKUP(O100, $A$4:$J$29, 9, 0)</f>
        <v>15</v>
      </c>
      <c r="X100" s="37">
        <f t="shared" ref="X100:X124" si="33">VLOOKUP(P100, $A$4:$J$29, 9, 0)</f>
        <v>7</v>
      </c>
      <c r="Y100" s="37">
        <f t="shared" ref="Y100:Y124" si="34">VLOOKUP(Q100, $A$4:$J$29, 9, 0)</f>
        <v>7</v>
      </c>
      <c r="Z100" s="37">
        <f t="shared" ref="Z100:Z124" si="35">VLOOKUP(R100, $A$4:$J$29, 9, 0)</f>
        <v>10</v>
      </c>
      <c r="AA100" s="37">
        <f t="shared" ref="AA100:AA124" si="36">VLOOKUP(S100, $A$4:$J$29, 9, 0)</f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 x14ac:dyDescent="0.3">
      <c r="L101" s="14">
        <v>98</v>
      </c>
      <c r="M101" s="38" t="s">
        <v>29</v>
      </c>
      <c r="N101" s="38" t="s">
        <v>20</v>
      </c>
      <c r="O101" s="38" t="s">
        <v>24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30"/>
        <v>19</v>
      </c>
      <c r="V101" s="37">
        <f t="shared" si="31"/>
        <v>0</v>
      </c>
      <c r="W101" s="37">
        <f t="shared" si="32"/>
        <v>11</v>
      </c>
      <c r="X101" s="37">
        <f t="shared" si="33"/>
        <v>7</v>
      </c>
      <c r="Y101" s="37">
        <f t="shared" si="34"/>
        <v>10</v>
      </c>
      <c r="Z101" s="37">
        <f t="shared" si="35"/>
        <v>10</v>
      </c>
      <c r="AA101" s="37">
        <f t="shared" si="36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20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30"/>
        <v>14</v>
      </c>
      <c r="V102" s="37">
        <f t="shared" si="31"/>
        <v>0</v>
      </c>
      <c r="W102" s="37">
        <f t="shared" si="32"/>
        <v>12</v>
      </c>
      <c r="X102" s="37">
        <f t="shared" si="33"/>
        <v>12</v>
      </c>
      <c r="Y102" s="37">
        <f t="shared" si="34"/>
        <v>15</v>
      </c>
      <c r="Z102" s="37">
        <f t="shared" si="35"/>
        <v>19</v>
      </c>
      <c r="AA102" s="37">
        <f t="shared" si="36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5">
        <v>100</v>
      </c>
      <c r="M103" s="38" t="s">
        <v>28</v>
      </c>
      <c r="N103" s="38" t="s">
        <v>20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30"/>
        <v>15</v>
      </c>
      <c r="V103" s="37">
        <f t="shared" si="31"/>
        <v>0</v>
      </c>
      <c r="W103" s="37">
        <f t="shared" si="32"/>
        <v>7</v>
      </c>
      <c r="X103" s="37">
        <f t="shared" si="33"/>
        <v>12</v>
      </c>
      <c r="Y103" s="37">
        <f t="shared" si="34"/>
        <v>15</v>
      </c>
      <c r="Z103" s="37">
        <f t="shared" si="35"/>
        <v>19</v>
      </c>
      <c r="AA103" s="37">
        <f t="shared" si="36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4">
        <v>101</v>
      </c>
      <c r="M104" s="38" t="s">
        <v>89</v>
      </c>
      <c r="N104" s="38" t="s">
        <v>20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30"/>
        <v>7</v>
      </c>
      <c r="V104" s="37">
        <f t="shared" si="31"/>
        <v>0</v>
      </c>
      <c r="W104" s="37">
        <f t="shared" si="32"/>
        <v>7</v>
      </c>
      <c r="X104" s="37">
        <f t="shared" si="33"/>
        <v>0</v>
      </c>
      <c r="Y104" s="37">
        <f t="shared" si="34"/>
        <v>10</v>
      </c>
      <c r="Z104" s="37">
        <f t="shared" si="35"/>
        <v>14</v>
      </c>
      <c r="AA104" s="37">
        <f t="shared" si="36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89</v>
      </c>
      <c r="N105" s="38" t="s">
        <v>20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30"/>
        <v>7</v>
      </c>
      <c r="V105" s="37">
        <f t="shared" si="31"/>
        <v>0</v>
      </c>
      <c r="W105" s="37">
        <f t="shared" si="32"/>
        <v>15</v>
      </c>
      <c r="X105" s="37">
        <f t="shared" si="33"/>
        <v>14</v>
      </c>
      <c r="Y105" s="37">
        <f t="shared" si="34"/>
        <v>0</v>
      </c>
      <c r="Z105" s="37">
        <f t="shared" si="35"/>
        <v>14</v>
      </c>
      <c r="AA105" s="37">
        <f t="shared" si="36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26</v>
      </c>
      <c r="N106" s="38" t="s">
        <v>20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30"/>
        <v>7</v>
      </c>
      <c r="V106" s="37">
        <f t="shared" si="31"/>
        <v>0</v>
      </c>
      <c r="W106" s="37">
        <f t="shared" si="32"/>
        <v>15</v>
      </c>
      <c r="X106" s="37">
        <f t="shared" si="33"/>
        <v>11</v>
      </c>
      <c r="Y106" s="37">
        <f t="shared" si="34"/>
        <v>15</v>
      </c>
      <c r="Z106" s="37">
        <f t="shared" si="35"/>
        <v>12</v>
      </c>
      <c r="AA106" s="3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27</v>
      </c>
      <c r="N107" s="38" t="s">
        <v>20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30"/>
        <v>12</v>
      </c>
      <c r="V107" s="37">
        <f t="shared" si="31"/>
        <v>0</v>
      </c>
      <c r="W107" s="37">
        <f t="shared" si="32"/>
        <v>19</v>
      </c>
      <c r="X107" s="37">
        <f t="shared" si="33"/>
        <v>12</v>
      </c>
      <c r="Y107" s="37">
        <f t="shared" si="34"/>
        <v>15</v>
      </c>
      <c r="Z107" s="37">
        <f t="shared" si="35"/>
        <v>12</v>
      </c>
      <c r="AA107" s="37">
        <f t="shared" si="36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26</v>
      </c>
      <c r="N108" s="38" t="s">
        <v>20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30"/>
        <v>7</v>
      </c>
      <c r="V108" s="37">
        <f t="shared" si="31"/>
        <v>0</v>
      </c>
      <c r="W108" s="37">
        <f t="shared" si="32"/>
        <v>12</v>
      </c>
      <c r="X108" s="37">
        <f t="shared" si="33"/>
        <v>12</v>
      </c>
      <c r="Y108" s="37">
        <f t="shared" si="34"/>
        <v>7</v>
      </c>
      <c r="Z108" s="37">
        <f t="shared" si="35"/>
        <v>19</v>
      </c>
      <c r="AA108" s="37">
        <f t="shared" si="36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29</v>
      </c>
      <c r="N109" s="38" t="s">
        <v>20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30"/>
        <v>19</v>
      </c>
      <c r="V109" s="37">
        <f t="shared" si="31"/>
        <v>0</v>
      </c>
      <c r="W109" s="37">
        <f t="shared" si="32"/>
        <v>12</v>
      </c>
      <c r="X109" s="37">
        <f t="shared" si="33"/>
        <v>14</v>
      </c>
      <c r="Y109" s="37">
        <f t="shared" si="34"/>
        <v>15</v>
      </c>
      <c r="Z109" s="37">
        <f t="shared" si="35"/>
        <v>19</v>
      </c>
      <c r="AA109" s="3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29</v>
      </c>
      <c r="N110" s="38" t="s">
        <v>20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30"/>
        <v>19</v>
      </c>
      <c r="V110" s="37">
        <f t="shared" si="31"/>
        <v>0</v>
      </c>
      <c r="W110" s="37">
        <f t="shared" si="32"/>
        <v>15</v>
      </c>
      <c r="X110" s="37">
        <f t="shared" si="33"/>
        <v>14</v>
      </c>
      <c r="Y110" s="37">
        <f t="shared" si="34"/>
        <v>19</v>
      </c>
      <c r="Z110" s="37">
        <f t="shared" si="35"/>
        <v>11</v>
      </c>
      <c r="AA110" s="3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17</v>
      </c>
      <c r="N111" s="38" t="s">
        <v>20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30"/>
        <v>14</v>
      </c>
      <c r="V111" s="37">
        <f t="shared" si="31"/>
        <v>0</v>
      </c>
      <c r="W111" s="37">
        <f t="shared" si="32"/>
        <v>15</v>
      </c>
      <c r="X111" s="37">
        <f t="shared" si="33"/>
        <v>15</v>
      </c>
      <c r="Y111" s="37">
        <f t="shared" si="34"/>
        <v>10</v>
      </c>
      <c r="Z111" s="37">
        <f t="shared" si="35"/>
        <v>11</v>
      </c>
      <c r="AA111" s="37">
        <f t="shared" si="36"/>
        <v>19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109</v>
      </c>
      <c r="M112" s="38" t="s">
        <v>27</v>
      </c>
      <c r="N112" s="38" t="s">
        <v>20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30"/>
        <v>12</v>
      </c>
      <c r="V112" s="37">
        <f t="shared" si="31"/>
        <v>0</v>
      </c>
      <c r="W112" s="37">
        <f t="shared" si="32"/>
        <v>15</v>
      </c>
      <c r="X112" s="37">
        <f t="shared" si="33"/>
        <v>19</v>
      </c>
      <c r="Y112" s="37">
        <f t="shared" si="34"/>
        <v>0</v>
      </c>
      <c r="Z112" s="37">
        <f t="shared" si="35"/>
        <v>19</v>
      </c>
      <c r="AA112" s="3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20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30"/>
        <v>12</v>
      </c>
      <c r="V113" s="37">
        <f t="shared" si="31"/>
        <v>0</v>
      </c>
      <c r="W113" s="37">
        <f t="shared" si="32"/>
        <v>11</v>
      </c>
      <c r="X113" s="37">
        <f t="shared" si="33"/>
        <v>14</v>
      </c>
      <c r="Y113" s="37">
        <f t="shared" si="34"/>
        <v>7</v>
      </c>
      <c r="Z113" s="37">
        <f t="shared" si="35"/>
        <v>19</v>
      </c>
      <c r="AA113" s="3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28</v>
      </c>
      <c r="N114" s="38" t="s">
        <v>20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30"/>
        <v>15</v>
      </c>
      <c r="V114" s="37">
        <f t="shared" si="31"/>
        <v>0</v>
      </c>
      <c r="W114" s="37">
        <f t="shared" si="32"/>
        <v>11</v>
      </c>
      <c r="X114" s="37">
        <f t="shared" si="33"/>
        <v>14</v>
      </c>
      <c r="Y114" s="37">
        <f t="shared" si="34"/>
        <v>15</v>
      </c>
      <c r="Z114" s="37">
        <f t="shared" si="35"/>
        <v>12</v>
      </c>
      <c r="AA114" s="37">
        <f t="shared" si="36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20</v>
      </c>
      <c r="O115" s="38" t="s">
        <v>240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30"/>
        <v>7</v>
      </c>
      <c r="V115" s="37">
        <f t="shared" si="31"/>
        <v>0</v>
      </c>
      <c r="W115" s="37">
        <f t="shared" si="32"/>
        <v>0</v>
      </c>
      <c r="X115" s="37">
        <f t="shared" si="33"/>
        <v>7</v>
      </c>
      <c r="Y115" s="37">
        <f t="shared" si="34"/>
        <v>7</v>
      </c>
      <c r="Z115" s="37">
        <f t="shared" si="35"/>
        <v>11</v>
      </c>
      <c r="AA115" s="37">
        <f t="shared" si="36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29</v>
      </c>
      <c r="N116" s="38" t="s">
        <v>20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30"/>
        <v>19</v>
      </c>
      <c r="V116" s="37">
        <f t="shared" si="31"/>
        <v>0</v>
      </c>
      <c r="W116" s="37">
        <f t="shared" si="32"/>
        <v>15</v>
      </c>
      <c r="X116" s="37">
        <f t="shared" si="33"/>
        <v>0</v>
      </c>
      <c r="Y116" s="37">
        <f t="shared" si="34"/>
        <v>7</v>
      </c>
      <c r="Z116" s="37">
        <f t="shared" si="35"/>
        <v>12</v>
      </c>
      <c r="AA116" s="37">
        <f t="shared" si="36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29</v>
      </c>
      <c r="N117" s="38" t="s">
        <v>20</v>
      </c>
      <c r="O117" s="38" t="s">
        <v>24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30"/>
        <v>19</v>
      </c>
      <c r="V117" s="37">
        <f t="shared" si="31"/>
        <v>0</v>
      </c>
      <c r="W117" s="37">
        <f t="shared" si="32"/>
        <v>11</v>
      </c>
      <c r="X117" s="37">
        <f t="shared" si="33"/>
        <v>15</v>
      </c>
      <c r="Y117" s="37">
        <f t="shared" si="34"/>
        <v>7</v>
      </c>
      <c r="Z117" s="37">
        <f t="shared" si="35"/>
        <v>12</v>
      </c>
      <c r="AA117" s="37">
        <f t="shared" si="36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27</v>
      </c>
      <c r="N118" s="38" t="s">
        <v>20</v>
      </c>
      <c r="O118" s="38" t="s">
        <v>26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30"/>
        <v>12</v>
      </c>
      <c r="V118" s="37">
        <f t="shared" si="31"/>
        <v>0</v>
      </c>
      <c r="W118" s="37">
        <f t="shared" si="32"/>
        <v>7</v>
      </c>
      <c r="X118" s="37">
        <f t="shared" si="33"/>
        <v>7</v>
      </c>
      <c r="Y118" s="37">
        <f t="shared" si="34"/>
        <v>10</v>
      </c>
      <c r="Z118" s="37">
        <f t="shared" si="35"/>
        <v>11</v>
      </c>
      <c r="AA118" s="37">
        <f t="shared" si="36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29</v>
      </c>
      <c r="N119" s="38" t="s">
        <v>20</v>
      </c>
      <c r="O119" s="38" t="s">
        <v>18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30"/>
        <v>19</v>
      </c>
      <c r="V119" s="37">
        <f t="shared" si="31"/>
        <v>0</v>
      </c>
      <c r="W119" s="37">
        <f t="shared" si="32"/>
        <v>10</v>
      </c>
      <c r="X119" s="37">
        <f t="shared" si="33"/>
        <v>0</v>
      </c>
      <c r="Y119" s="37">
        <f t="shared" si="34"/>
        <v>0</v>
      </c>
      <c r="Z119" s="37">
        <f t="shared" si="35"/>
        <v>11</v>
      </c>
      <c r="AA119" s="37">
        <f t="shared" si="36"/>
        <v>19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20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30"/>
        <v>19</v>
      </c>
      <c r="V120" s="37">
        <f t="shared" si="31"/>
        <v>0</v>
      </c>
      <c r="W120" s="37">
        <f t="shared" si="32"/>
        <v>11</v>
      </c>
      <c r="X120" s="37">
        <f t="shared" si="33"/>
        <v>14</v>
      </c>
      <c r="Y120" s="37">
        <f t="shared" si="34"/>
        <v>12</v>
      </c>
      <c r="Z120" s="37">
        <f t="shared" si="35"/>
        <v>12</v>
      </c>
      <c r="AA120" s="37">
        <f t="shared" si="36"/>
        <v>19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38" t="s">
        <v>64</v>
      </c>
      <c r="N121" s="38" t="s">
        <v>20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si="30"/>
        <v>14</v>
      </c>
      <c r="V121" s="37">
        <f t="shared" si="31"/>
        <v>0</v>
      </c>
      <c r="W121" s="37">
        <f t="shared" si="32"/>
        <v>11</v>
      </c>
      <c r="X121" s="37">
        <f t="shared" si="33"/>
        <v>12</v>
      </c>
      <c r="Y121" s="37">
        <f t="shared" si="34"/>
        <v>12</v>
      </c>
      <c r="Z121" s="37">
        <f t="shared" si="35"/>
        <v>12</v>
      </c>
      <c r="AA121" s="37">
        <f t="shared" si="36"/>
        <v>19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29</v>
      </c>
      <c r="N122" s="38" t="s">
        <v>20</v>
      </c>
      <c r="O122" s="38" t="s">
        <v>28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30"/>
        <v>19</v>
      </c>
      <c r="V122" s="37">
        <f t="shared" si="31"/>
        <v>0</v>
      </c>
      <c r="W122" s="37">
        <f t="shared" si="32"/>
        <v>15</v>
      </c>
      <c r="X122" s="37">
        <f t="shared" si="33"/>
        <v>12</v>
      </c>
      <c r="Y122" s="37">
        <f t="shared" si="34"/>
        <v>7</v>
      </c>
      <c r="Z122" s="37">
        <f t="shared" si="35"/>
        <v>12</v>
      </c>
      <c r="AA122" s="37">
        <f t="shared" si="36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26</v>
      </c>
      <c r="N123" s="38" t="s">
        <v>20</v>
      </c>
      <c r="O123" s="38" t="s">
        <v>26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30"/>
        <v>7</v>
      </c>
      <c r="V123" s="37">
        <f t="shared" si="31"/>
        <v>0</v>
      </c>
      <c r="W123" s="37">
        <f t="shared" si="32"/>
        <v>7</v>
      </c>
      <c r="X123" s="37">
        <f t="shared" si="33"/>
        <v>14</v>
      </c>
      <c r="Y123" s="37">
        <f t="shared" si="34"/>
        <v>12</v>
      </c>
      <c r="Z123" s="37">
        <f t="shared" si="35"/>
        <v>11</v>
      </c>
      <c r="AA123" s="37">
        <f t="shared" si="36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26</v>
      </c>
      <c r="N124" s="38" t="s">
        <v>20</v>
      </c>
      <c r="O124" s="38" t="s">
        <v>24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30"/>
        <v>7</v>
      </c>
      <c r="V124" s="37">
        <f t="shared" si="31"/>
        <v>0</v>
      </c>
      <c r="W124" s="37">
        <f t="shared" si="32"/>
        <v>11</v>
      </c>
      <c r="X124" s="37">
        <f t="shared" si="33"/>
        <v>14</v>
      </c>
      <c r="Y124" s="37">
        <f t="shared" si="34"/>
        <v>7</v>
      </c>
      <c r="Z124" s="37">
        <f t="shared" si="35"/>
        <v>12</v>
      </c>
      <c r="AA124" s="37">
        <f t="shared" si="36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L125" s="15">
        <v>122</v>
      </c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L126" s="14">
        <v>123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L127" s="15">
        <v>124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L128" s="14">
        <v>125</v>
      </c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12:46" x14ac:dyDescent="0.3">
      <c r="L129" s="15">
        <v>126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12:46" x14ac:dyDescent="0.3">
      <c r="L130" s="15">
        <v>127</v>
      </c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12:46" x14ac:dyDescent="0.3">
      <c r="L131" s="14">
        <v>128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12:46" x14ac:dyDescent="0.3">
      <c r="L132" s="15">
        <v>129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12:46" x14ac:dyDescent="0.3">
      <c r="L133" s="14">
        <v>130</v>
      </c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AT146" s="9"/>
    </row>
    <row r="147" spans="12:46" x14ac:dyDescent="0.3">
      <c r="L147" s="15">
        <v>144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L4" sqref="L4:L203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 cm="1">
        <f t="array" ref="L4:L203">_xlfn.SEQUENCE(200)</f>
        <v>1</v>
      </c>
      <c r="M4" s="156" t="s">
        <v>89</v>
      </c>
      <c r="N4" s="156" t="s">
        <v>89</v>
      </c>
      <c r="O4" s="156" t="s">
        <v>26</v>
      </c>
      <c r="P4" s="156" t="s">
        <v>21</v>
      </c>
      <c r="Q4" s="156" t="s">
        <v>18</v>
      </c>
      <c r="R4" s="156" t="s">
        <v>24</v>
      </c>
      <c r="S4" s="157" t="s">
        <v>24</v>
      </c>
      <c r="U4" s="158">
        <f t="shared" ref="U4:U35" si="2">VLOOKUP(M4, $A$4:$J$29, 9, 0)</f>
        <v>8</v>
      </c>
      <c r="V4" s="158">
        <f t="shared" ref="V4:V35" si="3">VLOOKUP(N4, $A$4:$J$29, 9, 0)</f>
        <v>8</v>
      </c>
      <c r="W4" s="158">
        <f t="shared" ref="W4:W35" si="4">VLOOKUP(O4, $A$4:$J$29, 9, 0)</f>
        <v>7</v>
      </c>
      <c r="X4" s="158">
        <f t="shared" ref="X4:X35" si="5">VLOOKUP(P4, $A$4:$J$29, 9, 0)</f>
        <v>12</v>
      </c>
      <c r="Y4" s="158">
        <f t="shared" ref="Y4:Y35" si="6">VLOOKUP(Q4, $A$4:$J$29, 9, 0)</f>
        <v>10</v>
      </c>
      <c r="Z4" s="158">
        <f t="shared" ref="Z4:Z35" si="7">VLOOKUP(R4, $A$4:$J$29, 9, 0)</f>
        <v>11</v>
      </c>
      <c r="AA4" s="158">
        <f t="shared" ref="AA4:AA35" si="8">VLOOKUP(S4, $A$4:$J$29, 9, 0)</f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28</v>
      </c>
      <c r="O5" s="38" t="s">
        <v>26</v>
      </c>
      <c r="P5" s="38" t="s">
        <v>21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3"/>
        <v>15</v>
      </c>
      <c r="W5" s="37">
        <f t="shared" si="4"/>
        <v>7</v>
      </c>
      <c r="X5" s="37">
        <f t="shared" si="5"/>
        <v>12</v>
      </c>
      <c r="Y5" s="37">
        <f t="shared" si="6"/>
        <v>0</v>
      </c>
      <c r="Z5" s="37">
        <f t="shared" si="7"/>
        <v>7</v>
      </c>
      <c r="AA5" s="37">
        <f t="shared" si="8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1</v>
      </c>
      <c r="D6" s="153">
        <f t="shared" si="1"/>
        <v>0</v>
      </c>
      <c r="E6" s="153">
        <f t="shared" si="1"/>
        <v>1</v>
      </c>
      <c r="F6" s="153">
        <f t="shared" si="1"/>
        <v>0</v>
      </c>
      <c r="G6" s="153">
        <f t="shared" si="1"/>
        <v>0</v>
      </c>
      <c r="H6" s="153">
        <f t="shared" si="1"/>
        <v>1</v>
      </c>
      <c r="I6" s="153">
        <f t="shared" si="1"/>
        <v>1</v>
      </c>
      <c r="J6" s="151">
        <v>2</v>
      </c>
      <c r="L6" s="15">
        <v>3</v>
      </c>
      <c r="M6" s="38" t="s">
        <v>28</v>
      </c>
      <c r="N6" s="38" t="s">
        <v>29</v>
      </c>
      <c r="O6" s="38" t="s">
        <v>21</v>
      </c>
      <c r="P6" s="38" t="s">
        <v>21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3"/>
        <v>18</v>
      </c>
      <c r="W6" s="37">
        <f t="shared" si="4"/>
        <v>12</v>
      </c>
      <c r="X6" s="37">
        <f t="shared" si="5"/>
        <v>12</v>
      </c>
      <c r="Y6" s="37">
        <f t="shared" si="6"/>
        <v>13</v>
      </c>
      <c r="Z6" s="37">
        <f t="shared" si="7"/>
        <v>13</v>
      </c>
      <c r="AA6" s="37">
        <f t="shared" si="8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121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4</v>
      </c>
      <c r="M7" s="38" t="s">
        <v>29</v>
      </c>
      <c r="N7" s="38" t="s">
        <v>27</v>
      </c>
      <c r="O7" s="38" t="s">
        <v>24</v>
      </c>
      <c r="P7" s="38" t="s">
        <v>21</v>
      </c>
      <c r="Q7" s="38" t="s">
        <v>64</v>
      </c>
      <c r="R7" s="38" t="s">
        <v>29</v>
      </c>
      <c r="S7" s="24" t="s">
        <v>24</v>
      </c>
      <c r="U7" s="37">
        <f t="shared" si="2"/>
        <v>18</v>
      </c>
      <c r="V7" s="37">
        <f t="shared" si="3"/>
        <v>12</v>
      </c>
      <c r="W7" s="37">
        <f t="shared" si="4"/>
        <v>11</v>
      </c>
      <c r="X7" s="37">
        <f t="shared" si="5"/>
        <v>12</v>
      </c>
      <c r="Y7" s="37">
        <f t="shared" si="6"/>
        <v>13</v>
      </c>
      <c r="Z7" s="37">
        <f t="shared" si="7"/>
        <v>18</v>
      </c>
      <c r="AA7" s="37">
        <f t="shared" si="8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0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5</v>
      </c>
      <c r="M8" s="38" t="s">
        <v>26</v>
      </c>
      <c r="N8" s="38" t="s">
        <v>29</v>
      </c>
      <c r="O8" s="38" t="s">
        <v>226</v>
      </c>
      <c r="P8" s="38" t="s">
        <v>21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3"/>
        <v>18</v>
      </c>
      <c r="W8" s="37">
        <f t="shared" si="4"/>
        <v>0</v>
      </c>
      <c r="X8" s="37">
        <f t="shared" si="5"/>
        <v>12</v>
      </c>
      <c r="Y8" s="37">
        <f t="shared" si="6"/>
        <v>7</v>
      </c>
      <c r="Z8" s="37">
        <f t="shared" si="7"/>
        <v>18</v>
      </c>
      <c r="AA8" s="37">
        <f t="shared" si="8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0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6</v>
      </c>
      <c r="M9" s="38" t="s">
        <v>28</v>
      </c>
      <c r="N9" s="38" t="s">
        <v>21</v>
      </c>
      <c r="O9" s="38" t="s">
        <v>17</v>
      </c>
      <c r="P9" s="38" t="s">
        <v>21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3"/>
        <v>12</v>
      </c>
      <c r="W9" s="37">
        <f t="shared" si="4"/>
        <v>14</v>
      </c>
      <c r="X9" s="37">
        <f t="shared" si="5"/>
        <v>12</v>
      </c>
      <c r="Y9" s="37">
        <f t="shared" si="6"/>
        <v>7</v>
      </c>
      <c r="Z9" s="37">
        <f t="shared" si="7"/>
        <v>13</v>
      </c>
      <c r="AA9" s="37">
        <f t="shared" si="8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0</v>
      </c>
      <c r="G10" s="153">
        <f t="shared" si="1"/>
        <v>6</v>
      </c>
      <c r="H10" s="153">
        <f t="shared" si="1"/>
        <v>27</v>
      </c>
      <c r="I10" s="153">
        <f t="shared" si="1"/>
        <v>13</v>
      </c>
      <c r="J10" s="151">
        <v>6</v>
      </c>
      <c r="L10" s="15">
        <v>7</v>
      </c>
      <c r="M10" s="38" t="s">
        <v>26</v>
      </c>
      <c r="N10" s="38" t="s">
        <v>21</v>
      </c>
      <c r="O10" s="38" t="s">
        <v>24</v>
      </c>
      <c r="P10" s="38" t="s">
        <v>21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3"/>
        <v>12</v>
      </c>
      <c r="W10" s="37">
        <f t="shared" si="4"/>
        <v>11</v>
      </c>
      <c r="X10" s="37">
        <f t="shared" si="5"/>
        <v>12</v>
      </c>
      <c r="Y10" s="37">
        <f t="shared" si="6"/>
        <v>8</v>
      </c>
      <c r="Z10" s="37">
        <f t="shared" si="7"/>
        <v>13</v>
      </c>
      <c r="AA10" s="37">
        <f t="shared" si="8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0</v>
      </c>
      <c r="G11" s="153">
        <f t="shared" si="1"/>
        <v>28</v>
      </c>
      <c r="H11" s="153">
        <f t="shared" si="1"/>
        <v>2</v>
      </c>
      <c r="I11" s="153">
        <f t="shared" si="1"/>
        <v>8</v>
      </c>
      <c r="J11" s="151">
        <v>7</v>
      </c>
      <c r="L11" s="14">
        <v>8</v>
      </c>
      <c r="M11" s="38" t="s">
        <v>29</v>
      </c>
      <c r="N11" s="38" t="s">
        <v>89</v>
      </c>
      <c r="O11" s="38" t="s">
        <v>26</v>
      </c>
      <c r="P11" s="38" t="s">
        <v>21</v>
      </c>
      <c r="Q11" s="38" t="s">
        <v>28</v>
      </c>
      <c r="R11" s="38" t="s">
        <v>64</v>
      </c>
      <c r="S11" s="24" t="s">
        <v>21</v>
      </c>
      <c r="U11" s="37">
        <f t="shared" si="2"/>
        <v>18</v>
      </c>
      <c r="V11" s="37">
        <f t="shared" si="3"/>
        <v>8</v>
      </c>
      <c r="W11" s="37">
        <f t="shared" si="4"/>
        <v>7</v>
      </c>
      <c r="X11" s="37">
        <f t="shared" si="5"/>
        <v>12</v>
      </c>
      <c r="Y11" s="37">
        <f t="shared" si="6"/>
        <v>15</v>
      </c>
      <c r="Z11" s="37">
        <f t="shared" si="7"/>
        <v>13</v>
      </c>
      <c r="AA11" s="37">
        <f t="shared" si="8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9</v>
      </c>
      <c r="M12" s="38" t="s">
        <v>64</v>
      </c>
      <c r="N12" s="38" t="s">
        <v>89</v>
      </c>
      <c r="O12" s="38" t="s">
        <v>20</v>
      </c>
      <c r="P12" s="38" t="s">
        <v>21</v>
      </c>
      <c r="Q12" s="38" t="s">
        <v>28</v>
      </c>
      <c r="R12" s="38" t="s">
        <v>89</v>
      </c>
      <c r="S12" s="24" t="s">
        <v>17</v>
      </c>
      <c r="U12" s="37">
        <f t="shared" si="2"/>
        <v>13</v>
      </c>
      <c r="V12" s="37">
        <f t="shared" si="3"/>
        <v>8</v>
      </c>
      <c r="W12" s="37">
        <f t="shared" si="4"/>
        <v>1</v>
      </c>
      <c r="X12" s="37">
        <f t="shared" si="5"/>
        <v>12</v>
      </c>
      <c r="Y12" s="37">
        <f t="shared" si="6"/>
        <v>15</v>
      </c>
      <c r="Z12" s="37">
        <f t="shared" si="7"/>
        <v>8</v>
      </c>
      <c r="AA12" s="37">
        <f t="shared" si="8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18</v>
      </c>
      <c r="F13" s="10">
        <f t="shared" si="1"/>
        <v>0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5">
        <v>10</v>
      </c>
      <c r="M13" s="38" t="s">
        <v>28</v>
      </c>
      <c r="N13" s="38" t="s">
        <v>230</v>
      </c>
      <c r="O13" s="38" t="s">
        <v>17</v>
      </c>
      <c r="P13" s="38" t="s">
        <v>21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3"/>
        <v>0</v>
      </c>
      <c r="W13" s="37">
        <f t="shared" si="4"/>
        <v>14</v>
      </c>
      <c r="X13" s="37">
        <f t="shared" si="5"/>
        <v>12</v>
      </c>
      <c r="Y13" s="37">
        <f t="shared" si="6"/>
        <v>8</v>
      </c>
      <c r="Z13" s="37">
        <f t="shared" si="7"/>
        <v>13</v>
      </c>
      <c r="AA13" s="37">
        <f t="shared" si="8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0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4">
        <v>11</v>
      </c>
      <c r="M14" s="38" t="s">
        <v>28</v>
      </c>
      <c r="N14" s="38" t="s">
        <v>64</v>
      </c>
      <c r="O14" s="38" t="s">
        <v>28</v>
      </c>
      <c r="P14" s="38" t="s">
        <v>21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3"/>
        <v>13</v>
      </c>
      <c r="W14" s="37">
        <f t="shared" si="4"/>
        <v>15</v>
      </c>
      <c r="X14" s="37">
        <f t="shared" si="5"/>
        <v>12</v>
      </c>
      <c r="Y14" s="37">
        <f t="shared" si="6"/>
        <v>8</v>
      </c>
      <c r="Z14" s="37">
        <f t="shared" si="7"/>
        <v>13</v>
      </c>
      <c r="AA14" s="37">
        <f t="shared" si="8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0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5">
        <v>12</v>
      </c>
      <c r="M15" s="38" t="s">
        <v>20</v>
      </c>
      <c r="N15" s="38" t="s">
        <v>64</v>
      </c>
      <c r="O15" s="38" t="s">
        <v>28</v>
      </c>
      <c r="P15" s="38" t="s">
        <v>21</v>
      </c>
      <c r="Q15" s="38" t="s">
        <v>26</v>
      </c>
      <c r="R15" s="38" t="s">
        <v>20</v>
      </c>
      <c r="S15" s="24" t="s">
        <v>17</v>
      </c>
      <c r="U15" s="37">
        <f t="shared" si="2"/>
        <v>1</v>
      </c>
      <c r="V15" s="37">
        <f t="shared" si="3"/>
        <v>13</v>
      </c>
      <c r="W15" s="37">
        <f t="shared" si="4"/>
        <v>15</v>
      </c>
      <c r="X15" s="37">
        <f t="shared" si="5"/>
        <v>12</v>
      </c>
      <c r="Y15" s="37">
        <f t="shared" si="6"/>
        <v>7</v>
      </c>
      <c r="Z15" s="37">
        <f t="shared" si="7"/>
        <v>1</v>
      </c>
      <c r="AA15" s="37">
        <f t="shared" si="8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29</v>
      </c>
      <c r="D16" s="10">
        <f t="shared" si="1"/>
        <v>16</v>
      </c>
      <c r="E16" s="10">
        <f t="shared" si="1"/>
        <v>5</v>
      </c>
      <c r="F16" s="10">
        <f t="shared" si="1"/>
        <v>0</v>
      </c>
      <c r="G16" s="10">
        <f t="shared" si="1"/>
        <v>5</v>
      </c>
      <c r="H16" s="10">
        <f t="shared" si="1"/>
        <v>21</v>
      </c>
      <c r="I16" s="10">
        <f t="shared" si="1"/>
        <v>18</v>
      </c>
      <c r="J16" s="4">
        <v>12</v>
      </c>
      <c r="L16" s="14">
        <v>13</v>
      </c>
      <c r="M16" s="38" t="s">
        <v>29</v>
      </c>
      <c r="N16" s="38" t="s">
        <v>27</v>
      </c>
      <c r="O16" s="38" t="s">
        <v>224</v>
      </c>
      <c r="P16" s="38" t="s">
        <v>21</v>
      </c>
      <c r="Q16" s="38" t="s">
        <v>26</v>
      </c>
      <c r="R16" s="38" t="s">
        <v>89</v>
      </c>
      <c r="S16" s="24" t="s">
        <v>18</v>
      </c>
      <c r="U16" s="37">
        <f t="shared" si="2"/>
        <v>18</v>
      </c>
      <c r="V16" s="37">
        <f t="shared" si="3"/>
        <v>12</v>
      </c>
      <c r="W16" s="37">
        <f t="shared" si="4"/>
        <v>0</v>
      </c>
      <c r="X16" s="37">
        <f t="shared" si="5"/>
        <v>12</v>
      </c>
      <c r="Y16" s="37">
        <f t="shared" si="6"/>
        <v>7</v>
      </c>
      <c r="Z16" s="37">
        <f t="shared" si="7"/>
        <v>8</v>
      </c>
      <c r="AA16" s="37">
        <f t="shared" si="8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26</v>
      </c>
      <c r="N17" s="38" t="s">
        <v>27</v>
      </c>
      <c r="O17" s="38" t="s">
        <v>238</v>
      </c>
      <c r="P17" s="38" t="s">
        <v>21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3"/>
        <v>12</v>
      </c>
      <c r="W17" s="37">
        <f t="shared" si="4"/>
        <v>0</v>
      </c>
      <c r="X17" s="37">
        <f t="shared" si="5"/>
        <v>12</v>
      </c>
      <c r="Y17" s="37">
        <f t="shared" si="6"/>
        <v>8</v>
      </c>
      <c r="Z17" s="37">
        <f t="shared" si="7"/>
        <v>13</v>
      </c>
      <c r="AA17" s="37">
        <f t="shared" si="8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0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s">
        <v>89</v>
      </c>
      <c r="N18" s="38" t="s">
        <v>232</v>
      </c>
      <c r="O18" s="38" t="s">
        <v>27</v>
      </c>
      <c r="P18" s="38" t="s">
        <v>21</v>
      </c>
      <c r="Q18" s="38" t="s">
        <v>89</v>
      </c>
      <c r="R18" s="38" t="s">
        <v>27</v>
      </c>
      <c r="S18" s="24" t="s">
        <v>18</v>
      </c>
      <c r="U18" s="37">
        <f t="shared" si="2"/>
        <v>8</v>
      </c>
      <c r="V18" s="37">
        <f t="shared" si="3"/>
        <v>0</v>
      </c>
      <c r="W18" s="37">
        <f t="shared" si="4"/>
        <v>12</v>
      </c>
      <c r="X18" s="37">
        <f t="shared" si="5"/>
        <v>12</v>
      </c>
      <c r="Y18" s="37">
        <f t="shared" si="6"/>
        <v>8</v>
      </c>
      <c r="Z18" s="37">
        <f t="shared" si="7"/>
        <v>12</v>
      </c>
      <c r="AA18" s="37">
        <f t="shared" si="8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0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s">
        <v>28</v>
      </c>
      <c r="N19" s="38" t="s">
        <v>89</v>
      </c>
      <c r="O19" s="38" t="s">
        <v>18</v>
      </c>
      <c r="P19" s="38" t="s">
        <v>21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3"/>
        <v>8</v>
      </c>
      <c r="W19" s="37">
        <f t="shared" si="4"/>
        <v>10</v>
      </c>
      <c r="X19" s="37">
        <f t="shared" si="5"/>
        <v>12</v>
      </c>
      <c r="Y19" s="37">
        <f t="shared" si="6"/>
        <v>0</v>
      </c>
      <c r="Z19" s="37">
        <f t="shared" si="7"/>
        <v>13</v>
      </c>
      <c r="AA19" s="37">
        <f t="shared" si="8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9">COUNTIF(N$4:N$304,$A20)</f>
        <v>1</v>
      </c>
      <c r="E20" s="153">
        <f t="shared" ref="E20:E29" si="10">COUNTIF(O$4:O$304,$A20)</f>
        <v>2</v>
      </c>
      <c r="F20" s="153">
        <f t="shared" ref="F20:F29" si="11">COUNTIF(P$4:P$304,$A20)</f>
        <v>0</v>
      </c>
      <c r="G20" s="153">
        <f t="shared" ref="G20:G29" si="12">COUNTIF(Q$4:Q$304,$A20)</f>
        <v>1</v>
      </c>
      <c r="H20" s="153">
        <f t="shared" ref="H20:H29" si="13">COUNTIF(R$4:R$304,$A20)</f>
        <v>0</v>
      </c>
      <c r="I20" s="153">
        <f t="shared" ref="I20:I29" si="14">COUNTIF(S$4:S$304,$A20)</f>
        <v>0</v>
      </c>
      <c r="J20" s="151">
        <v>16</v>
      </c>
      <c r="L20" s="14">
        <v>17</v>
      </c>
      <c r="M20" s="38" t="s">
        <v>29</v>
      </c>
      <c r="N20" s="38" t="s">
        <v>64</v>
      </c>
      <c r="O20" s="38" t="s">
        <v>18</v>
      </c>
      <c r="P20" s="38" t="s">
        <v>21</v>
      </c>
      <c r="Q20" s="38" t="s">
        <v>27</v>
      </c>
      <c r="R20" s="38" t="s">
        <v>64</v>
      </c>
      <c r="S20" s="24" t="s">
        <v>24</v>
      </c>
      <c r="U20" s="37">
        <f t="shared" si="2"/>
        <v>18</v>
      </c>
      <c r="V20" s="37">
        <f t="shared" si="3"/>
        <v>13</v>
      </c>
      <c r="W20" s="37">
        <f t="shared" si="4"/>
        <v>10</v>
      </c>
      <c r="X20" s="37">
        <f t="shared" si="5"/>
        <v>12</v>
      </c>
      <c r="Y20" s="37">
        <f t="shared" si="6"/>
        <v>12</v>
      </c>
      <c r="Z20" s="37">
        <f t="shared" si="7"/>
        <v>13</v>
      </c>
      <c r="AA20" s="37">
        <f t="shared" si="8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9"/>
        <v>3</v>
      </c>
      <c r="E21" s="153">
        <f t="shared" si="10"/>
        <v>0</v>
      </c>
      <c r="F21" s="153">
        <f t="shared" si="11"/>
        <v>0</v>
      </c>
      <c r="G21" s="153">
        <f t="shared" si="12"/>
        <v>1</v>
      </c>
      <c r="H21" s="153">
        <f t="shared" si="13"/>
        <v>0</v>
      </c>
      <c r="I21" s="153">
        <f t="shared" si="14"/>
        <v>0</v>
      </c>
      <c r="J21" s="151">
        <v>17</v>
      </c>
      <c r="L21" s="15">
        <v>18</v>
      </c>
      <c r="M21" s="38" t="s">
        <v>64</v>
      </c>
      <c r="N21" s="38" t="s">
        <v>64</v>
      </c>
      <c r="O21" s="38" t="s">
        <v>228</v>
      </c>
      <c r="P21" s="38" t="s">
        <v>21</v>
      </c>
      <c r="Q21" s="38" t="s">
        <v>89</v>
      </c>
      <c r="R21" s="38" t="s">
        <v>64</v>
      </c>
      <c r="S21" s="24" t="s">
        <v>24</v>
      </c>
      <c r="U21" s="37">
        <f t="shared" si="2"/>
        <v>13</v>
      </c>
      <c r="V21" s="37">
        <f t="shared" si="3"/>
        <v>13</v>
      </c>
      <c r="W21" s="37">
        <f t="shared" si="4"/>
        <v>0</v>
      </c>
      <c r="X21" s="37">
        <f t="shared" si="5"/>
        <v>12</v>
      </c>
      <c r="Y21" s="37">
        <f t="shared" si="6"/>
        <v>8</v>
      </c>
      <c r="Z21" s="37">
        <f t="shared" si="7"/>
        <v>13</v>
      </c>
      <c r="AA21" s="37">
        <f t="shared" si="8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9"/>
        <v>3</v>
      </c>
      <c r="E22" s="153">
        <f t="shared" si="10"/>
        <v>1</v>
      </c>
      <c r="F22" s="153">
        <f t="shared" si="11"/>
        <v>0</v>
      </c>
      <c r="G22" s="153">
        <f t="shared" si="12"/>
        <v>2</v>
      </c>
      <c r="H22" s="153">
        <f t="shared" si="13"/>
        <v>0</v>
      </c>
      <c r="I22" s="153">
        <f t="shared" si="14"/>
        <v>0</v>
      </c>
      <c r="J22" s="151">
        <v>18</v>
      </c>
      <c r="L22" s="15">
        <v>19</v>
      </c>
      <c r="M22" s="38" t="s">
        <v>29</v>
      </c>
      <c r="N22" s="38" t="s">
        <v>242</v>
      </c>
      <c r="O22" s="38" t="s">
        <v>26</v>
      </c>
      <c r="P22" s="38" t="s">
        <v>21</v>
      </c>
      <c r="Q22" s="38" t="s">
        <v>26</v>
      </c>
      <c r="R22" s="38" t="s">
        <v>18</v>
      </c>
      <c r="S22" s="38" t="s">
        <v>24</v>
      </c>
      <c r="U22" s="37">
        <f t="shared" si="2"/>
        <v>18</v>
      </c>
      <c r="V22" s="37">
        <f t="shared" si="3"/>
        <v>0</v>
      </c>
      <c r="W22" s="37">
        <f t="shared" si="4"/>
        <v>7</v>
      </c>
      <c r="X22" s="37">
        <f t="shared" si="5"/>
        <v>12</v>
      </c>
      <c r="Y22" s="37">
        <f t="shared" si="6"/>
        <v>7</v>
      </c>
      <c r="Z22" s="37">
        <f t="shared" si="7"/>
        <v>10</v>
      </c>
      <c r="AA22" s="37">
        <f t="shared" si="8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1</v>
      </c>
      <c r="E23" s="10">
        <f t="shared" si="10"/>
        <v>2</v>
      </c>
      <c r="F23" s="10">
        <f t="shared" si="11"/>
        <v>0</v>
      </c>
      <c r="G23" s="10">
        <f t="shared" si="12"/>
        <v>1</v>
      </c>
      <c r="H23" s="10">
        <f t="shared" si="13"/>
        <v>0</v>
      </c>
      <c r="I23" s="10">
        <f t="shared" si="14"/>
        <v>0</v>
      </c>
      <c r="J23" s="4">
        <v>19</v>
      </c>
      <c r="L23" s="14">
        <v>20</v>
      </c>
      <c r="M23" s="38" t="s">
        <v>89</v>
      </c>
      <c r="N23" s="38" t="s">
        <v>27</v>
      </c>
      <c r="O23" s="38" t="s">
        <v>24</v>
      </c>
      <c r="P23" s="38" t="s">
        <v>21</v>
      </c>
      <c r="Q23" s="38" t="s">
        <v>27</v>
      </c>
      <c r="R23" s="38" t="s">
        <v>29</v>
      </c>
      <c r="S23" s="24" t="s">
        <v>24</v>
      </c>
      <c r="U23" s="37">
        <f t="shared" si="2"/>
        <v>8</v>
      </c>
      <c r="V23" s="37">
        <f t="shared" si="3"/>
        <v>12</v>
      </c>
      <c r="W23" s="37">
        <f t="shared" si="4"/>
        <v>11</v>
      </c>
      <c r="X23" s="37">
        <f t="shared" si="5"/>
        <v>12</v>
      </c>
      <c r="Y23" s="37">
        <f t="shared" si="6"/>
        <v>12</v>
      </c>
      <c r="Z23" s="37">
        <f t="shared" si="7"/>
        <v>18</v>
      </c>
      <c r="AA23" s="37">
        <f t="shared" si="8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1</v>
      </c>
      <c r="F24" s="10">
        <f t="shared" si="11"/>
        <v>0</v>
      </c>
      <c r="G24" s="10">
        <f t="shared" si="12"/>
        <v>1</v>
      </c>
      <c r="H24" s="10">
        <f t="shared" si="13"/>
        <v>0</v>
      </c>
      <c r="I24" s="10">
        <f t="shared" si="14"/>
        <v>0</v>
      </c>
      <c r="J24" s="4">
        <v>20</v>
      </c>
      <c r="L24" s="15">
        <v>21</v>
      </c>
      <c r="M24" s="38" t="s">
        <v>21</v>
      </c>
      <c r="N24" s="38" t="s">
        <v>27</v>
      </c>
      <c r="O24" s="38" t="s">
        <v>234</v>
      </c>
      <c r="P24" s="38" t="s">
        <v>21</v>
      </c>
      <c r="Q24" s="38" t="s">
        <v>26</v>
      </c>
      <c r="R24" s="38" t="s">
        <v>29</v>
      </c>
      <c r="S24" s="24" t="s">
        <v>27</v>
      </c>
      <c r="U24" s="37">
        <f t="shared" si="2"/>
        <v>12</v>
      </c>
      <c r="V24" s="37">
        <f t="shared" si="3"/>
        <v>12</v>
      </c>
      <c r="W24" s="37">
        <f t="shared" si="4"/>
        <v>0</v>
      </c>
      <c r="X24" s="37">
        <f t="shared" si="5"/>
        <v>12</v>
      </c>
      <c r="Y24" s="37">
        <f t="shared" si="6"/>
        <v>7</v>
      </c>
      <c r="Z24" s="37">
        <f t="shared" si="7"/>
        <v>18</v>
      </c>
      <c r="AA24" s="37">
        <f t="shared" si="8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</v>
      </c>
      <c r="E25" s="10">
        <f t="shared" si="10"/>
        <v>1</v>
      </c>
      <c r="F25" s="10">
        <f t="shared" si="11"/>
        <v>0</v>
      </c>
      <c r="G25" s="10">
        <f t="shared" si="12"/>
        <v>0</v>
      </c>
      <c r="H25" s="10">
        <f t="shared" si="13"/>
        <v>0</v>
      </c>
      <c r="I25" s="10">
        <f t="shared" si="14"/>
        <v>0</v>
      </c>
      <c r="J25" s="4">
        <v>21</v>
      </c>
      <c r="L25" s="14">
        <v>22</v>
      </c>
      <c r="M25" s="38" t="s">
        <v>27</v>
      </c>
      <c r="N25" s="38" t="s">
        <v>27</v>
      </c>
      <c r="O25" s="38" t="s">
        <v>18</v>
      </c>
      <c r="P25" s="38" t="s">
        <v>21</v>
      </c>
      <c r="Q25" s="38" t="s">
        <v>89</v>
      </c>
      <c r="R25" s="38" t="s">
        <v>29</v>
      </c>
      <c r="S25" s="24" t="s">
        <v>27</v>
      </c>
      <c r="U25" s="37">
        <f t="shared" si="2"/>
        <v>12</v>
      </c>
      <c r="V25" s="37">
        <f t="shared" si="3"/>
        <v>12</v>
      </c>
      <c r="W25" s="37">
        <f t="shared" si="4"/>
        <v>10</v>
      </c>
      <c r="X25" s="37">
        <f t="shared" si="5"/>
        <v>12</v>
      </c>
      <c r="Y25" s="37">
        <f t="shared" si="6"/>
        <v>8</v>
      </c>
      <c r="Z25" s="37">
        <f t="shared" si="7"/>
        <v>18</v>
      </c>
      <c r="AA25" s="37">
        <f t="shared" si="8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1</v>
      </c>
      <c r="F26" s="10">
        <f t="shared" si="11"/>
        <v>0</v>
      </c>
      <c r="G26" s="10">
        <f t="shared" si="12"/>
        <v>1</v>
      </c>
      <c r="H26" s="10">
        <f t="shared" si="13"/>
        <v>0</v>
      </c>
      <c r="I26" s="10">
        <f t="shared" si="14"/>
        <v>0</v>
      </c>
      <c r="J26" s="4">
        <v>22</v>
      </c>
      <c r="L26" s="15">
        <v>23</v>
      </c>
      <c r="M26" s="38" t="s">
        <v>27</v>
      </c>
      <c r="N26" s="38" t="s">
        <v>29</v>
      </c>
      <c r="O26" s="38" t="s">
        <v>18</v>
      </c>
      <c r="P26" s="38" t="s">
        <v>21</v>
      </c>
      <c r="Q26" s="38" t="s">
        <v>29</v>
      </c>
      <c r="R26" s="38" t="s">
        <v>18</v>
      </c>
      <c r="S26" s="24" t="s">
        <v>27</v>
      </c>
      <c r="U26" s="37">
        <f t="shared" si="2"/>
        <v>12</v>
      </c>
      <c r="V26" s="37">
        <f t="shared" si="3"/>
        <v>18</v>
      </c>
      <c r="W26" s="37">
        <f t="shared" si="4"/>
        <v>10</v>
      </c>
      <c r="X26" s="37">
        <f t="shared" si="5"/>
        <v>12</v>
      </c>
      <c r="Y26" s="37">
        <f t="shared" si="6"/>
        <v>18</v>
      </c>
      <c r="Z26" s="37">
        <f t="shared" si="7"/>
        <v>10</v>
      </c>
      <c r="AA26" s="37">
        <f t="shared" si="8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1</v>
      </c>
      <c r="E27" s="10">
        <f t="shared" si="10"/>
        <v>1</v>
      </c>
      <c r="F27" s="10">
        <f t="shared" si="11"/>
        <v>0</v>
      </c>
      <c r="G27" s="10">
        <f t="shared" si="12"/>
        <v>0</v>
      </c>
      <c r="H27" s="10">
        <f t="shared" si="13"/>
        <v>0</v>
      </c>
      <c r="I27" s="10">
        <f t="shared" si="14"/>
        <v>0</v>
      </c>
      <c r="J27" s="4">
        <v>23</v>
      </c>
      <c r="L27" s="14">
        <v>24</v>
      </c>
      <c r="M27" s="38" t="s">
        <v>18</v>
      </c>
      <c r="N27" s="38" t="s">
        <v>29</v>
      </c>
      <c r="O27" s="38" t="s">
        <v>18</v>
      </c>
      <c r="P27" s="38" t="s">
        <v>21</v>
      </c>
      <c r="Q27" s="38" t="s">
        <v>18</v>
      </c>
      <c r="R27" s="38" t="s">
        <v>18</v>
      </c>
      <c r="S27" s="24" t="s">
        <v>27</v>
      </c>
      <c r="U27" s="37">
        <f t="shared" si="2"/>
        <v>10</v>
      </c>
      <c r="V27" s="37">
        <f t="shared" si="3"/>
        <v>18</v>
      </c>
      <c r="W27" s="37">
        <f t="shared" si="4"/>
        <v>10</v>
      </c>
      <c r="X27" s="37">
        <f t="shared" si="5"/>
        <v>12</v>
      </c>
      <c r="Y27" s="37">
        <f t="shared" si="6"/>
        <v>10</v>
      </c>
      <c r="Z27" s="37">
        <f t="shared" si="7"/>
        <v>10</v>
      </c>
      <c r="AA27" s="37">
        <f t="shared" si="8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9"/>
        <v>3</v>
      </c>
      <c r="E28" s="153">
        <f t="shared" si="10"/>
        <v>0</v>
      </c>
      <c r="F28" s="153">
        <f t="shared" si="11"/>
        <v>0</v>
      </c>
      <c r="G28" s="153">
        <f t="shared" si="12"/>
        <v>0</v>
      </c>
      <c r="H28" s="153">
        <f t="shared" si="13"/>
        <v>0</v>
      </c>
      <c r="I28" s="153">
        <f t="shared" si="14"/>
        <v>0</v>
      </c>
      <c r="J28" s="151">
        <v>24</v>
      </c>
      <c r="L28" s="15">
        <v>25</v>
      </c>
      <c r="M28" s="38" t="s">
        <v>18</v>
      </c>
      <c r="N28" s="38" t="s">
        <v>29</v>
      </c>
      <c r="O28" s="38" t="s">
        <v>28</v>
      </c>
      <c r="P28" s="38" t="s">
        <v>21</v>
      </c>
      <c r="Q28" s="38" t="s">
        <v>17</v>
      </c>
      <c r="R28" s="38" t="s">
        <v>24</v>
      </c>
      <c r="S28" s="24" t="s">
        <v>20</v>
      </c>
      <c r="U28" s="37">
        <f t="shared" si="2"/>
        <v>10</v>
      </c>
      <c r="V28" s="37">
        <f t="shared" si="3"/>
        <v>18</v>
      </c>
      <c r="W28" s="37">
        <f t="shared" si="4"/>
        <v>15</v>
      </c>
      <c r="X28" s="37">
        <f t="shared" si="5"/>
        <v>12</v>
      </c>
      <c r="Y28" s="37">
        <f t="shared" si="6"/>
        <v>14</v>
      </c>
      <c r="Z28" s="37">
        <f t="shared" si="7"/>
        <v>11</v>
      </c>
      <c r="AA28" s="37">
        <f t="shared" si="8"/>
        <v>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9"/>
        <v>1</v>
      </c>
      <c r="E29" s="153">
        <f t="shared" si="10"/>
        <v>0</v>
      </c>
      <c r="F29" s="153">
        <f t="shared" si="11"/>
        <v>0</v>
      </c>
      <c r="G29" s="153">
        <f t="shared" si="12"/>
        <v>0</v>
      </c>
      <c r="H29" s="153">
        <f t="shared" si="13"/>
        <v>0</v>
      </c>
      <c r="I29" s="153">
        <f t="shared" si="14"/>
        <v>0</v>
      </c>
      <c r="J29" s="151">
        <v>25</v>
      </c>
      <c r="L29" s="14">
        <v>26</v>
      </c>
      <c r="M29" s="38" t="s">
        <v>89</v>
      </c>
      <c r="N29" s="38" t="s">
        <v>89</v>
      </c>
      <c r="O29" s="38" t="s">
        <v>28</v>
      </c>
      <c r="P29" s="38" t="s">
        <v>21</v>
      </c>
      <c r="Q29" s="38" t="s">
        <v>29</v>
      </c>
      <c r="R29" s="38" t="s">
        <v>64</v>
      </c>
      <c r="S29" s="24" t="s">
        <v>29</v>
      </c>
      <c r="U29" s="37">
        <f t="shared" si="2"/>
        <v>8</v>
      </c>
      <c r="V29" s="37">
        <f t="shared" si="3"/>
        <v>8</v>
      </c>
      <c r="W29" s="37">
        <f t="shared" si="4"/>
        <v>15</v>
      </c>
      <c r="X29" s="37">
        <f t="shared" si="5"/>
        <v>12</v>
      </c>
      <c r="Y29" s="37">
        <f t="shared" si="6"/>
        <v>18</v>
      </c>
      <c r="Z29" s="37">
        <f t="shared" si="7"/>
        <v>13</v>
      </c>
      <c r="AA29" s="37">
        <f t="shared" si="8"/>
        <v>18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5">SUM(D4:D29)</f>
        <v>121</v>
      </c>
      <c r="E30" s="170">
        <f t="shared" si="15"/>
        <v>121</v>
      </c>
      <c r="F30" s="170">
        <f t="shared" si="15"/>
        <v>121</v>
      </c>
      <c r="G30" s="170">
        <f t="shared" si="15"/>
        <v>121</v>
      </c>
      <c r="H30" s="170">
        <f t="shared" si="15"/>
        <v>121</v>
      </c>
      <c r="I30" s="170">
        <f t="shared" si="15"/>
        <v>121</v>
      </c>
      <c r="J30" s="13"/>
      <c r="L30" s="15">
        <v>27</v>
      </c>
      <c r="M30" s="38" t="s">
        <v>28</v>
      </c>
      <c r="N30" s="38" t="s">
        <v>89</v>
      </c>
      <c r="O30" s="38" t="s">
        <v>89</v>
      </c>
      <c r="P30" s="38" t="s">
        <v>21</v>
      </c>
      <c r="Q30" s="38" t="s">
        <v>27</v>
      </c>
      <c r="R30" s="38" t="s">
        <v>27</v>
      </c>
      <c r="S30" s="24" t="s">
        <v>29</v>
      </c>
      <c r="U30" s="37">
        <f t="shared" si="2"/>
        <v>15</v>
      </c>
      <c r="V30" s="37">
        <f t="shared" si="3"/>
        <v>8</v>
      </c>
      <c r="W30" s="37">
        <f t="shared" si="4"/>
        <v>8</v>
      </c>
      <c r="X30" s="37">
        <f t="shared" si="5"/>
        <v>12</v>
      </c>
      <c r="Y30" s="37">
        <f t="shared" si="6"/>
        <v>12</v>
      </c>
      <c r="Z30" s="37">
        <f t="shared" si="7"/>
        <v>12</v>
      </c>
      <c r="AA30" s="37">
        <f t="shared" si="8"/>
        <v>18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38" t="s">
        <v>28</v>
      </c>
      <c r="N31" s="38" t="s">
        <v>24</v>
      </c>
      <c r="O31" s="38" t="s">
        <v>17</v>
      </c>
      <c r="P31" s="38" t="s">
        <v>21</v>
      </c>
      <c r="Q31" s="38" t="s">
        <v>27</v>
      </c>
      <c r="R31" s="38" t="s">
        <v>64</v>
      </c>
      <c r="S31" s="24" t="s">
        <v>29</v>
      </c>
      <c r="U31" s="37">
        <f t="shared" si="2"/>
        <v>15</v>
      </c>
      <c r="V31" s="37">
        <f t="shared" si="3"/>
        <v>11</v>
      </c>
      <c r="W31" s="37">
        <f t="shared" si="4"/>
        <v>14</v>
      </c>
      <c r="X31" s="37">
        <f t="shared" si="5"/>
        <v>12</v>
      </c>
      <c r="Y31" s="37">
        <f t="shared" si="6"/>
        <v>12</v>
      </c>
      <c r="Z31" s="37">
        <f t="shared" si="7"/>
        <v>13</v>
      </c>
      <c r="AA31" s="37">
        <f t="shared" si="8"/>
        <v>18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27</v>
      </c>
      <c r="N32" s="38" t="s">
        <v>24</v>
      </c>
      <c r="O32" s="38" t="s">
        <v>228</v>
      </c>
      <c r="P32" s="38" t="s">
        <v>21</v>
      </c>
      <c r="Q32" s="38" t="s">
        <v>89</v>
      </c>
      <c r="R32" s="38" t="s">
        <v>24</v>
      </c>
      <c r="S32" s="24" t="s">
        <v>28</v>
      </c>
      <c r="U32" s="37">
        <f t="shared" si="2"/>
        <v>12</v>
      </c>
      <c r="V32" s="37">
        <f t="shared" si="3"/>
        <v>11</v>
      </c>
      <c r="W32" s="37">
        <f t="shared" si="4"/>
        <v>0</v>
      </c>
      <c r="X32" s="37">
        <f t="shared" si="5"/>
        <v>12</v>
      </c>
      <c r="Y32" s="37">
        <f t="shared" si="6"/>
        <v>8</v>
      </c>
      <c r="Z32" s="37">
        <f t="shared" si="7"/>
        <v>11</v>
      </c>
      <c r="AA32" s="37">
        <f t="shared" si="8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s">
        <v>27</v>
      </c>
      <c r="N33" s="38" t="s">
        <v>24</v>
      </c>
      <c r="O33" s="38" t="s">
        <v>18</v>
      </c>
      <c r="P33" s="38" t="s">
        <v>21</v>
      </c>
      <c r="Q33" s="38" t="s">
        <v>89</v>
      </c>
      <c r="R33" s="38" t="s">
        <v>27</v>
      </c>
      <c r="S33" s="24" t="s">
        <v>28</v>
      </c>
      <c r="U33" s="37">
        <f t="shared" si="2"/>
        <v>12</v>
      </c>
      <c r="V33" s="37">
        <f t="shared" si="3"/>
        <v>11</v>
      </c>
      <c r="W33" s="37">
        <f t="shared" si="4"/>
        <v>10</v>
      </c>
      <c r="X33" s="37">
        <f t="shared" si="5"/>
        <v>12</v>
      </c>
      <c r="Y33" s="37">
        <f t="shared" si="6"/>
        <v>8</v>
      </c>
      <c r="Z33" s="37">
        <f t="shared" si="7"/>
        <v>12</v>
      </c>
      <c r="AA33" s="37">
        <f t="shared" si="8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s">
        <v>18</v>
      </c>
      <c r="N34" s="38" t="s">
        <v>28</v>
      </c>
      <c r="O34" s="38" t="s">
        <v>28</v>
      </c>
      <c r="P34" s="38" t="s">
        <v>21</v>
      </c>
      <c r="Q34" s="38" t="s">
        <v>26</v>
      </c>
      <c r="R34" s="38" t="s">
        <v>27</v>
      </c>
      <c r="S34" s="38" t="s">
        <v>28</v>
      </c>
      <c r="U34" s="37">
        <f t="shared" si="2"/>
        <v>10</v>
      </c>
      <c r="V34" s="37">
        <f t="shared" si="3"/>
        <v>15</v>
      </c>
      <c r="W34" s="37">
        <f t="shared" si="4"/>
        <v>15</v>
      </c>
      <c r="X34" s="37">
        <f t="shared" si="5"/>
        <v>12</v>
      </c>
      <c r="Y34" s="37">
        <f t="shared" si="6"/>
        <v>7</v>
      </c>
      <c r="Z34" s="37">
        <f t="shared" si="7"/>
        <v>12</v>
      </c>
      <c r="AA34" s="3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s">
        <v>89</v>
      </c>
      <c r="N35" s="38" t="s">
        <v>27</v>
      </c>
      <c r="O35" s="38" t="s">
        <v>28</v>
      </c>
      <c r="P35" s="38" t="s">
        <v>21</v>
      </c>
      <c r="Q35" s="38" t="s">
        <v>29</v>
      </c>
      <c r="R35" s="38" t="s">
        <v>29</v>
      </c>
      <c r="S35" s="24" t="s">
        <v>28</v>
      </c>
      <c r="U35" s="37">
        <f t="shared" si="2"/>
        <v>8</v>
      </c>
      <c r="V35" s="37">
        <f t="shared" si="3"/>
        <v>12</v>
      </c>
      <c r="W35" s="37">
        <f t="shared" si="4"/>
        <v>15</v>
      </c>
      <c r="X35" s="37">
        <f t="shared" si="5"/>
        <v>12</v>
      </c>
      <c r="Y35" s="37">
        <f t="shared" si="6"/>
        <v>18</v>
      </c>
      <c r="Z35" s="37">
        <f t="shared" si="7"/>
        <v>18</v>
      </c>
      <c r="AA35" s="37">
        <f t="shared" si="8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s">
        <v>89</v>
      </c>
      <c r="N36" s="38" t="s">
        <v>27</v>
      </c>
      <c r="O36" s="38" t="s">
        <v>24</v>
      </c>
      <c r="P36" s="38" t="s">
        <v>21</v>
      </c>
      <c r="Q36" s="38" t="s">
        <v>29</v>
      </c>
      <c r="R36" s="38" t="s">
        <v>28</v>
      </c>
      <c r="S36" s="24" t="s">
        <v>89</v>
      </c>
      <c r="U36" s="37">
        <f t="shared" ref="U36:U67" si="16">VLOOKUP(M36, $A$4:$J$29, 9, 0)</f>
        <v>8</v>
      </c>
      <c r="V36" s="37">
        <f t="shared" ref="V36:V67" si="17">VLOOKUP(N36, $A$4:$J$29, 9, 0)</f>
        <v>12</v>
      </c>
      <c r="W36" s="37">
        <f t="shared" ref="W36:W67" si="18">VLOOKUP(O36, $A$4:$J$29, 9, 0)</f>
        <v>11</v>
      </c>
      <c r="X36" s="37">
        <f t="shared" ref="X36:X67" si="19">VLOOKUP(P36, $A$4:$J$29, 9, 0)</f>
        <v>12</v>
      </c>
      <c r="Y36" s="37">
        <f t="shared" ref="Y36:Y67" si="20">VLOOKUP(Q36, $A$4:$J$29, 9, 0)</f>
        <v>18</v>
      </c>
      <c r="Z36" s="37">
        <f t="shared" ref="Z36:Z67" si="21">VLOOKUP(R36, $A$4:$J$29, 9, 0)</f>
        <v>15</v>
      </c>
      <c r="AA36" s="37">
        <f t="shared" ref="AA36:AA67" si="22">VLOOKUP(S36, $A$4:$J$29, 9, 0)</f>
        <v>8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s">
        <v>28</v>
      </c>
      <c r="N37" s="38" t="s">
        <v>27</v>
      </c>
      <c r="O37" s="38" t="s">
        <v>28</v>
      </c>
      <c r="P37" s="38" t="s">
        <v>21</v>
      </c>
      <c r="Q37" s="38" t="s">
        <v>26</v>
      </c>
      <c r="R37" s="38" t="s">
        <v>24</v>
      </c>
      <c r="S37" s="24" t="s">
        <v>64</v>
      </c>
      <c r="U37" s="37">
        <f t="shared" si="16"/>
        <v>15</v>
      </c>
      <c r="V37" s="37">
        <f t="shared" si="17"/>
        <v>12</v>
      </c>
      <c r="W37" s="37">
        <f t="shared" si="18"/>
        <v>15</v>
      </c>
      <c r="X37" s="37">
        <f t="shared" si="19"/>
        <v>12</v>
      </c>
      <c r="Y37" s="37">
        <f t="shared" si="20"/>
        <v>7</v>
      </c>
      <c r="Z37" s="37">
        <f t="shared" si="21"/>
        <v>11</v>
      </c>
      <c r="AA37" s="37">
        <f t="shared" si="22"/>
        <v>13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s">
        <v>26</v>
      </c>
      <c r="N38" s="38" t="s">
        <v>64</v>
      </c>
      <c r="O38" s="38" t="s">
        <v>18</v>
      </c>
      <c r="P38" s="38" t="s">
        <v>21</v>
      </c>
      <c r="Q38" s="38" t="s">
        <v>26</v>
      </c>
      <c r="R38" s="38" t="s">
        <v>24</v>
      </c>
      <c r="S38" s="24" t="s">
        <v>64</v>
      </c>
      <c r="U38" s="37">
        <f t="shared" si="16"/>
        <v>7</v>
      </c>
      <c r="V38" s="37">
        <f t="shared" si="17"/>
        <v>13</v>
      </c>
      <c r="W38" s="37">
        <f t="shared" si="18"/>
        <v>10</v>
      </c>
      <c r="X38" s="37">
        <f t="shared" si="19"/>
        <v>12</v>
      </c>
      <c r="Y38" s="37">
        <f t="shared" si="20"/>
        <v>7</v>
      </c>
      <c r="Z38" s="37">
        <f t="shared" si="21"/>
        <v>11</v>
      </c>
      <c r="AA38" s="37">
        <f t="shared" si="22"/>
        <v>13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s">
        <v>64</v>
      </c>
      <c r="N39" s="38" t="s">
        <v>236</v>
      </c>
      <c r="O39" s="38" t="s">
        <v>18</v>
      </c>
      <c r="P39" s="38" t="s">
        <v>21</v>
      </c>
      <c r="Q39" s="38" t="s">
        <v>89</v>
      </c>
      <c r="R39" s="38" t="s">
        <v>24</v>
      </c>
      <c r="S39" s="24" t="s">
        <v>64</v>
      </c>
      <c r="U39" s="37">
        <f t="shared" si="16"/>
        <v>13</v>
      </c>
      <c r="V39" s="37">
        <f t="shared" si="17"/>
        <v>0</v>
      </c>
      <c r="W39" s="37">
        <f t="shared" si="18"/>
        <v>10</v>
      </c>
      <c r="X39" s="37">
        <f t="shared" si="19"/>
        <v>12</v>
      </c>
      <c r="Y39" s="37">
        <f t="shared" si="20"/>
        <v>8</v>
      </c>
      <c r="Z39" s="37">
        <f t="shared" si="21"/>
        <v>11</v>
      </c>
      <c r="AA39" s="37">
        <f t="shared" si="22"/>
        <v>13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37" t="s">
        <v>29</v>
      </c>
      <c r="N40" s="37" t="s">
        <v>29</v>
      </c>
      <c r="O40" s="37" t="s">
        <v>28</v>
      </c>
      <c r="P40" s="175" t="s">
        <v>21</v>
      </c>
      <c r="Q40" s="37" t="s">
        <v>18</v>
      </c>
      <c r="R40" s="37" t="s">
        <v>26</v>
      </c>
      <c r="S40" s="37" t="s">
        <v>89</v>
      </c>
      <c r="U40" s="37">
        <f t="shared" si="16"/>
        <v>18</v>
      </c>
      <c r="V40" s="37">
        <f t="shared" si="17"/>
        <v>18</v>
      </c>
      <c r="W40" s="37">
        <f t="shared" si="18"/>
        <v>15</v>
      </c>
      <c r="X40" s="37">
        <f t="shared" si="19"/>
        <v>12</v>
      </c>
      <c r="Y40" s="37">
        <f t="shared" si="20"/>
        <v>10</v>
      </c>
      <c r="Z40" s="37">
        <f t="shared" si="21"/>
        <v>7</v>
      </c>
      <c r="AA40" s="37">
        <f t="shared" si="22"/>
        <v>8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s">
        <v>89</v>
      </c>
      <c r="N41" s="38" t="s">
        <v>29</v>
      </c>
      <c r="O41" s="38" t="s">
        <v>28</v>
      </c>
      <c r="P41" s="38" t="s">
        <v>21</v>
      </c>
      <c r="Q41" s="38" t="s">
        <v>28</v>
      </c>
      <c r="R41" s="38" t="s">
        <v>26</v>
      </c>
      <c r="S41" s="24" t="s">
        <v>89</v>
      </c>
      <c r="U41" s="37">
        <f t="shared" si="16"/>
        <v>8</v>
      </c>
      <c r="V41" s="37">
        <f t="shared" si="17"/>
        <v>18</v>
      </c>
      <c r="W41" s="37">
        <f t="shared" si="18"/>
        <v>15</v>
      </c>
      <c r="X41" s="37">
        <f t="shared" si="19"/>
        <v>12</v>
      </c>
      <c r="Y41" s="37">
        <f t="shared" si="20"/>
        <v>15</v>
      </c>
      <c r="Z41" s="37">
        <f t="shared" si="21"/>
        <v>7</v>
      </c>
      <c r="AA41" s="37">
        <f t="shared" si="22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s">
        <v>89</v>
      </c>
      <c r="N42" s="38" t="s">
        <v>29</v>
      </c>
      <c r="O42" s="38" t="s">
        <v>18</v>
      </c>
      <c r="P42" s="38" t="s">
        <v>21</v>
      </c>
      <c r="Q42" s="38" t="s">
        <v>28</v>
      </c>
      <c r="R42" s="38" t="s">
        <v>24</v>
      </c>
      <c r="S42" s="24" t="s">
        <v>89</v>
      </c>
      <c r="U42" s="37">
        <f t="shared" si="16"/>
        <v>8</v>
      </c>
      <c r="V42" s="37">
        <f t="shared" si="17"/>
        <v>18</v>
      </c>
      <c r="W42" s="37">
        <f t="shared" si="18"/>
        <v>10</v>
      </c>
      <c r="X42" s="37">
        <f t="shared" si="19"/>
        <v>12</v>
      </c>
      <c r="Y42" s="37">
        <f t="shared" si="20"/>
        <v>15</v>
      </c>
      <c r="Z42" s="37">
        <f t="shared" si="21"/>
        <v>11</v>
      </c>
      <c r="AA42" s="37">
        <f t="shared" si="22"/>
        <v>8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s">
        <v>28</v>
      </c>
      <c r="N43" s="38" t="s">
        <v>234</v>
      </c>
      <c r="O43" s="38" t="s">
        <v>29</v>
      </c>
      <c r="P43" s="38" t="s">
        <v>21</v>
      </c>
      <c r="Q43" s="38" t="s">
        <v>18</v>
      </c>
      <c r="R43" s="38" t="s">
        <v>24</v>
      </c>
      <c r="S43" s="24" t="s">
        <v>89</v>
      </c>
      <c r="U43" s="37">
        <f t="shared" si="16"/>
        <v>15</v>
      </c>
      <c r="V43" s="37">
        <f t="shared" si="17"/>
        <v>0</v>
      </c>
      <c r="W43" s="37">
        <f t="shared" si="18"/>
        <v>18</v>
      </c>
      <c r="X43" s="37">
        <f t="shared" si="19"/>
        <v>12</v>
      </c>
      <c r="Y43" s="37">
        <f t="shared" si="20"/>
        <v>10</v>
      </c>
      <c r="Z43" s="37">
        <f t="shared" si="21"/>
        <v>11</v>
      </c>
      <c r="AA43" s="37">
        <f t="shared" si="22"/>
        <v>8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s">
        <v>29</v>
      </c>
      <c r="N44" s="38" t="s">
        <v>24</v>
      </c>
      <c r="O44" s="38" t="s">
        <v>28</v>
      </c>
      <c r="P44" s="38" t="s">
        <v>21</v>
      </c>
      <c r="Q44" s="38" t="s">
        <v>18</v>
      </c>
      <c r="R44" s="38" t="s">
        <v>27</v>
      </c>
      <c r="S44" s="24" t="s">
        <v>64</v>
      </c>
      <c r="U44" s="37">
        <f t="shared" si="16"/>
        <v>18</v>
      </c>
      <c r="V44" s="37">
        <f t="shared" si="17"/>
        <v>11</v>
      </c>
      <c r="W44" s="37">
        <f t="shared" si="18"/>
        <v>15</v>
      </c>
      <c r="X44" s="37">
        <f t="shared" si="19"/>
        <v>12</v>
      </c>
      <c r="Y44" s="37">
        <f t="shared" si="20"/>
        <v>10</v>
      </c>
      <c r="Z44" s="37">
        <f t="shared" si="21"/>
        <v>12</v>
      </c>
      <c r="AA44" s="37">
        <f t="shared" si="22"/>
        <v>13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s">
        <v>18</v>
      </c>
      <c r="N45" s="38" t="s">
        <v>24</v>
      </c>
      <c r="O45" s="38" t="s">
        <v>28</v>
      </c>
      <c r="P45" s="38" t="s">
        <v>21</v>
      </c>
      <c r="Q45" s="38" t="s">
        <v>64</v>
      </c>
      <c r="R45" s="38" t="s">
        <v>27</v>
      </c>
      <c r="S45" s="24" t="s">
        <v>64</v>
      </c>
      <c r="U45" s="37">
        <f t="shared" si="16"/>
        <v>10</v>
      </c>
      <c r="V45" s="37">
        <f t="shared" si="17"/>
        <v>11</v>
      </c>
      <c r="W45" s="37">
        <f t="shared" si="18"/>
        <v>15</v>
      </c>
      <c r="X45" s="37">
        <f t="shared" si="19"/>
        <v>12</v>
      </c>
      <c r="Y45" s="37">
        <f t="shared" si="20"/>
        <v>13</v>
      </c>
      <c r="Z45" s="37">
        <f t="shared" si="21"/>
        <v>12</v>
      </c>
      <c r="AA45" s="37">
        <f t="shared" si="22"/>
        <v>13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s">
        <v>27</v>
      </c>
      <c r="N46" s="38" t="s">
        <v>21</v>
      </c>
      <c r="O46" s="38" t="s">
        <v>232</v>
      </c>
      <c r="P46" s="38" t="s">
        <v>21</v>
      </c>
      <c r="Q46" s="38" t="s">
        <v>21</v>
      </c>
      <c r="R46" s="38" t="s">
        <v>24</v>
      </c>
      <c r="S46" s="24" t="s">
        <v>64</v>
      </c>
      <c r="U46" s="37">
        <f t="shared" si="16"/>
        <v>12</v>
      </c>
      <c r="V46" s="37">
        <f t="shared" si="17"/>
        <v>12</v>
      </c>
      <c r="W46" s="37">
        <f t="shared" si="18"/>
        <v>0</v>
      </c>
      <c r="X46" s="37">
        <f t="shared" si="19"/>
        <v>12</v>
      </c>
      <c r="Y46" s="37">
        <f t="shared" si="20"/>
        <v>12</v>
      </c>
      <c r="Z46" s="37">
        <f t="shared" si="21"/>
        <v>11</v>
      </c>
      <c r="AA46" s="37">
        <f t="shared" si="22"/>
        <v>13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s">
        <v>29</v>
      </c>
      <c r="N47" s="38" t="s">
        <v>21</v>
      </c>
      <c r="O47" s="38" t="s">
        <v>24</v>
      </c>
      <c r="P47" s="38" t="s">
        <v>21</v>
      </c>
      <c r="Q47" s="38" t="s">
        <v>89</v>
      </c>
      <c r="R47" s="38" t="s">
        <v>24</v>
      </c>
      <c r="S47" s="24" t="s">
        <v>21</v>
      </c>
      <c r="U47" s="37">
        <f t="shared" si="16"/>
        <v>18</v>
      </c>
      <c r="V47" s="37">
        <f t="shared" si="17"/>
        <v>12</v>
      </c>
      <c r="W47" s="37">
        <f t="shared" si="18"/>
        <v>11</v>
      </c>
      <c r="X47" s="37">
        <f t="shared" si="19"/>
        <v>12</v>
      </c>
      <c r="Y47" s="37">
        <f t="shared" si="20"/>
        <v>8</v>
      </c>
      <c r="Z47" s="37">
        <f t="shared" si="21"/>
        <v>11</v>
      </c>
      <c r="AA47" s="37">
        <f t="shared" si="22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228</v>
      </c>
      <c r="O48" s="38" t="s">
        <v>26</v>
      </c>
      <c r="P48" s="38" t="s">
        <v>21</v>
      </c>
      <c r="Q48" s="38" t="s">
        <v>89</v>
      </c>
      <c r="R48" s="38" t="s">
        <v>26</v>
      </c>
      <c r="S48" s="24" t="s">
        <v>21</v>
      </c>
      <c r="U48" s="37">
        <f t="shared" si="16"/>
        <v>7</v>
      </c>
      <c r="V48" s="37">
        <f t="shared" si="17"/>
        <v>0</v>
      </c>
      <c r="W48" s="37">
        <f t="shared" si="18"/>
        <v>7</v>
      </c>
      <c r="X48" s="37">
        <f t="shared" si="19"/>
        <v>12</v>
      </c>
      <c r="Y48" s="37">
        <f t="shared" si="20"/>
        <v>8</v>
      </c>
      <c r="Z48" s="37">
        <f t="shared" si="21"/>
        <v>7</v>
      </c>
      <c r="AA48" s="37">
        <f t="shared" si="22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38" t="s">
        <v>26</v>
      </c>
      <c r="N49" s="38" t="s">
        <v>27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16"/>
        <v>7</v>
      </c>
      <c r="V49" s="37">
        <f t="shared" si="17"/>
        <v>12</v>
      </c>
      <c r="W49" s="37">
        <f t="shared" si="18"/>
        <v>0</v>
      </c>
      <c r="X49" s="37">
        <f t="shared" si="19"/>
        <v>12</v>
      </c>
      <c r="Y49" s="37">
        <f t="shared" si="20"/>
        <v>15</v>
      </c>
      <c r="Z49" s="37">
        <f t="shared" si="21"/>
        <v>7</v>
      </c>
      <c r="AA49" s="37">
        <f t="shared" si="22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28</v>
      </c>
      <c r="N50" s="38" t="s">
        <v>24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16"/>
        <v>15</v>
      </c>
      <c r="V50" s="37">
        <f t="shared" si="17"/>
        <v>11</v>
      </c>
      <c r="W50" s="37">
        <f t="shared" si="18"/>
        <v>12</v>
      </c>
      <c r="X50" s="37">
        <f t="shared" si="19"/>
        <v>12</v>
      </c>
      <c r="Y50" s="37">
        <f t="shared" si="20"/>
        <v>15</v>
      </c>
      <c r="Z50" s="37">
        <f t="shared" si="21"/>
        <v>13</v>
      </c>
      <c r="AA50" s="37">
        <f t="shared" si="22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27</v>
      </c>
      <c r="N51" s="38" t="s">
        <v>27</v>
      </c>
      <c r="O51" s="38" t="s">
        <v>24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16"/>
        <v>12</v>
      </c>
      <c r="V51" s="37">
        <f t="shared" si="17"/>
        <v>12</v>
      </c>
      <c r="W51" s="37">
        <f t="shared" si="18"/>
        <v>11</v>
      </c>
      <c r="X51" s="37">
        <f t="shared" si="19"/>
        <v>12</v>
      </c>
      <c r="Y51" s="37">
        <f t="shared" si="20"/>
        <v>8</v>
      </c>
      <c r="Z51" s="37">
        <f t="shared" si="21"/>
        <v>13</v>
      </c>
      <c r="AA51" s="37">
        <f t="shared" si="22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29</v>
      </c>
      <c r="N52" s="38" t="s">
        <v>27</v>
      </c>
      <c r="O52" s="38" t="s">
        <v>24</v>
      </c>
      <c r="P52" s="38" t="s">
        <v>21</v>
      </c>
      <c r="Q52" s="38" t="s">
        <v>89</v>
      </c>
      <c r="R52" s="38" t="s">
        <v>27</v>
      </c>
      <c r="S52" s="24" t="s">
        <v>17</v>
      </c>
      <c r="U52" s="37">
        <f t="shared" si="16"/>
        <v>18</v>
      </c>
      <c r="V52" s="37">
        <f t="shared" si="17"/>
        <v>12</v>
      </c>
      <c r="W52" s="37">
        <f t="shared" si="18"/>
        <v>11</v>
      </c>
      <c r="X52" s="37">
        <f t="shared" si="19"/>
        <v>12</v>
      </c>
      <c r="Y52" s="37">
        <f t="shared" si="20"/>
        <v>8</v>
      </c>
      <c r="Z52" s="37">
        <f t="shared" si="21"/>
        <v>12</v>
      </c>
      <c r="AA52" s="37">
        <f t="shared" si="22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28</v>
      </c>
      <c r="N53" s="38" t="s">
        <v>64</v>
      </c>
      <c r="O53" s="38" t="s">
        <v>28</v>
      </c>
      <c r="P53" s="38" t="s">
        <v>21</v>
      </c>
      <c r="Q53" s="38" t="s">
        <v>27</v>
      </c>
      <c r="R53" s="38" t="s">
        <v>27</v>
      </c>
      <c r="S53" s="24" t="s">
        <v>17</v>
      </c>
      <c r="U53" s="37">
        <f t="shared" si="16"/>
        <v>15</v>
      </c>
      <c r="V53" s="37">
        <f t="shared" si="17"/>
        <v>13</v>
      </c>
      <c r="W53" s="37">
        <f t="shared" si="18"/>
        <v>15</v>
      </c>
      <c r="X53" s="37">
        <f t="shared" si="19"/>
        <v>12</v>
      </c>
      <c r="Y53" s="37">
        <f t="shared" si="20"/>
        <v>12</v>
      </c>
      <c r="Z53" s="37">
        <f t="shared" si="21"/>
        <v>12</v>
      </c>
      <c r="AA53" s="37">
        <f t="shared" si="22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89</v>
      </c>
      <c r="N54" s="38" t="s">
        <v>64</v>
      </c>
      <c r="O54" s="38" t="s">
        <v>28</v>
      </c>
      <c r="P54" s="38" t="s">
        <v>21</v>
      </c>
      <c r="Q54" s="38" t="s">
        <v>21</v>
      </c>
      <c r="R54" s="38" t="s">
        <v>29</v>
      </c>
      <c r="S54" s="24" t="s">
        <v>17</v>
      </c>
      <c r="U54" s="37">
        <f t="shared" si="16"/>
        <v>8</v>
      </c>
      <c r="V54" s="37">
        <f t="shared" si="17"/>
        <v>13</v>
      </c>
      <c r="W54" s="37">
        <f t="shared" si="18"/>
        <v>15</v>
      </c>
      <c r="X54" s="37">
        <f t="shared" si="19"/>
        <v>12</v>
      </c>
      <c r="Y54" s="37">
        <f t="shared" si="20"/>
        <v>12</v>
      </c>
      <c r="Z54" s="37">
        <f t="shared" si="21"/>
        <v>18</v>
      </c>
      <c r="AA54" s="37">
        <f t="shared" si="22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26</v>
      </c>
      <c r="N55" s="38" t="s">
        <v>230</v>
      </c>
      <c r="O55" s="38" t="s">
        <v>64</v>
      </c>
      <c r="P55" s="38" t="s">
        <v>21</v>
      </c>
      <c r="Q55" s="38" t="s">
        <v>21</v>
      </c>
      <c r="R55" s="38" t="s">
        <v>29</v>
      </c>
      <c r="S55" s="24" t="s">
        <v>64</v>
      </c>
      <c r="U55" s="37">
        <f t="shared" si="16"/>
        <v>7</v>
      </c>
      <c r="V55" s="37">
        <f t="shared" si="17"/>
        <v>0</v>
      </c>
      <c r="W55" s="37">
        <f t="shared" si="18"/>
        <v>13</v>
      </c>
      <c r="X55" s="37">
        <f t="shared" si="19"/>
        <v>12</v>
      </c>
      <c r="Y55" s="37">
        <f t="shared" si="20"/>
        <v>12</v>
      </c>
      <c r="Z55" s="37">
        <f t="shared" si="21"/>
        <v>18</v>
      </c>
      <c r="AA55" s="37">
        <f t="shared" si="22"/>
        <v>13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28</v>
      </c>
      <c r="N56" s="38" t="s">
        <v>27</v>
      </c>
      <c r="O56" s="38" t="s">
        <v>26</v>
      </c>
      <c r="P56" s="38" t="s">
        <v>21</v>
      </c>
      <c r="Q56" s="38" t="s">
        <v>28</v>
      </c>
      <c r="R56" s="38" t="s">
        <v>24</v>
      </c>
      <c r="S56" s="24" t="s">
        <v>64</v>
      </c>
      <c r="U56" s="37">
        <f t="shared" si="16"/>
        <v>15</v>
      </c>
      <c r="V56" s="37">
        <f t="shared" si="17"/>
        <v>12</v>
      </c>
      <c r="W56" s="37">
        <f t="shared" si="18"/>
        <v>7</v>
      </c>
      <c r="X56" s="37">
        <f t="shared" si="19"/>
        <v>12</v>
      </c>
      <c r="Y56" s="37">
        <f t="shared" si="20"/>
        <v>15</v>
      </c>
      <c r="Z56" s="37">
        <f t="shared" si="21"/>
        <v>11</v>
      </c>
      <c r="AA56" s="37">
        <f t="shared" si="22"/>
        <v>13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28</v>
      </c>
      <c r="N57" s="38" t="s">
        <v>27</v>
      </c>
      <c r="O57" s="38" t="s">
        <v>26</v>
      </c>
      <c r="P57" s="38" t="s">
        <v>21</v>
      </c>
      <c r="Q57" s="38" t="s">
        <v>24</v>
      </c>
      <c r="R57" s="38" t="s">
        <v>27</v>
      </c>
      <c r="S57" s="24" t="s">
        <v>64</v>
      </c>
      <c r="U57" s="37">
        <f t="shared" si="16"/>
        <v>15</v>
      </c>
      <c r="V57" s="37">
        <f t="shared" si="17"/>
        <v>12</v>
      </c>
      <c r="W57" s="37">
        <f t="shared" si="18"/>
        <v>7</v>
      </c>
      <c r="X57" s="37">
        <f t="shared" si="19"/>
        <v>12</v>
      </c>
      <c r="Y57" s="37">
        <f t="shared" si="20"/>
        <v>11</v>
      </c>
      <c r="Z57" s="37">
        <f t="shared" si="21"/>
        <v>12</v>
      </c>
      <c r="AA57" s="37">
        <f t="shared" si="22"/>
        <v>13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38" t="s">
        <v>18</v>
      </c>
      <c r="N58" s="38" t="s">
        <v>29</v>
      </c>
      <c r="O58" s="38" t="s">
        <v>18</v>
      </c>
      <c r="P58" s="38" t="s">
        <v>21</v>
      </c>
      <c r="Q58" s="38" t="s">
        <v>24</v>
      </c>
      <c r="R58" s="38" t="s">
        <v>27</v>
      </c>
      <c r="S58" s="24" t="s">
        <v>89</v>
      </c>
      <c r="U58" s="37">
        <f t="shared" si="16"/>
        <v>10</v>
      </c>
      <c r="V58" s="37">
        <f t="shared" si="17"/>
        <v>18</v>
      </c>
      <c r="W58" s="37">
        <f t="shared" si="18"/>
        <v>10</v>
      </c>
      <c r="X58" s="37">
        <f t="shared" si="19"/>
        <v>12</v>
      </c>
      <c r="Y58" s="37">
        <f t="shared" si="20"/>
        <v>11</v>
      </c>
      <c r="Z58" s="37">
        <f t="shared" si="21"/>
        <v>12</v>
      </c>
      <c r="AA58" s="37">
        <f t="shared" si="22"/>
        <v>8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18</v>
      </c>
      <c r="N59" s="38" t="s">
        <v>28</v>
      </c>
      <c r="O59" s="38" t="s">
        <v>28</v>
      </c>
      <c r="P59" s="38" t="s">
        <v>21</v>
      </c>
      <c r="Q59" s="38" t="s">
        <v>21</v>
      </c>
      <c r="R59" s="38" t="s">
        <v>64</v>
      </c>
      <c r="S59" s="24" t="s">
        <v>89</v>
      </c>
      <c r="U59" s="37">
        <f t="shared" si="16"/>
        <v>10</v>
      </c>
      <c r="V59" s="37">
        <f t="shared" si="17"/>
        <v>15</v>
      </c>
      <c r="W59" s="37">
        <f t="shared" si="18"/>
        <v>15</v>
      </c>
      <c r="X59" s="37">
        <f t="shared" si="19"/>
        <v>12</v>
      </c>
      <c r="Y59" s="37">
        <f t="shared" si="20"/>
        <v>12</v>
      </c>
      <c r="Z59" s="37">
        <f t="shared" si="21"/>
        <v>13</v>
      </c>
      <c r="AA59" s="37">
        <f t="shared" si="22"/>
        <v>8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29</v>
      </c>
      <c r="N60" s="38" t="s">
        <v>28</v>
      </c>
      <c r="O60" s="38" t="s">
        <v>28</v>
      </c>
      <c r="P60" s="38" t="s">
        <v>21</v>
      </c>
      <c r="Q60" s="38" t="s">
        <v>21</v>
      </c>
      <c r="R60" s="38" t="s">
        <v>24</v>
      </c>
      <c r="S60" s="24" t="s">
        <v>89</v>
      </c>
      <c r="U60" s="37">
        <f t="shared" si="16"/>
        <v>18</v>
      </c>
      <c r="V60" s="37">
        <f t="shared" si="17"/>
        <v>15</v>
      </c>
      <c r="W60" s="37">
        <f t="shared" si="18"/>
        <v>15</v>
      </c>
      <c r="X60" s="37">
        <f t="shared" si="19"/>
        <v>12</v>
      </c>
      <c r="Y60" s="37">
        <f t="shared" si="20"/>
        <v>12</v>
      </c>
      <c r="Z60" s="37">
        <f t="shared" si="21"/>
        <v>11</v>
      </c>
      <c r="AA60" s="37">
        <f t="shared" si="22"/>
        <v>8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29</v>
      </c>
      <c r="N61" s="38" t="s">
        <v>27</v>
      </c>
      <c r="O61" s="38" t="s">
        <v>29</v>
      </c>
      <c r="P61" s="38" t="s">
        <v>21</v>
      </c>
      <c r="Q61" s="38" t="s">
        <v>28</v>
      </c>
      <c r="R61" s="38" t="s">
        <v>26</v>
      </c>
      <c r="S61" s="24" t="s">
        <v>26</v>
      </c>
      <c r="U61" s="37">
        <f t="shared" si="16"/>
        <v>18</v>
      </c>
      <c r="V61" s="37">
        <f t="shared" si="17"/>
        <v>12</v>
      </c>
      <c r="W61" s="37">
        <f t="shared" si="18"/>
        <v>18</v>
      </c>
      <c r="X61" s="37">
        <f t="shared" si="19"/>
        <v>12</v>
      </c>
      <c r="Y61" s="37">
        <f t="shared" si="20"/>
        <v>15</v>
      </c>
      <c r="Z61" s="37">
        <f t="shared" si="21"/>
        <v>7</v>
      </c>
      <c r="AA61" s="37">
        <f t="shared" si="22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89</v>
      </c>
      <c r="N62" s="38" t="s">
        <v>224</v>
      </c>
      <c r="O62" s="38" t="s">
        <v>24</v>
      </c>
      <c r="P62" s="38" t="s">
        <v>21</v>
      </c>
      <c r="Q62" s="38" t="s">
        <v>28</v>
      </c>
      <c r="R62" s="38" t="s">
        <v>24</v>
      </c>
      <c r="S62" s="24" t="s">
        <v>26</v>
      </c>
      <c r="U62" s="37">
        <f t="shared" si="16"/>
        <v>8</v>
      </c>
      <c r="V62" s="37">
        <f t="shared" si="17"/>
        <v>0</v>
      </c>
      <c r="W62" s="37">
        <f t="shared" si="18"/>
        <v>11</v>
      </c>
      <c r="X62" s="37">
        <f t="shared" si="19"/>
        <v>12</v>
      </c>
      <c r="Y62" s="37">
        <f t="shared" si="20"/>
        <v>15</v>
      </c>
      <c r="Z62" s="37">
        <f t="shared" si="21"/>
        <v>11</v>
      </c>
      <c r="AA62" s="37">
        <f t="shared" si="22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26</v>
      </c>
      <c r="N63" s="38" t="s">
        <v>64</v>
      </c>
      <c r="O63" s="38" t="s">
        <v>29</v>
      </c>
      <c r="P63" s="38" t="s">
        <v>21</v>
      </c>
      <c r="Q63" s="38" t="s">
        <v>89</v>
      </c>
      <c r="R63" s="38" t="s">
        <v>64</v>
      </c>
      <c r="S63" s="38" t="s">
        <v>17</v>
      </c>
      <c r="U63" s="37">
        <f t="shared" si="16"/>
        <v>7</v>
      </c>
      <c r="V63" s="37">
        <f t="shared" si="17"/>
        <v>13</v>
      </c>
      <c r="W63" s="37">
        <f t="shared" si="18"/>
        <v>18</v>
      </c>
      <c r="X63" s="37">
        <f t="shared" si="19"/>
        <v>12</v>
      </c>
      <c r="Y63" s="37">
        <f t="shared" si="20"/>
        <v>8</v>
      </c>
      <c r="Z63" s="37">
        <f t="shared" si="21"/>
        <v>13</v>
      </c>
      <c r="AA63" s="37">
        <f t="shared" si="22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230</v>
      </c>
      <c r="O64" s="38" t="s">
        <v>242</v>
      </c>
      <c r="P64" s="38" t="s">
        <v>21</v>
      </c>
      <c r="Q64" s="38" t="s">
        <v>28</v>
      </c>
      <c r="R64" s="38" t="s">
        <v>24</v>
      </c>
      <c r="S64" s="24" t="s">
        <v>17</v>
      </c>
      <c r="U64" s="37">
        <f t="shared" si="16"/>
        <v>7</v>
      </c>
      <c r="V64" s="37">
        <f t="shared" si="17"/>
        <v>0</v>
      </c>
      <c r="W64" s="37">
        <f t="shared" si="18"/>
        <v>0</v>
      </c>
      <c r="X64" s="37">
        <f t="shared" si="19"/>
        <v>12</v>
      </c>
      <c r="Y64" s="37">
        <f t="shared" si="20"/>
        <v>15</v>
      </c>
      <c r="Z64" s="37">
        <f t="shared" si="21"/>
        <v>11</v>
      </c>
      <c r="AA64" s="37">
        <f t="shared" si="22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28</v>
      </c>
      <c r="N65" s="38" t="s">
        <v>24</v>
      </c>
      <c r="O65" s="38" t="s">
        <v>26</v>
      </c>
      <c r="P65" s="38" t="s">
        <v>21</v>
      </c>
      <c r="Q65" s="38" t="s">
        <v>28</v>
      </c>
      <c r="R65" s="38" t="s">
        <v>24</v>
      </c>
      <c r="S65" s="24" t="s">
        <v>17</v>
      </c>
      <c r="U65" s="37">
        <f t="shared" si="16"/>
        <v>15</v>
      </c>
      <c r="V65" s="37">
        <f t="shared" si="17"/>
        <v>11</v>
      </c>
      <c r="W65" s="37">
        <f t="shared" si="18"/>
        <v>7</v>
      </c>
      <c r="X65" s="37">
        <f t="shared" si="19"/>
        <v>12</v>
      </c>
      <c r="Y65" s="37">
        <f t="shared" si="20"/>
        <v>15</v>
      </c>
      <c r="Z65" s="37">
        <f t="shared" si="21"/>
        <v>11</v>
      </c>
      <c r="AA65" s="37">
        <f t="shared" si="22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26</v>
      </c>
      <c r="N66" s="38" t="s">
        <v>24</v>
      </c>
      <c r="O66" s="38" t="s">
        <v>26</v>
      </c>
      <c r="P66" s="38" t="s">
        <v>21</v>
      </c>
      <c r="Q66" s="38" t="s">
        <v>26</v>
      </c>
      <c r="R66" s="38" t="s">
        <v>26</v>
      </c>
      <c r="S66" s="24" t="s">
        <v>26</v>
      </c>
      <c r="U66" s="37">
        <f t="shared" si="16"/>
        <v>7</v>
      </c>
      <c r="V66" s="37">
        <f t="shared" si="17"/>
        <v>11</v>
      </c>
      <c r="W66" s="37">
        <f t="shared" si="18"/>
        <v>7</v>
      </c>
      <c r="X66" s="37">
        <f t="shared" si="19"/>
        <v>12</v>
      </c>
      <c r="Y66" s="37">
        <f t="shared" si="20"/>
        <v>7</v>
      </c>
      <c r="Z66" s="37">
        <f t="shared" si="21"/>
        <v>7</v>
      </c>
      <c r="AA66" s="37">
        <f t="shared" si="22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500</v>
      </c>
      <c r="L67" s="15">
        <v>64</v>
      </c>
      <c r="M67" s="38" t="s">
        <v>29</v>
      </c>
      <c r="N67" s="38" t="s">
        <v>64</v>
      </c>
      <c r="O67" s="38" t="s">
        <v>26</v>
      </c>
      <c r="P67" s="38" t="s">
        <v>21</v>
      </c>
      <c r="Q67" s="38" t="s">
        <v>18</v>
      </c>
      <c r="R67" s="38" t="s">
        <v>29</v>
      </c>
      <c r="S67" s="24" t="s">
        <v>26</v>
      </c>
      <c r="U67" s="37">
        <f t="shared" si="16"/>
        <v>18</v>
      </c>
      <c r="V67" s="37">
        <f t="shared" si="17"/>
        <v>13</v>
      </c>
      <c r="W67" s="37">
        <f t="shared" si="18"/>
        <v>7</v>
      </c>
      <c r="X67" s="37">
        <f t="shared" si="19"/>
        <v>12</v>
      </c>
      <c r="Y67" s="37">
        <f t="shared" si="20"/>
        <v>10</v>
      </c>
      <c r="Z67" s="37">
        <f t="shared" si="21"/>
        <v>18</v>
      </c>
      <c r="AA67" s="37">
        <f t="shared" si="22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200</v>
      </c>
      <c r="L68" s="14">
        <v>65</v>
      </c>
      <c r="M68" s="38" t="s">
        <v>17</v>
      </c>
      <c r="N68" s="38" t="s">
        <v>27</v>
      </c>
      <c r="O68" s="38" t="s">
        <v>18</v>
      </c>
      <c r="P68" s="38" t="s">
        <v>21</v>
      </c>
      <c r="Q68" s="38" t="s">
        <v>89</v>
      </c>
      <c r="R68" s="38" t="s">
        <v>29</v>
      </c>
      <c r="S68" s="24" t="s">
        <v>28</v>
      </c>
      <c r="U68" s="37">
        <f t="shared" ref="U68:U99" si="23">VLOOKUP(M68, $A$4:$J$29, 9, 0)</f>
        <v>14</v>
      </c>
      <c r="V68" s="37">
        <f t="shared" ref="V68:V99" si="24">VLOOKUP(N68, $A$4:$J$29, 9, 0)</f>
        <v>12</v>
      </c>
      <c r="W68" s="37">
        <f t="shared" ref="W68:W99" si="25">VLOOKUP(O68, $A$4:$J$29, 9, 0)</f>
        <v>10</v>
      </c>
      <c r="X68" s="37">
        <f t="shared" ref="X68:X99" si="26">VLOOKUP(P68, $A$4:$J$29, 9, 0)</f>
        <v>12</v>
      </c>
      <c r="Y68" s="37">
        <f t="shared" ref="Y68:Y99" si="27">VLOOKUP(Q68, $A$4:$J$29, 9, 0)</f>
        <v>8</v>
      </c>
      <c r="Z68" s="37">
        <f t="shared" ref="Z68:Z99" si="28">VLOOKUP(R68, $A$4:$J$29, 9, 0)</f>
        <v>18</v>
      </c>
      <c r="AA68" s="3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5">
        <v>66</v>
      </c>
      <c r="M69" s="38" t="s">
        <v>27</v>
      </c>
      <c r="N69" s="38" t="s">
        <v>27</v>
      </c>
      <c r="O69" s="38" t="s">
        <v>24</v>
      </c>
      <c r="P69" s="38" t="s">
        <v>21</v>
      </c>
      <c r="Q69" s="38" t="s">
        <v>89</v>
      </c>
      <c r="R69" s="38" t="s">
        <v>27</v>
      </c>
      <c r="S69" s="24" t="s">
        <v>28</v>
      </c>
      <c r="U69" s="37">
        <f t="shared" si="23"/>
        <v>12</v>
      </c>
      <c r="V69" s="37">
        <f t="shared" si="24"/>
        <v>12</v>
      </c>
      <c r="W69" s="37">
        <f t="shared" si="25"/>
        <v>11</v>
      </c>
      <c r="X69" s="37">
        <f t="shared" si="26"/>
        <v>12</v>
      </c>
      <c r="Y69" s="37">
        <f t="shared" si="27"/>
        <v>8</v>
      </c>
      <c r="Z69" s="37">
        <f t="shared" si="28"/>
        <v>12</v>
      </c>
      <c r="AA69" s="3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4">
        <v>67</v>
      </c>
      <c r="M70" s="38" t="s">
        <v>27</v>
      </c>
      <c r="N70" s="38" t="s">
        <v>29</v>
      </c>
      <c r="O70" s="38" t="s">
        <v>24</v>
      </c>
      <c r="P70" s="38" t="s">
        <v>21</v>
      </c>
      <c r="Q70" s="38" t="s">
        <v>18</v>
      </c>
      <c r="R70" s="38" t="s">
        <v>24</v>
      </c>
      <c r="S70" s="24" t="s">
        <v>28</v>
      </c>
      <c r="U70" s="37">
        <f t="shared" si="23"/>
        <v>12</v>
      </c>
      <c r="V70" s="37">
        <f t="shared" si="24"/>
        <v>18</v>
      </c>
      <c r="W70" s="37">
        <f t="shared" si="25"/>
        <v>11</v>
      </c>
      <c r="X70" s="37">
        <f t="shared" si="26"/>
        <v>12</v>
      </c>
      <c r="Y70" s="37">
        <f t="shared" si="27"/>
        <v>10</v>
      </c>
      <c r="Z70" s="37">
        <f t="shared" si="28"/>
        <v>11</v>
      </c>
      <c r="AA70" s="3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s">
        <v>18</v>
      </c>
      <c r="N71" s="38" t="s">
        <v>27</v>
      </c>
      <c r="O71" s="38" t="s">
        <v>24</v>
      </c>
      <c r="P71" s="38" t="s">
        <v>21</v>
      </c>
      <c r="Q71" s="38" t="s">
        <v>18</v>
      </c>
      <c r="R71" s="38" t="s">
        <v>64</v>
      </c>
      <c r="S71" s="24" t="s">
        <v>29</v>
      </c>
      <c r="U71" s="37">
        <f t="shared" si="23"/>
        <v>10</v>
      </c>
      <c r="V71" s="37">
        <f t="shared" si="24"/>
        <v>12</v>
      </c>
      <c r="W71" s="37">
        <f t="shared" si="25"/>
        <v>11</v>
      </c>
      <c r="X71" s="37">
        <f t="shared" si="26"/>
        <v>12</v>
      </c>
      <c r="Y71" s="37">
        <f t="shared" si="27"/>
        <v>10</v>
      </c>
      <c r="Z71" s="37">
        <f t="shared" si="28"/>
        <v>13</v>
      </c>
      <c r="AA71" s="37">
        <f t="shared" si="29"/>
        <v>18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18</v>
      </c>
      <c r="N72" s="38" t="s">
        <v>27</v>
      </c>
      <c r="O72" s="38" t="s">
        <v>28</v>
      </c>
      <c r="P72" s="38" t="s">
        <v>21</v>
      </c>
      <c r="Q72" s="38" t="s">
        <v>230</v>
      </c>
      <c r="R72" s="38" t="s">
        <v>64</v>
      </c>
      <c r="S72" s="24" t="s">
        <v>21</v>
      </c>
      <c r="U72" s="37">
        <f t="shared" si="23"/>
        <v>10</v>
      </c>
      <c r="V72" s="37">
        <f t="shared" si="24"/>
        <v>12</v>
      </c>
      <c r="W72" s="37">
        <f t="shared" si="25"/>
        <v>15</v>
      </c>
      <c r="X72" s="37">
        <f t="shared" si="26"/>
        <v>12</v>
      </c>
      <c r="Y72" s="37">
        <f t="shared" si="27"/>
        <v>0</v>
      </c>
      <c r="Z72" s="37">
        <f t="shared" si="28"/>
        <v>13</v>
      </c>
      <c r="AA72" s="37">
        <f t="shared" si="29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26</v>
      </c>
      <c r="N73" s="38" t="s">
        <v>27</v>
      </c>
      <c r="O73" s="38" t="s">
        <v>28</v>
      </c>
      <c r="P73" s="38" t="s">
        <v>21</v>
      </c>
      <c r="Q73" s="38" t="s">
        <v>64</v>
      </c>
      <c r="R73" s="38" t="s">
        <v>29</v>
      </c>
      <c r="S73" s="24" t="s">
        <v>21</v>
      </c>
      <c r="U73" s="37">
        <f t="shared" si="23"/>
        <v>7</v>
      </c>
      <c r="V73" s="37">
        <f t="shared" si="24"/>
        <v>12</v>
      </c>
      <c r="W73" s="37">
        <f t="shared" si="25"/>
        <v>15</v>
      </c>
      <c r="X73" s="37">
        <f t="shared" si="26"/>
        <v>12</v>
      </c>
      <c r="Y73" s="37">
        <f t="shared" si="27"/>
        <v>13</v>
      </c>
      <c r="Z73" s="37">
        <f t="shared" si="28"/>
        <v>18</v>
      </c>
      <c r="AA73" s="37">
        <f t="shared" si="29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29</v>
      </c>
      <c r="N74" s="38" t="s">
        <v>240</v>
      </c>
      <c r="O74" s="38" t="s">
        <v>28</v>
      </c>
      <c r="P74" s="38" t="s">
        <v>21</v>
      </c>
      <c r="Q74" s="38" t="s">
        <v>18</v>
      </c>
      <c r="R74" s="38" t="s">
        <v>28</v>
      </c>
      <c r="S74" s="24" t="s">
        <v>17</v>
      </c>
      <c r="U74" s="37">
        <f t="shared" si="23"/>
        <v>18</v>
      </c>
      <c r="V74" s="37">
        <f t="shared" si="24"/>
        <v>0</v>
      </c>
      <c r="W74" s="37">
        <f t="shared" si="25"/>
        <v>15</v>
      </c>
      <c r="X74" s="37">
        <f t="shared" si="26"/>
        <v>12</v>
      </c>
      <c r="Y74" s="37">
        <f t="shared" si="27"/>
        <v>10</v>
      </c>
      <c r="Z74" s="37">
        <f t="shared" si="28"/>
        <v>15</v>
      </c>
      <c r="AA74" s="37">
        <f t="shared" si="29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5">
        <v>72</v>
      </c>
      <c r="M75" s="38" t="s">
        <v>29</v>
      </c>
      <c r="N75" s="38" t="s">
        <v>28</v>
      </c>
      <c r="O75" s="38" t="s">
        <v>26</v>
      </c>
      <c r="P75" s="38" t="s">
        <v>21</v>
      </c>
      <c r="Q75" s="38" t="s">
        <v>24</v>
      </c>
      <c r="R75" s="38" t="s">
        <v>24</v>
      </c>
      <c r="S75" s="24" t="s">
        <v>17</v>
      </c>
      <c r="U75" s="37">
        <f t="shared" si="23"/>
        <v>18</v>
      </c>
      <c r="V75" s="37">
        <f t="shared" si="24"/>
        <v>15</v>
      </c>
      <c r="W75" s="37">
        <f t="shared" si="25"/>
        <v>7</v>
      </c>
      <c r="X75" s="37">
        <f t="shared" si="26"/>
        <v>12</v>
      </c>
      <c r="Y75" s="37">
        <f t="shared" si="27"/>
        <v>11</v>
      </c>
      <c r="Z75" s="37">
        <f t="shared" si="28"/>
        <v>11</v>
      </c>
      <c r="AA75" s="37">
        <f t="shared" si="29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38" t="s">
        <v>26</v>
      </c>
      <c r="N76" s="38" t="s">
        <v>232</v>
      </c>
      <c r="O76" s="38" t="s">
        <v>18</v>
      </c>
      <c r="P76" s="38" t="s">
        <v>21</v>
      </c>
      <c r="Q76" s="38" t="s">
        <v>18</v>
      </c>
      <c r="R76" s="38" t="s">
        <v>24</v>
      </c>
      <c r="S76" s="24" t="s">
        <v>17</v>
      </c>
      <c r="U76" s="37">
        <f t="shared" si="23"/>
        <v>7</v>
      </c>
      <c r="V76" s="37">
        <f t="shared" si="24"/>
        <v>0</v>
      </c>
      <c r="W76" s="37">
        <f t="shared" si="25"/>
        <v>10</v>
      </c>
      <c r="X76" s="37">
        <f t="shared" si="26"/>
        <v>12</v>
      </c>
      <c r="Y76" s="37">
        <f t="shared" si="27"/>
        <v>10</v>
      </c>
      <c r="Z76" s="37">
        <f t="shared" si="28"/>
        <v>11</v>
      </c>
      <c r="AA76" s="37">
        <f t="shared" si="29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28</v>
      </c>
      <c r="N77" s="38" t="s">
        <v>24</v>
      </c>
      <c r="O77" s="38" t="s">
        <v>28</v>
      </c>
      <c r="P77" s="38" t="s">
        <v>21</v>
      </c>
      <c r="Q77" s="38" t="s">
        <v>17</v>
      </c>
      <c r="R77" s="38" t="s">
        <v>17</v>
      </c>
      <c r="S77" s="24" t="s">
        <v>27</v>
      </c>
      <c r="U77" s="37">
        <f t="shared" si="23"/>
        <v>15</v>
      </c>
      <c r="V77" s="37">
        <f t="shared" si="24"/>
        <v>11</v>
      </c>
      <c r="W77" s="37">
        <f t="shared" si="25"/>
        <v>15</v>
      </c>
      <c r="X77" s="37">
        <f t="shared" si="26"/>
        <v>12</v>
      </c>
      <c r="Y77" s="37">
        <f t="shared" si="27"/>
        <v>14</v>
      </c>
      <c r="Z77" s="37">
        <f t="shared" si="28"/>
        <v>14</v>
      </c>
      <c r="AA77" s="37">
        <f t="shared" si="29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64</v>
      </c>
      <c r="N78" s="38" t="s">
        <v>69</v>
      </c>
      <c r="O78" s="38" t="s">
        <v>28</v>
      </c>
      <c r="P78" s="38" t="s">
        <v>21</v>
      </c>
      <c r="Q78" s="38" t="s">
        <v>17</v>
      </c>
      <c r="R78" s="38" t="s">
        <v>17</v>
      </c>
      <c r="S78" s="24" t="s">
        <v>27</v>
      </c>
      <c r="U78" s="37">
        <f t="shared" si="23"/>
        <v>13</v>
      </c>
      <c r="V78" s="37">
        <f t="shared" si="24"/>
        <v>0</v>
      </c>
      <c r="W78" s="37">
        <f t="shared" si="25"/>
        <v>15</v>
      </c>
      <c r="X78" s="37">
        <f t="shared" si="26"/>
        <v>12</v>
      </c>
      <c r="Y78" s="37">
        <f t="shared" si="27"/>
        <v>14</v>
      </c>
      <c r="Z78" s="37">
        <f t="shared" si="28"/>
        <v>14</v>
      </c>
      <c r="AA78" s="37">
        <f t="shared" si="29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29</v>
      </c>
      <c r="N79" s="38" t="s">
        <v>69</v>
      </c>
      <c r="O79" s="38" t="s">
        <v>24</v>
      </c>
      <c r="P79" s="38" t="s">
        <v>21</v>
      </c>
      <c r="Q79" s="38" t="s">
        <v>226</v>
      </c>
      <c r="R79" s="38" t="s">
        <v>17</v>
      </c>
      <c r="S79" s="24" t="s">
        <v>27</v>
      </c>
      <c r="U79" s="37">
        <f t="shared" si="23"/>
        <v>18</v>
      </c>
      <c r="V79" s="37">
        <f t="shared" si="24"/>
        <v>0</v>
      </c>
      <c r="W79" s="37">
        <f t="shared" si="25"/>
        <v>11</v>
      </c>
      <c r="X79" s="37">
        <f t="shared" si="26"/>
        <v>12</v>
      </c>
      <c r="Y79" s="37">
        <f t="shared" si="27"/>
        <v>0</v>
      </c>
      <c r="Z79" s="37">
        <f t="shared" si="28"/>
        <v>14</v>
      </c>
      <c r="AA79" s="37">
        <f t="shared" si="29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29</v>
      </c>
      <c r="N80" s="38" t="s">
        <v>89</v>
      </c>
      <c r="O80" s="38" t="s">
        <v>26</v>
      </c>
      <c r="P80" s="38" t="s">
        <v>21</v>
      </c>
      <c r="Q80" s="38" t="s">
        <v>64</v>
      </c>
      <c r="R80" s="38" t="s">
        <v>64</v>
      </c>
      <c r="S80" s="38" t="s">
        <v>17</v>
      </c>
      <c r="U80" s="37">
        <f t="shared" si="23"/>
        <v>18</v>
      </c>
      <c r="V80" s="37">
        <f t="shared" si="24"/>
        <v>8</v>
      </c>
      <c r="W80" s="37">
        <f t="shared" si="25"/>
        <v>7</v>
      </c>
      <c r="X80" s="37">
        <f t="shared" si="26"/>
        <v>12</v>
      </c>
      <c r="Y80" s="37">
        <f t="shared" si="27"/>
        <v>13</v>
      </c>
      <c r="Z80" s="37">
        <f t="shared" si="28"/>
        <v>13</v>
      </c>
      <c r="AA80" s="37">
        <f t="shared" si="29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27</v>
      </c>
      <c r="N81" s="38" t="s">
        <v>89</v>
      </c>
      <c r="O81" s="38" t="s">
        <v>26</v>
      </c>
      <c r="P81" s="38" t="s">
        <v>21</v>
      </c>
      <c r="Q81" s="38" t="s">
        <v>64</v>
      </c>
      <c r="R81" s="38" t="s">
        <v>64</v>
      </c>
      <c r="S81" s="24" t="s">
        <v>29</v>
      </c>
      <c r="U81" s="37">
        <f t="shared" si="23"/>
        <v>12</v>
      </c>
      <c r="V81" s="37">
        <f t="shared" si="24"/>
        <v>8</v>
      </c>
      <c r="W81" s="37">
        <f t="shared" si="25"/>
        <v>7</v>
      </c>
      <c r="X81" s="37">
        <f t="shared" si="26"/>
        <v>12</v>
      </c>
      <c r="Y81" s="37">
        <f t="shared" si="27"/>
        <v>13</v>
      </c>
      <c r="Z81" s="37">
        <f t="shared" si="28"/>
        <v>13</v>
      </c>
      <c r="AA81" s="37">
        <f t="shared" si="29"/>
        <v>18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28</v>
      </c>
      <c r="N82" s="38" t="s">
        <v>21</v>
      </c>
      <c r="O82" s="38" t="s">
        <v>26</v>
      </c>
      <c r="P82" s="38" t="s">
        <v>21</v>
      </c>
      <c r="Q82" s="38" t="s">
        <v>89</v>
      </c>
      <c r="R82" s="38" t="s">
        <v>64</v>
      </c>
      <c r="S82" s="24" t="s">
        <v>29</v>
      </c>
      <c r="U82" s="37">
        <f t="shared" si="23"/>
        <v>15</v>
      </c>
      <c r="V82" s="37">
        <f t="shared" si="24"/>
        <v>12</v>
      </c>
      <c r="W82" s="37">
        <f t="shared" si="25"/>
        <v>7</v>
      </c>
      <c r="X82" s="37">
        <f t="shared" si="26"/>
        <v>12</v>
      </c>
      <c r="Y82" s="37">
        <f t="shared" si="27"/>
        <v>8</v>
      </c>
      <c r="Z82" s="37">
        <f t="shared" si="28"/>
        <v>13</v>
      </c>
      <c r="AA82" s="37">
        <f t="shared" si="29"/>
        <v>18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64</v>
      </c>
      <c r="N83" s="38" t="s">
        <v>21</v>
      </c>
      <c r="O83" s="38" t="s">
        <v>18</v>
      </c>
      <c r="P83" s="38" t="s">
        <v>21</v>
      </c>
      <c r="Q83" s="38" t="s">
        <v>89</v>
      </c>
      <c r="R83" s="38" t="s">
        <v>29</v>
      </c>
      <c r="S83" s="24" t="s">
        <v>29</v>
      </c>
      <c r="U83" s="37">
        <f t="shared" si="23"/>
        <v>13</v>
      </c>
      <c r="V83" s="37">
        <f t="shared" si="24"/>
        <v>12</v>
      </c>
      <c r="W83" s="37">
        <f t="shared" si="25"/>
        <v>10</v>
      </c>
      <c r="X83" s="37">
        <f t="shared" si="26"/>
        <v>12</v>
      </c>
      <c r="Y83" s="37">
        <f t="shared" si="27"/>
        <v>8</v>
      </c>
      <c r="Z83" s="37">
        <f t="shared" si="28"/>
        <v>18</v>
      </c>
      <c r="AA83" s="37">
        <f t="shared" si="29"/>
        <v>18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64</v>
      </c>
      <c r="N84" s="38" t="s">
        <v>26</v>
      </c>
      <c r="O84" s="38" t="s">
        <v>28</v>
      </c>
      <c r="P84" s="38" t="s">
        <v>21</v>
      </c>
      <c r="Q84" s="38" t="s">
        <v>232</v>
      </c>
      <c r="R84" s="38" t="s">
        <v>27</v>
      </c>
      <c r="S84" s="24" t="s">
        <v>24</v>
      </c>
      <c r="U84" s="37">
        <f t="shared" si="23"/>
        <v>13</v>
      </c>
      <c r="V84" s="37">
        <f t="shared" si="24"/>
        <v>7</v>
      </c>
      <c r="W84" s="37">
        <f t="shared" si="25"/>
        <v>15</v>
      </c>
      <c r="X84" s="37">
        <f t="shared" si="26"/>
        <v>12</v>
      </c>
      <c r="Y84" s="37">
        <f t="shared" si="27"/>
        <v>0</v>
      </c>
      <c r="Z84" s="37">
        <f t="shared" si="28"/>
        <v>12</v>
      </c>
      <c r="AA84" s="37">
        <f t="shared" si="29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5">
        <v>82</v>
      </c>
      <c r="M85" s="38" t="s">
        <v>28</v>
      </c>
      <c r="N85" s="38" t="s">
        <v>26</v>
      </c>
      <c r="O85" s="38" t="s">
        <v>21</v>
      </c>
      <c r="P85" s="38" t="s">
        <v>21</v>
      </c>
      <c r="Q85" s="38" t="s">
        <v>28</v>
      </c>
      <c r="R85" s="38" t="s">
        <v>27</v>
      </c>
      <c r="S85" s="24" t="s">
        <v>24</v>
      </c>
      <c r="U85" s="37">
        <f t="shared" si="23"/>
        <v>15</v>
      </c>
      <c r="V85" s="37">
        <f t="shared" si="24"/>
        <v>7</v>
      </c>
      <c r="W85" s="37">
        <f t="shared" si="25"/>
        <v>12</v>
      </c>
      <c r="X85" s="37">
        <f t="shared" si="26"/>
        <v>12</v>
      </c>
      <c r="Y85" s="37">
        <f t="shared" si="27"/>
        <v>15</v>
      </c>
      <c r="Z85" s="37">
        <f t="shared" si="28"/>
        <v>12</v>
      </c>
      <c r="AA85" s="37">
        <f t="shared" si="29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29</v>
      </c>
      <c r="N86" s="38" t="s">
        <v>27</v>
      </c>
      <c r="O86" s="38" t="s">
        <v>21</v>
      </c>
      <c r="P86" s="38" t="s">
        <v>21</v>
      </c>
      <c r="Q86" s="38" t="s">
        <v>28</v>
      </c>
      <c r="R86" s="38" t="s">
        <v>24</v>
      </c>
      <c r="S86" s="24" t="s">
        <v>24</v>
      </c>
      <c r="U86" s="37">
        <f t="shared" si="23"/>
        <v>18</v>
      </c>
      <c r="V86" s="37">
        <f t="shared" si="24"/>
        <v>12</v>
      </c>
      <c r="W86" s="37">
        <f t="shared" si="25"/>
        <v>12</v>
      </c>
      <c r="X86" s="37">
        <f t="shared" si="26"/>
        <v>12</v>
      </c>
      <c r="Y86" s="37">
        <f t="shared" si="27"/>
        <v>15</v>
      </c>
      <c r="Z86" s="37">
        <f t="shared" si="28"/>
        <v>11</v>
      </c>
      <c r="AA86" s="37">
        <f t="shared" si="29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28</v>
      </c>
      <c r="N87" s="38" t="s">
        <v>27</v>
      </c>
      <c r="O87" s="38" t="s">
        <v>21</v>
      </c>
      <c r="P87" s="38" t="s">
        <v>21</v>
      </c>
      <c r="Q87" s="38" t="s">
        <v>89</v>
      </c>
      <c r="R87" s="38" t="s">
        <v>29</v>
      </c>
      <c r="S87" s="24" t="s">
        <v>27</v>
      </c>
      <c r="U87" s="37">
        <f t="shared" si="23"/>
        <v>15</v>
      </c>
      <c r="V87" s="37">
        <f t="shared" si="24"/>
        <v>12</v>
      </c>
      <c r="W87" s="37">
        <f t="shared" si="25"/>
        <v>12</v>
      </c>
      <c r="X87" s="37">
        <f t="shared" si="26"/>
        <v>12</v>
      </c>
      <c r="Y87" s="37">
        <f t="shared" si="27"/>
        <v>8</v>
      </c>
      <c r="Z87" s="37">
        <f t="shared" si="28"/>
        <v>18</v>
      </c>
      <c r="AA87" s="37">
        <f t="shared" si="29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18</v>
      </c>
      <c r="P88" s="38" t="s">
        <v>21</v>
      </c>
      <c r="Q88" s="38" t="s">
        <v>21</v>
      </c>
      <c r="R88" s="38" t="s">
        <v>29</v>
      </c>
      <c r="S88" s="24" t="s">
        <v>27</v>
      </c>
      <c r="U88" s="37">
        <f t="shared" si="23"/>
        <v>15</v>
      </c>
      <c r="V88" s="37">
        <f t="shared" si="24"/>
        <v>13</v>
      </c>
      <c r="W88" s="37">
        <f t="shared" si="25"/>
        <v>10</v>
      </c>
      <c r="X88" s="37">
        <f t="shared" si="26"/>
        <v>12</v>
      </c>
      <c r="Y88" s="37">
        <f t="shared" si="27"/>
        <v>12</v>
      </c>
      <c r="Z88" s="37">
        <f t="shared" si="28"/>
        <v>18</v>
      </c>
      <c r="AA88" s="37">
        <f t="shared" si="29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24</v>
      </c>
      <c r="O89" s="38" t="s">
        <v>234</v>
      </c>
      <c r="P89" s="38" t="s">
        <v>21</v>
      </c>
      <c r="Q89" s="38" t="s">
        <v>26</v>
      </c>
      <c r="R89" s="38" t="s">
        <v>24</v>
      </c>
      <c r="S89" s="24" t="s">
        <v>27</v>
      </c>
      <c r="U89" s="37">
        <f t="shared" si="23"/>
        <v>18</v>
      </c>
      <c r="V89" s="37">
        <f t="shared" si="24"/>
        <v>11</v>
      </c>
      <c r="W89" s="37">
        <f t="shared" si="25"/>
        <v>0</v>
      </c>
      <c r="X89" s="37">
        <f t="shared" si="26"/>
        <v>12</v>
      </c>
      <c r="Y89" s="37">
        <f t="shared" si="27"/>
        <v>7</v>
      </c>
      <c r="Z89" s="37">
        <f t="shared" si="28"/>
        <v>11</v>
      </c>
      <c r="AA89" s="37">
        <f t="shared" si="29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29</v>
      </c>
      <c r="O90" s="38" t="s">
        <v>24</v>
      </c>
      <c r="P90" s="38" t="s">
        <v>21</v>
      </c>
      <c r="Q90" s="38" t="s">
        <v>18</v>
      </c>
      <c r="R90" s="38" t="s">
        <v>64</v>
      </c>
      <c r="S90" s="24" t="s">
        <v>29</v>
      </c>
      <c r="U90" s="37">
        <f t="shared" si="23"/>
        <v>18</v>
      </c>
      <c r="V90" s="37">
        <f t="shared" si="24"/>
        <v>18</v>
      </c>
      <c r="W90" s="37">
        <f t="shared" si="25"/>
        <v>11</v>
      </c>
      <c r="X90" s="37">
        <f t="shared" si="26"/>
        <v>12</v>
      </c>
      <c r="Y90" s="37">
        <f t="shared" si="27"/>
        <v>10</v>
      </c>
      <c r="Z90" s="37">
        <f t="shared" si="28"/>
        <v>13</v>
      </c>
      <c r="AA90" s="37">
        <f t="shared" si="29"/>
        <v>18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29</v>
      </c>
      <c r="N91" s="38" t="s">
        <v>29</v>
      </c>
      <c r="O91" s="38" t="s">
        <v>24</v>
      </c>
      <c r="P91" s="38" t="s">
        <v>21</v>
      </c>
      <c r="Q91" s="38" t="s">
        <v>27</v>
      </c>
      <c r="R91" s="38" t="s">
        <v>24</v>
      </c>
      <c r="S91" s="24" t="s">
        <v>64</v>
      </c>
      <c r="U91" s="37">
        <f t="shared" si="23"/>
        <v>18</v>
      </c>
      <c r="V91" s="37">
        <f t="shared" si="24"/>
        <v>18</v>
      </c>
      <c r="W91" s="37">
        <f t="shared" si="25"/>
        <v>11</v>
      </c>
      <c r="X91" s="37">
        <f t="shared" si="26"/>
        <v>12</v>
      </c>
      <c r="Y91" s="37">
        <f t="shared" si="27"/>
        <v>12</v>
      </c>
      <c r="Z91" s="37">
        <f t="shared" si="28"/>
        <v>11</v>
      </c>
      <c r="AA91" s="37">
        <f t="shared" si="29"/>
        <v>13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17</v>
      </c>
      <c r="O92" s="38" t="s">
        <v>28</v>
      </c>
      <c r="P92" s="38" t="s">
        <v>21</v>
      </c>
      <c r="Q92" s="38" t="s">
        <v>27</v>
      </c>
      <c r="R92" s="38" t="s">
        <v>24</v>
      </c>
      <c r="S92" s="24" t="s">
        <v>64</v>
      </c>
      <c r="U92" s="37">
        <f t="shared" si="23"/>
        <v>18</v>
      </c>
      <c r="V92" s="37">
        <f t="shared" si="24"/>
        <v>14</v>
      </c>
      <c r="W92" s="37">
        <f t="shared" si="25"/>
        <v>15</v>
      </c>
      <c r="X92" s="37">
        <f t="shared" si="26"/>
        <v>12</v>
      </c>
      <c r="Y92" s="37">
        <f t="shared" si="27"/>
        <v>12</v>
      </c>
      <c r="Z92" s="37">
        <f t="shared" si="28"/>
        <v>11</v>
      </c>
      <c r="AA92" s="37">
        <f t="shared" si="29"/>
        <v>13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28</v>
      </c>
      <c r="N93" s="38" t="s">
        <v>21</v>
      </c>
      <c r="O93" s="38" t="s">
        <v>28</v>
      </c>
      <c r="P93" s="38" t="s">
        <v>21</v>
      </c>
      <c r="Q93" s="38" t="s">
        <v>26</v>
      </c>
      <c r="R93" s="38" t="s">
        <v>24</v>
      </c>
      <c r="S93" s="24" t="s">
        <v>64</v>
      </c>
      <c r="U93" s="37">
        <f t="shared" si="23"/>
        <v>15</v>
      </c>
      <c r="V93" s="37">
        <f t="shared" si="24"/>
        <v>12</v>
      </c>
      <c r="W93" s="37">
        <f t="shared" si="25"/>
        <v>15</v>
      </c>
      <c r="X93" s="37">
        <f t="shared" si="26"/>
        <v>12</v>
      </c>
      <c r="Y93" s="37">
        <f t="shared" si="27"/>
        <v>7</v>
      </c>
      <c r="Z93" s="37">
        <f t="shared" si="28"/>
        <v>11</v>
      </c>
      <c r="AA93" s="37">
        <f t="shared" si="29"/>
        <v>13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91</v>
      </c>
      <c r="M94" s="38" t="s">
        <v>24</v>
      </c>
      <c r="N94" s="38" t="s">
        <v>21</v>
      </c>
      <c r="O94" s="38" t="s">
        <v>18</v>
      </c>
      <c r="P94" s="38" t="s">
        <v>21</v>
      </c>
      <c r="Q94" s="38" t="s">
        <v>26</v>
      </c>
      <c r="R94" s="38" t="s">
        <v>27</v>
      </c>
      <c r="S94" s="24" t="s">
        <v>64</v>
      </c>
      <c r="U94" s="37">
        <f t="shared" si="23"/>
        <v>11</v>
      </c>
      <c r="V94" s="37">
        <f t="shared" si="24"/>
        <v>12</v>
      </c>
      <c r="W94" s="37">
        <f t="shared" si="25"/>
        <v>10</v>
      </c>
      <c r="X94" s="37">
        <f t="shared" si="26"/>
        <v>12</v>
      </c>
      <c r="Y94" s="37">
        <f t="shared" si="27"/>
        <v>7</v>
      </c>
      <c r="Z94" s="37">
        <f t="shared" si="28"/>
        <v>12</v>
      </c>
      <c r="AA94" s="37">
        <f t="shared" si="29"/>
        <v>13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28</v>
      </c>
      <c r="P95" s="38" t="s">
        <v>21</v>
      </c>
      <c r="Q95" s="38" t="s">
        <v>236</v>
      </c>
      <c r="R95" s="38" t="s">
        <v>27</v>
      </c>
      <c r="S95" s="24" t="s">
        <v>29</v>
      </c>
      <c r="U95" s="37">
        <f t="shared" si="23"/>
        <v>15</v>
      </c>
      <c r="V95" s="37">
        <f t="shared" si="24"/>
        <v>11</v>
      </c>
      <c r="W95" s="37">
        <f t="shared" si="25"/>
        <v>15</v>
      </c>
      <c r="X95" s="37">
        <f t="shared" si="26"/>
        <v>12</v>
      </c>
      <c r="Y95" s="37">
        <f t="shared" si="27"/>
        <v>0</v>
      </c>
      <c r="Z95" s="37">
        <f t="shared" si="28"/>
        <v>12</v>
      </c>
      <c r="AA95" s="37">
        <f t="shared" si="29"/>
        <v>18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 x14ac:dyDescent="0.3">
      <c r="L96" s="15">
        <v>93</v>
      </c>
      <c r="M96" s="38" t="s">
        <v>64</v>
      </c>
      <c r="N96" s="38" t="s">
        <v>64</v>
      </c>
      <c r="O96" s="38" t="s">
        <v>28</v>
      </c>
      <c r="P96" s="38" t="s">
        <v>21</v>
      </c>
      <c r="Q96" s="38" t="s">
        <v>28</v>
      </c>
      <c r="R96" s="38" t="s">
        <v>64</v>
      </c>
      <c r="S96" s="24" t="s">
        <v>29</v>
      </c>
      <c r="U96" s="37">
        <f t="shared" si="23"/>
        <v>13</v>
      </c>
      <c r="V96" s="37">
        <f t="shared" si="24"/>
        <v>13</v>
      </c>
      <c r="W96" s="37">
        <f t="shared" si="25"/>
        <v>15</v>
      </c>
      <c r="X96" s="37">
        <f t="shared" si="26"/>
        <v>12</v>
      </c>
      <c r="Y96" s="37">
        <f t="shared" si="27"/>
        <v>15</v>
      </c>
      <c r="Z96" s="37">
        <f t="shared" si="28"/>
        <v>13</v>
      </c>
      <c r="AA96" s="37">
        <f t="shared" si="29"/>
        <v>18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 x14ac:dyDescent="0.3">
      <c r="L97" s="14">
        <v>94</v>
      </c>
      <c r="M97" s="38" t="s">
        <v>24</v>
      </c>
      <c r="N97" s="38" t="s">
        <v>18</v>
      </c>
      <c r="O97" s="38" t="s">
        <v>29</v>
      </c>
      <c r="P97" s="38" t="s">
        <v>21</v>
      </c>
      <c r="Q97" s="38" t="s">
        <v>26</v>
      </c>
      <c r="R97" s="38" t="s">
        <v>64</v>
      </c>
      <c r="S97" s="24" t="s">
        <v>29</v>
      </c>
      <c r="U97" s="37">
        <f t="shared" si="23"/>
        <v>11</v>
      </c>
      <c r="V97" s="37">
        <f t="shared" si="24"/>
        <v>10</v>
      </c>
      <c r="W97" s="37">
        <f t="shared" si="25"/>
        <v>18</v>
      </c>
      <c r="X97" s="37">
        <f t="shared" si="26"/>
        <v>12</v>
      </c>
      <c r="Y97" s="37">
        <f t="shared" si="27"/>
        <v>7</v>
      </c>
      <c r="Z97" s="37">
        <f t="shared" si="28"/>
        <v>13</v>
      </c>
      <c r="AA97" s="37">
        <f t="shared" si="29"/>
        <v>18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95</v>
      </c>
      <c r="M98" s="38" t="s">
        <v>26</v>
      </c>
      <c r="N98" s="38" t="s">
        <v>224</v>
      </c>
      <c r="O98" s="38" t="s">
        <v>28</v>
      </c>
      <c r="P98" s="38" t="s">
        <v>21</v>
      </c>
      <c r="Q98" s="38" t="s">
        <v>26</v>
      </c>
      <c r="R98" s="38" t="s">
        <v>64</v>
      </c>
      <c r="S98" s="24" t="s">
        <v>28</v>
      </c>
      <c r="U98" s="37">
        <f t="shared" si="23"/>
        <v>7</v>
      </c>
      <c r="V98" s="37">
        <f t="shared" si="24"/>
        <v>0</v>
      </c>
      <c r="W98" s="37">
        <f t="shared" si="25"/>
        <v>15</v>
      </c>
      <c r="X98" s="37">
        <f t="shared" si="26"/>
        <v>12</v>
      </c>
      <c r="Y98" s="37">
        <f t="shared" si="27"/>
        <v>7</v>
      </c>
      <c r="Z98" s="37">
        <f t="shared" si="28"/>
        <v>13</v>
      </c>
      <c r="AA98" s="37">
        <f t="shared" si="29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 x14ac:dyDescent="0.3">
      <c r="L99" s="14">
        <v>96</v>
      </c>
      <c r="M99" s="38" t="s">
        <v>26</v>
      </c>
      <c r="N99" s="38" t="s">
        <v>64</v>
      </c>
      <c r="O99" s="38" t="s">
        <v>28</v>
      </c>
      <c r="P99" s="38" t="s">
        <v>21</v>
      </c>
      <c r="Q99" s="38" t="s">
        <v>26</v>
      </c>
      <c r="R99" s="38" t="s">
        <v>29</v>
      </c>
      <c r="S99" s="24" t="s">
        <v>28</v>
      </c>
      <c r="U99" s="37">
        <f t="shared" si="23"/>
        <v>7</v>
      </c>
      <c r="V99" s="37">
        <f t="shared" si="24"/>
        <v>13</v>
      </c>
      <c r="W99" s="37">
        <f t="shared" si="25"/>
        <v>15</v>
      </c>
      <c r="X99" s="37">
        <f t="shared" si="26"/>
        <v>12</v>
      </c>
      <c r="Y99" s="37">
        <f t="shared" si="27"/>
        <v>7</v>
      </c>
      <c r="Z99" s="37">
        <f t="shared" si="28"/>
        <v>18</v>
      </c>
      <c r="AA99" s="37">
        <f t="shared" si="29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97</v>
      </c>
      <c r="M100" s="38" t="s">
        <v>27</v>
      </c>
      <c r="N100" s="38" t="s">
        <v>64</v>
      </c>
      <c r="O100" s="38" t="s">
        <v>28</v>
      </c>
      <c r="P100" s="38" t="s">
        <v>21</v>
      </c>
      <c r="Q100" s="38" t="s">
        <v>89</v>
      </c>
      <c r="R100" s="38" t="s">
        <v>18</v>
      </c>
      <c r="S100" s="24" t="s">
        <v>28</v>
      </c>
      <c r="U100" s="37">
        <f t="shared" ref="U100:U124" si="30">VLOOKUP(M100, $A$4:$J$29, 9, 0)</f>
        <v>12</v>
      </c>
      <c r="V100" s="37">
        <f t="shared" ref="V100:V124" si="31">VLOOKUP(N100, $A$4:$J$29, 9, 0)</f>
        <v>13</v>
      </c>
      <c r="W100" s="37">
        <f t="shared" ref="W100:W124" si="32">VLOOKUP(O100, $A$4:$J$29, 9, 0)</f>
        <v>15</v>
      </c>
      <c r="X100" s="37">
        <f t="shared" ref="X100:X124" si="33">VLOOKUP(P100, $A$4:$J$29, 9, 0)</f>
        <v>12</v>
      </c>
      <c r="Y100" s="37">
        <f t="shared" ref="Y100:Y124" si="34">VLOOKUP(Q100, $A$4:$J$29, 9, 0)</f>
        <v>8</v>
      </c>
      <c r="Z100" s="37">
        <f t="shared" ref="Z100:Z124" si="35">VLOOKUP(R100, $A$4:$J$29, 9, 0)</f>
        <v>10</v>
      </c>
      <c r="AA100" s="37">
        <f t="shared" ref="AA100:AA124" si="36">VLOOKUP(S100, $A$4:$J$29, 9, 0)</f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 x14ac:dyDescent="0.3">
      <c r="L101" s="14">
        <v>98</v>
      </c>
      <c r="M101" s="38" t="s">
        <v>29</v>
      </c>
      <c r="N101" s="38" t="s">
        <v>21</v>
      </c>
      <c r="O101" s="38" t="s">
        <v>24</v>
      </c>
      <c r="P101" s="38" t="s">
        <v>21</v>
      </c>
      <c r="Q101" s="38" t="s">
        <v>18</v>
      </c>
      <c r="R101" s="38" t="s">
        <v>18</v>
      </c>
      <c r="S101" s="24" t="s">
        <v>29</v>
      </c>
      <c r="U101" s="37">
        <f t="shared" si="30"/>
        <v>18</v>
      </c>
      <c r="V101" s="37">
        <f t="shared" si="31"/>
        <v>12</v>
      </c>
      <c r="W101" s="37">
        <f t="shared" si="32"/>
        <v>11</v>
      </c>
      <c r="X101" s="37">
        <f t="shared" si="33"/>
        <v>12</v>
      </c>
      <c r="Y101" s="37">
        <f t="shared" si="34"/>
        <v>10</v>
      </c>
      <c r="Z101" s="37">
        <f t="shared" si="35"/>
        <v>10</v>
      </c>
      <c r="AA101" s="37">
        <f t="shared" si="36"/>
        <v>18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89</v>
      </c>
      <c r="O102" s="38" t="s">
        <v>27</v>
      </c>
      <c r="P102" s="38" t="s">
        <v>21</v>
      </c>
      <c r="Q102" s="38" t="s">
        <v>28</v>
      </c>
      <c r="R102" s="38" t="s">
        <v>29</v>
      </c>
      <c r="S102" s="24" t="s">
        <v>18</v>
      </c>
      <c r="U102" s="37">
        <f t="shared" si="30"/>
        <v>14</v>
      </c>
      <c r="V102" s="37">
        <f t="shared" si="31"/>
        <v>8</v>
      </c>
      <c r="W102" s="37">
        <f t="shared" si="32"/>
        <v>12</v>
      </c>
      <c r="X102" s="37">
        <f t="shared" si="33"/>
        <v>12</v>
      </c>
      <c r="Y102" s="37">
        <f t="shared" si="34"/>
        <v>15</v>
      </c>
      <c r="Z102" s="37">
        <f t="shared" si="35"/>
        <v>18</v>
      </c>
      <c r="AA102" s="37">
        <f t="shared" si="36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5">
        <v>100</v>
      </c>
      <c r="M103" s="38" t="s">
        <v>28</v>
      </c>
      <c r="N103" s="38" t="s">
        <v>232</v>
      </c>
      <c r="O103" s="38" t="s">
        <v>26</v>
      </c>
      <c r="P103" s="38" t="s">
        <v>21</v>
      </c>
      <c r="Q103" s="38" t="s">
        <v>28</v>
      </c>
      <c r="R103" s="38" t="s">
        <v>29</v>
      </c>
      <c r="S103" s="24" t="s">
        <v>18</v>
      </c>
      <c r="U103" s="37">
        <f t="shared" si="30"/>
        <v>15</v>
      </c>
      <c r="V103" s="37">
        <f t="shared" si="31"/>
        <v>0</v>
      </c>
      <c r="W103" s="37">
        <f t="shared" si="32"/>
        <v>7</v>
      </c>
      <c r="X103" s="37">
        <f t="shared" si="33"/>
        <v>12</v>
      </c>
      <c r="Y103" s="37">
        <f t="shared" si="34"/>
        <v>15</v>
      </c>
      <c r="Z103" s="37">
        <f t="shared" si="35"/>
        <v>18</v>
      </c>
      <c r="AA103" s="37">
        <f t="shared" si="36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4">
        <v>101</v>
      </c>
      <c r="M104" s="38" t="s">
        <v>89</v>
      </c>
      <c r="N104" s="38" t="s">
        <v>64</v>
      </c>
      <c r="O104" s="38" t="s">
        <v>26</v>
      </c>
      <c r="P104" s="38" t="s">
        <v>21</v>
      </c>
      <c r="Q104" s="38" t="s">
        <v>18</v>
      </c>
      <c r="R104" s="38" t="s">
        <v>64</v>
      </c>
      <c r="S104" s="24" t="s">
        <v>18</v>
      </c>
      <c r="U104" s="37">
        <f t="shared" si="30"/>
        <v>8</v>
      </c>
      <c r="V104" s="37">
        <f t="shared" si="31"/>
        <v>13</v>
      </c>
      <c r="W104" s="37">
        <f t="shared" si="32"/>
        <v>7</v>
      </c>
      <c r="X104" s="37">
        <f t="shared" si="33"/>
        <v>12</v>
      </c>
      <c r="Y104" s="37">
        <f t="shared" si="34"/>
        <v>10</v>
      </c>
      <c r="Z104" s="37">
        <f t="shared" si="35"/>
        <v>13</v>
      </c>
      <c r="AA104" s="37">
        <f t="shared" si="36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89</v>
      </c>
      <c r="N105" s="38" t="s">
        <v>69</v>
      </c>
      <c r="O105" s="38" t="s">
        <v>28</v>
      </c>
      <c r="P105" s="38" t="s">
        <v>21</v>
      </c>
      <c r="Q105" s="38" t="s">
        <v>240</v>
      </c>
      <c r="R105" s="38" t="s">
        <v>64</v>
      </c>
      <c r="S105" s="24" t="s">
        <v>28</v>
      </c>
      <c r="U105" s="37">
        <f t="shared" si="30"/>
        <v>8</v>
      </c>
      <c r="V105" s="37">
        <f t="shared" si="31"/>
        <v>0</v>
      </c>
      <c r="W105" s="37">
        <f t="shared" si="32"/>
        <v>15</v>
      </c>
      <c r="X105" s="37">
        <f t="shared" si="33"/>
        <v>12</v>
      </c>
      <c r="Y105" s="37">
        <f t="shared" si="34"/>
        <v>0</v>
      </c>
      <c r="Z105" s="37">
        <f t="shared" si="35"/>
        <v>13</v>
      </c>
      <c r="AA105" s="37">
        <f t="shared" si="36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26</v>
      </c>
      <c r="N106" s="38" t="s">
        <v>256</v>
      </c>
      <c r="O106" s="38" t="s">
        <v>28</v>
      </c>
      <c r="P106" s="38" t="s">
        <v>21</v>
      </c>
      <c r="Q106" s="38" t="s">
        <v>28</v>
      </c>
      <c r="R106" s="38" t="s">
        <v>27</v>
      </c>
      <c r="S106" s="24" t="s">
        <v>28</v>
      </c>
      <c r="U106" s="37">
        <f t="shared" si="30"/>
        <v>7</v>
      </c>
      <c r="V106" s="37">
        <f t="shared" si="31"/>
        <v>0</v>
      </c>
      <c r="W106" s="37">
        <f t="shared" si="32"/>
        <v>15</v>
      </c>
      <c r="X106" s="37">
        <f t="shared" si="33"/>
        <v>12</v>
      </c>
      <c r="Y106" s="37">
        <f t="shared" si="34"/>
        <v>15</v>
      </c>
      <c r="Z106" s="37">
        <f t="shared" si="35"/>
        <v>12</v>
      </c>
      <c r="AA106" s="3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27</v>
      </c>
      <c r="N107" s="38" t="s">
        <v>64</v>
      </c>
      <c r="O107" s="38" t="s">
        <v>29</v>
      </c>
      <c r="P107" s="38" t="s">
        <v>21</v>
      </c>
      <c r="Q107" s="38" t="s">
        <v>28</v>
      </c>
      <c r="R107" s="38" t="s">
        <v>27</v>
      </c>
      <c r="S107" s="24" t="s">
        <v>21</v>
      </c>
      <c r="U107" s="37">
        <f t="shared" si="30"/>
        <v>12</v>
      </c>
      <c r="V107" s="37">
        <f t="shared" si="31"/>
        <v>13</v>
      </c>
      <c r="W107" s="37">
        <f t="shared" si="32"/>
        <v>18</v>
      </c>
      <c r="X107" s="37">
        <f t="shared" si="33"/>
        <v>12</v>
      </c>
      <c r="Y107" s="37">
        <f t="shared" si="34"/>
        <v>15</v>
      </c>
      <c r="Z107" s="37">
        <f t="shared" si="35"/>
        <v>12</v>
      </c>
      <c r="AA107" s="37">
        <f t="shared" si="36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26</v>
      </c>
      <c r="N108" s="38" t="s">
        <v>64</v>
      </c>
      <c r="O108" s="38" t="s">
        <v>21</v>
      </c>
      <c r="P108" s="38" t="s">
        <v>21</v>
      </c>
      <c r="Q108" s="38" t="s">
        <v>89</v>
      </c>
      <c r="R108" s="38" t="s">
        <v>29</v>
      </c>
      <c r="S108" s="24" t="s">
        <v>21</v>
      </c>
      <c r="U108" s="37">
        <f t="shared" si="30"/>
        <v>7</v>
      </c>
      <c r="V108" s="37">
        <f t="shared" si="31"/>
        <v>13</v>
      </c>
      <c r="W108" s="37">
        <f t="shared" si="32"/>
        <v>12</v>
      </c>
      <c r="X108" s="37">
        <f t="shared" si="33"/>
        <v>12</v>
      </c>
      <c r="Y108" s="37">
        <f t="shared" si="34"/>
        <v>8</v>
      </c>
      <c r="Z108" s="37">
        <f t="shared" si="35"/>
        <v>18</v>
      </c>
      <c r="AA108" s="37">
        <f t="shared" si="36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29</v>
      </c>
      <c r="N109" s="38" t="s">
        <v>29</v>
      </c>
      <c r="O109" s="38" t="s">
        <v>21</v>
      </c>
      <c r="P109" s="38" t="s">
        <v>21</v>
      </c>
      <c r="Q109" s="38" t="s">
        <v>28</v>
      </c>
      <c r="R109" s="38" t="s">
        <v>29</v>
      </c>
      <c r="S109" s="24" t="s">
        <v>29</v>
      </c>
      <c r="U109" s="37">
        <f t="shared" si="30"/>
        <v>18</v>
      </c>
      <c r="V109" s="37">
        <f t="shared" si="31"/>
        <v>18</v>
      </c>
      <c r="W109" s="37">
        <f t="shared" si="32"/>
        <v>12</v>
      </c>
      <c r="X109" s="37">
        <f t="shared" si="33"/>
        <v>12</v>
      </c>
      <c r="Y109" s="37">
        <f t="shared" si="34"/>
        <v>15</v>
      </c>
      <c r="Z109" s="37">
        <f t="shared" si="35"/>
        <v>18</v>
      </c>
      <c r="AA109" s="37">
        <f t="shared" si="36"/>
        <v>18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29</v>
      </c>
      <c r="N110" s="38" t="s">
        <v>27</v>
      </c>
      <c r="O110" s="38" t="s">
        <v>28</v>
      </c>
      <c r="P110" s="38" t="s">
        <v>21</v>
      </c>
      <c r="Q110" s="38" t="s">
        <v>29</v>
      </c>
      <c r="R110" s="38" t="s">
        <v>24</v>
      </c>
      <c r="S110" s="24" t="s">
        <v>29</v>
      </c>
      <c r="U110" s="37">
        <f t="shared" si="30"/>
        <v>18</v>
      </c>
      <c r="V110" s="37">
        <f t="shared" si="31"/>
        <v>12</v>
      </c>
      <c r="W110" s="37">
        <f t="shared" si="32"/>
        <v>15</v>
      </c>
      <c r="X110" s="37">
        <f t="shared" si="33"/>
        <v>12</v>
      </c>
      <c r="Y110" s="37">
        <f t="shared" si="34"/>
        <v>18</v>
      </c>
      <c r="Z110" s="37">
        <f t="shared" si="35"/>
        <v>11</v>
      </c>
      <c r="AA110" s="37">
        <f t="shared" si="36"/>
        <v>18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17</v>
      </c>
      <c r="N111" s="38" t="s">
        <v>27</v>
      </c>
      <c r="O111" s="38" t="s">
        <v>28</v>
      </c>
      <c r="P111" s="38" t="s">
        <v>21</v>
      </c>
      <c r="Q111" s="38" t="s">
        <v>18</v>
      </c>
      <c r="R111" s="38" t="s">
        <v>24</v>
      </c>
      <c r="S111" s="24" t="s">
        <v>29</v>
      </c>
      <c r="U111" s="37">
        <f t="shared" si="30"/>
        <v>14</v>
      </c>
      <c r="V111" s="37">
        <f t="shared" si="31"/>
        <v>12</v>
      </c>
      <c r="W111" s="37">
        <f t="shared" si="32"/>
        <v>15</v>
      </c>
      <c r="X111" s="37">
        <f t="shared" si="33"/>
        <v>12</v>
      </c>
      <c r="Y111" s="37">
        <f t="shared" si="34"/>
        <v>10</v>
      </c>
      <c r="Z111" s="37">
        <f t="shared" si="35"/>
        <v>11</v>
      </c>
      <c r="AA111" s="37">
        <f t="shared" si="36"/>
        <v>18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109</v>
      </c>
      <c r="M112" s="38" t="s">
        <v>27</v>
      </c>
      <c r="N112" s="38" t="s">
        <v>21</v>
      </c>
      <c r="O112" s="38" t="s">
        <v>28</v>
      </c>
      <c r="P112" s="38" t="s">
        <v>21</v>
      </c>
      <c r="Q112" s="38" t="s">
        <v>232</v>
      </c>
      <c r="R112" s="38" t="s">
        <v>29</v>
      </c>
      <c r="S112" s="24" t="s">
        <v>28</v>
      </c>
      <c r="U112" s="37">
        <f t="shared" si="30"/>
        <v>12</v>
      </c>
      <c r="V112" s="37">
        <f t="shared" si="31"/>
        <v>12</v>
      </c>
      <c r="W112" s="37">
        <f t="shared" si="32"/>
        <v>15</v>
      </c>
      <c r="X112" s="37">
        <f t="shared" si="33"/>
        <v>12</v>
      </c>
      <c r="Y112" s="37">
        <f t="shared" si="34"/>
        <v>0</v>
      </c>
      <c r="Z112" s="37">
        <f t="shared" si="35"/>
        <v>18</v>
      </c>
      <c r="AA112" s="3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24</v>
      </c>
      <c r="O113" s="38" t="s">
        <v>24</v>
      </c>
      <c r="P113" s="38" t="s">
        <v>21</v>
      </c>
      <c r="Q113" s="38" t="s">
        <v>89</v>
      </c>
      <c r="R113" s="38" t="s">
        <v>29</v>
      </c>
      <c r="S113" s="38" t="s">
        <v>28</v>
      </c>
      <c r="U113" s="37">
        <f t="shared" si="30"/>
        <v>12</v>
      </c>
      <c r="V113" s="37">
        <f t="shared" si="31"/>
        <v>11</v>
      </c>
      <c r="W113" s="37">
        <f t="shared" si="32"/>
        <v>11</v>
      </c>
      <c r="X113" s="37">
        <f t="shared" si="33"/>
        <v>12</v>
      </c>
      <c r="Y113" s="37">
        <f t="shared" si="34"/>
        <v>8</v>
      </c>
      <c r="Z113" s="37">
        <f t="shared" si="35"/>
        <v>18</v>
      </c>
      <c r="AA113" s="3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28</v>
      </c>
      <c r="N114" s="38" t="s">
        <v>64</v>
      </c>
      <c r="O114" s="38" t="s">
        <v>24</v>
      </c>
      <c r="P114" s="38" t="s">
        <v>21</v>
      </c>
      <c r="Q114" s="38" t="s">
        <v>28</v>
      </c>
      <c r="R114" s="38" t="s">
        <v>27</v>
      </c>
      <c r="S114" s="24" t="s">
        <v>28</v>
      </c>
      <c r="U114" s="37">
        <f t="shared" si="30"/>
        <v>15</v>
      </c>
      <c r="V114" s="37">
        <f t="shared" si="31"/>
        <v>13</v>
      </c>
      <c r="W114" s="37">
        <f t="shared" si="32"/>
        <v>11</v>
      </c>
      <c r="X114" s="37">
        <f t="shared" si="33"/>
        <v>12</v>
      </c>
      <c r="Y114" s="37">
        <f t="shared" si="34"/>
        <v>15</v>
      </c>
      <c r="Z114" s="37">
        <f t="shared" si="35"/>
        <v>12</v>
      </c>
      <c r="AA114" s="37">
        <f t="shared" si="36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27</v>
      </c>
      <c r="O115" s="38" t="s">
        <v>240</v>
      </c>
      <c r="P115" s="38" t="s">
        <v>21</v>
      </c>
      <c r="Q115" s="38" t="s">
        <v>89</v>
      </c>
      <c r="R115" s="38" t="s">
        <v>24</v>
      </c>
      <c r="S115" s="24" t="s">
        <v>21</v>
      </c>
      <c r="U115" s="37">
        <f t="shared" si="30"/>
        <v>8</v>
      </c>
      <c r="V115" s="37">
        <f t="shared" si="31"/>
        <v>12</v>
      </c>
      <c r="W115" s="37">
        <f t="shared" si="32"/>
        <v>0</v>
      </c>
      <c r="X115" s="37">
        <f t="shared" si="33"/>
        <v>12</v>
      </c>
      <c r="Y115" s="37">
        <f t="shared" si="34"/>
        <v>8</v>
      </c>
      <c r="Z115" s="37">
        <f t="shared" si="35"/>
        <v>11</v>
      </c>
      <c r="AA115" s="37">
        <f t="shared" si="36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29</v>
      </c>
      <c r="N116" s="38" t="s">
        <v>27</v>
      </c>
      <c r="O116" s="38" t="s">
        <v>28</v>
      </c>
      <c r="P116" s="38" t="s">
        <v>21</v>
      </c>
      <c r="Q116" s="38" t="s">
        <v>89</v>
      </c>
      <c r="R116" s="38" t="s">
        <v>27</v>
      </c>
      <c r="S116" s="24" t="s">
        <v>21</v>
      </c>
      <c r="U116" s="37">
        <f t="shared" si="30"/>
        <v>18</v>
      </c>
      <c r="V116" s="37">
        <f t="shared" si="31"/>
        <v>12</v>
      </c>
      <c r="W116" s="37">
        <f t="shared" si="32"/>
        <v>15</v>
      </c>
      <c r="X116" s="37">
        <f t="shared" si="33"/>
        <v>12</v>
      </c>
      <c r="Y116" s="37">
        <f t="shared" si="34"/>
        <v>8</v>
      </c>
      <c r="Z116" s="37">
        <f t="shared" si="35"/>
        <v>12</v>
      </c>
      <c r="AA116" s="37">
        <f t="shared" si="36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29</v>
      </c>
      <c r="N117" s="38" t="s">
        <v>21</v>
      </c>
      <c r="O117" s="38" t="s">
        <v>24</v>
      </c>
      <c r="P117" s="38" t="s">
        <v>21</v>
      </c>
      <c r="Q117" s="38" t="s">
        <v>89</v>
      </c>
      <c r="R117" s="38" t="s">
        <v>27</v>
      </c>
      <c r="S117" s="24" t="s">
        <v>27</v>
      </c>
      <c r="U117" s="37">
        <f t="shared" si="30"/>
        <v>18</v>
      </c>
      <c r="V117" s="37">
        <f t="shared" si="31"/>
        <v>12</v>
      </c>
      <c r="W117" s="37">
        <f t="shared" si="32"/>
        <v>11</v>
      </c>
      <c r="X117" s="37">
        <f t="shared" si="33"/>
        <v>12</v>
      </c>
      <c r="Y117" s="37">
        <f t="shared" si="34"/>
        <v>8</v>
      </c>
      <c r="Z117" s="37">
        <f t="shared" si="35"/>
        <v>12</v>
      </c>
      <c r="AA117" s="37">
        <f t="shared" si="36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27</v>
      </c>
      <c r="N118" s="38" t="s">
        <v>21</v>
      </c>
      <c r="O118" s="38" t="s">
        <v>26</v>
      </c>
      <c r="P118" s="38" t="s">
        <v>21</v>
      </c>
      <c r="Q118" s="38" t="s">
        <v>18</v>
      </c>
      <c r="R118" s="38" t="s">
        <v>24</v>
      </c>
      <c r="S118" s="24" t="s">
        <v>27</v>
      </c>
      <c r="U118" s="37">
        <f t="shared" si="30"/>
        <v>12</v>
      </c>
      <c r="V118" s="37">
        <f t="shared" si="31"/>
        <v>12</v>
      </c>
      <c r="W118" s="37">
        <f t="shared" si="32"/>
        <v>7</v>
      </c>
      <c r="X118" s="37">
        <f t="shared" si="33"/>
        <v>12</v>
      </c>
      <c r="Y118" s="37">
        <f t="shared" si="34"/>
        <v>10</v>
      </c>
      <c r="Z118" s="37">
        <f t="shared" si="35"/>
        <v>11</v>
      </c>
      <c r="AA118" s="37">
        <f t="shared" si="36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29</v>
      </c>
      <c r="N119" s="38" t="s">
        <v>89</v>
      </c>
      <c r="O119" s="38" t="s">
        <v>18</v>
      </c>
      <c r="P119" s="38" t="s">
        <v>21</v>
      </c>
      <c r="Q119" s="38" t="s">
        <v>224</v>
      </c>
      <c r="R119" s="38" t="s">
        <v>24</v>
      </c>
      <c r="S119" s="24" t="s">
        <v>29</v>
      </c>
      <c r="U119" s="37">
        <f t="shared" si="30"/>
        <v>18</v>
      </c>
      <c r="V119" s="37">
        <f t="shared" si="31"/>
        <v>8</v>
      </c>
      <c r="W119" s="37">
        <f t="shared" si="32"/>
        <v>10</v>
      </c>
      <c r="X119" s="37">
        <f t="shared" si="33"/>
        <v>12</v>
      </c>
      <c r="Y119" s="37">
        <f t="shared" si="34"/>
        <v>0</v>
      </c>
      <c r="Z119" s="37">
        <f t="shared" si="35"/>
        <v>11</v>
      </c>
      <c r="AA119" s="37">
        <f t="shared" si="36"/>
        <v>18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29</v>
      </c>
      <c r="O120" s="38" t="s">
        <v>24</v>
      </c>
      <c r="P120" s="38" t="s">
        <v>21</v>
      </c>
      <c r="Q120" s="38" t="s">
        <v>21</v>
      </c>
      <c r="R120" s="38" t="s">
        <v>27</v>
      </c>
      <c r="S120" s="24" t="s">
        <v>29</v>
      </c>
      <c r="U120" s="37">
        <f t="shared" si="30"/>
        <v>18</v>
      </c>
      <c r="V120" s="37">
        <f t="shared" si="31"/>
        <v>18</v>
      </c>
      <c r="W120" s="37">
        <f t="shared" si="32"/>
        <v>11</v>
      </c>
      <c r="X120" s="37">
        <f t="shared" si="33"/>
        <v>12</v>
      </c>
      <c r="Y120" s="37">
        <f t="shared" si="34"/>
        <v>12</v>
      </c>
      <c r="Z120" s="37">
        <f t="shared" si="35"/>
        <v>12</v>
      </c>
      <c r="AA120" s="37">
        <f t="shared" si="36"/>
        <v>18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38" t="s">
        <v>64</v>
      </c>
      <c r="N121" s="38" t="s">
        <v>29</v>
      </c>
      <c r="O121" s="38" t="s">
        <v>24</v>
      </c>
      <c r="P121" s="38" t="s">
        <v>21</v>
      </c>
      <c r="Q121" s="38" t="s">
        <v>21</v>
      </c>
      <c r="R121" s="38" t="s">
        <v>27</v>
      </c>
      <c r="S121" s="24" t="s">
        <v>29</v>
      </c>
      <c r="U121" s="37">
        <f t="shared" si="30"/>
        <v>13</v>
      </c>
      <c r="V121" s="37">
        <f t="shared" si="31"/>
        <v>18</v>
      </c>
      <c r="W121" s="37">
        <f t="shared" si="32"/>
        <v>11</v>
      </c>
      <c r="X121" s="37">
        <f t="shared" si="33"/>
        <v>12</v>
      </c>
      <c r="Y121" s="37">
        <f t="shared" si="34"/>
        <v>12</v>
      </c>
      <c r="Z121" s="37">
        <f t="shared" si="35"/>
        <v>12</v>
      </c>
      <c r="AA121" s="37">
        <f t="shared" si="36"/>
        <v>18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29</v>
      </c>
      <c r="N122" s="38" t="s">
        <v>238</v>
      </c>
      <c r="O122" s="38" t="s">
        <v>28</v>
      </c>
      <c r="P122" s="38" t="s">
        <v>21</v>
      </c>
      <c r="Q122" s="38" t="s">
        <v>89</v>
      </c>
      <c r="R122" s="38" t="s">
        <v>27</v>
      </c>
      <c r="S122" s="24" t="s">
        <v>26</v>
      </c>
      <c r="U122" s="37">
        <f t="shared" si="30"/>
        <v>18</v>
      </c>
      <c r="V122" s="37">
        <f t="shared" si="31"/>
        <v>0</v>
      </c>
      <c r="W122" s="37">
        <f t="shared" si="32"/>
        <v>15</v>
      </c>
      <c r="X122" s="37">
        <f t="shared" si="33"/>
        <v>12</v>
      </c>
      <c r="Y122" s="37">
        <f t="shared" si="34"/>
        <v>8</v>
      </c>
      <c r="Z122" s="37">
        <f t="shared" si="35"/>
        <v>12</v>
      </c>
      <c r="AA122" s="37">
        <f t="shared" si="36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26</v>
      </c>
      <c r="N123" s="38" t="s">
        <v>27</v>
      </c>
      <c r="O123" s="38" t="s">
        <v>26</v>
      </c>
      <c r="P123" s="38" t="s">
        <v>21</v>
      </c>
      <c r="Q123" s="38" t="s">
        <v>21</v>
      </c>
      <c r="R123" s="38" t="s">
        <v>24</v>
      </c>
      <c r="S123" s="24" t="s">
        <v>26</v>
      </c>
      <c r="U123" s="37">
        <f t="shared" si="30"/>
        <v>7</v>
      </c>
      <c r="V123" s="37">
        <f t="shared" si="31"/>
        <v>12</v>
      </c>
      <c r="W123" s="37">
        <f t="shared" si="32"/>
        <v>7</v>
      </c>
      <c r="X123" s="37">
        <f t="shared" si="33"/>
        <v>12</v>
      </c>
      <c r="Y123" s="37">
        <f t="shared" si="34"/>
        <v>12</v>
      </c>
      <c r="Z123" s="37">
        <f t="shared" si="35"/>
        <v>11</v>
      </c>
      <c r="AA123" s="37">
        <f t="shared" si="36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26</v>
      </c>
      <c r="N124" s="38" t="s">
        <v>29</v>
      </c>
      <c r="O124" s="38" t="s">
        <v>24</v>
      </c>
      <c r="P124" s="38" t="s">
        <v>21</v>
      </c>
      <c r="Q124" s="38" t="s">
        <v>89</v>
      </c>
      <c r="R124" s="38" t="s">
        <v>27</v>
      </c>
      <c r="S124" s="24" t="s">
        <v>26</v>
      </c>
      <c r="U124" s="37">
        <f t="shared" si="30"/>
        <v>7</v>
      </c>
      <c r="V124" s="37">
        <f t="shared" si="31"/>
        <v>18</v>
      </c>
      <c r="W124" s="37">
        <f t="shared" si="32"/>
        <v>11</v>
      </c>
      <c r="X124" s="37">
        <f t="shared" si="33"/>
        <v>12</v>
      </c>
      <c r="Y124" s="37">
        <f t="shared" si="34"/>
        <v>8</v>
      </c>
      <c r="Z124" s="37">
        <f t="shared" si="35"/>
        <v>12</v>
      </c>
      <c r="AA124" s="37">
        <f t="shared" si="36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L125" s="15">
        <v>122</v>
      </c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L126" s="14">
        <v>123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L127" s="15">
        <v>124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L128" s="14">
        <v>125</v>
      </c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12:46" x14ac:dyDescent="0.3">
      <c r="L129" s="15">
        <v>126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12:46" x14ac:dyDescent="0.3">
      <c r="L130" s="15">
        <v>127</v>
      </c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12:46" x14ac:dyDescent="0.3">
      <c r="L131" s="14">
        <v>128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12:46" x14ac:dyDescent="0.3">
      <c r="L132" s="15">
        <v>129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12:46" x14ac:dyDescent="0.3">
      <c r="L133" s="14">
        <v>130</v>
      </c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AT146" s="9"/>
    </row>
    <row r="147" spans="12:46" x14ac:dyDescent="0.3">
      <c r="L147" s="15">
        <v>144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R4" sqref="R4:R124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18</v>
      </c>
      <c r="N4" s="156" t="s">
        <v>234</v>
      </c>
      <c r="O4" s="156" t="s">
        <v>20</v>
      </c>
      <c r="P4" s="156" t="s">
        <v>24</v>
      </c>
      <c r="Q4" s="156" t="s">
        <v>224</v>
      </c>
      <c r="R4" s="156" t="s">
        <v>34</v>
      </c>
      <c r="S4" s="157" t="s">
        <v>89</v>
      </c>
      <c r="U4" s="158">
        <f t="shared" ref="U4:AA19" si="2">VLOOKUP(M4, $A$4:$J$29, 9, 0)</f>
        <v>3</v>
      </c>
      <c r="V4" s="158">
        <f t="shared" si="2"/>
        <v>0</v>
      </c>
      <c r="W4" s="158">
        <f t="shared" si="2"/>
        <v>4</v>
      </c>
      <c r="X4" s="158">
        <f t="shared" si="2"/>
        <v>19</v>
      </c>
      <c r="Y4" s="158">
        <f t="shared" si="2"/>
        <v>0</v>
      </c>
      <c r="Z4" s="158">
        <f t="shared" si="2"/>
        <v>10</v>
      </c>
      <c r="AA4" s="158">
        <f t="shared" si="2"/>
        <v>16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18</v>
      </c>
      <c r="N5" s="38" t="s">
        <v>234</v>
      </c>
      <c r="O5" s="38" t="s">
        <v>29</v>
      </c>
      <c r="P5" s="38" t="s">
        <v>222</v>
      </c>
      <c r="Q5" s="38" t="s">
        <v>224</v>
      </c>
      <c r="R5" s="38" t="s">
        <v>34</v>
      </c>
      <c r="S5" s="24" t="s">
        <v>89</v>
      </c>
      <c r="U5" s="37">
        <f t="shared" si="2"/>
        <v>3</v>
      </c>
      <c r="V5" s="37">
        <f t="shared" si="2"/>
        <v>0</v>
      </c>
      <c r="W5" s="37">
        <f t="shared" si="2"/>
        <v>23</v>
      </c>
      <c r="X5" s="37">
        <f t="shared" si="2"/>
        <v>0</v>
      </c>
      <c r="Y5" s="37">
        <f t="shared" si="2"/>
        <v>0</v>
      </c>
      <c r="Z5" s="37">
        <f t="shared" si="2"/>
        <v>10</v>
      </c>
      <c r="AA5" s="37">
        <f t="shared" si="2"/>
        <v>16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0</v>
      </c>
      <c r="D6" s="153">
        <f t="shared" si="1"/>
        <v>9</v>
      </c>
      <c r="E6" s="153">
        <f t="shared" si="1"/>
        <v>3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4</v>
      </c>
      <c r="J6" s="151">
        <v>2</v>
      </c>
      <c r="L6" s="15">
        <v>2</v>
      </c>
      <c r="M6" s="38" t="s">
        <v>27</v>
      </c>
      <c r="N6" s="38" t="s">
        <v>234</v>
      </c>
      <c r="O6" s="38" t="s">
        <v>29</v>
      </c>
      <c r="P6" s="38" t="s">
        <v>222</v>
      </c>
      <c r="Q6" s="38" t="s">
        <v>224</v>
      </c>
      <c r="R6" s="38" t="s">
        <v>34</v>
      </c>
      <c r="S6" s="24" t="s">
        <v>89</v>
      </c>
      <c r="U6" s="37">
        <f t="shared" si="2"/>
        <v>8</v>
      </c>
      <c r="V6" s="37">
        <f t="shared" si="2"/>
        <v>0</v>
      </c>
      <c r="W6" s="37">
        <f t="shared" si="2"/>
        <v>23</v>
      </c>
      <c r="X6" s="37">
        <f t="shared" si="2"/>
        <v>0</v>
      </c>
      <c r="Y6" s="37">
        <f t="shared" si="2"/>
        <v>0</v>
      </c>
      <c r="Z6" s="37">
        <f t="shared" si="2"/>
        <v>10</v>
      </c>
      <c r="AA6" s="37">
        <f t="shared" si="2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12</v>
      </c>
      <c r="D7" s="153">
        <f t="shared" si="1"/>
        <v>8</v>
      </c>
      <c r="E7" s="153">
        <f t="shared" si="1"/>
        <v>10</v>
      </c>
      <c r="F7" s="153">
        <f t="shared" si="1"/>
        <v>0</v>
      </c>
      <c r="G7" s="153">
        <f t="shared" si="1"/>
        <v>13</v>
      </c>
      <c r="H7" s="153">
        <f t="shared" si="1"/>
        <v>0</v>
      </c>
      <c r="I7" s="153">
        <f t="shared" si="1"/>
        <v>6</v>
      </c>
      <c r="J7" s="151">
        <v>3</v>
      </c>
      <c r="L7" s="14">
        <v>3</v>
      </c>
      <c r="M7" s="38" t="s">
        <v>27</v>
      </c>
      <c r="N7" s="38" t="s">
        <v>20</v>
      </c>
      <c r="O7" s="38" t="s">
        <v>29</v>
      </c>
      <c r="P7" s="38" t="s">
        <v>222</v>
      </c>
      <c r="Q7" s="38" t="s">
        <v>228</v>
      </c>
      <c r="R7" s="38" t="s">
        <v>34</v>
      </c>
      <c r="S7" s="24" t="s">
        <v>89</v>
      </c>
      <c r="U7" s="37">
        <f t="shared" si="2"/>
        <v>8</v>
      </c>
      <c r="V7" s="37">
        <f t="shared" si="2"/>
        <v>4</v>
      </c>
      <c r="W7" s="37">
        <f t="shared" si="2"/>
        <v>23</v>
      </c>
      <c r="X7" s="37">
        <f t="shared" si="2"/>
        <v>0</v>
      </c>
      <c r="Y7" s="37">
        <f t="shared" si="2"/>
        <v>0</v>
      </c>
      <c r="Z7" s="37">
        <f t="shared" si="2"/>
        <v>10</v>
      </c>
      <c r="AA7" s="37">
        <f t="shared" si="2"/>
        <v>16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3</v>
      </c>
      <c r="D8" s="153">
        <f t="shared" si="1"/>
        <v>10</v>
      </c>
      <c r="E8" s="153">
        <f t="shared" si="1"/>
        <v>0</v>
      </c>
      <c r="F8" s="153">
        <f t="shared" si="1"/>
        <v>9</v>
      </c>
      <c r="G8" s="153">
        <f t="shared" si="1"/>
        <v>11</v>
      </c>
      <c r="H8" s="153">
        <f t="shared" si="1"/>
        <v>121</v>
      </c>
      <c r="I8" s="153">
        <f t="shared" si="1"/>
        <v>10</v>
      </c>
      <c r="J8" s="151">
        <v>4</v>
      </c>
      <c r="L8" s="15">
        <v>4</v>
      </c>
      <c r="M8" s="38" t="s">
        <v>28</v>
      </c>
      <c r="N8" s="38" t="s">
        <v>20</v>
      </c>
      <c r="O8" s="38" t="s">
        <v>89</v>
      </c>
      <c r="P8" s="38" t="s">
        <v>24</v>
      </c>
      <c r="Q8" s="38" t="s">
        <v>228</v>
      </c>
      <c r="R8" s="38" t="s">
        <v>34</v>
      </c>
      <c r="S8" s="24" t="s">
        <v>20</v>
      </c>
      <c r="U8" s="37">
        <f t="shared" si="2"/>
        <v>11</v>
      </c>
      <c r="V8" s="37">
        <f t="shared" si="2"/>
        <v>4</v>
      </c>
      <c r="W8" s="37">
        <f t="shared" si="2"/>
        <v>16</v>
      </c>
      <c r="X8" s="37">
        <f t="shared" si="2"/>
        <v>19</v>
      </c>
      <c r="Y8" s="37">
        <f t="shared" si="2"/>
        <v>0</v>
      </c>
      <c r="Z8" s="37">
        <f t="shared" si="2"/>
        <v>10</v>
      </c>
      <c r="AA8" s="37">
        <f t="shared" si="2"/>
        <v>4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15</v>
      </c>
      <c r="D9" s="153">
        <f t="shared" si="1"/>
        <v>1</v>
      </c>
      <c r="E9" s="153">
        <f t="shared" si="1"/>
        <v>9</v>
      </c>
      <c r="F9" s="153">
        <f t="shared" si="1"/>
        <v>2</v>
      </c>
      <c r="G9" s="153">
        <f t="shared" si="1"/>
        <v>10</v>
      </c>
      <c r="H9" s="153">
        <f t="shared" si="1"/>
        <v>0</v>
      </c>
      <c r="I9" s="153">
        <f t="shared" si="1"/>
        <v>3</v>
      </c>
      <c r="J9" s="151">
        <v>5</v>
      </c>
      <c r="L9" s="14">
        <v>5</v>
      </c>
      <c r="M9" s="38" t="s">
        <v>27</v>
      </c>
      <c r="N9" s="38" t="s">
        <v>20</v>
      </c>
      <c r="O9" s="38" t="s">
        <v>89</v>
      </c>
      <c r="P9" s="38" t="s">
        <v>26</v>
      </c>
      <c r="Q9" s="38" t="s">
        <v>27</v>
      </c>
      <c r="R9" s="38" t="s">
        <v>34</v>
      </c>
      <c r="S9" s="24" t="s">
        <v>20</v>
      </c>
      <c r="U9" s="37">
        <f t="shared" si="2"/>
        <v>8</v>
      </c>
      <c r="V9" s="37">
        <f t="shared" si="2"/>
        <v>4</v>
      </c>
      <c r="W9" s="37">
        <f t="shared" si="2"/>
        <v>16</v>
      </c>
      <c r="X9" s="37">
        <f t="shared" si="2"/>
        <v>17</v>
      </c>
      <c r="Y9" s="37">
        <f t="shared" si="2"/>
        <v>8</v>
      </c>
      <c r="Z9" s="37">
        <f t="shared" si="2"/>
        <v>10</v>
      </c>
      <c r="AA9" s="37">
        <f t="shared" si="2"/>
        <v>4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14</v>
      </c>
      <c r="D10" s="153">
        <f t="shared" si="1"/>
        <v>9</v>
      </c>
      <c r="E10" s="153">
        <f t="shared" si="1"/>
        <v>4</v>
      </c>
      <c r="F10" s="153">
        <f t="shared" si="1"/>
        <v>25</v>
      </c>
      <c r="G10" s="153">
        <f t="shared" si="1"/>
        <v>6</v>
      </c>
      <c r="H10" s="153">
        <f t="shared" si="1"/>
        <v>0</v>
      </c>
      <c r="I10" s="153">
        <f t="shared" si="1"/>
        <v>4</v>
      </c>
      <c r="J10" s="151">
        <v>6</v>
      </c>
      <c r="L10" s="15">
        <v>6</v>
      </c>
      <c r="M10" s="38" t="s">
        <v>21</v>
      </c>
      <c r="N10" s="38" t="s">
        <v>17</v>
      </c>
      <c r="O10" s="38" t="s">
        <v>27</v>
      </c>
      <c r="P10" s="38" t="s">
        <v>26</v>
      </c>
      <c r="Q10" s="38" t="s">
        <v>17</v>
      </c>
      <c r="R10" s="38" t="s">
        <v>34</v>
      </c>
      <c r="S10" s="24" t="s">
        <v>20</v>
      </c>
      <c r="U10" s="37">
        <f t="shared" si="2"/>
        <v>6</v>
      </c>
      <c r="V10" s="37">
        <f t="shared" si="2"/>
        <v>10</v>
      </c>
      <c r="W10" s="37">
        <f t="shared" si="2"/>
        <v>8</v>
      </c>
      <c r="X10" s="37">
        <f t="shared" si="2"/>
        <v>17</v>
      </c>
      <c r="Y10" s="37">
        <f t="shared" si="2"/>
        <v>10</v>
      </c>
      <c r="Z10" s="37">
        <f t="shared" si="2"/>
        <v>10</v>
      </c>
      <c r="AA10" s="37">
        <f t="shared" si="2"/>
        <v>4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</v>
      </c>
      <c r="D11" s="153">
        <f t="shared" si="1"/>
        <v>13</v>
      </c>
      <c r="E11" s="153">
        <f t="shared" si="1"/>
        <v>11</v>
      </c>
      <c r="F11" s="153">
        <f t="shared" si="1"/>
        <v>8</v>
      </c>
      <c r="G11" s="153">
        <f t="shared" si="1"/>
        <v>16</v>
      </c>
      <c r="H11" s="153">
        <f t="shared" si="1"/>
        <v>0</v>
      </c>
      <c r="I11" s="153">
        <f t="shared" si="1"/>
        <v>16</v>
      </c>
      <c r="J11" s="151">
        <v>7</v>
      </c>
      <c r="L11" s="14">
        <v>7</v>
      </c>
      <c r="M11" s="38" t="s">
        <v>18</v>
      </c>
      <c r="N11" s="38" t="s">
        <v>17</v>
      </c>
      <c r="O11" s="38" t="s">
        <v>27</v>
      </c>
      <c r="P11" s="38" t="s">
        <v>26</v>
      </c>
      <c r="Q11" s="38" t="s">
        <v>17</v>
      </c>
      <c r="R11" s="38" t="s">
        <v>34</v>
      </c>
      <c r="S11" s="24" t="s">
        <v>20</v>
      </c>
      <c r="U11" s="37">
        <f t="shared" si="2"/>
        <v>3</v>
      </c>
      <c r="V11" s="37">
        <f t="shared" si="2"/>
        <v>10</v>
      </c>
      <c r="W11" s="37">
        <f t="shared" si="2"/>
        <v>8</v>
      </c>
      <c r="X11" s="37">
        <f t="shared" si="2"/>
        <v>17</v>
      </c>
      <c r="Y11" s="37">
        <f t="shared" si="2"/>
        <v>10</v>
      </c>
      <c r="Z11" s="37">
        <f t="shared" si="2"/>
        <v>10</v>
      </c>
      <c r="AA11" s="37">
        <f t="shared" si="2"/>
        <v>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1"/>
        <v>13</v>
      </c>
      <c r="E12" s="10">
        <f t="shared" si="1"/>
        <v>13</v>
      </c>
      <c r="F12" s="10">
        <f t="shared" si="1"/>
        <v>7</v>
      </c>
      <c r="G12" s="10">
        <f t="shared" si="1"/>
        <v>4</v>
      </c>
      <c r="H12" s="10">
        <f t="shared" si="1"/>
        <v>0</v>
      </c>
      <c r="I12" s="10">
        <f t="shared" si="1"/>
        <v>19</v>
      </c>
      <c r="J12" s="4">
        <v>8</v>
      </c>
      <c r="L12" s="15">
        <v>8</v>
      </c>
      <c r="M12" s="38" t="s">
        <v>18</v>
      </c>
      <c r="N12" s="38" t="s">
        <v>17</v>
      </c>
      <c r="O12" s="38" t="s">
        <v>20</v>
      </c>
      <c r="P12" s="38" t="s">
        <v>232</v>
      </c>
      <c r="Q12" s="38" t="s">
        <v>17</v>
      </c>
      <c r="R12" s="38" t="s">
        <v>34</v>
      </c>
      <c r="S12" s="24" t="s">
        <v>26</v>
      </c>
      <c r="U12" s="37">
        <f t="shared" si="2"/>
        <v>3</v>
      </c>
      <c r="V12" s="37">
        <f t="shared" si="2"/>
        <v>10</v>
      </c>
      <c r="W12" s="37">
        <f t="shared" si="2"/>
        <v>4</v>
      </c>
      <c r="X12" s="37">
        <f t="shared" si="2"/>
        <v>0</v>
      </c>
      <c r="Y12" s="37">
        <f t="shared" si="2"/>
        <v>10</v>
      </c>
      <c r="Z12" s="37">
        <f t="shared" si="2"/>
        <v>10</v>
      </c>
      <c r="AA12" s="37">
        <f t="shared" si="2"/>
        <v>17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10</v>
      </c>
      <c r="D13" s="10">
        <f t="shared" si="1"/>
        <v>7</v>
      </c>
      <c r="E13" s="10">
        <f t="shared" si="1"/>
        <v>24</v>
      </c>
      <c r="F13" s="10">
        <f t="shared" si="1"/>
        <v>15</v>
      </c>
      <c r="G13" s="10">
        <f t="shared" si="1"/>
        <v>10</v>
      </c>
      <c r="H13" s="10">
        <f t="shared" si="1"/>
        <v>0</v>
      </c>
      <c r="I13" s="10">
        <f t="shared" si="1"/>
        <v>17</v>
      </c>
      <c r="J13" s="4">
        <v>9</v>
      </c>
      <c r="L13" s="14">
        <v>9</v>
      </c>
      <c r="M13" s="38" t="s">
        <v>28</v>
      </c>
      <c r="N13" s="38" t="s">
        <v>89</v>
      </c>
      <c r="O13" s="38" t="s">
        <v>21</v>
      </c>
      <c r="P13" s="38" t="s">
        <v>232</v>
      </c>
      <c r="Q13" s="38" t="s">
        <v>64</v>
      </c>
      <c r="R13" s="38" t="s">
        <v>34</v>
      </c>
      <c r="S13" s="24" t="s">
        <v>26</v>
      </c>
      <c r="U13" s="37">
        <f t="shared" si="2"/>
        <v>11</v>
      </c>
      <c r="V13" s="37">
        <f t="shared" si="2"/>
        <v>16</v>
      </c>
      <c r="W13" s="37">
        <f t="shared" si="2"/>
        <v>6</v>
      </c>
      <c r="X13" s="37">
        <f t="shared" si="2"/>
        <v>0</v>
      </c>
      <c r="Y13" s="37">
        <f t="shared" si="2"/>
        <v>4</v>
      </c>
      <c r="Z13" s="37">
        <f t="shared" si="2"/>
        <v>10</v>
      </c>
      <c r="AA13" s="37">
        <f t="shared" si="2"/>
        <v>17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21</v>
      </c>
      <c r="D14" s="10">
        <f t="shared" si="1"/>
        <v>12</v>
      </c>
      <c r="E14" s="10">
        <f t="shared" si="1"/>
        <v>7</v>
      </c>
      <c r="F14" s="10">
        <f t="shared" si="1"/>
        <v>12</v>
      </c>
      <c r="G14" s="10">
        <f t="shared" si="1"/>
        <v>5</v>
      </c>
      <c r="H14" s="10">
        <f t="shared" si="1"/>
        <v>0</v>
      </c>
      <c r="I14" s="10">
        <f t="shared" si="1"/>
        <v>8</v>
      </c>
      <c r="J14" s="4">
        <v>10</v>
      </c>
      <c r="L14" s="15">
        <v>10</v>
      </c>
      <c r="M14" s="38" t="s">
        <v>21</v>
      </c>
      <c r="N14" s="38" t="s">
        <v>89</v>
      </c>
      <c r="O14" s="38" t="s">
        <v>26</v>
      </c>
      <c r="P14" s="38" t="s">
        <v>17</v>
      </c>
      <c r="Q14" s="38" t="s">
        <v>21</v>
      </c>
      <c r="R14" s="38" t="s">
        <v>34</v>
      </c>
      <c r="S14" s="24" t="s">
        <v>26</v>
      </c>
      <c r="U14" s="37">
        <f t="shared" si="2"/>
        <v>6</v>
      </c>
      <c r="V14" s="37">
        <f t="shared" si="2"/>
        <v>16</v>
      </c>
      <c r="W14" s="37">
        <f t="shared" si="2"/>
        <v>17</v>
      </c>
      <c r="X14" s="37">
        <f t="shared" si="2"/>
        <v>10</v>
      </c>
      <c r="Y14" s="37">
        <f t="shared" si="2"/>
        <v>6</v>
      </c>
      <c r="Z14" s="37">
        <f t="shared" si="2"/>
        <v>10</v>
      </c>
      <c r="AA14" s="37">
        <f t="shared" si="2"/>
        <v>17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1</v>
      </c>
      <c r="E15" s="10">
        <f t="shared" si="1"/>
        <v>20</v>
      </c>
      <c r="F15" s="10">
        <f t="shared" si="1"/>
        <v>4</v>
      </c>
      <c r="G15" s="10">
        <f t="shared" si="1"/>
        <v>11</v>
      </c>
      <c r="H15" s="10">
        <f t="shared" si="1"/>
        <v>0</v>
      </c>
      <c r="I15" s="10">
        <f t="shared" si="1"/>
        <v>11</v>
      </c>
      <c r="J15" s="4">
        <v>11</v>
      </c>
      <c r="L15" s="14">
        <v>11</v>
      </c>
      <c r="M15" s="38" t="s">
        <v>64</v>
      </c>
      <c r="N15" s="38" t="s">
        <v>26</v>
      </c>
      <c r="O15" s="38" t="s">
        <v>20</v>
      </c>
      <c r="P15" s="38" t="s">
        <v>17</v>
      </c>
      <c r="Q15" s="38" t="s">
        <v>236</v>
      </c>
      <c r="R15" s="38" t="s">
        <v>34</v>
      </c>
      <c r="S15" s="24" t="s">
        <v>26</v>
      </c>
      <c r="U15" s="37">
        <f t="shared" si="2"/>
        <v>4</v>
      </c>
      <c r="V15" s="37">
        <f t="shared" si="2"/>
        <v>17</v>
      </c>
      <c r="W15" s="37">
        <f t="shared" si="2"/>
        <v>4</v>
      </c>
      <c r="X15" s="37">
        <f t="shared" si="2"/>
        <v>10</v>
      </c>
      <c r="Y15" s="37">
        <f t="shared" si="2"/>
        <v>0</v>
      </c>
      <c r="Z15" s="37">
        <f t="shared" si="2"/>
        <v>10</v>
      </c>
      <c r="AA15" s="37">
        <f t="shared" si="2"/>
        <v>17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18</v>
      </c>
      <c r="D16" s="10">
        <f t="shared" si="1"/>
        <v>7</v>
      </c>
      <c r="E16" s="10">
        <f t="shared" si="1"/>
        <v>11</v>
      </c>
      <c r="F16" s="10">
        <f t="shared" si="1"/>
        <v>11</v>
      </c>
      <c r="G16" s="10">
        <f t="shared" si="1"/>
        <v>1</v>
      </c>
      <c r="H16" s="10">
        <f t="shared" si="1"/>
        <v>0</v>
      </c>
      <c r="I16" s="10">
        <f t="shared" si="1"/>
        <v>23</v>
      </c>
      <c r="J16" s="4">
        <v>12</v>
      </c>
      <c r="L16" s="15">
        <v>12</v>
      </c>
      <c r="M16" s="38" t="s">
        <v>64</v>
      </c>
      <c r="N16" s="38" t="s">
        <v>226</v>
      </c>
      <c r="O16" s="38" t="s">
        <v>228</v>
      </c>
      <c r="P16" s="38" t="s">
        <v>26</v>
      </c>
      <c r="Q16" s="38" t="s">
        <v>236</v>
      </c>
      <c r="R16" s="38" t="s">
        <v>34</v>
      </c>
      <c r="S16" s="24" t="s">
        <v>89</v>
      </c>
      <c r="U16" s="37">
        <f t="shared" si="2"/>
        <v>4</v>
      </c>
      <c r="V16" s="37">
        <f t="shared" si="2"/>
        <v>0</v>
      </c>
      <c r="W16" s="37">
        <f t="shared" si="2"/>
        <v>0</v>
      </c>
      <c r="X16" s="37">
        <f t="shared" si="2"/>
        <v>17</v>
      </c>
      <c r="Y16" s="37">
        <f t="shared" si="2"/>
        <v>0</v>
      </c>
      <c r="Z16" s="37">
        <f t="shared" si="2"/>
        <v>10</v>
      </c>
      <c r="AA16" s="37">
        <f t="shared" si="2"/>
        <v>16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3</v>
      </c>
      <c r="E17" s="153">
        <f t="shared" si="1"/>
        <v>0</v>
      </c>
      <c r="F17" s="153">
        <f t="shared" si="1"/>
        <v>9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28</v>
      </c>
      <c r="N17" s="38" t="s">
        <v>226</v>
      </c>
      <c r="O17" s="38" t="s">
        <v>228</v>
      </c>
      <c r="P17" s="38" t="s">
        <v>89</v>
      </c>
      <c r="Q17" s="38" t="s">
        <v>24</v>
      </c>
      <c r="R17" s="38" t="s">
        <v>34</v>
      </c>
      <c r="S17" s="24" t="s">
        <v>89</v>
      </c>
      <c r="U17" s="37">
        <f t="shared" si="2"/>
        <v>11</v>
      </c>
      <c r="V17" s="37">
        <f t="shared" si="2"/>
        <v>0</v>
      </c>
      <c r="W17" s="37">
        <f t="shared" si="2"/>
        <v>0</v>
      </c>
      <c r="X17" s="37">
        <f t="shared" si="2"/>
        <v>16</v>
      </c>
      <c r="Y17" s="37">
        <f t="shared" si="2"/>
        <v>19</v>
      </c>
      <c r="Z17" s="37">
        <f t="shared" si="2"/>
        <v>10</v>
      </c>
      <c r="AA17" s="37">
        <f t="shared" si="2"/>
        <v>16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0</v>
      </c>
      <c r="F18" s="153">
        <f t="shared" si="1"/>
        <v>0</v>
      </c>
      <c r="G18" s="153">
        <f t="shared" si="1"/>
        <v>10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28</v>
      </c>
      <c r="N18" s="38" t="s">
        <v>26</v>
      </c>
      <c r="O18" s="38" t="s">
        <v>18</v>
      </c>
      <c r="P18" s="38" t="s">
        <v>89</v>
      </c>
      <c r="Q18" s="38" t="s">
        <v>89</v>
      </c>
      <c r="R18" s="38" t="s">
        <v>34</v>
      </c>
      <c r="S18" s="24" t="s">
        <v>89</v>
      </c>
      <c r="U18" s="37">
        <f t="shared" si="2"/>
        <v>11</v>
      </c>
      <c r="V18" s="37">
        <f t="shared" si="2"/>
        <v>17</v>
      </c>
      <c r="W18" s="37">
        <f t="shared" si="2"/>
        <v>3</v>
      </c>
      <c r="X18" s="37">
        <f t="shared" si="2"/>
        <v>16</v>
      </c>
      <c r="Y18" s="37">
        <f t="shared" si="2"/>
        <v>16</v>
      </c>
      <c r="Z18" s="37">
        <f t="shared" si="2"/>
        <v>10</v>
      </c>
      <c r="AA18" s="37">
        <f t="shared" si="2"/>
        <v>16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6</v>
      </c>
      <c r="E19" s="153">
        <f t="shared" si="1"/>
        <v>0</v>
      </c>
      <c r="F19" s="153">
        <f t="shared" si="1"/>
        <v>6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64</v>
      </c>
      <c r="N19" s="38" t="s">
        <v>20</v>
      </c>
      <c r="O19" s="38" t="s">
        <v>26</v>
      </c>
      <c r="P19" s="38" t="s">
        <v>64</v>
      </c>
      <c r="Q19" s="38" t="s">
        <v>228</v>
      </c>
      <c r="R19" s="38" t="s">
        <v>34</v>
      </c>
      <c r="S19" s="24" t="s">
        <v>89</v>
      </c>
      <c r="U19" s="37">
        <f t="shared" si="2"/>
        <v>4</v>
      </c>
      <c r="V19" s="37">
        <f t="shared" si="2"/>
        <v>4</v>
      </c>
      <c r="W19" s="37">
        <f t="shared" si="2"/>
        <v>17</v>
      </c>
      <c r="X19" s="37">
        <f t="shared" si="2"/>
        <v>4</v>
      </c>
      <c r="Y19" s="37">
        <f t="shared" si="2"/>
        <v>0</v>
      </c>
      <c r="Z19" s="37">
        <f t="shared" si="2"/>
        <v>10</v>
      </c>
      <c r="AA19" s="37">
        <f t="shared" si="2"/>
        <v>16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6</v>
      </c>
      <c r="F20" s="153">
        <f t="shared" ref="F20:F29" si="5">COUNTIF(P$4:P$304,$A20)</f>
        <v>1</v>
      </c>
      <c r="G20" s="153">
        <f t="shared" ref="G20:G29" si="6">COUNTIF(Q$4:Q$304,$A20)</f>
        <v>12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18</v>
      </c>
      <c r="N20" s="38" t="s">
        <v>236</v>
      </c>
      <c r="O20" s="38" t="s">
        <v>26</v>
      </c>
      <c r="P20" s="38" t="s">
        <v>64</v>
      </c>
      <c r="Q20" s="38" t="s">
        <v>228</v>
      </c>
      <c r="R20" s="38" t="s">
        <v>34</v>
      </c>
      <c r="S20" s="24" t="s">
        <v>24</v>
      </c>
      <c r="U20" s="37">
        <f t="shared" ref="U20:AA56" si="9">VLOOKUP(M20, $A$4:$J$29, 9, 0)</f>
        <v>3</v>
      </c>
      <c r="V20" s="37">
        <f t="shared" si="9"/>
        <v>0</v>
      </c>
      <c r="W20" s="37">
        <f t="shared" si="9"/>
        <v>17</v>
      </c>
      <c r="X20" s="37">
        <f t="shared" si="9"/>
        <v>4</v>
      </c>
      <c r="Y20" s="37">
        <f t="shared" si="9"/>
        <v>0</v>
      </c>
      <c r="Z20" s="37">
        <f t="shared" si="9"/>
        <v>10</v>
      </c>
      <c r="AA20" s="37">
        <f t="shared" si="9"/>
        <v>19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1</v>
      </c>
      <c r="E21" s="153">
        <f t="shared" si="4"/>
        <v>0</v>
      </c>
      <c r="F21" s="153">
        <f t="shared" si="5"/>
        <v>2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27</v>
      </c>
      <c r="N21" s="38" t="s">
        <v>236</v>
      </c>
      <c r="O21" s="38" t="s">
        <v>26</v>
      </c>
      <c r="P21" s="38" t="s">
        <v>64</v>
      </c>
      <c r="Q21" s="38" t="s">
        <v>21</v>
      </c>
      <c r="R21" s="38" t="s">
        <v>34</v>
      </c>
      <c r="S21" s="24" t="s">
        <v>24</v>
      </c>
      <c r="U21" s="37">
        <f t="shared" si="9"/>
        <v>8</v>
      </c>
      <c r="V21" s="37">
        <f t="shared" si="9"/>
        <v>0</v>
      </c>
      <c r="W21" s="37">
        <f t="shared" si="9"/>
        <v>17</v>
      </c>
      <c r="X21" s="37">
        <f t="shared" si="9"/>
        <v>4</v>
      </c>
      <c r="Y21" s="37">
        <f t="shared" si="9"/>
        <v>6</v>
      </c>
      <c r="Z21" s="37">
        <f t="shared" si="9"/>
        <v>10</v>
      </c>
      <c r="AA21" s="37">
        <f t="shared" si="9"/>
        <v>19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2</v>
      </c>
      <c r="E22" s="153">
        <f t="shared" si="4"/>
        <v>0</v>
      </c>
      <c r="F22" s="153">
        <f t="shared" si="5"/>
        <v>7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27</v>
      </c>
      <c r="N22" s="38" t="s">
        <v>26</v>
      </c>
      <c r="O22" s="38" t="s">
        <v>64</v>
      </c>
      <c r="P22" s="38" t="s">
        <v>226</v>
      </c>
      <c r="Q22" s="38" t="s">
        <v>21</v>
      </c>
      <c r="R22" s="38" t="s">
        <v>34</v>
      </c>
      <c r="S22" s="38" t="s">
        <v>24</v>
      </c>
      <c r="U22" s="37">
        <f t="shared" si="9"/>
        <v>8</v>
      </c>
      <c r="V22" s="37">
        <f t="shared" si="9"/>
        <v>17</v>
      </c>
      <c r="W22" s="37">
        <f t="shared" si="9"/>
        <v>4</v>
      </c>
      <c r="X22" s="37">
        <f t="shared" si="9"/>
        <v>0</v>
      </c>
      <c r="Y22" s="37">
        <f t="shared" si="9"/>
        <v>6</v>
      </c>
      <c r="Z22" s="37">
        <f t="shared" si="9"/>
        <v>10</v>
      </c>
      <c r="AA22" s="37">
        <f t="shared" si="9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6</v>
      </c>
      <c r="E23" s="10">
        <f t="shared" si="4"/>
        <v>1</v>
      </c>
      <c r="F23" s="10">
        <f t="shared" si="5"/>
        <v>0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21</v>
      </c>
      <c r="N23" s="38" t="s">
        <v>89</v>
      </c>
      <c r="O23" s="38" t="s">
        <v>89</v>
      </c>
      <c r="P23" s="38" t="s">
        <v>226</v>
      </c>
      <c r="Q23" s="38" t="s">
        <v>26</v>
      </c>
      <c r="R23" s="38" t="s">
        <v>34</v>
      </c>
      <c r="S23" s="24" t="s">
        <v>24</v>
      </c>
      <c r="U23" s="37">
        <f t="shared" si="9"/>
        <v>6</v>
      </c>
      <c r="V23" s="37">
        <f t="shared" si="9"/>
        <v>16</v>
      </c>
      <c r="W23" s="37">
        <f t="shared" si="9"/>
        <v>16</v>
      </c>
      <c r="X23" s="37">
        <f t="shared" si="9"/>
        <v>0</v>
      </c>
      <c r="Y23" s="37">
        <f t="shared" si="9"/>
        <v>17</v>
      </c>
      <c r="Z23" s="37">
        <f t="shared" si="9"/>
        <v>10</v>
      </c>
      <c r="AA23" s="37">
        <f t="shared" si="9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6</v>
      </c>
      <c r="E24" s="10">
        <f t="shared" si="4"/>
        <v>0</v>
      </c>
      <c r="F24" s="10">
        <f t="shared" si="5"/>
        <v>0</v>
      </c>
      <c r="G24" s="10">
        <f t="shared" si="6"/>
        <v>7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234</v>
      </c>
      <c r="O24" s="38" t="s">
        <v>89</v>
      </c>
      <c r="P24" s="38" t="s">
        <v>64</v>
      </c>
      <c r="Q24" s="38" t="s">
        <v>224</v>
      </c>
      <c r="R24" s="38" t="s">
        <v>34</v>
      </c>
      <c r="S24" s="24" t="s">
        <v>17</v>
      </c>
      <c r="U24" s="37">
        <f t="shared" si="9"/>
        <v>6</v>
      </c>
      <c r="V24" s="37">
        <f t="shared" si="9"/>
        <v>0</v>
      </c>
      <c r="W24" s="37">
        <f t="shared" si="9"/>
        <v>16</v>
      </c>
      <c r="X24" s="37">
        <f t="shared" si="9"/>
        <v>4</v>
      </c>
      <c r="Y24" s="37">
        <f t="shared" si="9"/>
        <v>0</v>
      </c>
      <c r="Z24" s="37">
        <f t="shared" si="9"/>
        <v>10</v>
      </c>
      <c r="AA24" s="37">
        <f t="shared" si="9"/>
        <v>10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18</v>
      </c>
      <c r="N25" s="38" t="s">
        <v>234</v>
      </c>
      <c r="O25" s="38" t="s">
        <v>29</v>
      </c>
      <c r="P25" s="38" t="s">
        <v>222</v>
      </c>
      <c r="Q25" s="38" t="s">
        <v>224</v>
      </c>
      <c r="R25" s="38" t="s">
        <v>34</v>
      </c>
      <c r="S25" s="24" t="s">
        <v>17</v>
      </c>
      <c r="U25" s="37">
        <f t="shared" si="9"/>
        <v>3</v>
      </c>
      <c r="V25" s="37">
        <f t="shared" si="9"/>
        <v>0</v>
      </c>
      <c r="W25" s="37">
        <f t="shared" si="9"/>
        <v>23</v>
      </c>
      <c r="X25" s="37">
        <f t="shared" si="9"/>
        <v>0</v>
      </c>
      <c r="Y25" s="37">
        <f t="shared" si="9"/>
        <v>0</v>
      </c>
      <c r="Z25" s="37">
        <f t="shared" si="9"/>
        <v>10</v>
      </c>
      <c r="AA25" s="37">
        <f t="shared" si="9"/>
        <v>10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234</v>
      </c>
      <c r="O26" s="38" t="s">
        <v>29</v>
      </c>
      <c r="P26" s="38" t="s">
        <v>222</v>
      </c>
      <c r="Q26" s="38" t="s">
        <v>224</v>
      </c>
      <c r="R26" s="38" t="s">
        <v>34</v>
      </c>
      <c r="S26" s="24" t="s">
        <v>17</v>
      </c>
      <c r="U26" s="37">
        <f t="shared" si="9"/>
        <v>8</v>
      </c>
      <c r="V26" s="37">
        <f t="shared" si="9"/>
        <v>0</v>
      </c>
      <c r="W26" s="37">
        <f t="shared" si="9"/>
        <v>23</v>
      </c>
      <c r="X26" s="37">
        <f t="shared" si="9"/>
        <v>0</v>
      </c>
      <c r="Y26" s="37">
        <f t="shared" si="9"/>
        <v>0</v>
      </c>
      <c r="Z26" s="37">
        <f t="shared" si="9"/>
        <v>10</v>
      </c>
      <c r="AA26" s="37">
        <f t="shared" si="9"/>
        <v>10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27</v>
      </c>
      <c r="N27" s="38" t="s">
        <v>20</v>
      </c>
      <c r="O27" s="38" t="s">
        <v>29</v>
      </c>
      <c r="P27" s="38" t="s">
        <v>222</v>
      </c>
      <c r="Q27" s="38" t="s">
        <v>228</v>
      </c>
      <c r="R27" s="38" t="s">
        <v>34</v>
      </c>
      <c r="S27" s="24" t="s">
        <v>17</v>
      </c>
      <c r="U27" s="37">
        <f t="shared" si="9"/>
        <v>8</v>
      </c>
      <c r="V27" s="37">
        <f t="shared" si="9"/>
        <v>4</v>
      </c>
      <c r="W27" s="37">
        <f t="shared" si="9"/>
        <v>23</v>
      </c>
      <c r="X27" s="37">
        <f t="shared" si="9"/>
        <v>0</v>
      </c>
      <c r="Y27" s="37">
        <f t="shared" si="9"/>
        <v>0</v>
      </c>
      <c r="Z27" s="37">
        <f t="shared" si="9"/>
        <v>10</v>
      </c>
      <c r="AA27" s="37">
        <f t="shared" si="9"/>
        <v>10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28</v>
      </c>
      <c r="N28" s="38" t="s">
        <v>20</v>
      </c>
      <c r="O28" s="38" t="s">
        <v>89</v>
      </c>
      <c r="P28" s="38" t="s">
        <v>24</v>
      </c>
      <c r="Q28" s="38" t="s">
        <v>228</v>
      </c>
      <c r="R28" s="38" t="s">
        <v>34</v>
      </c>
      <c r="S28" s="24" t="s">
        <v>29</v>
      </c>
      <c r="U28" s="37">
        <f t="shared" si="9"/>
        <v>11</v>
      </c>
      <c r="V28" s="37">
        <f t="shared" si="9"/>
        <v>4</v>
      </c>
      <c r="W28" s="37">
        <f t="shared" si="9"/>
        <v>16</v>
      </c>
      <c r="X28" s="37">
        <f t="shared" si="9"/>
        <v>19</v>
      </c>
      <c r="Y28" s="37">
        <f t="shared" si="9"/>
        <v>0</v>
      </c>
      <c r="Z28" s="37">
        <f t="shared" si="9"/>
        <v>10</v>
      </c>
      <c r="AA28" s="37">
        <f t="shared" si="9"/>
        <v>23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21</v>
      </c>
      <c r="N29" s="38" t="s">
        <v>20</v>
      </c>
      <c r="O29" s="38" t="s">
        <v>89</v>
      </c>
      <c r="P29" s="38" t="s">
        <v>26</v>
      </c>
      <c r="Q29" s="38" t="s">
        <v>27</v>
      </c>
      <c r="R29" s="38" t="s">
        <v>34</v>
      </c>
      <c r="S29" s="24" t="s">
        <v>29</v>
      </c>
      <c r="U29" s="37">
        <f t="shared" si="9"/>
        <v>6</v>
      </c>
      <c r="V29" s="37">
        <f t="shared" si="9"/>
        <v>4</v>
      </c>
      <c r="W29" s="37">
        <f t="shared" si="9"/>
        <v>16</v>
      </c>
      <c r="X29" s="37">
        <f t="shared" si="9"/>
        <v>17</v>
      </c>
      <c r="Y29" s="37">
        <f t="shared" si="9"/>
        <v>8</v>
      </c>
      <c r="Z29" s="37">
        <f t="shared" si="9"/>
        <v>10</v>
      </c>
      <c r="AA29" s="37">
        <f t="shared" si="9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21</v>
      </c>
      <c r="N30" s="38" t="s">
        <v>17</v>
      </c>
      <c r="O30" s="38" t="s">
        <v>27</v>
      </c>
      <c r="P30" s="38" t="s">
        <v>26</v>
      </c>
      <c r="Q30" s="38" t="s">
        <v>17</v>
      </c>
      <c r="R30" s="38" t="s">
        <v>34</v>
      </c>
      <c r="S30" s="24" t="s">
        <v>29</v>
      </c>
      <c r="U30" s="37">
        <f t="shared" si="9"/>
        <v>6</v>
      </c>
      <c r="V30" s="37">
        <f t="shared" si="9"/>
        <v>10</v>
      </c>
      <c r="W30" s="37">
        <f t="shared" si="9"/>
        <v>8</v>
      </c>
      <c r="X30" s="37">
        <f t="shared" si="9"/>
        <v>17</v>
      </c>
      <c r="Y30" s="37">
        <f t="shared" si="9"/>
        <v>10</v>
      </c>
      <c r="Z30" s="37">
        <f t="shared" si="9"/>
        <v>10</v>
      </c>
      <c r="AA30" s="37">
        <f t="shared" si="9"/>
        <v>23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18</v>
      </c>
      <c r="N31" s="38" t="s">
        <v>17</v>
      </c>
      <c r="O31" s="38" t="s">
        <v>27</v>
      </c>
      <c r="P31" s="38" t="s">
        <v>26</v>
      </c>
      <c r="Q31" s="38" t="s">
        <v>17</v>
      </c>
      <c r="R31" s="38" t="s">
        <v>34</v>
      </c>
      <c r="S31" s="24" t="s">
        <v>29</v>
      </c>
      <c r="U31" s="37">
        <f t="shared" si="9"/>
        <v>3</v>
      </c>
      <c r="V31" s="37">
        <f t="shared" si="9"/>
        <v>10</v>
      </c>
      <c r="W31" s="37">
        <f t="shared" si="9"/>
        <v>8</v>
      </c>
      <c r="X31" s="37">
        <f t="shared" si="9"/>
        <v>17</v>
      </c>
      <c r="Y31" s="37">
        <f t="shared" si="9"/>
        <v>10</v>
      </c>
      <c r="Z31" s="37">
        <f t="shared" si="9"/>
        <v>10</v>
      </c>
      <c r="AA31" s="37">
        <f t="shared" si="9"/>
        <v>23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18</v>
      </c>
      <c r="N32" s="38" t="s">
        <v>17</v>
      </c>
      <c r="O32" s="38" t="s">
        <v>21</v>
      </c>
      <c r="P32" s="38" t="s">
        <v>232</v>
      </c>
      <c r="Q32" s="38" t="s">
        <v>17</v>
      </c>
      <c r="R32" s="38" t="s">
        <v>34</v>
      </c>
      <c r="S32" s="24" t="s">
        <v>24</v>
      </c>
      <c r="U32" s="37">
        <f t="shared" si="9"/>
        <v>3</v>
      </c>
      <c r="V32" s="37">
        <f t="shared" si="9"/>
        <v>10</v>
      </c>
      <c r="W32" s="37">
        <f t="shared" si="9"/>
        <v>6</v>
      </c>
      <c r="X32" s="37">
        <f t="shared" si="9"/>
        <v>0</v>
      </c>
      <c r="Y32" s="37">
        <f t="shared" si="9"/>
        <v>10</v>
      </c>
      <c r="Z32" s="37">
        <f t="shared" si="9"/>
        <v>10</v>
      </c>
      <c r="AA32" s="37">
        <f t="shared" si="9"/>
        <v>19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28</v>
      </c>
      <c r="N33" s="38" t="s">
        <v>89</v>
      </c>
      <c r="O33" s="38" t="s">
        <v>21</v>
      </c>
      <c r="P33" s="38" t="s">
        <v>232</v>
      </c>
      <c r="Q33" s="38" t="s">
        <v>64</v>
      </c>
      <c r="R33" s="38" t="s">
        <v>34</v>
      </c>
      <c r="S33" s="24" t="s">
        <v>24</v>
      </c>
      <c r="U33" s="37">
        <f t="shared" si="9"/>
        <v>11</v>
      </c>
      <c r="V33" s="37">
        <f t="shared" si="9"/>
        <v>16</v>
      </c>
      <c r="W33" s="37">
        <f t="shared" si="9"/>
        <v>6</v>
      </c>
      <c r="X33" s="37">
        <f t="shared" si="9"/>
        <v>0</v>
      </c>
      <c r="Y33" s="37">
        <f t="shared" si="9"/>
        <v>4</v>
      </c>
      <c r="Z33" s="37">
        <f t="shared" si="9"/>
        <v>10</v>
      </c>
      <c r="AA33" s="37">
        <f t="shared" si="9"/>
        <v>19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64</v>
      </c>
      <c r="N34" s="38" t="s">
        <v>89</v>
      </c>
      <c r="O34" s="38" t="s">
        <v>26</v>
      </c>
      <c r="P34" s="38" t="s">
        <v>17</v>
      </c>
      <c r="Q34" s="38" t="s">
        <v>21</v>
      </c>
      <c r="R34" s="38" t="s">
        <v>34</v>
      </c>
      <c r="S34" s="38" t="s">
        <v>24</v>
      </c>
      <c r="U34" s="37">
        <f t="shared" si="9"/>
        <v>4</v>
      </c>
      <c r="V34" s="37">
        <f t="shared" si="9"/>
        <v>16</v>
      </c>
      <c r="W34" s="37">
        <f t="shared" si="9"/>
        <v>17</v>
      </c>
      <c r="X34" s="37">
        <f t="shared" si="9"/>
        <v>10</v>
      </c>
      <c r="Y34" s="37">
        <f t="shared" si="9"/>
        <v>6</v>
      </c>
      <c r="Z34" s="37">
        <f t="shared" si="9"/>
        <v>10</v>
      </c>
      <c r="AA34" s="37">
        <f t="shared" si="9"/>
        <v>19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64</v>
      </c>
      <c r="N35" s="38" t="s">
        <v>24</v>
      </c>
      <c r="O35" s="38" t="s">
        <v>26</v>
      </c>
      <c r="P35" s="38" t="s">
        <v>17</v>
      </c>
      <c r="Q35" s="38" t="s">
        <v>236</v>
      </c>
      <c r="R35" s="38" t="s">
        <v>34</v>
      </c>
      <c r="S35" s="24" t="s">
        <v>24</v>
      </c>
      <c r="U35" s="37">
        <f t="shared" si="9"/>
        <v>4</v>
      </c>
      <c r="V35" s="37">
        <f t="shared" si="9"/>
        <v>19</v>
      </c>
      <c r="W35" s="37">
        <f t="shared" si="9"/>
        <v>17</v>
      </c>
      <c r="X35" s="37">
        <f t="shared" si="9"/>
        <v>10</v>
      </c>
      <c r="Y35" s="37">
        <f t="shared" si="9"/>
        <v>0</v>
      </c>
      <c r="Z35" s="37">
        <f t="shared" si="9"/>
        <v>10</v>
      </c>
      <c r="AA35" s="37">
        <f t="shared" si="9"/>
        <v>19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64</v>
      </c>
      <c r="N36" s="38" t="s">
        <v>226</v>
      </c>
      <c r="O36" s="38" t="s">
        <v>228</v>
      </c>
      <c r="P36" s="38" t="s">
        <v>26</v>
      </c>
      <c r="Q36" s="38" t="s">
        <v>236</v>
      </c>
      <c r="R36" s="38" t="s">
        <v>34</v>
      </c>
      <c r="S36" s="24" t="s">
        <v>26</v>
      </c>
      <c r="U36" s="37">
        <f t="shared" si="9"/>
        <v>4</v>
      </c>
      <c r="V36" s="37">
        <f t="shared" si="9"/>
        <v>0</v>
      </c>
      <c r="W36" s="37">
        <f t="shared" si="9"/>
        <v>0</v>
      </c>
      <c r="X36" s="37">
        <f t="shared" si="9"/>
        <v>17</v>
      </c>
      <c r="Y36" s="37">
        <f t="shared" si="9"/>
        <v>0</v>
      </c>
      <c r="Z36" s="37">
        <f t="shared" si="9"/>
        <v>10</v>
      </c>
      <c r="AA36" s="37">
        <f t="shared" si="9"/>
        <v>17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28</v>
      </c>
      <c r="N37" s="38" t="s">
        <v>226</v>
      </c>
      <c r="O37" s="38" t="s">
        <v>228</v>
      </c>
      <c r="P37" s="38" t="s">
        <v>89</v>
      </c>
      <c r="Q37" s="38" t="s">
        <v>24</v>
      </c>
      <c r="R37" s="38" t="s">
        <v>34</v>
      </c>
      <c r="S37" s="24" t="s">
        <v>26</v>
      </c>
      <c r="U37" s="37">
        <f t="shared" si="9"/>
        <v>11</v>
      </c>
      <c r="V37" s="37">
        <f t="shared" si="9"/>
        <v>0</v>
      </c>
      <c r="W37" s="37">
        <f t="shared" si="9"/>
        <v>0</v>
      </c>
      <c r="X37" s="37">
        <f t="shared" si="9"/>
        <v>16</v>
      </c>
      <c r="Y37" s="37">
        <f t="shared" si="9"/>
        <v>19</v>
      </c>
      <c r="Z37" s="37">
        <f t="shared" si="9"/>
        <v>10</v>
      </c>
      <c r="AA37" s="37">
        <f t="shared" si="9"/>
        <v>17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28</v>
      </c>
      <c r="N38" s="38" t="s">
        <v>26</v>
      </c>
      <c r="O38" s="38" t="s">
        <v>18</v>
      </c>
      <c r="P38" s="38" t="s">
        <v>89</v>
      </c>
      <c r="Q38" s="38" t="s">
        <v>89</v>
      </c>
      <c r="R38" s="38" t="s">
        <v>34</v>
      </c>
      <c r="S38" s="24" t="s">
        <v>26</v>
      </c>
      <c r="U38" s="37">
        <f t="shared" si="9"/>
        <v>11</v>
      </c>
      <c r="V38" s="37">
        <f t="shared" si="9"/>
        <v>17</v>
      </c>
      <c r="W38" s="37">
        <f t="shared" si="9"/>
        <v>3</v>
      </c>
      <c r="X38" s="37">
        <f t="shared" si="9"/>
        <v>16</v>
      </c>
      <c r="Y38" s="37">
        <f t="shared" si="9"/>
        <v>16</v>
      </c>
      <c r="Z38" s="37">
        <f t="shared" si="9"/>
        <v>10</v>
      </c>
      <c r="AA38" s="37">
        <f t="shared" si="9"/>
        <v>17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21</v>
      </c>
      <c r="N39" s="38" t="s">
        <v>20</v>
      </c>
      <c r="O39" s="38" t="s">
        <v>26</v>
      </c>
      <c r="P39" s="38" t="s">
        <v>64</v>
      </c>
      <c r="Q39" s="38" t="s">
        <v>228</v>
      </c>
      <c r="R39" s="38" t="s">
        <v>34</v>
      </c>
      <c r="S39" s="24" t="s">
        <v>26</v>
      </c>
      <c r="U39" s="37">
        <f t="shared" si="9"/>
        <v>6</v>
      </c>
      <c r="V39" s="37">
        <f t="shared" si="9"/>
        <v>4</v>
      </c>
      <c r="W39" s="37">
        <f t="shared" si="9"/>
        <v>17</v>
      </c>
      <c r="X39" s="37">
        <f t="shared" si="9"/>
        <v>4</v>
      </c>
      <c r="Y39" s="37">
        <f t="shared" si="9"/>
        <v>0</v>
      </c>
      <c r="Z39" s="37">
        <f t="shared" si="9"/>
        <v>10</v>
      </c>
      <c r="AA39" s="37">
        <f t="shared" si="9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18</v>
      </c>
      <c r="N40" s="37" t="s">
        <v>236</v>
      </c>
      <c r="O40" s="37" t="s">
        <v>26</v>
      </c>
      <c r="P40" s="37" t="s">
        <v>64</v>
      </c>
      <c r="Q40" s="37" t="s">
        <v>228</v>
      </c>
      <c r="R40" s="175" t="s">
        <v>34</v>
      </c>
      <c r="S40" s="37" t="s">
        <v>89</v>
      </c>
      <c r="U40" s="37">
        <f t="shared" si="9"/>
        <v>3</v>
      </c>
      <c r="V40" s="37">
        <f t="shared" si="9"/>
        <v>0</v>
      </c>
      <c r="W40" s="37">
        <f t="shared" si="9"/>
        <v>17</v>
      </c>
      <c r="X40" s="37">
        <f t="shared" si="9"/>
        <v>4</v>
      </c>
      <c r="Y40" s="37">
        <f t="shared" si="9"/>
        <v>0</v>
      </c>
      <c r="Z40" s="37">
        <f t="shared" si="9"/>
        <v>10</v>
      </c>
      <c r="AA40" s="37">
        <f t="shared" si="9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27</v>
      </c>
      <c r="N41" s="38" t="s">
        <v>236</v>
      </c>
      <c r="O41" s="38" t="s">
        <v>64</v>
      </c>
      <c r="P41" s="38" t="s">
        <v>64</v>
      </c>
      <c r="Q41" s="38" t="s">
        <v>21</v>
      </c>
      <c r="R41" s="38" t="s">
        <v>34</v>
      </c>
      <c r="S41" s="24" t="s">
        <v>89</v>
      </c>
      <c r="U41" s="37">
        <f t="shared" si="9"/>
        <v>8</v>
      </c>
      <c r="V41" s="37">
        <f t="shared" si="9"/>
        <v>0</v>
      </c>
      <c r="W41" s="37">
        <f t="shared" si="9"/>
        <v>4</v>
      </c>
      <c r="X41" s="37">
        <f t="shared" si="9"/>
        <v>4</v>
      </c>
      <c r="Y41" s="37">
        <f t="shared" si="9"/>
        <v>6</v>
      </c>
      <c r="Z41" s="37">
        <f t="shared" si="9"/>
        <v>10</v>
      </c>
      <c r="AA41" s="37">
        <f t="shared" si="9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27</v>
      </c>
      <c r="N42" s="38" t="s">
        <v>24</v>
      </c>
      <c r="O42" s="38" t="s">
        <v>64</v>
      </c>
      <c r="P42" s="38" t="s">
        <v>226</v>
      </c>
      <c r="Q42" s="38" t="s">
        <v>21</v>
      </c>
      <c r="R42" s="38" t="s">
        <v>34</v>
      </c>
      <c r="S42" s="24" t="s">
        <v>89</v>
      </c>
      <c r="U42" s="37">
        <f t="shared" si="9"/>
        <v>8</v>
      </c>
      <c r="V42" s="37">
        <f t="shared" si="9"/>
        <v>19</v>
      </c>
      <c r="W42" s="37">
        <f t="shared" si="9"/>
        <v>4</v>
      </c>
      <c r="X42" s="37">
        <f t="shared" si="9"/>
        <v>0</v>
      </c>
      <c r="Y42" s="37">
        <f t="shared" si="9"/>
        <v>6</v>
      </c>
      <c r="Z42" s="37">
        <f t="shared" si="9"/>
        <v>10</v>
      </c>
      <c r="AA42" s="37">
        <f t="shared" si="9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21</v>
      </c>
      <c r="N43" s="38" t="s">
        <v>89</v>
      </c>
      <c r="O43" s="38" t="s">
        <v>89</v>
      </c>
      <c r="P43" s="38" t="s">
        <v>226</v>
      </c>
      <c r="Q43" s="38" t="s">
        <v>26</v>
      </c>
      <c r="R43" s="38" t="s">
        <v>34</v>
      </c>
      <c r="S43" s="24" t="s">
        <v>89</v>
      </c>
      <c r="U43" s="37">
        <f t="shared" si="9"/>
        <v>6</v>
      </c>
      <c r="V43" s="37">
        <f t="shared" si="9"/>
        <v>16</v>
      </c>
      <c r="W43" s="37">
        <f t="shared" si="9"/>
        <v>16</v>
      </c>
      <c r="X43" s="37">
        <f t="shared" si="9"/>
        <v>0</v>
      </c>
      <c r="Y43" s="37">
        <f t="shared" si="9"/>
        <v>17</v>
      </c>
      <c r="Z43" s="37">
        <f t="shared" si="9"/>
        <v>10</v>
      </c>
      <c r="AA43" s="37">
        <f t="shared" si="9"/>
        <v>16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21</v>
      </c>
      <c r="N44" s="38" t="s">
        <v>222</v>
      </c>
      <c r="O44" s="38" t="s">
        <v>89</v>
      </c>
      <c r="P44" s="38" t="s">
        <v>64</v>
      </c>
      <c r="Q44" s="38" t="s">
        <v>224</v>
      </c>
      <c r="R44" s="38" t="s">
        <v>34</v>
      </c>
      <c r="S44" s="24" t="s">
        <v>24</v>
      </c>
      <c r="U44" s="37">
        <f t="shared" si="9"/>
        <v>6</v>
      </c>
      <c r="V44" s="37">
        <f t="shared" si="9"/>
        <v>0</v>
      </c>
      <c r="W44" s="37">
        <f t="shared" si="9"/>
        <v>16</v>
      </c>
      <c r="X44" s="37">
        <f t="shared" si="9"/>
        <v>4</v>
      </c>
      <c r="Y44" s="37">
        <f t="shared" si="9"/>
        <v>0</v>
      </c>
      <c r="Z44" s="37">
        <f t="shared" si="9"/>
        <v>10</v>
      </c>
      <c r="AA44" s="37">
        <f t="shared" si="9"/>
        <v>19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18</v>
      </c>
      <c r="N45" s="38" t="s">
        <v>222</v>
      </c>
      <c r="O45" s="38" t="s">
        <v>29</v>
      </c>
      <c r="P45" s="38" t="s">
        <v>222</v>
      </c>
      <c r="Q45" s="38" t="s">
        <v>224</v>
      </c>
      <c r="R45" s="38" t="s">
        <v>34</v>
      </c>
      <c r="S45" s="24" t="s">
        <v>24</v>
      </c>
      <c r="U45" s="37">
        <f t="shared" si="9"/>
        <v>3</v>
      </c>
      <c r="V45" s="37">
        <f t="shared" si="9"/>
        <v>0</v>
      </c>
      <c r="W45" s="37">
        <f t="shared" si="9"/>
        <v>23</v>
      </c>
      <c r="X45" s="37">
        <f t="shared" si="9"/>
        <v>0</v>
      </c>
      <c r="Y45" s="37">
        <f t="shared" si="9"/>
        <v>0</v>
      </c>
      <c r="Z45" s="37">
        <f t="shared" si="9"/>
        <v>10</v>
      </c>
      <c r="AA45" s="37">
        <f t="shared" si="9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27</v>
      </c>
      <c r="N46" s="38" t="s">
        <v>222</v>
      </c>
      <c r="O46" s="38" t="s">
        <v>29</v>
      </c>
      <c r="P46" s="38" t="s">
        <v>222</v>
      </c>
      <c r="Q46" s="38" t="s">
        <v>224</v>
      </c>
      <c r="R46" s="38" t="s">
        <v>34</v>
      </c>
      <c r="S46" s="24" t="s">
        <v>24</v>
      </c>
      <c r="U46" s="37">
        <f t="shared" si="9"/>
        <v>8</v>
      </c>
      <c r="V46" s="37">
        <f t="shared" si="9"/>
        <v>0</v>
      </c>
      <c r="W46" s="37">
        <f t="shared" si="9"/>
        <v>23</v>
      </c>
      <c r="X46" s="37">
        <f t="shared" si="9"/>
        <v>0</v>
      </c>
      <c r="Y46" s="37">
        <f t="shared" si="9"/>
        <v>0</v>
      </c>
      <c r="Z46" s="37">
        <f t="shared" si="9"/>
        <v>10</v>
      </c>
      <c r="AA46" s="37">
        <f t="shared" si="9"/>
        <v>19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27</v>
      </c>
      <c r="N47" s="38" t="s">
        <v>24</v>
      </c>
      <c r="O47" s="38" t="s">
        <v>29</v>
      </c>
      <c r="P47" s="38" t="s">
        <v>222</v>
      </c>
      <c r="Q47" s="38" t="s">
        <v>228</v>
      </c>
      <c r="R47" s="38" t="s">
        <v>34</v>
      </c>
      <c r="S47" s="24" t="s">
        <v>24</v>
      </c>
      <c r="U47" s="37">
        <f t="shared" si="9"/>
        <v>8</v>
      </c>
      <c r="V47" s="37">
        <f t="shared" si="9"/>
        <v>19</v>
      </c>
      <c r="W47" s="37">
        <f t="shared" si="9"/>
        <v>23</v>
      </c>
      <c r="X47" s="37">
        <f t="shared" si="9"/>
        <v>0</v>
      </c>
      <c r="Y47" s="37">
        <f t="shared" si="9"/>
        <v>0</v>
      </c>
      <c r="Z47" s="37">
        <f t="shared" si="9"/>
        <v>10</v>
      </c>
      <c r="AA47" s="37">
        <f t="shared" si="9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28</v>
      </c>
      <c r="N48" s="38" t="s">
        <v>24</v>
      </c>
      <c r="O48" s="38" t="s">
        <v>89</v>
      </c>
      <c r="P48" s="38" t="s">
        <v>24</v>
      </c>
      <c r="Q48" s="38" t="s">
        <v>228</v>
      </c>
      <c r="R48" s="38" t="s">
        <v>34</v>
      </c>
      <c r="S48" s="24" t="s">
        <v>26</v>
      </c>
      <c r="U48" s="37">
        <f t="shared" si="9"/>
        <v>11</v>
      </c>
      <c r="V48" s="37">
        <f t="shared" si="9"/>
        <v>19</v>
      </c>
      <c r="W48" s="37">
        <f t="shared" si="9"/>
        <v>16</v>
      </c>
      <c r="X48" s="37">
        <f t="shared" si="9"/>
        <v>19</v>
      </c>
      <c r="Y48" s="37">
        <f t="shared" si="9"/>
        <v>0</v>
      </c>
      <c r="Z48" s="37">
        <f t="shared" si="9"/>
        <v>10</v>
      </c>
      <c r="AA48" s="37">
        <f t="shared" si="9"/>
        <v>17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4">
        <v>45</v>
      </c>
      <c r="M49" s="38" t="s">
        <v>21</v>
      </c>
      <c r="N49" s="38" t="s">
        <v>24</v>
      </c>
      <c r="O49" s="38" t="s">
        <v>89</v>
      </c>
      <c r="P49" s="38" t="s">
        <v>26</v>
      </c>
      <c r="Q49" s="38" t="s">
        <v>27</v>
      </c>
      <c r="R49" s="38" t="s">
        <v>34</v>
      </c>
      <c r="S49" s="24" t="s">
        <v>26</v>
      </c>
      <c r="U49" s="37">
        <f t="shared" si="9"/>
        <v>6</v>
      </c>
      <c r="V49" s="37">
        <f t="shared" si="9"/>
        <v>19</v>
      </c>
      <c r="W49" s="37">
        <f t="shared" si="9"/>
        <v>16</v>
      </c>
      <c r="X49" s="37">
        <f t="shared" si="9"/>
        <v>17</v>
      </c>
      <c r="Y49" s="37">
        <f t="shared" si="9"/>
        <v>8</v>
      </c>
      <c r="Z49" s="37">
        <f t="shared" si="9"/>
        <v>10</v>
      </c>
      <c r="AA49" s="37">
        <f t="shared" si="9"/>
        <v>17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5">
        <v>46</v>
      </c>
      <c r="M50" s="38" t="s">
        <v>21</v>
      </c>
      <c r="N50" s="38" t="s">
        <v>17</v>
      </c>
      <c r="O50" s="38" t="s">
        <v>27</v>
      </c>
      <c r="P50" s="38" t="s">
        <v>26</v>
      </c>
      <c r="Q50" s="38" t="s">
        <v>17</v>
      </c>
      <c r="R50" s="38" t="s">
        <v>34</v>
      </c>
      <c r="S50" s="24" t="s">
        <v>26</v>
      </c>
      <c r="U50" s="37">
        <f t="shared" si="9"/>
        <v>6</v>
      </c>
      <c r="V50" s="37">
        <f t="shared" si="9"/>
        <v>10</v>
      </c>
      <c r="W50" s="37">
        <f t="shared" si="9"/>
        <v>8</v>
      </c>
      <c r="X50" s="37">
        <f t="shared" si="9"/>
        <v>17</v>
      </c>
      <c r="Y50" s="37">
        <f t="shared" si="9"/>
        <v>10</v>
      </c>
      <c r="Z50" s="37">
        <f t="shared" si="9"/>
        <v>10</v>
      </c>
      <c r="AA50" s="37">
        <f t="shared" si="9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4">
        <v>47</v>
      </c>
      <c r="M51" s="38" t="s">
        <v>18</v>
      </c>
      <c r="N51" s="38" t="s">
        <v>17</v>
      </c>
      <c r="O51" s="38" t="s">
        <v>27</v>
      </c>
      <c r="P51" s="38" t="s">
        <v>26</v>
      </c>
      <c r="Q51" s="38" t="s">
        <v>17</v>
      </c>
      <c r="R51" s="38" t="s">
        <v>34</v>
      </c>
      <c r="S51" s="24" t="s">
        <v>26</v>
      </c>
      <c r="U51" s="37">
        <f t="shared" si="9"/>
        <v>3</v>
      </c>
      <c r="V51" s="37">
        <f t="shared" si="9"/>
        <v>10</v>
      </c>
      <c r="W51" s="37">
        <f t="shared" si="9"/>
        <v>8</v>
      </c>
      <c r="X51" s="37">
        <f t="shared" si="9"/>
        <v>17</v>
      </c>
      <c r="Y51" s="37">
        <f t="shared" si="9"/>
        <v>10</v>
      </c>
      <c r="Z51" s="37">
        <f t="shared" si="9"/>
        <v>10</v>
      </c>
      <c r="AA51" s="37">
        <f t="shared" si="9"/>
        <v>17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5">
        <v>48</v>
      </c>
      <c r="M52" s="38" t="s">
        <v>18</v>
      </c>
      <c r="N52" s="38" t="s">
        <v>17</v>
      </c>
      <c r="O52" s="38" t="s">
        <v>21</v>
      </c>
      <c r="P52" s="38" t="s">
        <v>232</v>
      </c>
      <c r="Q52" s="38" t="s">
        <v>17</v>
      </c>
      <c r="R52" s="38" t="s">
        <v>34</v>
      </c>
      <c r="S52" s="24" t="s">
        <v>89</v>
      </c>
      <c r="U52" s="37">
        <f t="shared" si="9"/>
        <v>3</v>
      </c>
      <c r="V52" s="37">
        <f t="shared" si="9"/>
        <v>10</v>
      </c>
      <c r="W52" s="37">
        <f t="shared" si="9"/>
        <v>6</v>
      </c>
      <c r="X52" s="37">
        <f t="shared" si="9"/>
        <v>0</v>
      </c>
      <c r="Y52" s="37">
        <f t="shared" si="9"/>
        <v>10</v>
      </c>
      <c r="Z52" s="37">
        <f t="shared" si="9"/>
        <v>10</v>
      </c>
      <c r="AA52" s="37">
        <f t="shared" si="9"/>
        <v>16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4">
        <v>49</v>
      </c>
      <c r="M53" s="38" t="s">
        <v>28</v>
      </c>
      <c r="N53" s="38" t="s">
        <v>89</v>
      </c>
      <c r="O53" s="38" t="s">
        <v>21</v>
      </c>
      <c r="P53" s="38" t="s">
        <v>232</v>
      </c>
      <c r="Q53" s="38" t="s">
        <v>64</v>
      </c>
      <c r="R53" s="38" t="s">
        <v>34</v>
      </c>
      <c r="S53" s="24" t="s">
        <v>89</v>
      </c>
      <c r="U53" s="37">
        <f t="shared" si="9"/>
        <v>11</v>
      </c>
      <c r="V53" s="37">
        <f t="shared" si="9"/>
        <v>16</v>
      </c>
      <c r="W53" s="37">
        <f t="shared" si="9"/>
        <v>6</v>
      </c>
      <c r="X53" s="37">
        <f t="shared" si="9"/>
        <v>0</v>
      </c>
      <c r="Y53" s="37">
        <f t="shared" si="9"/>
        <v>4</v>
      </c>
      <c r="Z53" s="37">
        <f t="shared" si="9"/>
        <v>10</v>
      </c>
      <c r="AA53" s="37">
        <f t="shared" si="9"/>
        <v>16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5">
        <v>50</v>
      </c>
      <c r="M54" s="38" t="s">
        <v>64</v>
      </c>
      <c r="N54" s="38" t="s">
        <v>89</v>
      </c>
      <c r="O54" s="38" t="s">
        <v>26</v>
      </c>
      <c r="P54" s="38" t="s">
        <v>17</v>
      </c>
      <c r="Q54" s="38" t="s">
        <v>21</v>
      </c>
      <c r="R54" s="38" t="s">
        <v>34</v>
      </c>
      <c r="S54" s="24" t="s">
        <v>89</v>
      </c>
      <c r="U54" s="37">
        <f t="shared" si="9"/>
        <v>4</v>
      </c>
      <c r="V54" s="37">
        <f t="shared" si="9"/>
        <v>16</v>
      </c>
      <c r="W54" s="37">
        <f t="shared" si="9"/>
        <v>17</v>
      </c>
      <c r="X54" s="37">
        <f t="shared" si="9"/>
        <v>10</v>
      </c>
      <c r="Y54" s="37">
        <f t="shared" si="9"/>
        <v>6</v>
      </c>
      <c r="Z54" s="37">
        <f t="shared" si="9"/>
        <v>10</v>
      </c>
      <c r="AA54" s="37">
        <f t="shared" si="9"/>
        <v>16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4">
        <v>51</v>
      </c>
      <c r="M55" s="38" t="s">
        <v>64</v>
      </c>
      <c r="N55" s="38" t="s">
        <v>24</v>
      </c>
      <c r="O55" s="38" t="s">
        <v>26</v>
      </c>
      <c r="P55" s="38" t="s">
        <v>17</v>
      </c>
      <c r="Q55" s="38" t="s">
        <v>236</v>
      </c>
      <c r="R55" s="38" t="s">
        <v>34</v>
      </c>
      <c r="S55" s="24" t="s">
        <v>89</v>
      </c>
      <c r="U55" s="37">
        <f t="shared" si="9"/>
        <v>4</v>
      </c>
      <c r="V55" s="37">
        <f t="shared" si="9"/>
        <v>19</v>
      </c>
      <c r="W55" s="37">
        <f t="shared" si="9"/>
        <v>17</v>
      </c>
      <c r="X55" s="37">
        <f t="shared" si="9"/>
        <v>10</v>
      </c>
      <c r="Y55" s="37">
        <f t="shared" si="9"/>
        <v>0</v>
      </c>
      <c r="Z55" s="37">
        <f t="shared" si="9"/>
        <v>10</v>
      </c>
      <c r="AA55" s="37">
        <f t="shared" si="9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5">
        <v>52</v>
      </c>
      <c r="M56" s="38" t="s">
        <v>64</v>
      </c>
      <c r="N56" s="38" t="s">
        <v>226</v>
      </c>
      <c r="O56" s="38" t="s">
        <v>228</v>
      </c>
      <c r="P56" s="38" t="s">
        <v>26</v>
      </c>
      <c r="Q56" s="38" t="s">
        <v>236</v>
      </c>
      <c r="R56" s="38" t="s">
        <v>34</v>
      </c>
      <c r="S56" s="24" t="s">
        <v>24</v>
      </c>
      <c r="U56" s="37">
        <f t="shared" si="9"/>
        <v>4</v>
      </c>
      <c r="V56" s="37">
        <f t="shared" si="9"/>
        <v>0</v>
      </c>
      <c r="W56" s="37">
        <f t="shared" si="9"/>
        <v>0</v>
      </c>
      <c r="X56" s="37">
        <f t="shared" ref="X56:AA119" si="11">VLOOKUP(P56, $A$4:$J$29, 9, 0)</f>
        <v>17</v>
      </c>
      <c r="Y56" s="37">
        <f t="shared" si="11"/>
        <v>0</v>
      </c>
      <c r="Z56" s="37">
        <f t="shared" si="11"/>
        <v>10</v>
      </c>
      <c r="AA56" s="37">
        <f t="shared" si="11"/>
        <v>19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4">
        <v>53</v>
      </c>
      <c r="M57" s="38" t="s">
        <v>28</v>
      </c>
      <c r="N57" s="38" t="s">
        <v>226</v>
      </c>
      <c r="O57" s="38" t="s">
        <v>228</v>
      </c>
      <c r="P57" s="38" t="s">
        <v>89</v>
      </c>
      <c r="Q57" s="38" t="s">
        <v>24</v>
      </c>
      <c r="R57" s="38" t="s">
        <v>34</v>
      </c>
      <c r="S57" s="24" t="s">
        <v>24</v>
      </c>
      <c r="U57" s="37">
        <f t="shared" ref="U57:Z120" si="12">VLOOKUP(M57, $A$4:$J$29, 9, 0)</f>
        <v>11</v>
      </c>
      <c r="V57" s="37">
        <f t="shared" si="12"/>
        <v>0</v>
      </c>
      <c r="W57" s="37">
        <f t="shared" si="12"/>
        <v>0</v>
      </c>
      <c r="X57" s="37">
        <f t="shared" si="11"/>
        <v>16</v>
      </c>
      <c r="Y57" s="37">
        <f t="shared" si="11"/>
        <v>19</v>
      </c>
      <c r="Z57" s="37">
        <f t="shared" si="11"/>
        <v>10</v>
      </c>
      <c r="AA57" s="37">
        <f t="shared" si="11"/>
        <v>19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54</v>
      </c>
      <c r="M58" s="38" t="s">
        <v>28</v>
      </c>
      <c r="N58" s="38" t="s">
        <v>26</v>
      </c>
      <c r="O58" s="38" t="s">
        <v>18</v>
      </c>
      <c r="P58" s="38" t="s">
        <v>89</v>
      </c>
      <c r="Q58" s="38" t="s">
        <v>89</v>
      </c>
      <c r="R58" s="38" t="s">
        <v>34</v>
      </c>
      <c r="S58" s="24" t="s">
        <v>24</v>
      </c>
      <c r="U58" s="37">
        <f t="shared" si="12"/>
        <v>11</v>
      </c>
      <c r="V58" s="37">
        <f t="shared" si="12"/>
        <v>17</v>
      </c>
      <c r="W58" s="37">
        <f t="shared" si="12"/>
        <v>3</v>
      </c>
      <c r="X58" s="37">
        <f t="shared" si="11"/>
        <v>16</v>
      </c>
      <c r="Y58" s="37">
        <f t="shared" si="11"/>
        <v>16</v>
      </c>
      <c r="Z58" s="37">
        <f t="shared" si="11"/>
        <v>10</v>
      </c>
      <c r="AA58" s="37">
        <f t="shared" si="11"/>
        <v>19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55</v>
      </c>
      <c r="M59" s="38" t="s">
        <v>28</v>
      </c>
      <c r="N59" s="38" t="s">
        <v>20</v>
      </c>
      <c r="O59" s="38" t="s">
        <v>26</v>
      </c>
      <c r="P59" s="38" t="s">
        <v>64</v>
      </c>
      <c r="Q59" s="38" t="s">
        <v>228</v>
      </c>
      <c r="R59" s="38" t="s">
        <v>34</v>
      </c>
      <c r="S59" s="24" t="s">
        <v>24</v>
      </c>
      <c r="U59" s="37">
        <f t="shared" si="12"/>
        <v>11</v>
      </c>
      <c r="V59" s="37">
        <f t="shared" si="12"/>
        <v>4</v>
      </c>
      <c r="W59" s="37">
        <f t="shared" si="12"/>
        <v>17</v>
      </c>
      <c r="X59" s="37">
        <f t="shared" si="11"/>
        <v>4</v>
      </c>
      <c r="Y59" s="37">
        <f t="shared" si="11"/>
        <v>0</v>
      </c>
      <c r="Z59" s="37">
        <f t="shared" si="11"/>
        <v>10</v>
      </c>
      <c r="AA59" s="37">
        <f t="shared" si="11"/>
        <v>19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56</v>
      </c>
      <c r="M60" s="38" t="s">
        <v>18</v>
      </c>
      <c r="N60" s="38" t="s">
        <v>236</v>
      </c>
      <c r="O60" s="38" t="s">
        <v>26</v>
      </c>
      <c r="P60" s="38" t="s">
        <v>64</v>
      </c>
      <c r="Q60" s="38" t="s">
        <v>228</v>
      </c>
      <c r="R60" s="38" t="s">
        <v>34</v>
      </c>
      <c r="S60" s="24" t="s">
        <v>29</v>
      </c>
      <c r="U60" s="37">
        <f t="shared" si="12"/>
        <v>3</v>
      </c>
      <c r="V60" s="37">
        <f t="shared" si="12"/>
        <v>0</v>
      </c>
      <c r="W60" s="37">
        <f t="shared" si="12"/>
        <v>17</v>
      </c>
      <c r="X60" s="37">
        <f t="shared" si="11"/>
        <v>4</v>
      </c>
      <c r="Y60" s="37">
        <f t="shared" si="11"/>
        <v>0</v>
      </c>
      <c r="Z60" s="37">
        <f t="shared" si="11"/>
        <v>10</v>
      </c>
      <c r="AA60" s="37">
        <f t="shared" si="11"/>
        <v>23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57</v>
      </c>
      <c r="M61" s="38" t="s">
        <v>27</v>
      </c>
      <c r="N61" s="38" t="s">
        <v>236</v>
      </c>
      <c r="O61" s="38" t="s">
        <v>26</v>
      </c>
      <c r="P61" s="38" t="s">
        <v>64</v>
      </c>
      <c r="Q61" s="38" t="s">
        <v>21</v>
      </c>
      <c r="R61" s="38" t="s">
        <v>34</v>
      </c>
      <c r="S61" s="24" t="s">
        <v>29</v>
      </c>
      <c r="U61" s="37">
        <f t="shared" si="12"/>
        <v>8</v>
      </c>
      <c r="V61" s="37">
        <f t="shared" si="12"/>
        <v>0</v>
      </c>
      <c r="W61" s="37">
        <f t="shared" si="12"/>
        <v>17</v>
      </c>
      <c r="X61" s="37">
        <f t="shared" si="11"/>
        <v>4</v>
      </c>
      <c r="Y61" s="37">
        <f t="shared" si="11"/>
        <v>6</v>
      </c>
      <c r="Z61" s="37">
        <f t="shared" si="11"/>
        <v>10</v>
      </c>
      <c r="AA61" s="37">
        <f t="shared" si="11"/>
        <v>23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58</v>
      </c>
      <c r="M62" s="38" t="s">
        <v>27</v>
      </c>
      <c r="N62" s="38" t="s">
        <v>24</v>
      </c>
      <c r="O62" s="38" t="s">
        <v>64</v>
      </c>
      <c r="P62" s="38" t="s">
        <v>226</v>
      </c>
      <c r="Q62" s="38" t="s">
        <v>21</v>
      </c>
      <c r="R62" s="38" t="s">
        <v>34</v>
      </c>
      <c r="S62" s="24" t="s">
        <v>29</v>
      </c>
      <c r="U62" s="37">
        <f t="shared" si="12"/>
        <v>8</v>
      </c>
      <c r="V62" s="37">
        <f t="shared" si="12"/>
        <v>19</v>
      </c>
      <c r="W62" s="37">
        <f t="shared" si="12"/>
        <v>4</v>
      </c>
      <c r="X62" s="37">
        <f t="shared" si="11"/>
        <v>0</v>
      </c>
      <c r="Y62" s="37">
        <f t="shared" si="11"/>
        <v>6</v>
      </c>
      <c r="Z62" s="37">
        <f t="shared" si="11"/>
        <v>10</v>
      </c>
      <c r="AA62" s="37">
        <f t="shared" si="11"/>
        <v>23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59</v>
      </c>
      <c r="M63" s="38" t="s">
        <v>21</v>
      </c>
      <c r="N63" s="38" t="s">
        <v>89</v>
      </c>
      <c r="O63" s="38" t="s">
        <v>89</v>
      </c>
      <c r="P63" s="38" t="s">
        <v>226</v>
      </c>
      <c r="Q63" s="38" t="s">
        <v>26</v>
      </c>
      <c r="R63" s="38" t="s">
        <v>34</v>
      </c>
      <c r="S63" s="38" t="s">
        <v>29</v>
      </c>
      <c r="U63" s="37">
        <f t="shared" si="12"/>
        <v>6</v>
      </c>
      <c r="V63" s="37">
        <f t="shared" si="12"/>
        <v>16</v>
      </c>
      <c r="W63" s="37">
        <f t="shared" si="12"/>
        <v>16</v>
      </c>
      <c r="X63" s="37">
        <f t="shared" si="11"/>
        <v>0</v>
      </c>
      <c r="Y63" s="37">
        <f t="shared" si="11"/>
        <v>17</v>
      </c>
      <c r="Z63" s="37">
        <f t="shared" si="11"/>
        <v>10</v>
      </c>
      <c r="AA63" s="37">
        <f t="shared" si="11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 x14ac:dyDescent="0.3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34</v>
      </c>
      <c r="S64" s="24" t="s">
        <v>17</v>
      </c>
      <c r="U64" s="37">
        <f t="shared" si="12"/>
        <v>17</v>
      </c>
      <c r="V64" s="37">
        <f t="shared" si="12"/>
        <v>0</v>
      </c>
      <c r="W64" s="37">
        <f t="shared" si="12"/>
        <v>0</v>
      </c>
      <c r="X64" s="37">
        <f t="shared" si="11"/>
        <v>10</v>
      </c>
      <c r="Y64" s="37">
        <f t="shared" si="11"/>
        <v>11</v>
      </c>
      <c r="Z64" s="37">
        <f t="shared" si="11"/>
        <v>10</v>
      </c>
      <c r="AA64" s="37">
        <f t="shared" si="11"/>
        <v>10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34</v>
      </c>
      <c r="S65" s="24" t="s">
        <v>17</v>
      </c>
      <c r="U65" s="37">
        <f t="shared" si="12"/>
        <v>11</v>
      </c>
      <c r="V65" s="37">
        <f t="shared" si="12"/>
        <v>19</v>
      </c>
      <c r="W65" s="37">
        <f t="shared" si="12"/>
        <v>17</v>
      </c>
      <c r="X65" s="37">
        <f t="shared" si="11"/>
        <v>10</v>
      </c>
      <c r="Y65" s="37">
        <f t="shared" si="11"/>
        <v>11</v>
      </c>
      <c r="Z65" s="37">
        <f t="shared" si="11"/>
        <v>10</v>
      </c>
      <c r="AA65" s="37">
        <f t="shared" si="11"/>
        <v>10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34</v>
      </c>
      <c r="S66" s="24" t="s">
        <v>26</v>
      </c>
      <c r="U66" s="37">
        <f t="shared" si="12"/>
        <v>17</v>
      </c>
      <c r="V66" s="37">
        <f t="shared" si="12"/>
        <v>19</v>
      </c>
      <c r="W66" s="37">
        <f t="shared" si="12"/>
        <v>17</v>
      </c>
      <c r="X66" s="37">
        <f t="shared" si="11"/>
        <v>8</v>
      </c>
      <c r="Y66" s="37">
        <f t="shared" si="11"/>
        <v>17</v>
      </c>
      <c r="Z66" s="37">
        <f t="shared" si="11"/>
        <v>10</v>
      </c>
      <c r="AA66" s="37">
        <f t="shared" si="11"/>
        <v>17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34</v>
      </c>
      <c r="S67" s="24" t="s">
        <v>26</v>
      </c>
      <c r="U67" s="37">
        <f t="shared" si="12"/>
        <v>23</v>
      </c>
      <c r="V67" s="37">
        <f t="shared" si="12"/>
        <v>4</v>
      </c>
      <c r="W67" s="37">
        <f t="shared" si="12"/>
        <v>17</v>
      </c>
      <c r="X67" s="37">
        <f t="shared" si="11"/>
        <v>8</v>
      </c>
      <c r="Y67" s="37">
        <f t="shared" si="11"/>
        <v>3</v>
      </c>
      <c r="Z67" s="37">
        <f t="shared" si="11"/>
        <v>10</v>
      </c>
      <c r="AA67" s="37">
        <f t="shared" si="11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34</v>
      </c>
      <c r="S68" s="24" t="s">
        <v>28</v>
      </c>
      <c r="U68" s="37">
        <f t="shared" si="12"/>
        <v>10</v>
      </c>
      <c r="V68" s="37">
        <f t="shared" si="12"/>
        <v>8</v>
      </c>
      <c r="W68" s="37">
        <f t="shared" si="12"/>
        <v>3</v>
      </c>
      <c r="X68" s="37">
        <f t="shared" si="11"/>
        <v>23</v>
      </c>
      <c r="Y68" s="37">
        <f t="shared" si="11"/>
        <v>16</v>
      </c>
      <c r="Z68" s="37">
        <f t="shared" si="11"/>
        <v>10</v>
      </c>
      <c r="AA68" s="37">
        <f t="shared" si="11"/>
        <v>11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34</v>
      </c>
      <c r="S69" s="24" t="s">
        <v>28</v>
      </c>
      <c r="U69" s="37">
        <f t="shared" si="12"/>
        <v>8</v>
      </c>
      <c r="V69" s="37">
        <f t="shared" si="12"/>
        <v>8</v>
      </c>
      <c r="W69" s="37">
        <f t="shared" si="12"/>
        <v>19</v>
      </c>
      <c r="X69" s="37">
        <f t="shared" si="11"/>
        <v>23</v>
      </c>
      <c r="Y69" s="37">
        <f t="shared" si="11"/>
        <v>16</v>
      </c>
      <c r="Z69" s="37">
        <f t="shared" si="11"/>
        <v>10</v>
      </c>
      <c r="AA69" s="37">
        <f t="shared" si="11"/>
        <v>11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34</v>
      </c>
      <c r="S70" s="24" t="s">
        <v>28</v>
      </c>
      <c r="U70" s="37">
        <f t="shared" si="12"/>
        <v>8</v>
      </c>
      <c r="V70" s="37">
        <f t="shared" si="12"/>
        <v>23</v>
      </c>
      <c r="W70" s="37">
        <f t="shared" si="12"/>
        <v>19</v>
      </c>
      <c r="X70" s="37">
        <f t="shared" si="11"/>
        <v>23</v>
      </c>
      <c r="Y70" s="37">
        <f t="shared" si="11"/>
        <v>3</v>
      </c>
      <c r="Z70" s="37">
        <f t="shared" si="11"/>
        <v>10</v>
      </c>
      <c r="AA70" s="37">
        <f t="shared" si="11"/>
        <v>11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1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34</v>
      </c>
      <c r="S71" s="24" t="s">
        <v>29</v>
      </c>
      <c r="U71" s="37">
        <f t="shared" si="12"/>
        <v>3</v>
      </c>
      <c r="V71" s="37">
        <f t="shared" si="12"/>
        <v>8</v>
      </c>
      <c r="W71" s="37">
        <f t="shared" si="12"/>
        <v>19</v>
      </c>
      <c r="X71" s="37">
        <f t="shared" si="11"/>
        <v>17</v>
      </c>
      <c r="Y71" s="37">
        <f t="shared" si="11"/>
        <v>3</v>
      </c>
      <c r="Z71" s="37">
        <f t="shared" si="11"/>
        <v>10</v>
      </c>
      <c r="AA71" s="37">
        <f t="shared" si="11"/>
        <v>23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34</v>
      </c>
      <c r="S72" s="24" t="s">
        <v>21</v>
      </c>
      <c r="U72" s="37">
        <f t="shared" si="12"/>
        <v>3</v>
      </c>
      <c r="V72" s="37">
        <f t="shared" si="12"/>
        <v>8</v>
      </c>
      <c r="W72" s="37">
        <f t="shared" si="12"/>
        <v>11</v>
      </c>
      <c r="X72" s="37">
        <f t="shared" si="11"/>
        <v>0</v>
      </c>
      <c r="Y72" s="37">
        <f t="shared" si="11"/>
        <v>0</v>
      </c>
      <c r="Z72" s="37">
        <f t="shared" si="11"/>
        <v>10</v>
      </c>
      <c r="AA72" s="37">
        <f t="shared" si="11"/>
        <v>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34</v>
      </c>
      <c r="S73" s="24" t="s">
        <v>21</v>
      </c>
      <c r="U73" s="37">
        <f t="shared" si="12"/>
        <v>17</v>
      </c>
      <c r="V73" s="37">
        <f t="shared" si="12"/>
        <v>8</v>
      </c>
      <c r="W73" s="37">
        <f t="shared" si="12"/>
        <v>11</v>
      </c>
      <c r="X73" s="37">
        <f t="shared" si="11"/>
        <v>4</v>
      </c>
      <c r="Y73" s="37">
        <f t="shared" si="11"/>
        <v>4</v>
      </c>
      <c r="Z73" s="37">
        <f t="shared" si="11"/>
        <v>10</v>
      </c>
      <c r="AA73" s="37">
        <f t="shared" si="11"/>
        <v>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34</v>
      </c>
      <c r="S74" s="24" t="s">
        <v>17</v>
      </c>
      <c r="U74" s="37">
        <f t="shared" si="12"/>
        <v>23</v>
      </c>
      <c r="V74" s="37">
        <f t="shared" si="12"/>
        <v>0</v>
      </c>
      <c r="W74" s="37">
        <f t="shared" si="12"/>
        <v>11</v>
      </c>
      <c r="X74" s="37">
        <f t="shared" si="11"/>
        <v>4</v>
      </c>
      <c r="Y74" s="37">
        <f t="shared" si="11"/>
        <v>3</v>
      </c>
      <c r="Z74" s="37">
        <f t="shared" si="11"/>
        <v>10</v>
      </c>
      <c r="AA74" s="37">
        <f t="shared" si="11"/>
        <v>10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34</v>
      </c>
      <c r="S75" s="24" t="s">
        <v>17</v>
      </c>
      <c r="U75" s="37">
        <f t="shared" si="12"/>
        <v>23</v>
      </c>
      <c r="V75" s="37">
        <f t="shared" si="12"/>
        <v>11</v>
      </c>
      <c r="W75" s="37">
        <f t="shared" si="12"/>
        <v>17</v>
      </c>
      <c r="X75" s="37">
        <f t="shared" si="11"/>
        <v>19</v>
      </c>
      <c r="Y75" s="37">
        <f t="shared" si="11"/>
        <v>19</v>
      </c>
      <c r="Z75" s="37">
        <f t="shared" si="11"/>
        <v>10</v>
      </c>
      <c r="AA75" s="37">
        <f t="shared" si="11"/>
        <v>10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34</v>
      </c>
      <c r="S76" s="24" t="s">
        <v>17</v>
      </c>
      <c r="U76" s="37">
        <f t="shared" si="12"/>
        <v>17</v>
      </c>
      <c r="V76" s="37">
        <f t="shared" si="12"/>
        <v>0</v>
      </c>
      <c r="W76" s="37">
        <f t="shared" si="12"/>
        <v>3</v>
      </c>
      <c r="X76" s="37">
        <f t="shared" si="11"/>
        <v>4</v>
      </c>
      <c r="Y76" s="37">
        <f t="shared" si="11"/>
        <v>3</v>
      </c>
      <c r="Z76" s="37">
        <f t="shared" si="11"/>
        <v>10</v>
      </c>
      <c r="AA76" s="37">
        <f t="shared" si="11"/>
        <v>10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34</v>
      </c>
      <c r="S77" s="24" t="s">
        <v>27</v>
      </c>
      <c r="U77" s="37">
        <f t="shared" si="12"/>
        <v>11</v>
      </c>
      <c r="V77" s="37">
        <f t="shared" si="12"/>
        <v>19</v>
      </c>
      <c r="W77" s="37">
        <f t="shared" si="12"/>
        <v>11</v>
      </c>
      <c r="X77" s="37">
        <f t="shared" si="11"/>
        <v>11</v>
      </c>
      <c r="Y77" s="37">
        <f t="shared" si="11"/>
        <v>10</v>
      </c>
      <c r="Z77" s="37">
        <f t="shared" si="11"/>
        <v>10</v>
      </c>
      <c r="AA77" s="37">
        <f t="shared" si="11"/>
        <v>8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34</v>
      </c>
      <c r="S78" s="24" t="s">
        <v>27</v>
      </c>
      <c r="U78" s="37">
        <f t="shared" si="12"/>
        <v>4</v>
      </c>
      <c r="V78" s="37">
        <f t="shared" si="12"/>
        <v>0</v>
      </c>
      <c r="W78" s="37">
        <f t="shared" si="12"/>
        <v>11</v>
      </c>
      <c r="X78" s="37">
        <f t="shared" si="11"/>
        <v>11</v>
      </c>
      <c r="Y78" s="37">
        <f t="shared" si="11"/>
        <v>10</v>
      </c>
      <c r="Z78" s="37">
        <f t="shared" si="11"/>
        <v>10</v>
      </c>
      <c r="AA78" s="37">
        <f t="shared" si="11"/>
        <v>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34</v>
      </c>
      <c r="S79" s="24" t="s">
        <v>27</v>
      </c>
      <c r="U79" s="37">
        <f t="shared" si="12"/>
        <v>23</v>
      </c>
      <c r="V79" s="37">
        <f t="shared" si="12"/>
        <v>0</v>
      </c>
      <c r="W79" s="37">
        <f t="shared" si="12"/>
        <v>19</v>
      </c>
      <c r="X79" s="37">
        <f t="shared" si="11"/>
        <v>0</v>
      </c>
      <c r="Y79" s="37">
        <f t="shared" si="11"/>
        <v>0</v>
      </c>
      <c r="Z79" s="37">
        <f t="shared" si="11"/>
        <v>10</v>
      </c>
      <c r="AA79" s="37">
        <f t="shared" si="11"/>
        <v>8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34</v>
      </c>
      <c r="S80" s="38" t="s">
        <v>17</v>
      </c>
      <c r="U80" s="37">
        <f t="shared" si="12"/>
        <v>23</v>
      </c>
      <c r="V80" s="37">
        <f t="shared" si="12"/>
        <v>16</v>
      </c>
      <c r="W80" s="37">
        <f t="shared" si="12"/>
        <v>17</v>
      </c>
      <c r="X80" s="37">
        <f t="shared" si="11"/>
        <v>23</v>
      </c>
      <c r="Y80" s="37">
        <f t="shared" si="11"/>
        <v>4</v>
      </c>
      <c r="Z80" s="37">
        <f t="shared" si="11"/>
        <v>10</v>
      </c>
      <c r="AA80" s="37">
        <f t="shared" si="11"/>
        <v>10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34</v>
      </c>
      <c r="S81" s="24" t="s">
        <v>29</v>
      </c>
      <c r="U81" s="37">
        <f t="shared" si="12"/>
        <v>8</v>
      </c>
      <c r="V81" s="37">
        <f t="shared" si="12"/>
        <v>16</v>
      </c>
      <c r="W81" s="37">
        <f t="shared" si="12"/>
        <v>17</v>
      </c>
      <c r="X81" s="37">
        <f t="shared" si="11"/>
        <v>23</v>
      </c>
      <c r="Y81" s="37">
        <f t="shared" si="11"/>
        <v>4</v>
      </c>
      <c r="Z81" s="37">
        <f t="shared" si="11"/>
        <v>10</v>
      </c>
      <c r="AA81" s="37">
        <f t="shared" si="11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 x14ac:dyDescent="0.3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34</v>
      </c>
      <c r="S82" s="24" t="s">
        <v>29</v>
      </c>
      <c r="U82" s="37">
        <f t="shared" si="12"/>
        <v>11</v>
      </c>
      <c r="V82" s="37">
        <f t="shared" si="12"/>
        <v>6</v>
      </c>
      <c r="W82" s="37">
        <f t="shared" si="12"/>
        <v>17</v>
      </c>
      <c r="X82" s="37">
        <f t="shared" si="11"/>
        <v>19</v>
      </c>
      <c r="Y82" s="37">
        <f t="shared" si="11"/>
        <v>16</v>
      </c>
      <c r="Z82" s="37">
        <f t="shared" si="11"/>
        <v>10</v>
      </c>
      <c r="AA82" s="37">
        <f t="shared" si="11"/>
        <v>23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34</v>
      </c>
      <c r="S83" s="24" t="s">
        <v>29</v>
      </c>
      <c r="U83" s="37">
        <f t="shared" si="12"/>
        <v>4</v>
      </c>
      <c r="V83" s="37">
        <f t="shared" si="12"/>
        <v>6</v>
      </c>
      <c r="W83" s="37">
        <f t="shared" si="12"/>
        <v>3</v>
      </c>
      <c r="X83" s="37">
        <f t="shared" si="11"/>
        <v>0</v>
      </c>
      <c r="Y83" s="37">
        <f t="shared" si="11"/>
        <v>16</v>
      </c>
      <c r="Z83" s="37">
        <f t="shared" si="11"/>
        <v>10</v>
      </c>
      <c r="AA83" s="37">
        <f t="shared" si="11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34</v>
      </c>
      <c r="S84" s="24" t="s">
        <v>24</v>
      </c>
      <c r="U84" s="37">
        <f t="shared" si="12"/>
        <v>4</v>
      </c>
      <c r="V84" s="37">
        <f t="shared" si="12"/>
        <v>17</v>
      </c>
      <c r="W84" s="37">
        <f t="shared" si="12"/>
        <v>11</v>
      </c>
      <c r="X84" s="37">
        <f t="shared" si="11"/>
        <v>3</v>
      </c>
      <c r="Y84" s="37">
        <f t="shared" si="11"/>
        <v>0</v>
      </c>
      <c r="Z84" s="37">
        <f t="shared" si="11"/>
        <v>10</v>
      </c>
      <c r="AA84" s="37">
        <f t="shared" si="11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34</v>
      </c>
      <c r="S85" s="24" t="s">
        <v>24</v>
      </c>
      <c r="U85" s="37">
        <f t="shared" si="12"/>
        <v>11</v>
      </c>
      <c r="V85" s="37">
        <f t="shared" si="12"/>
        <v>17</v>
      </c>
      <c r="W85" s="37">
        <f t="shared" si="12"/>
        <v>6</v>
      </c>
      <c r="X85" s="37">
        <f t="shared" si="11"/>
        <v>4</v>
      </c>
      <c r="Y85" s="37">
        <f t="shared" si="11"/>
        <v>11</v>
      </c>
      <c r="Z85" s="37">
        <f t="shared" si="11"/>
        <v>10</v>
      </c>
      <c r="AA85" s="37">
        <f t="shared" si="11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34</v>
      </c>
      <c r="S86" s="24" t="s">
        <v>24</v>
      </c>
      <c r="U86" s="37">
        <f t="shared" si="12"/>
        <v>23</v>
      </c>
      <c r="V86" s="37">
        <f t="shared" si="12"/>
        <v>8</v>
      </c>
      <c r="W86" s="37">
        <f t="shared" si="12"/>
        <v>6</v>
      </c>
      <c r="X86" s="37">
        <f t="shared" si="11"/>
        <v>8</v>
      </c>
      <c r="Y86" s="37">
        <f t="shared" si="11"/>
        <v>11</v>
      </c>
      <c r="Z86" s="37">
        <f t="shared" si="11"/>
        <v>10</v>
      </c>
      <c r="AA86" s="37">
        <f t="shared" si="11"/>
        <v>19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 x14ac:dyDescent="0.3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34</v>
      </c>
      <c r="S87" s="24" t="s">
        <v>27</v>
      </c>
      <c r="U87" s="37">
        <f t="shared" si="12"/>
        <v>11</v>
      </c>
      <c r="V87" s="37">
        <f t="shared" si="12"/>
        <v>8</v>
      </c>
      <c r="W87" s="37">
        <f t="shared" si="12"/>
        <v>6</v>
      </c>
      <c r="X87" s="37">
        <f t="shared" si="11"/>
        <v>3</v>
      </c>
      <c r="Y87" s="37">
        <f t="shared" si="11"/>
        <v>16</v>
      </c>
      <c r="Z87" s="37">
        <f t="shared" si="11"/>
        <v>10</v>
      </c>
      <c r="AA87" s="37">
        <f t="shared" si="11"/>
        <v>8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 x14ac:dyDescent="0.3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34</v>
      </c>
      <c r="S88" s="24" t="s">
        <v>27</v>
      </c>
      <c r="U88" s="37">
        <f t="shared" si="12"/>
        <v>11</v>
      </c>
      <c r="V88" s="37">
        <f t="shared" si="12"/>
        <v>4</v>
      </c>
      <c r="W88" s="37">
        <f t="shared" si="12"/>
        <v>3</v>
      </c>
      <c r="X88" s="37">
        <f t="shared" si="11"/>
        <v>8</v>
      </c>
      <c r="Y88" s="37">
        <f t="shared" si="11"/>
        <v>6</v>
      </c>
      <c r="Z88" s="37">
        <f t="shared" si="11"/>
        <v>10</v>
      </c>
      <c r="AA88" s="37">
        <f t="shared" si="11"/>
        <v>8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34</v>
      </c>
      <c r="S89" s="24" t="s">
        <v>27</v>
      </c>
      <c r="U89" s="37">
        <f t="shared" si="12"/>
        <v>23</v>
      </c>
      <c r="V89" s="37">
        <f t="shared" si="12"/>
        <v>19</v>
      </c>
      <c r="W89" s="37">
        <f t="shared" si="12"/>
        <v>0</v>
      </c>
      <c r="X89" s="37">
        <f t="shared" si="11"/>
        <v>8</v>
      </c>
      <c r="Y89" s="37">
        <f t="shared" si="11"/>
        <v>17</v>
      </c>
      <c r="Z89" s="37">
        <f t="shared" si="11"/>
        <v>10</v>
      </c>
      <c r="AA89" s="37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34</v>
      </c>
      <c r="S90" s="24" t="s">
        <v>29</v>
      </c>
      <c r="U90" s="37">
        <f t="shared" si="12"/>
        <v>23</v>
      </c>
      <c r="V90" s="37">
        <f t="shared" si="12"/>
        <v>23</v>
      </c>
      <c r="W90" s="37">
        <f t="shared" si="12"/>
        <v>19</v>
      </c>
      <c r="X90" s="37">
        <f t="shared" si="11"/>
        <v>8</v>
      </c>
      <c r="Y90" s="37">
        <f t="shared" si="11"/>
        <v>3</v>
      </c>
      <c r="Z90" s="37">
        <f t="shared" si="11"/>
        <v>10</v>
      </c>
      <c r="AA90" s="37">
        <f t="shared" si="11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34</v>
      </c>
      <c r="S91" s="24" t="s">
        <v>64</v>
      </c>
      <c r="U91" s="37">
        <f t="shared" si="12"/>
        <v>23</v>
      </c>
      <c r="V91" s="37">
        <f t="shared" si="12"/>
        <v>23</v>
      </c>
      <c r="W91" s="37">
        <f t="shared" si="12"/>
        <v>19</v>
      </c>
      <c r="X91" s="37">
        <f t="shared" si="11"/>
        <v>23</v>
      </c>
      <c r="Y91" s="37">
        <f t="shared" si="11"/>
        <v>8</v>
      </c>
      <c r="Z91" s="37">
        <f t="shared" si="11"/>
        <v>10</v>
      </c>
      <c r="AA91" s="37">
        <f t="shared" si="11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34</v>
      </c>
      <c r="S92" s="24" t="s">
        <v>64</v>
      </c>
      <c r="U92" s="37">
        <f t="shared" si="12"/>
        <v>23</v>
      </c>
      <c r="V92" s="37">
        <f t="shared" si="12"/>
        <v>10</v>
      </c>
      <c r="W92" s="37">
        <f t="shared" si="12"/>
        <v>11</v>
      </c>
      <c r="X92" s="37">
        <f t="shared" si="11"/>
        <v>23</v>
      </c>
      <c r="Y92" s="37">
        <f t="shared" si="11"/>
        <v>8</v>
      </c>
      <c r="Z92" s="37">
        <f t="shared" si="11"/>
        <v>10</v>
      </c>
      <c r="AA92" s="37">
        <f t="shared" si="11"/>
        <v>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 x14ac:dyDescent="0.3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34</v>
      </c>
      <c r="S93" s="24" t="s">
        <v>64</v>
      </c>
      <c r="U93" s="37">
        <f t="shared" si="12"/>
        <v>11</v>
      </c>
      <c r="V93" s="37">
        <f t="shared" si="12"/>
        <v>6</v>
      </c>
      <c r="W93" s="37">
        <f t="shared" si="12"/>
        <v>11</v>
      </c>
      <c r="X93" s="37">
        <f t="shared" si="11"/>
        <v>23</v>
      </c>
      <c r="Y93" s="37">
        <f t="shared" si="11"/>
        <v>17</v>
      </c>
      <c r="Z93" s="37">
        <f t="shared" si="11"/>
        <v>10</v>
      </c>
      <c r="AA93" s="37">
        <f t="shared" si="11"/>
        <v>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34</v>
      </c>
      <c r="S94" s="24" t="s">
        <v>64</v>
      </c>
      <c r="U94" s="37">
        <f t="shared" si="12"/>
        <v>19</v>
      </c>
      <c r="V94" s="37">
        <f t="shared" si="12"/>
        <v>6</v>
      </c>
      <c r="W94" s="37">
        <f t="shared" si="12"/>
        <v>3</v>
      </c>
      <c r="X94" s="37">
        <f t="shared" si="11"/>
        <v>4</v>
      </c>
      <c r="Y94" s="37">
        <f t="shared" si="11"/>
        <v>17</v>
      </c>
      <c r="Z94" s="37">
        <f t="shared" si="11"/>
        <v>10</v>
      </c>
      <c r="AA94" s="37">
        <f t="shared" si="11"/>
        <v>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34</v>
      </c>
      <c r="S95" s="24" t="s">
        <v>29</v>
      </c>
      <c r="U95" s="37">
        <f t="shared" si="12"/>
        <v>11</v>
      </c>
      <c r="V95" s="37">
        <f t="shared" si="12"/>
        <v>19</v>
      </c>
      <c r="W95" s="37">
        <f t="shared" si="12"/>
        <v>11</v>
      </c>
      <c r="X95" s="37">
        <f t="shared" si="11"/>
        <v>4</v>
      </c>
      <c r="Y95" s="37">
        <f t="shared" si="11"/>
        <v>0</v>
      </c>
      <c r="Z95" s="37">
        <f t="shared" si="11"/>
        <v>10</v>
      </c>
      <c r="AA95" s="37">
        <f t="shared" si="11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 x14ac:dyDescent="0.3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34</v>
      </c>
      <c r="S96" s="24" t="s">
        <v>29</v>
      </c>
      <c r="U96" s="37">
        <f t="shared" si="12"/>
        <v>4</v>
      </c>
      <c r="V96" s="37">
        <f t="shared" si="12"/>
        <v>4</v>
      </c>
      <c r="W96" s="37">
        <f t="shared" si="12"/>
        <v>11</v>
      </c>
      <c r="X96" s="37">
        <f t="shared" si="11"/>
        <v>4</v>
      </c>
      <c r="Y96" s="37">
        <f t="shared" si="11"/>
        <v>11</v>
      </c>
      <c r="Z96" s="37">
        <f t="shared" si="11"/>
        <v>10</v>
      </c>
      <c r="AA96" s="37">
        <f t="shared" si="11"/>
        <v>23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 x14ac:dyDescent="0.3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34</v>
      </c>
      <c r="S97" s="24" t="s">
        <v>29</v>
      </c>
      <c r="U97" s="37">
        <f t="shared" si="12"/>
        <v>19</v>
      </c>
      <c r="V97" s="37">
        <f t="shared" si="12"/>
        <v>3</v>
      </c>
      <c r="W97" s="37">
        <f t="shared" si="12"/>
        <v>23</v>
      </c>
      <c r="X97" s="37">
        <f t="shared" si="11"/>
        <v>23</v>
      </c>
      <c r="Y97" s="37">
        <f t="shared" si="11"/>
        <v>17</v>
      </c>
      <c r="Z97" s="37">
        <f t="shared" si="11"/>
        <v>10</v>
      </c>
      <c r="AA97" s="37">
        <f t="shared" si="11"/>
        <v>23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34</v>
      </c>
      <c r="S98" s="24" t="s">
        <v>28</v>
      </c>
      <c r="U98" s="37">
        <f t="shared" si="12"/>
        <v>17</v>
      </c>
      <c r="V98" s="37">
        <f t="shared" si="12"/>
        <v>0</v>
      </c>
      <c r="W98" s="37">
        <f t="shared" si="12"/>
        <v>11</v>
      </c>
      <c r="X98" s="37">
        <f t="shared" si="11"/>
        <v>23</v>
      </c>
      <c r="Y98" s="37">
        <f t="shared" si="11"/>
        <v>17</v>
      </c>
      <c r="Z98" s="37">
        <f t="shared" si="11"/>
        <v>10</v>
      </c>
      <c r="AA98" s="37">
        <f t="shared" si="11"/>
        <v>11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 x14ac:dyDescent="0.3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34</v>
      </c>
      <c r="S99" s="24" t="s">
        <v>28</v>
      </c>
      <c r="U99" s="37">
        <f t="shared" si="12"/>
        <v>17</v>
      </c>
      <c r="V99" s="37">
        <f t="shared" si="12"/>
        <v>4</v>
      </c>
      <c r="W99" s="37">
        <f t="shared" si="12"/>
        <v>11</v>
      </c>
      <c r="X99" s="37">
        <f t="shared" si="11"/>
        <v>0</v>
      </c>
      <c r="Y99" s="37">
        <f t="shared" si="11"/>
        <v>17</v>
      </c>
      <c r="Z99" s="37">
        <f t="shared" si="11"/>
        <v>10</v>
      </c>
      <c r="AA99" s="37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34</v>
      </c>
      <c r="S100" s="24" t="s">
        <v>28</v>
      </c>
      <c r="U100" s="37">
        <f t="shared" si="12"/>
        <v>8</v>
      </c>
      <c r="V100" s="37">
        <f t="shared" si="12"/>
        <v>4</v>
      </c>
      <c r="W100" s="37">
        <f t="shared" si="12"/>
        <v>11</v>
      </c>
      <c r="X100" s="37">
        <f t="shared" si="11"/>
        <v>16</v>
      </c>
      <c r="Y100" s="37">
        <f t="shared" si="11"/>
        <v>16</v>
      </c>
      <c r="Z100" s="37">
        <f t="shared" si="11"/>
        <v>10</v>
      </c>
      <c r="AA100" s="37">
        <f t="shared" si="11"/>
        <v>11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 x14ac:dyDescent="0.3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34</v>
      </c>
      <c r="S101" s="24" t="s">
        <v>29</v>
      </c>
      <c r="U101" s="37">
        <f t="shared" si="12"/>
        <v>23</v>
      </c>
      <c r="V101" s="37">
        <f t="shared" si="12"/>
        <v>6</v>
      </c>
      <c r="W101" s="37">
        <f t="shared" si="12"/>
        <v>19</v>
      </c>
      <c r="X101" s="37">
        <f t="shared" si="11"/>
        <v>16</v>
      </c>
      <c r="Y101" s="37">
        <f t="shared" si="11"/>
        <v>3</v>
      </c>
      <c r="Z101" s="37">
        <f t="shared" si="11"/>
        <v>10</v>
      </c>
      <c r="AA101" s="37">
        <f t="shared" si="11"/>
        <v>23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 x14ac:dyDescent="0.3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34</v>
      </c>
      <c r="S102" s="24" t="s">
        <v>18</v>
      </c>
      <c r="U102" s="37">
        <f t="shared" si="12"/>
        <v>10</v>
      </c>
      <c r="V102" s="37">
        <f t="shared" si="12"/>
        <v>16</v>
      </c>
      <c r="W102" s="37">
        <f t="shared" si="12"/>
        <v>8</v>
      </c>
      <c r="X102" s="37">
        <f t="shared" si="11"/>
        <v>8</v>
      </c>
      <c r="Y102" s="37">
        <f t="shared" si="11"/>
        <v>11</v>
      </c>
      <c r="Z102" s="37">
        <f t="shared" si="11"/>
        <v>10</v>
      </c>
      <c r="AA102" s="37">
        <f t="shared" si="11"/>
        <v>3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34</v>
      </c>
      <c r="S103" s="24" t="s">
        <v>18</v>
      </c>
      <c r="U103" s="37">
        <f t="shared" si="12"/>
        <v>11</v>
      </c>
      <c r="V103" s="37">
        <f t="shared" si="12"/>
        <v>0</v>
      </c>
      <c r="W103" s="37">
        <f t="shared" si="12"/>
        <v>17</v>
      </c>
      <c r="X103" s="37">
        <f t="shared" si="11"/>
        <v>8</v>
      </c>
      <c r="Y103" s="37">
        <f t="shared" si="11"/>
        <v>11</v>
      </c>
      <c r="Z103" s="37">
        <f t="shared" si="11"/>
        <v>10</v>
      </c>
      <c r="AA103" s="37">
        <f t="shared" si="11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34</v>
      </c>
      <c r="S104" s="24" t="s">
        <v>18</v>
      </c>
      <c r="U104" s="37">
        <f t="shared" si="12"/>
        <v>16</v>
      </c>
      <c r="V104" s="37">
        <f t="shared" si="12"/>
        <v>4</v>
      </c>
      <c r="W104" s="37">
        <f t="shared" si="12"/>
        <v>17</v>
      </c>
      <c r="X104" s="37">
        <f t="shared" si="11"/>
        <v>0</v>
      </c>
      <c r="Y104" s="37">
        <f t="shared" si="11"/>
        <v>3</v>
      </c>
      <c r="Z104" s="37">
        <f t="shared" si="11"/>
        <v>10</v>
      </c>
      <c r="AA104" s="37">
        <f t="shared" si="11"/>
        <v>3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 x14ac:dyDescent="0.3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34</v>
      </c>
      <c r="S105" s="24" t="s">
        <v>28</v>
      </c>
      <c r="U105" s="37">
        <f t="shared" si="12"/>
        <v>16</v>
      </c>
      <c r="V105" s="37">
        <f t="shared" si="12"/>
        <v>0</v>
      </c>
      <c r="W105" s="37">
        <f t="shared" si="12"/>
        <v>11</v>
      </c>
      <c r="X105" s="37">
        <f t="shared" si="11"/>
        <v>4</v>
      </c>
      <c r="Y105" s="37">
        <f t="shared" si="11"/>
        <v>0</v>
      </c>
      <c r="Z105" s="37">
        <f t="shared" si="11"/>
        <v>10</v>
      </c>
      <c r="AA105" s="37">
        <f t="shared" si="11"/>
        <v>11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34</v>
      </c>
      <c r="S106" s="24" t="s">
        <v>28</v>
      </c>
      <c r="U106" s="37">
        <f t="shared" si="12"/>
        <v>17</v>
      </c>
      <c r="V106" s="37">
        <f t="shared" si="12"/>
        <v>0</v>
      </c>
      <c r="W106" s="37">
        <f t="shared" si="12"/>
        <v>11</v>
      </c>
      <c r="X106" s="37">
        <f t="shared" si="11"/>
        <v>19</v>
      </c>
      <c r="Y106" s="37">
        <f t="shared" si="11"/>
        <v>11</v>
      </c>
      <c r="Z106" s="37">
        <f t="shared" si="11"/>
        <v>10</v>
      </c>
      <c r="AA106" s="37">
        <f t="shared" si="11"/>
        <v>11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34</v>
      </c>
      <c r="S107" s="24" t="s">
        <v>21</v>
      </c>
      <c r="U107" s="37">
        <f t="shared" si="12"/>
        <v>8</v>
      </c>
      <c r="V107" s="37">
        <f t="shared" si="12"/>
        <v>4</v>
      </c>
      <c r="W107" s="37">
        <f t="shared" si="12"/>
        <v>23</v>
      </c>
      <c r="X107" s="37">
        <f t="shared" si="11"/>
        <v>8</v>
      </c>
      <c r="Y107" s="37">
        <f t="shared" si="11"/>
        <v>11</v>
      </c>
      <c r="Z107" s="37">
        <f t="shared" si="11"/>
        <v>10</v>
      </c>
      <c r="AA107" s="37">
        <f t="shared" si="11"/>
        <v>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34</v>
      </c>
      <c r="S108" s="24" t="s">
        <v>21</v>
      </c>
      <c r="U108" s="37">
        <f t="shared" si="12"/>
        <v>17</v>
      </c>
      <c r="V108" s="37">
        <f t="shared" si="12"/>
        <v>4</v>
      </c>
      <c r="W108" s="37">
        <f t="shared" si="12"/>
        <v>6</v>
      </c>
      <c r="X108" s="37">
        <f t="shared" si="11"/>
        <v>8</v>
      </c>
      <c r="Y108" s="37">
        <f t="shared" si="11"/>
        <v>16</v>
      </c>
      <c r="Z108" s="37">
        <f t="shared" si="11"/>
        <v>10</v>
      </c>
      <c r="AA108" s="37">
        <f t="shared" si="11"/>
        <v>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34</v>
      </c>
      <c r="S109" s="24" t="s">
        <v>29</v>
      </c>
      <c r="U109" s="37">
        <f t="shared" si="12"/>
        <v>23</v>
      </c>
      <c r="V109" s="37">
        <f t="shared" si="12"/>
        <v>23</v>
      </c>
      <c r="W109" s="37">
        <f t="shared" si="12"/>
        <v>6</v>
      </c>
      <c r="X109" s="37">
        <f t="shared" si="11"/>
        <v>10</v>
      </c>
      <c r="Y109" s="37">
        <f t="shared" si="11"/>
        <v>11</v>
      </c>
      <c r="Z109" s="37">
        <f t="shared" si="11"/>
        <v>10</v>
      </c>
      <c r="AA109" s="37">
        <f t="shared" si="11"/>
        <v>23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 x14ac:dyDescent="0.3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34</v>
      </c>
      <c r="S110" s="24" t="s">
        <v>29</v>
      </c>
      <c r="U110" s="37">
        <f t="shared" si="12"/>
        <v>23</v>
      </c>
      <c r="V110" s="37">
        <f t="shared" si="12"/>
        <v>8</v>
      </c>
      <c r="W110" s="37">
        <f t="shared" si="12"/>
        <v>11</v>
      </c>
      <c r="X110" s="37">
        <f t="shared" si="11"/>
        <v>4</v>
      </c>
      <c r="Y110" s="37">
        <f t="shared" si="11"/>
        <v>23</v>
      </c>
      <c r="Z110" s="37">
        <f t="shared" si="11"/>
        <v>10</v>
      </c>
      <c r="AA110" s="37">
        <f t="shared" si="11"/>
        <v>23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 x14ac:dyDescent="0.3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34</v>
      </c>
      <c r="S111" s="24" t="s">
        <v>29</v>
      </c>
      <c r="U111" s="37">
        <f t="shared" si="12"/>
        <v>10</v>
      </c>
      <c r="V111" s="37">
        <f t="shared" si="12"/>
        <v>8</v>
      </c>
      <c r="W111" s="37">
        <f t="shared" si="12"/>
        <v>11</v>
      </c>
      <c r="X111" s="37">
        <f t="shared" si="11"/>
        <v>11</v>
      </c>
      <c r="Y111" s="37">
        <f t="shared" si="11"/>
        <v>3</v>
      </c>
      <c r="Z111" s="37">
        <f t="shared" si="11"/>
        <v>10</v>
      </c>
      <c r="AA111" s="37">
        <f t="shared" si="11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34</v>
      </c>
      <c r="S112" s="24" t="s">
        <v>28</v>
      </c>
      <c r="U112" s="37">
        <f t="shared" si="12"/>
        <v>8</v>
      </c>
      <c r="V112" s="37">
        <f t="shared" si="12"/>
        <v>6</v>
      </c>
      <c r="W112" s="37">
        <f t="shared" si="12"/>
        <v>11</v>
      </c>
      <c r="X112" s="37">
        <f t="shared" si="11"/>
        <v>23</v>
      </c>
      <c r="Y112" s="37">
        <f t="shared" si="11"/>
        <v>0</v>
      </c>
      <c r="Z112" s="37">
        <f t="shared" si="11"/>
        <v>10</v>
      </c>
      <c r="AA112" s="37">
        <f t="shared" si="11"/>
        <v>11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34</v>
      </c>
      <c r="S113" s="38" t="s">
        <v>28</v>
      </c>
      <c r="U113" s="37">
        <f t="shared" si="12"/>
        <v>8</v>
      </c>
      <c r="V113" s="37">
        <f t="shared" si="12"/>
        <v>19</v>
      </c>
      <c r="W113" s="37">
        <f t="shared" si="12"/>
        <v>19</v>
      </c>
      <c r="X113" s="37">
        <f t="shared" si="11"/>
        <v>4</v>
      </c>
      <c r="Y113" s="37">
        <f t="shared" si="11"/>
        <v>16</v>
      </c>
      <c r="Z113" s="37">
        <f t="shared" si="11"/>
        <v>10</v>
      </c>
      <c r="AA113" s="37">
        <f t="shared" si="11"/>
        <v>11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34</v>
      </c>
      <c r="S114" s="24" t="s">
        <v>28</v>
      </c>
      <c r="U114" s="37">
        <f t="shared" si="12"/>
        <v>11</v>
      </c>
      <c r="V114" s="37">
        <f t="shared" si="12"/>
        <v>4</v>
      </c>
      <c r="W114" s="37">
        <f t="shared" si="12"/>
        <v>19</v>
      </c>
      <c r="X114" s="37">
        <f t="shared" si="11"/>
        <v>4</v>
      </c>
      <c r="Y114" s="37">
        <f t="shared" si="11"/>
        <v>11</v>
      </c>
      <c r="Z114" s="37">
        <f t="shared" si="11"/>
        <v>10</v>
      </c>
      <c r="AA114" s="37">
        <f t="shared" si="11"/>
        <v>11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34</v>
      </c>
      <c r="S115" s="24" t="s">
        <v>21</v>
      </c>
      <c r="U115" s="37">
        <f t="shared" si="12"/>
        <v>16</v>
      </c>
      <c r="V115" s="37">
        <f t="shared" si="12"/>
        <v>8</v>
      </c>
      <c r="W115" s="37">
        <f t="shared" si="12"/>
        <v>0</v>
      </c>
      <c r="X115" s="37">
        <f t="shared" si="11"/>
        <v>17</v>
      </c>
      <c r="Y115" s="37">
        <f t="shared" si="11"/>
        <v>16</v>
      </c>
      <c r="Z115" s="37">
        <f t="shared" si="11"/>
        <v>10</v>
      </c>
      <c r="AA115" s="37">
        <f t="shared" si="11"/>
        <v>6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34</v>
      </c>
      <c r="S116" s="24" t="s">
        <v>21</v>
      </c>
      <c r="U116" s="37">
        <f t="shared" si="12"/>
        <v>23</v>
      </c>
      <c r="V116" s="37">
        <f t="shared" si="12"/>
        <v>8</v>
      </c>
      <c r="W116" s="37">
        <f t="shared" si="12"/>
        <v>11</v>
      </c>
      <c r="X116" s="37">
        <f t="shared" si="11"/>
        <v>0</v>
      </c>
      <c r="Y116" s="37">
        <f t="shared" si="11"/>
        <v>16</v>
      </c>
      <c r="Z116" s="37">
        <f t="shared" si="11"/>
        <v>10</v>
      </c>
      <c r="AA116" s="37">
        <f t="shared" si="11"/>
        <v>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34</v>
      </c>
      <c r="S117" s="24" t="s">
        <v>27</v>
      </c>
      <c r="U117" s="37">
        <f t="shared" si="12"/>
        <v>23</v>
      </c>
      <c r="V117" s="37">
        <f t="shared" si="12"/>
        <v>6</v>
      </c>
      <c r="W117" s="37">
        <f t="shared" si="12"/>
        <v>19</v>
      </c>
      <c r="X117" s="37">
        <f t="shared" si="11"/>
        <v>11</v>
      </c>
      <c r="Y117" s="37">
        <f t="shared" si="11"/>
        <v>16</v>
      </c>
      <c r="Z117" s="37">
        <f t="shared" si="11"/>
        <v>10</v>
      </c>
      <c r="AA117" s="37">
        <f t="shared" si="11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34</v>
      </c>
      <c r="S118" s="24" t="s">
        <v>27</v>
      </c>
      <c r="U118" s="37">
        <f t="shared" si="12"/>
        <v>8</v>
      </c>
      <c r="V118" s="37">
        <f t="shared" si="12"/>
        <v>6</v>
      </c>
      <c r="W118" s="37">
        <f t="shared" si="12"/>
        <v>17</v>
      </c>
      <c r="X118" s="37">
        <f t="shared" si="11"/>
        <v>17</v>
      </c>
      <c r="Y118" s="37">
        <f t="shared" si="11"/>
        <v>3</v>
      </c>
      <c r="Z118" s="37">
        <f t="shared" si="11"/>
        <v>10</v>
      </c>
      <c r="AA118" s="37">
        <f t="shared" si="11"/>
        <v>8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34</v>
      </c>
      <c r="S119" s="24" t="s">
        <v>29</v>
      </c>
      <c r="U119" s="37">
        <f t="shared" si="12"/>
        <v>23</v>
      </c>
      <c r="V119" s="37">
        <f t="shared" si="12"/>
        <v>16</v>
      </c>
      <c r="W119" s="37">
        <f t="shared" si="12"/>
        <v>3</v>
      </c>
      <c r="X119" s="37">
        <f t="shared" si="11"/>
        <v>0</v>
      </c>
      <c r="Y119" s="37">
        <f t="shared" si="11"/>
        <v>0</v>
      </c>
      <c r="Z119" s="37">
        <f t="shared" si="11"/>
        <v>10</v>
      </c>
      <c r="AA119" s="37">
        <f t="shared" ref="AA119:AA124" si="13">VLOOKUP(S119, $A$4:$J$29, 9, 0)</f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34</v>
      </c>
      <c r="S120" s="24" t="s">
        <v>29</v>
      </c>
      <c r="U120" s="37">
        <f t="shared" si="12"/>
        <v>23</v>
      </c>
      <c r="V120" s="37">
        <f t="shared" si="12"/>
        <v>23</v>
      </c>
      <c r="W120" s="37">
        <f t="shared" si="12"/>
        <v>19</v>
      </c>
      <c r="X120" s="37">
        <f t="shared" si="12"/>
        <v>4</v>
      </c>
      <c r="Y120" s="37">
        <f t="shared" si="12"/>
        <v>6</v>
      </c>
      <c r="Z120" s="37">
        <f t="shared" si="12"/>
        <v>10</v>
      </c>
      <c r="AA120" s="37">
        <f t="shared" si="13"/>
        <v>23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34</v>
      </c>
      <c r="S121" s="24" t="s">
        <v>29</v>
      </c>
      <c r="U121" s="37">
        <f t="shared" ref="U121:Z124" si="14">VLOOKUP(M121, $A$4:$J$29, 9, 0)</f>
        <v>4</v>
      </c>
      <c r="V121" s="37">
        <f t="shared" si="14"/>
        <v>23</v>
      </c>
      <c r="W121" s="37">
        <f t="shared" si="14"/>
        <v>19</v>
      </c>
      <c r="X121" s="37">
        <f t="shared" si="14"/>
        <v>8</v>
      </c>
      <c r="Y121" s="37">
        <f t="shared" si="14"/>
        <v>6</v>
      </c>
      <c r="Z121" s="37">
        <f t="shared" si="14"/>
        <v>10</v>
      </c>
      <c r="AA121" s="37">
        <f t="shared" si="13"/>
        <v>23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 x14ac:dyDescent="0.3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34</v>
      </c>
      <c r="S122" s="24" t="s">
        <v>26</v>
      </c>
      <c r="U122" s="37">
        <f t="shared" si="14"/>
        <v>23</v>
      </c>
      <c r="V122" s="37">
        <f t="shared" si="14"/>
        <v>0</v>
      </c>
      <c r="W122" s="37">
        <f t="shared" si="14"/>
        <v>11</v>
      </c>
      <c r="X122" s="37">
        <f t="shared" si="14"/>
        <v>8</v>
      </c>
      <c r="Y122" s="37">
        <f t="shared" si="14"/>
        <v>16</v>
      </c>
      <c r="Z122" s="37">
        <f t="shared" si="14"/>
        <v>10</v>
      </c>
      <c r="AA122" s="37">
        <f t="shared" si="13"/>
        <v>17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 x14ac:dyDescent="0.3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34</v>
      </c>
      <c r="S123" s="24" t="s">
        <v>26</v>
      </c>
      <c r="U123" s="37">
        <f t="shared" si="14"/>
        <v>17</v>
      </c>
      <c r="V123" s="37">
        <f t="shared" si="14"/>
        <v>8</v>
      </c>
      <c r="W123" s="37">
        <f t="shared" si="14"/>
        <v>17</v>
      </c>
      <c r="X123" s="37">
        <f t="shared" si="14"/>
        <v>4</v>
      </c>
      <c r="Y123" s="37">
        <f t="shared" si="14"/>
        <v>6</v>
      </c>
      <c r="Z123" s="37">
        <f t="shared" si="14"/>
        <v>10</v>
      </c>
      <c r="AA123" s="37">
        <f t="shared" si="13"/>
        <v>17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34</v>
      </c>
      <c r="S124" s="24" t="s">
        <v>26</v>
      </c>
      <c r="U124" s="37">
        <f t="shared" si="14"/>
        <v>17</v>
      </c>
      <c r="V124" s="37">
        <f t="shared" si="14"/>
        <v>23</v>
      </c>
      <c r="W124" s="37">
        <f t="shared" si="14"/>
        <v>19</v>
      </c>
      <c r="X124" s="37">
        <f t="shared" si="14"/>
        <v>4</v>
      </c>
      <c r="Y124" s="37">
        <f t="shared" si="14"/>
        <v>16</v>
      </c>
      <c r="Z124" s="37">
        <f t="shared" si="14"/>
        <v>10</v>
      </c>
      <c r="AA124" s="37">
        <f t="shared" si="13"/>
        <v>17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 x14ac:dyDescent="0.3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 x14ac:dyDescent="0.3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 x14ac:dyDescent="0.3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 x14ac:dyDescent="0.3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 x14ac:dyDescent="0.3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 x14ac:dyDescent="0.3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 x14ac:dyDescent="0.3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 x14ac:dyDescent="0.3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 x14ac:dyDescent="0.3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 x14ac:dyDescent="0.3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 x14ac:dyDescent="0.3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 x14ac:dyDescent="0.3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 x14ac:dyDescent="0.3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 x14ac:dyDescent="0.3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 x14ac:dyDescent="0.3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 x14ac:dyDescent="0.3"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37:46" x14ac:dyDescent="0.3"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 x14ac:dyDescent="0.3">
      <c r="AT146" s="9"/>
    </row>
    <row r="147" spans="37:46" x14ac:dyDescent="0.3">
      <c r="AO147" s="9"/>
      <c r="AP147" s="9"/>
      <c r="AQ147" s="9"/>
      <c r="AR147" s="9"/>
      <c r="AS147" s="9"/>
      <c r="AT147" s="9"/>
    </row>
    <row r="148" spans="37:46" x14ac:dyDescent="0.3">
      <c r="AO148" s="9"/>
      <c r="AP148" s="9"/>
      <c r="AQ148" s="9"/>
      <c r="AR148" s="9"/>
      <c r="AS148" s="9"/>
      <c r="AT148" s="9"/>
    </row>
    <row r="149" spans="37:46" x14ac:dyDescent="0.3">
      <c r="AO149" s="9"/>
      <c r="AP149" s="9"/>
      <c r="AQ149" s="9"/>
      <c r="AR149" s="9"/>
      <c r="AS149" s="9"/>
      <c r="AT149" s="9"/>
    </row>
    <row r="150" spans="37:46" x14ac:dyDescent="0.3">
      <c r="AO150" s="9"/>
      <c r="AP150" s="9"/>
      <c r="AQ150" s="9"/>
      <c r="AR150" s="9"/>
      <c r="AS150" s="9"/>
      <c r="AT150" s="9"/>
    </row>
    <row r="151" spans="37:46" x14ac:dyDescent="0.3">
      <c r="AO151" s="9"/>
      <c r="AP151" s="9"/>
      <c r="AQ151" s="9"/>
      <c r="AR151" s="9"/>
      <c r="AS151" s="9"/>
      <c r="AT151" s="9"/>
    </row>
    <row r="152" spans="37:46" x14ac:dyDescent="0.3">
      <c r="AO152" s="9"/>
      <c r="AP152" s="9"/>
      <c r="AQ152" s="9"/>
      <c r="AR152" s="9"/>
      <c r="AS152" s="9"/>
      <c r="AT152" s="9"/>
    </row>
    <row r="153" spans="37:46" x14ac:dyDescent="0.3">
      <c r="AO153" s="9"/>
      <c r="AP153" s="9"/>
      <c r="AQ153" s="9"/>
      <c r="AR153" s="9"/>
      <c r="AS153" s="9"/>
      <c r="AT153" s="9"/>
    </row>
    <row r="154" spans="37:46" x14ac:dyDescent="0.3">
      <c r="AO154" s="9"/>
      <c r="AP154" s="9"/>
      <c r="AQ154" s="9"/>
      <c r="AR154" s="9"/>
      <c r="AS154" s="9"/>
      <c r="AT154" s="9"/>
    </row>
    <row r="155" spans="37:46" x14ac:dyDescent="0.3">
      <c r="AO155" s="9"/>
      <c r="AP155" s="9"/>
      <c r="AQ155" s="9"/>
      <c r="AR155" s="9"/>
      <c r="AS155" s="9"/>
      <c r="AT155" s="9"/>
    </row>
    <row r="156" spans="37:46" x14ac:dyDescent="0.3">
      <c r="AO156" s="9"/>
      <c r="AP156" s="9"/>
      <c r="AQ156" s="9"/>
      <c r="AR156" s="9"/>
      <c r="AS156" s="9"/>
      <c r="AT156" s="9"/>
    </row>
    <row r="157" spans="37:46" x14ac:dyDescent="0.3">
      <c r="AO157" s="9"/>
      <c r="AP157" s="9"/>
      <c r="AQ157" s="9"/>
      <c r="AR157" s="9"/>
      <c r="AS157" s="9"/>
      <c r="AT157" s="9"/>
    </row>
    <row r="158" spans="37:46" x14ac:dyDescent="0.3">
      <c r="AO158" s="9"/>
      <c r="AP158" s="9"/>
      <c r="AQ158" s="9"/>
      <c r="AR158" s="9"/>
      <c r="AS158" s="9"/>
      <c r="AT158" s="9"/>
    </row>
    <row r="159" spans="37:46" x14ac:dyDescent="0.3">
      <c r="AO159" s="9"/>
      <c r="AP159" s="9"/>
      <c r="AQ159" s="9"/>
      <c r="AR159" s="9"/>
      <c r="AS159" s="9"/>
      <c r="AT159" s="9"/>
    </row>
    <row r="160" spans="37:46" x14ac:dyDescent="0.3">
      <c r="AO160" s="9"/>
      <c r="AP160" s="9"/>
      <c r="AQ160" s="9"/>
      <c r="AR160" s="9"/>
      <c r="AS160" s="9"/>
      <c r="AT160" s="9"/>
    </row>
    <row r="161" spans="41:46" x14ac:dyDescent="0.3">
      <c r="AO161" s="9"/>
      <c r="AP161" s="9"/>
      <c r="AQ161" s="9"/>
      <c r="AR161" s="9"/>
      <c r="AS161" s="9"/>
      <c r="AT161" s="9"/>
    </row>
    <row r="162" spans="41:46" x14ac:dyDescent="0.3">
      <c r="AO162" s="9"/>
      <c r="AP162" s="9"/>
      <c r="AQ162" s="9"/>
      <c r="AR162" s="9"/>
      <c r="AS162" s="9"/>
      <c r="AT162" s="9"/>
    </row>
    <row r="163" spans="41:46" x14ac:dyDescent="0.3">
      <c r="AO163" s="9"/>
      <c r="AP163" s="9"/>
      <c r="AQ163" s="9"/>
      <c r="AR163" s="9"/>
      <c r="AS163" s="9"/>
      <c r="AT163" s="9"/>
    </row>
    <row r="164" spans="41:46" x14ac:dyDescent="0.3">
      <c r="AO164" s="9"/>
      <c r="AP164" s="9"/>
      <c r="AQ164" s="9"/>
      <c r="AR164" s="9"/>
      <c r="AS164" s="9"/>
      <c r="AT164" s="9"/>
    </row>
    <row r="165" spans="41:46" x14ac:dyDescent="0.3">
      <c r="AO165" s="9"/>
      <c r="AP165" s="9"/>
      <c r="AQ165" s="9"/>
      <c r="AR165" s="9"/>
      <c r="AS165" s="9"/>
      <c r="AT165" s="9"/>
    </row>
    <row r="166" spans="41:46" x14ac:dyDescent="0.3">
      <c r="AO166" s="9"/>
      <c r="AP166" s="9"/>
      <c r="AQ166" s="9"/>
      <c r="AR166" s="9"/>
      <c r="AS166" s="9"/>
      <c r="AT166" s="9"/>
    </row>
    <row r="167" spans="41:46" x14ac:dyDescent="0.3">
      <c r="AO167" s="9"/>
      <c r="AP167" s="9"/>
      <c r="AQ167" s="9"/>
      <c r="AR167" s="9"/>
      <c r="AS167" s="9"/>
      <c r="AT167" s="9"/>
    </row>
    <row r="168" spans="41:46" x14ac:dyDescent="0.3">
      <c r="AO168" s="9"/>
      <c r="AP168" s="9"/>
      <c r="AQ168" s="9"/>
      <c r="AR168" s="9"/>
      <c r="AS168" s="9"/>
      <c r="AT168" s="9"/>
    </row>
    <row r="169" spans="41:46" x14ac:dyDescent="0.3">
      <c r="AO169" s="9"/>
      <c r="AP169" s="9"/>
      <c r="AQ169" s="9"/>
      <c r="AR169" s="9"/>
      <c r="AS169" s="9"/>
      <c r="AT169" s="9"/>
    </row>
    <row r="170" spans="41:46" x14ac:dyDescent="0.3">
      <c r="AO170" s="9"/>
      <c r="AP170" s="9"/>
      <c r="AQ170" s="9"/>
      <c r="AR170" s="9"/>
      <c r="AS170" s="9"/>
      <c r="AT170" s="9"/>
    </row>
    <row r="171" spans="41:46" x14ac:dyDescent="0.3">
      <c r="AO171" s="9"/>
      <c r="AP171" s="9"/>
      <c r="AQ171" s="9"/>
      <c r="AR171" s="9"/>
      <c r="AS171" s="9"/>
      <c r="AT171" s="9"/>
    </row>
    <row r="172" spans="41:46" x14ac:dyDescent="0.3">
      <c r="AO172" s="9"/>
      <c r="AP172" s="9"/>
      <c r="AQ172" s="9"/>
      <c r="AR172" s="9"/>
      <c r="AS172" s="9"/>
      <c r="AT172" s="9"/>
    </row>
    <row r="173" spans="41:46" x14ac:dyDescent="0.3">
      <c r="AO173" s="9"/>
      <c r="AP173" s="9"/>
      <c r="AQ173" s="9"/>
      <c r="AR173" s="9"/>
      <c r="AS173" s="9"/>
      <c r="AT173" s="9"/>
    </row>
    <row r="174" spans="41:46" x14ac:dyDescent="0.3">
      <c r="AO174" s="9"/>
      <c r="AP174" s="9"/>
      <c r="AQ174" s="9"/>
      <c r="AR174" s="9"/>
      <c r="AS174" s="9"/>
      <c r="AT174" s="9"/>
    </row>
    <row r="175" spans="41:46" x14ac:dyDescent="0.3">
      <c r="AO175" s="9"/>
      <c r="AP175" s="9"/>
      <c r="AQ175" s="9"/>
      <c r="AR175" s="9"/>
      <c r="AS175" s="9"/>
      <c r="AT175" s="9"/>
    </row>
    <row r="176" spans="41:46" x14ac:dyDescent="0.3">
      <c r="AO176" s="9"/>
      <c r="AP176" s="9"/>
      <c r="AQ176" s="9"/>
      <c r="AR176" s="9"/>
      <c r="AS176" s="9"/>
      <c r="AT176" s="9"/>
    </row>
    <row r="177" spans="41:46" x14ac:dyDescent="0.3">
      <c r="AO177" s="9"/>
      <c r="AP177" s="9"/>
      <c r="AQ177" s="9"/>
      <c r="AR177" s="9"/>
      <c r="AS177" s="9"/>
      <c r="AT177" s="9"/>
    </row>
    <row r="178" spans="41:46" x14ac:dyDescent="0.3">
      <c r="AO178" s="9"/>
      <c r="AP178" s="9"/>
      <c r="AQ178" s="9"/>
      <c r="AR178" s="9"/>
      <c r="AS178" s="9"/>
      <c r="AT178" s="9"/>
    </row>
    <row r="179" spans="41:46" x14ac:dyDescent="0.3">
      <c r="AO179" s="9"/>
      <c r="AP179" s="9"/>
      <c r="AQ179" s="9"/>
      <c r="AR179" s="9"/>
      <c r="AS179" s="9"/>
      <c r="AT179" s="9"/>
    </row>
    <row r="180" spans="41:46" x14ac:dyDescent="0.3">
      <c r="AO180" s="9"/>
      <c r="AP180" s="9"/>
      <c r="AQ180" s="9"/>
      <c r="AR180" s="9"/>
      <c r="AS180" s="9"/>
      <c r="AT180" s="9"/>
    </row>
    <row r="181" spans="41:46" x14ac:dyDescent="0.3">
      <c r="AO181" s="9"/>
      <c r="AP181" s="9"/>
      <c r="AQ181" s="9"/>
      <c r="AR181" s="9"/>
      <c r="AS181" s="9"/>
      <c r="AT181" s="9"/>
    </row>
    <row r="182" spans="41:46" x14ac:dyDescent="0.3">
      <c r="AO182" s="9"/>
      <c r="AP182" s="9"/>
      <c r="AQ182" s="9"/>
      <c r="AR182" s="9"/>
      <c r="AS182" s="9"/>
      <c r="AT182" s="9"/>
    </row>
    <row r="183" spans="41:46" x14ac:dyDescent="0.3">
      <c r="AO183" s="9"/>
      <c r="AP183" s="9"/>
      <c r="AQ183" s="9"/>
      <c r="AR183" s="9"/>
      <c r="AS183" s="9"/>
      <c r="AT183" s="9"/>
    </row>
    <row r="184" spans="41:46" x14ac:dyDescent="0.3">
      <c r="AO184" s="9"/>
      <c r="AP184" s="9"/>
      <c r="AQ184" s="9"/>
      <c r="AR184" s="9"/>
      <c r="AS184" s="9"/>
      <c r="AT184" s="9"/>
    </row>
    <row r="185" spans="41:46" x14ac:dyDescent="0.3">
      <c r="AO185" s="9"/>
      <c r="AP185" s="9"/>
      <c r="AQ185" s="9"/>
      <c r="AR185" s="9"/>
      <c r="AS185" s="9"/>
      <c r="AT185" s="9"/>
    </row>
    <row r="186" spans="41:46" x14ac:dyDescent="0.3">
      <c r="AO186" s="9"/>
      <c r="AP186" s="9"/>
      <c r="AQ186" s="9"/>
      <c r="AR186" s="9"/>
      <c r="AS186" s="9"/>
      <c r="AT186" s="9"/>
    </row>
    <row r="187" spans="41:46" x14ac:dyDescent="0.3">
      <c r="AO187" s="9"/>
      <c r="AP187" s="9"/>
      <c r="AQ187" s="9"/>
      <c r="AR187" s="9"/>
      <c r="AS187" s="9"/>
      <c r="AT187" s="9"/>
    </row>
    <row r="188" spans="41:46" x14ac:dyDescent="0.3">
      <c r="AO188" s="9"/>
      <c r="AP188" s="9"/>
      <c r="AQ188" s="9"/>
      <c r="AR188" s="9"/>
      <c r="AS188" s="9"/>
      <c r="AT188" s="9"/>
    </row>
    <row r="189" spans="41:46" x14ac:dyDescent="0.3">
      <c r="AO189" s="9"/>
      <c r="AP189" s="9"/>
      <c r="AQ189" s="9"/>
      <c r="AR189" s="9"/>
      <c r="AS189" s="9"/>
      <c r="AT189" s="9"/>
    </row>
    <row r="190" spans="41:46" x14ac:dyDescent="0.3">
      <c r="AO190" s="9"/>
      <c r="AP190" s="9"/>
      <c r="AQ190" s="9"/>
      <c r="AR190" s="9"/>
      <c r="AS190" s="9"/>
      <c r="AT190" s="9"/>
    </row>
    <row r="191" spans="41:46" x14ac:dyDescent="0.3">
      <c r="AO191" s="9"/>
      <c r="AP191" s="9"/>
      <c r="AQ191" s="9"/>
      <c r="AR191" s="9"/>
      <c r="AS191" s="9"/>
      <c r="AT191" s="9"/>
    </row>
    <row r="192" spans="41:46" x14ac:dyDescent="0.3">
      <c r="AO192" s="9"/>
      <c r="AP192" s="9"/>
      <c r="AQ192" s="9"/>
      <c r="AR192" s="9"/>
      <c r="AS192" s="9"/>
      <c r="AT192" s="9"/>
    </row>
    <row r="193" spans="41:46" x14ac:dyDescent="0.3">
      <c r="AO193" s="9"/>
      <c r="AP193" s="9"/>
      <c r="AQ193" s="9"/>
      <c r="AR193" s="9"/>
      <c r="AS193" s="9"/>
      <c r="AT193" s="9"/>
    </row>
    <row r="194" spans="41:46" x14ac:dyDescent="0.3">
      <c r="AO194" s="9"/>
      <c r="AP194" s="9"/>
      <c r="AQ194" s="9"/>
      <c r="AR194" s="9"/>
      <c r="AS194" s="9"/>
      <c r="AT194" s="9"/>
    </row>
    <row r="195" spans="41:46" x14ac:dyDescent="0.3">
      <c r="AO195" s="9"/>
      <c r="AP195" s="9"/>
      <c r="AQ195" s="9"/>
      <c r="AR195" s="9"/>
      <c r="AS195" s="9"/>
      <c r="AT195" s="9"/>
    </row>
    <row r="196" spans="41:46" x14ac:dyDescent="0.3">
      <c r="AO196" s="9"/>
      <c r="AP196" s="9"/>
      <c r="AQ196" s="9"/>
      <c r="AR196" s="9"/>
      <c r="AS196" s="9"/>
      <c r="AT196" s="9"/>
    </row>
    <row r="197" spans="41:46" x14ac:dyDescent="0.3">
      <c r="AO197" s="9"/>
      <c r="AP197" s="9"/>
      <c r="AQ197" s="9"/>
      <c r="AR197" s="9"/>
      <c r="AS197" s="9"/>
      <c r="AT197" s="9"/>
    </row>
    <row r="198" spans="41:46" x14ac:dyDescent="0.3">
      <c r="AO198" s="9"/>
      <c r="AP198" s="9"/>
      <c r="AQ198" s="9"/>
      <c r="AR198" s="9"/>
      <c r="AS198" s="9"/>
      <c r="AT198" s="9"/>
    </row>
    <row r="199" spans="41:46" x14ac:dyDescent="0.3">
      <c r="AO199" s="9"/>
      <c r="AP199" s="9"/>
      <c r="AQ199" s="9"/>
      <c r="AR199" s="9"/>
      <c r="AS199" s="9"/>
      <c r="AT199" s="9"/>
    </row>
    <row r="200" spans="41:46" x14ac:dyDescent="0.3">
      <c r="AO200" s="9"/>
      <c r="AP200" s="9"/>
      <c r="AQ200" s="9"/>
      <c r="AR200" s="9"/>
      <c r="AS200" s="9"/>
      <c r="AT200" s="9"/>
    </row>
    <row r="201" spans="41:46" x14ac:dyDescent="0.3">
      <c r="AO201" s="9"/>
      <c r="AP201" s="9"/>
      <c r="AQ201" s="9"/>
      <c r="AR201" s="9"/>
      <c r="AS201" s="9"/>
      <c r="AT201" s="9"/>
    </row>
    <row r="202" spans="41:46" x14ac:dyDescent="0.3">
      <c r="AO202" s="9"/>
      <c r="AP202" s="9"/>
      <c r="AQ202" s="9"/>
      <c r="AR202" s="9"/>
      <c r="AS202" s="9"/>
      <c r="AT202" s="9"/>
    </row>
    <row r="203" spans="41:46" x14ac:dyDescent="0.3">
      <c r="AO203" s="9"/>
      <c r="AP203" s="9"/>
      <c r="AQ203" s="9"/>
      <c r="AR203" s="9"/>
      <c r="AS203" s="9"/>
      <c r="AT203" s="9"/>
    </row>
    <row r="204" spans="41:46" x14ac:dyDescent="0.3">
      <c r="AO204" s="9"/>
      <c r="AP204" s="9"/>
      <c r="AQ204" s="9"/>
      <c r="AR204" s="9"/>
      <c r="AS204" s="9"/>
      <c r="AT204" s="9"/>
    </row>
    <row r="205" spans="41:46" x14ac:dyDescent="0.3">
      <c r="AO205" s="9"/>
      <c r="AP205" s="9"/>
      <c r="AQ205" s="9"/>
      <c r="AR205" s="9"/>
      <c r="AS205" s="9"/>
      <c r="AT205" s="9"/>
    </row>
    <row r="206" spans="41:46" x14ac:dyDescent="0.3">
      <c r="AO206" s="9"/>
      <c r="AP206" s="9"/>
      <c r="AQ206" s="9"/>
      <c r="AR206" s="9"/>
      <c r="AS206" s="9"/>
      <c r="AT206" s="9"/>
    </row>
    <row r="207" spans="41:46" x14ac:dyDescent="0.3">
      <c r="AO207" s="9"/>
      <c r="AP207" s="9"/>
      <c r="AQ207" s="9"/>
      <c r="AR207" s="9"/>
      <c r="AS207" s="9"/>
      <c r="AT207" s="9"/>
    </row>
    <row r="208" spans="41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2026-08-04T05:02:21Z</dcterms:modified>
</cp:coreProperties>
</file>