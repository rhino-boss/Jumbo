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7EBA87F2-D1FF-4393-A786-514C3360CE03}" xr6:coauthVersionLast="47" xr6:coauthVersionMax="47" xr10:uidLastSave="{00000000-0000-0000-0000-000000000000}"/>
  <bookViews>
    <workbookView xWindow="-17865" yWindow="1950" windowWidth="15450" windowHeight="7065" tabRatio="858" activeTab="5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<sst xmlns="http://schemas.openxmlformats.org/spreadsheetml/2006/main" count="24808" uniqueCount="278">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</sst>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6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7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5" borderId="0" xfId="58215" applyFont="1" applyFill="1" applyAlignment="1">
      <alignment horizontal="center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5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9" borderId="11" xfId="0" applyFont="1" applyFill="1" applyBorder="1"/>
    <xf numFmtId="180" fontId="25" fillId="39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5" borderId="10" xfId="0" applyFont="1" applyFill="1" applyBorder="1"/>
    <xf numFmtId="0" fontId="33" fillId="0" borderId="0" xfId="0" applyFont="1"/>
    <xf numFmtId="0" fontId="25" fillId="35" borderId="11" xfId="0" applyFont="1" applyFill="1" applyBorder="1"/>
    <xf numFmtId="0" fontId="25" fillId="0" borderId="0" xfId="0" applyFont="1" applyAlignment="1">
      <alignment horizont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4" borderId="11" xfId="1" applyNumberFormat="1" applyFont="1" applyFill="1" applyBorder="1" applyAlignment="1">
      <alignment vertical="center"/>
    </xf>
    <xf numFmtId="182" fontId="25" fillId="38" borderId="11" xfId="1" applyNumberFormat="1" applyFont="1" applyFill="1" applyBorder="1" applyAlignment="1">
      <alignment vertical="center"/>
    </xf>
    <xf numFmtId="10" fontId="25" fillId="34" borderId="11" xfId="1" applyNumberFormat="1" applyFont="1" applyFill="1" applyBorder="1" applyAlignment="1"/>
    <xf numFmtId="1" fontId="25" fillId="34" borderId="11" xfId="1" applyNumberFormat="1" applyFont="1" applyFill="1" applyBorder="1" applyAlignment="1"/>
    <xf numFmtId="2" fontId="25" fillId="34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4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6" borderId="0" xfId="0" applyFont="1" applyFill="1" applyAlignment="1">
      <alignment vertical="center"/>
    </xf>
    <xf numFmtId="0" fontId="33" fillId="36" borderId="0" xfId="0" applyFont="1" applyFill="1"/>
    <xf numFmtId="0" fontId="25" fillId="36" borderId="0" xfId="0" applyFont="1" applyFill="1" applyAlignment="1">
      <alignment horizontal="center" vertical="center"/>
    </xf>
    <xf numFmtId="10" fontId="25" fillId="36" borderId="0" xfId="0" applyNumberFormat="1" applyFont="1" applyFill="1" applyAlignment="1">
      <alignment vertical="center"/>
    </xf>
    <xf numFmtId="0" fontId="25" fillId="36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5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5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5" borderId="11" xfId="0" applyNumberFormat="1" applyFont="1" applyFill="1" applyBorder="1" applyAlignment="1">
      <alignment vertical="center"/>
    </xf>
    <xf numFmtId="179" fontId="19" fillId="34" borderId="11" xfId="61099" applyNumberFormat="1" applyFont="1" applyFill="1" applyBorder="1">
      <alignment vertical="center"/>
    </xf>
    <xf numFmtId="179" fontId="25" fillId="34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5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8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5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0" borderId="0" xfId="0" applyFont="1" applyFill="1" applyAlignment="1">
      <alignment vertical="center"/>
    </xf>
    <xf numFmtId="0" fontId="33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5" borderId="11" xfId="0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80" fontId="33" fillId="0" borderId="11" xfId="61099" applyNumberFormat="1" applyFont="1" applyFill="1" applyBorder="1" applyAlignment="1">
      <alignment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2" borderId="11" xfId="0" applyFont="1" applyFill="1" applyBorder="1" applyAlignment="1">
      <alignment horizontal="center" vertical="center" wrapText="1"/>
    </xf>
    <xf numFmtId="0" fontId="19" fillId="42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5" fillId="34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2" borderId="11" xfId="0" applyFont="1" applyFill="1" applyBorder="1" applyAlignment="1">
      <alignment horizont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9" borderId="10" xfId="0" applyFont="1" applyFill="1" applyBorder="1"/>
    <xf numFmtId="10" fontId="33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0" fontId="25" fillId="0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5" borderId="15" xfId="0" applyNumberFormat="1" applyFont="1" applyFill="1" applyBorder="1" applyAlignment="1">
      <alignment horizontal="center" vertical="center" wrapText="1"/>
    </xf>
    <xf numFmtId="176" fontId="19" fillId="35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0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1" borderId="0" xfId="0" applyFont="1" applyFill="1" applyAlignment="1">
      <alignment horizontal="center" vertical="center"/>
    </xf>
    <xf numFmtId="0" fontId="19" fillId="0" borderId="15" xfId="0" quotePrefix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  <xf numFmtId="0" fontId="25" fillId="39" borderId="15" xfId="0" applyFont="1" applyFill="1" applyBorder="1" applyAlignment="1">
      <alignment horizontal="center"/>
    </xf>
    <xf numFmtId="0" fontId="25" fillId="39" borderId="10" xfId="0" applyFont="1" applyFill="1" applyBorder="1" applyAlignment="1">
      <alignment horizontal="center"/>
    </xf>
    <xf numFmtId="180" fontId="25" fillId="35" borderId="15" xfId="61099" applyNumberFormat="1" applyFont="1" applyFill="1" applyBorder="1" applyAlignment="1">
      <alignment horizontal="center" vertical="center"/>
    </xf>
    <xf numFmtId="180" fontId="25" fillId="35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opLeftCell="A7" workbookViewId="0">
      <selection activeCell="D7" sqref="D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inlineStr">
        <is>
          <t>2.0.0.36</t>
        </is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7" t="str">
        <f>D10</f>
        <v>Bet Type</v>
      </c>
      <c r="B17" s="58"/>
      <c r="C17" s="178" t="e">
        <f>1/D17</f>
        <v>#DIV/0!</v>
      </c>
      <c r="D17" s="180"/>
      <c r="E17" s="10" t="s">
        <v>50</v>
      </c>
      <c r="F17" s="19"/>
      <c r="H17" s="3"/>
      <c r="I17" s="22"/>
      <c r="J17" s="5"/>
    </row>
    <row r="18" spans="1:10" x14ac:dyDescent="0.3">
      <c r="A18" s="177"/>
      <c r="B18" s="58"/>
      <c r="C18" s="179"/>
      <c r="D18" s="181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7" t="str">
        <f>D12</f>
        <v>Buy Feature</v>
      </c>
      <c r="B21" s="58"/>
      <c r="C21" s="178">
        <f>1/D21</f>
        <v>1</v>
      </c>
      <c r="D21" s="182">
        <v>1</v>
      </c>
      <c r="E21" s="10" t="s">
        <v>50</v>
      </c>
      <c r="F21" s="19"/>
      <c r="H21" s="3"/>
      <c r="I21" s="22"/>
      <c r="J21" s="5"/>
    </row>
    <row r="22" spans="1:10" x14ac:dyDescent="0.3">
      <c r="A22" s="177"/>
      <c r="B22" s="58"/>
      <c r="C22" s="179"/>
      <c r="D22" s="183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1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0" t="s">
        <v>32</v>
      </c>
      <c r="B44" s="150" t="s">
        <v>32</v>
      </c>
      <c r="C44" s="166">
        <v>150</v>
      </c>
      <c r="D44" s="166">
        <v>200</v>
      </c>
      <c r="E44" s="166">
        <v>250</v>
      </c>
      <c r="F44" s="166">
        <v>400</v>
      </c>
      <c r="G44" s="167">
        <v>2</v>
      </c>
      <c r="H44" s="11"/>
    </row>
    <row r="45" spans="1:8" x14ac:dyDescent="0.3">
      <c r="A45" s="150" t="s">
        <v>33</v>
      </c>
      <c r="B45" s="150" t="s">
        <v>33</v>
      </c>
      <c r="C45" s="166">
        <v>100</v>
      </c>
      <c r="D45" s="166">
        <v>125</v>
      </c>
      <c r="E45" s="166">
        <v>150</v>
      </c>
      <c r="F45" s="166">
        <v>250</v>
      </c>
      <c r="G45" s="150">
        <v>3</v>
      </c>
      <c r="H45" s="11"/>
    </row>
    <row r="46" spans="1:8" x14ac:dyDescent="0.3">
      <c r="A46" s="150" t="s">
        <v>34</v>
      </c>
      <c r="B46" s="150" t="s">
        <v>34</v>
      </c>
      <c r="C46" s="166">
        <v>50</v>
      </c>
      <c r="D46" s="166">
        <v>125</v>
      </c>
      <c r="E46" s="166">
        <v>150</v>
      </c>
      <c r="F46" s="166">
        <v>200</v>
      </c>
      <c r="G46" s="150">
        <v>4</v>
      </c>
      <c r="H46" s="11"/>
    </row>
    <row r="47" spans="1:8" x14ac:dyDescent="0.3">
      <c r="A47" s="150" t="s">
        <v>35</v>
      </c>
      <c r="B47" s="150" t="s">
        <v>35</v>
      </c>
      <c r="C47" s="166">
        <v>40</v>
      </c>
      <c r="D47" s="166">
        <v>75</v>
      </c>
      <c r="E47" s="166">
        <v>100</v>
      </c>
      <c r="F47" s="166">
        <v>150</v>
      </c>
      <c r="G47" s="150">
        <v>5</v>
      </c>
      <c r="H47" s="11"/>
    </row>
    <row r="48" spans="1:8" x14ac:dyDescent="0.3">
      <c r="A48" s="150" t="s">
        <v>65</v>
      </c>
      <c r="B48" s="150" t="s">
        <v>65</v>
      </c>
      <c r="C48" s="166">
        <v>30</v>
      </c>
      <c r="D48" s="166">
        <v>50</v>
      </c>
      <c r="E48" s="166">
        <v>60</v>
      </c>
      <c r="F48" s="166">
        <v>75</v>
      </c>
      <c r="G48" s="150">
        <v>6</v>
      </c>
      <c r="H48" s="11"/>
    </row>
    <row r="49" spans="1:9" x14ac:dyDescent="0.3">
      <c r="A49" s="150" t="s">
        <v>90</v>
      </c>
      <c r="B49" s="150" t="s">
        <v>90</v>
      </c>
      <c r="C49" s="166">
        <v>30</v>
      </c>
      <c r="D49" s="166">
        <v>50</v>
      </c>
      <c r="E49" s="166">
        <v>60</v>
      </c>
      <c r="F49" s="166">
        <v>75</v>
      </c>
      <c r="G49" s="150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0" t="s">
        <v>223</v>
      </c>
      <c r="B55" s="150" t="s">
        <v>244</v>
      </c>
      <c r="C55" s="166">
        <v>150</v>
      </c>
      <c r="D55" s="166">
        <v>200</v>
      </c>
      <c r="E55" s="166">
        <v>250</v>
      </c>
      <c r="F55" s="166">
        <v>400</v>
      </c>
      <c r="G55" s="167">
        <v>13</v>
      </c>
    </row>
    <row r="56" spans="1:9" x14ac:dyDescent="0.3">
      <c r="A56" s="150" t="s">
        <v>225</v>
      </c>
      <c r="B56" s="150" t="s">
        <v>245</v>
      </c>
      <c r="C56" s="166">
        <v>100</v>
      </c>
      <c r="D56" s="166">
        <v>125</v>
      </c>
      <c r="E56" s="166">
        <v>150</v>
      </c>
      <c r="F56" s="166">
        <v>250</v>
      </c>
      <c r="G56" s="150">
        <v>14</v>
      </c>
    </row>
    <row r="57" spans="1:9" x14ac:dyDescent="0.3">
      <c r="A57" s="150" t="s">
        <v>227</v>
      </c>
      <c r="B57" s="150" t="s">
        <v>246</v>
      </c>
      <c r="C57" s="166">
        <v>50</v>
      </c>
      <c r="D57" s="166">
        <v>125</v>
      </c>
      <c r="E57" s="166">
        <v>150</v>
      </c>
      <c r="F57" s="166">
        <v>200</v>
      </c>
      <c r="G57" s="150">
        <v>15</v>
      </c>
    </row>
    <row r="58" spans="1:9" x14ac:dyDescent="0.3">
      <c r="A58" s="150" t="s">
        <v>229</v>
      </c>
      <c r="B58" s="150" t="s">
        <v>247</v>
      </c>
      <c r="C58" s="166">
        <v>40</v>
      </c>
      <c r="D58" s="166">
        <v>75</v>
      </c>
      <c r="E58" s="166">
        <v>100</v>
      </c>
      <c r="F58" s="166">
        <v>150</v>
      </c>
      <c r="G58" s="150">
        <v>16</v>
      </c>
    </row>
    <row r="59" spans="1:9" x14ac:dyDescent="0.3">
      <c r="A59" s="150" t="s">
        <v>231</v>
      </c>
      <c r="B59" s="150" t="s">
        <v>248</v>
      </c>
      <c r="C59" s="166">
        <v>30</v>
      </c>
      <c r="D59" s="166">
        <v>50</v>
      </c>
      <c r="E59" s="166">
        <v>60</v>
      </c>
      <c r="F59" s="166">
        <v>75</v>
      </c>
      <c r="G59" s="150">
        <v>17</v>
      </c>
    </row>
    <row r="60" spans="1:9" x14ac:dyDescent="0.3">
      <c r="A60" s="150" t="s">
        <v>233</v>
      </c>
      <c r="B60" s="150" t="s">
        <v>221</v>
      </c>
      <c r="C60" s="166">
        <v>30</v>
      </c>
      <c r="D60" s="166">
        <v>50</v>
      </c>
      <c r="E60" s="166">
        <v>60</v>
      </c>
      <c r="F60" s="166">
        <v>75</v>
      </c>
      <c r="G60" s="150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3" t="s">
        <v>69</v>
      </c>
      <c r="B66" s="150" t="s">
        <v>254</v>
      </c>
      <c r="C66" s="168">
        <v>0</v>
      </c>
      <c r="D66" s="168">
        <v>0</v>
      </c>
      <c r="E66" s="168">
        <v>0</v>
      </c>
      <c r="F66" s="168">
        <v>0</v>
      </c>
      <c r="G66" s="150">
        <v>24</v>
      </c>
      <c r="H66" s="11"/>
      <c r="I66" s="11"/>
    </row>
    <row r="67" spans="1:9" x14ac:dyDescent="0.3">
      <c r="A67" s="153" t="s">
        <v>257</v>
      </c>
      <c r="B67" s="150" t="s">
        <v>255</v>
      </c>
      <c r="C67" s="168">
        <v>0</v>
      </c>
      <c r="D67" s="168">
        <v>0</v>
      </c>
      <c r="E67" s="168">
        <v>0</v>
      </c>
      <c r="F67" s="168">
        <v>0</v>
      </c>
      <c r="G67" s="150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I22" sqref="I22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1" t="s">
        <v>267</v>
      </c>
      <c r="C4" s="16" t="s">
        <v>259</v>
      </c>
      <c r="D4" s="26"/>
    </row>
    <row r="5" spans="2:4" x14ac:dyDescent="0.3">
      <c r="B5" s="44" t="s">
        <v>268</v>
      </c>
      <c r="C5" s="172">
        <v>6000</v>
      </c>
      <c r="D5" s="173"/>
    </row>
    <row r="6" spans="2:4" x14ac:dyDescent="0.3">
      <c r="B6" s="44" t="s">
        <v>269</v>
      </c>
      <c r="C6" s="62">
        <v>4000</v>
      </c>
      <c r="D6" s="173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1" t="s">
        <v>267</v>
      </c>
      <c r="C10" s="16" t="s">
        <v>259</v>
      </c>
      <c r="D10" s="26"/>
    </row>
    <row r="11" spans="2:4" x14ac:dyDescent="0.3">
      <c r="B11" s="44" t="s">
        <v>274</v>
      </c>
      <c r="C11" s="172">
        <v>6000</v>
      </c>
      <c r="D11" s="173"/>
    </row>
    <row r="12" spans="2:4" x14ac:dyDescent="0.3">
      <c r="B12" s="44" t="s">
        <v>276</v>
      </c>
      <c r="C12" s="62">
        <v>4500</v>
      </c>
      <c r="D12" s="173"/>
    </row>
    <row r="13" spans="2:4" x14ac:dyDescent="0.3">
      <c r="B13" s="44" t="s">
        <v>275</v>
      </c>
      <c r="C13" s="62">
        <v>4500</v>
      </c>
      <c r="D13" s="173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1" t="s">
        <v>267</v>
      </c>
      <c r="C17" s="16" t="s">
        <v>259</v>
      </c>
    </row>
    <row r="18" spans="2:3" x14ac:dyDescent="0.3">
      <c r="B18" s="44" t="s">
        <v>274</v>
      </c>
      <c r="C18" s="172">
        <v>6000</v>
      </c>
    </row>
    <row r="19" spans="2:3" x14ac:dyDescent="0.3">
      <c r="B19" s="44" t="s">
        <v>276</v>
      </c>
      <c r="C19" s="62">
        <v>4500</v>
      </c>
    </row>
    <row r="20" spans="2:3" x14ac:dyDescent="0.3">
      <c r="B20" s="44" t="s">
        <v>275</v>
      </c>
      <c r="C20" s="62">
        <v>4500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5" t="s">
        <v>63</v>
      </c>
      <c r="B79" s="186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tabSelected="1" topLeftCell="A11" zoomScale="70" zoomScaleNormal="70" workbookViewId="0">
      <selection activeCell="H17" sqref="H17"/>
    </sheetView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>
        <f>SUM(N15:N79)</f>
        <v>1.4333521824500002</v>
      </c>
      <c r="D7" s="85" t="e">
        <f>SUM(_xlfn.ANCHORARRAY(N87))*F7</f>
        <v>#DIV/0!</v>
      </c>
      <c r="E7" s="86" t="e">
        <f>SUM(C7:D7)</f>
        <v>#DIV/0!</v>
      </c>
      <c r="F7" s="87">
        <f>M79</f>
        <v>0</v>
      </c>
      <c r="G7" s="88" t="e">
        <f>1/F7</f>
        <v>#DIV/0!</v>
      </c>
      <c r="H7" s="89" t="e">
        <f>D7*G7</f>
        <v>#DIV/0!</v>
      </c>
      <c r="I7" s="90" cm="1">
        <f t="array" ref="I7">LOOKUP(2,1/(L15:L78&lt;&gt;0),B15:B78)</f>
        <v>6000</v>
      </c>
      <c r="J7" s="90" t="e" cm="1">
        <f t="array" ref="J7">LOOKUP(2,1/(_xlfn.ANCHORARRAY(L87)&lt;&gt;0),B15:B78)</f>
        <v>#N/A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 t="e">
        <f>SUM(_xlfn.ANCHORARRAY(N157))/B8</f>
        <v>#DIV/0!</v>
      </c>
      <c r="E8" s="86" t="e">
        <f>SUM(C8:D8)</f>
        <v>#DIV/0!</v>
      </c>
      <c r="F8" s="91">
        <f>E80</f>
        <v>1</v>
      </c>
      <c r="G8" s="88">
        <f>1/F8</f>
        <v>1</v>
      </c>
      <c r="H8" s="89" t="e">
        <f>D8*G8*B8</f>
        <v>#DIV/0!</v>
      </c>
      <c r="I8" s="92"/>
      <c r="J8" s="92" t="e" cm="1">
        <f t="array" ref="J8">LOOKUP(2,1/(_xlfn.ANCHORARRAY(L157)&lt;&gt;0),B15:B78)</f>
        <v>#N/A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>
        <v>670818905</v>
      </c>
      <c r="D15" s="105">
        <v>0</v>
      </c>
      <c r="E15" s="106" cm="1">
        <f t="array" ref="E15:E78">_xlfn.LET(_xlpm.x, C15:C78, _xlpm.x/SUM(_xlpm.x))</f>
        <v>0.67081890499999997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1</v>
      </c>
      <c r="J15" s="107" cm="1">
        <f t="array" ref="J15:J79">E15:E79*I15:I79</f>
        <v>0.67081890499999997</v>
      </c>
      <c r="K15" s="107" cm="1">
        <f t="array" ref="K15:K78">J15:J78/SUM(_xlfn.ANCHORARRAY(J15))</f>
        <v>0.67081890499999997</v>
      </c>
      <c r="L15" s="111" cm="1">
        <f t="array" ref="L15:L79">INT(K15:K79*$B$2)</f>
        <v>670818905</v>
      </c>
      <c r="M15" s="107" cm="1">
        <f t="array" ref="M15:M79">_xlfn.LET(_xlpm.x, L15:L79, _xlpm.x/SUM(_xlpm.x))</f>
        <v>0.67081890499999997</v>
      </c>
      <c r="N15" s="107" cm="1">
        <f t="array" ref="N15:N79">M15:M79*F15:F79</f>
        <v>0</v>
      </c>
      <c r="O15" s="114"/>
      <c r="P15" s="107" cm="1">
        <f t="array" ref="P15:P78">M15:M78</f>
        <v>0.67081890499999997</v>
      </c>
      <c r="Q15" s="107"/>
      <c r="R15" s="107">
        <v>0.72379899999999997</v>
      </c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>
        <v>144015251</v>
      </c>
      <c r="D16" s="116">
        <v>6045141770</v>
      </c>
      <c r="E16" s="107">
        <v>0.14401525100000001</v>
      </c>
      <c r="F16" s="109">
        <v>0.41975705545241176</v>
      </c>
      <c r="G16" s="66">
        <v>0</v>
      </c>
      <c r="H16" s="175" t="str">
        <f t="shared" ref="H16:H78" si="0">"("&amp;$A16&amp;", "&amp;$B16&amp;"]"</f>
        <v>(0, 1]</v>
      </c>
      <c r="I16" s="110">
        <v>1</v>
      </c>
      <c r="J16" s="107">
        <v>0.14401525100000001</v>
      </c>
      <c r="K16" s="107">
        <v>0.14401525100000001</v>
      </c>
      <c r="L16" s="111">
        <v>144015251</v>
      </c>
      <c r="M16" s="107">
        <v>0.14401525100000001</v>
      </c>
      <c r="N16" s="107">
        <v>6.0451417700000003E-2</v>
      </c>
      <c r="O16" s="114"/>
      <c r="P16" s="107">
        <v>0.14401525100000001</v>
      </c>
      <c r="Q16" s="107"/>
      <c r="R16" s="107">
        <v>0.15426599999999999</v>
      </c>
      <c r="S16" s="115">
        <v>0</v>
      </c>
    </row>
    <row r="17" spans="1:19" x14ac:dyDescent="0.3">
      <c r="A17" s="84">
        <v>1</v>
      </c>
      <c r="B17" s="84">
        <v>2</v>
      </c>
      <c r="C17" s="116">
        <v>51249309</v>
      </c>
      <c r="D17" s="116">
        <v>7691609575</v>
      </c>
      <c r="E17" s="107">
        <v>5.1249309E-2</v>
      </c>
      <c r="F17" s="109">
        <v>1.5008221037672917</v>
      </c>
      <c r="G17" s="117">
        <f>1+G16*G15</f>
        <v>1</v>
      </c>
      <c r="H17" s="175" t="str">
        <f t="shared" si="0"/>
        <v>(1, 2]</v>
      </c>
      <c r="I17" s="110">
        <v>1</v>
      </c>
      <c r="J17" s="107">
        <v>5.1249309E-2</v>
      </c>
      <c r="K17" s="107">
        <v>5.1249309E-2</v>
      </c>
      <c r="L17" s="111">
        <v>51249309</v>
      </c>
      <c r="M17" s="107">
        <v>5.1249309E-2</v>
      </c>
      <c r="N17" s="107">
        <v>7.6916095749999996E-2</v>
      </c>
      <c r="O17" s="114"/>
      <c r="P17" s="107">
        <v>5.1249309E-2</v>
      </c>
      <c r="Q17" s="107"/>
      <c r="R17" s="107">
        <v>4.5428000000000003E-2</v>
      </c>
      <c r="S17" s="115">
        <v>0</v>
      </c>
    </row>
    <row r="18" spans="1:19" x14ac:dyDescent="0.3">
      <c r="A18" s="84">
        <v>2</v>
      </c>
      <c r="B18" s="84">
        <v>3</v>
      </c>
      <c r="C18" s="116">
        <v>29536210</v>
      </c>
      <c r="D18" s="116">
        <v>7470393080</v>
      </c>
      <c r="E18" s="107">
        <v>2.953621E-2</v>
      </c>
      <c r="F18" s="109">
        <v>2.5292321120414569</v>
      </c>
      <c r="G18" s="117"/>
      <c r="H18" s="175" t="str">
        <f t="shared" si="0"/>
        <v>(2, 3]</v>
      </c>
      <c r="I18" s="110">
        <v>1</v>
      </c>
      <c r="J18" s="107">
        <v>2.953621E-2</v>
      </c>
      <c r="K18" s="107">
        <v>2.953621E-2</v>
      </c>
      <c r="L18" s="111">
        <v>29536210</v>
      </c>
      <c r="M18" s="107">
        <v>2.953621E-2</v>
      </c>
      <c r="N18" s="107">
        <v>7.4703930799999999E-2</v>
      </c>
      <c r="O18" s="114"/>
      <c r="P18" s="107">
        <v>2.953621E-2</v>
      </c>
      <c r="Q18" s="107"/>
      <c r="R18" s="107">
        <v>2.0910000000000002E-2</v>
      </c>
      <c r="S18" s="115">
        <v>0</v>
      </c>
    </row>
    <row r="19" spans="1:19" x14ac:dyDescent="0.3">
      <c r="A19" s="84">
        <v>3</v>
      </c>
      <c r="B19" s="84">
        <v>4</v>
      </c>
      <c r="C19" s="116">
        <v>19689565</v>
      </c>
      <c r="D19" s="116">
        <v>6944831955</v>
      </c>
      <c r="E19" s="107">
        <v>1.9689564999999999E-2</v>
      </c>
      <c r="F19" s="109">
        <v>3.5271637311438826</v>
      </c>
      <c r="G19" s="118"/>
      <c r="H19" s="175" t="str">
        <f t="shared" si="0"/>
        <v>(3, 4]</v>
      </c>
      <c r="I19" s="110">
        <v>1</v>
      </c>
      <c r="J19" s="107">
        <v>1.9689564999999999E-2</v>
      </c>
      <c r="K19" s="107">
        <v>1.9689564999999999E-2</v>
      </c>
      <c r="L19" s="111">
        <v>19689565</v>
      </c>
      <c r="M19" s="107">
        <v>1.9689564999999999E-2</v>
      </c>
      <c r="N19" s="107">
        <v>6.9448319549999998E-2</v>
      </c>
      <c r="O19" s="114"/>
      <c r="P19" s="107">
        <v>1.9689564999999999E-2</v>
      </c>
      <c r="Q19" s="107"/>
      <c r="R19" s="107">
        <v>1.2886E-2</v>
      </c>
      <c r="S19" s="115">
        <v>0</v>
      </c>
    </row>
    <row r="20" spans="1:19" x14ac:dyDescent="0.3">
      <c r="A20" s="84">
        <v>4</v>
      </c>
      <c r="B20" s="84">
        <v>5</v>
      </c>
      <c r="C20" s="116">
        <v>14125885</v>
      </c>
      <c r="D20" s="116">
        <v>6405290665</v>
      </c>
      <c r="E20" s="107">
        <v>1.4125884999999999E-2</v>
      </c>
      <c r="F20" s="109">
        <v>4.534434950447352</v>
      </c>
      <c r="G20" s="118"/>
      <c r="H20" s="175" t="str">
        <f t="shared" si="0"/>
        <v>(4, 5]</v>
      </c>
      <c r="I20" s="110">
        <v>1</v>
      </c>
      <c r="J20" s="107">
        <v>1.4125884999999999E-2</v>
      </c>
      <c r="K20" s="107">
        <v>1.4125884999999999E-2</v>
      </c>
      <c r="L20" s="111">
        <v>14125885</v>
      </c>
      <c r="M20" s="107">
        <v>1.4125884999999999E-2</v>
      </c>
      <c r="N20" s="107">
        <v>6.4052906649999991E-2</v>
      </c>
      <c r="O20" s="114"/>
      <c r="P20" s="107">
        <v>1.4125884999999999E-2</v>
      </c>
      <c r="Q20" s="107"/>
      <c r="R20" s="107">
        <v>8.4060000000000003E-3</v>
      </c>
      <c r="S20" s="115">
        <v>0</v>
      </c>
    </row>
    <row r="21" spans="1:19" x14ac:dyDescent="0.3">
      <c r="A21" s="84">
        <v>5</v>
      </c>
      <c r="B21" s="84">
        <v>6</v>
      </c>
      <c r="C21" s="116">
        <v>10840498</v>
      </c>
      <c r="D21" s="116">
        <v>6021389240</v>
      </c>
      <c r="E21" s="107">
        <v>1.0840498E-2</v>
      </c>
      <c r="F21" s="109">
        <v>5.5545319412447656</v>
      </c>
      <c r="G21" s="118">
        <v>1.79</v>
      </c>
      <c r="H21" s="175" t="str">
        <f t="shared" si="0"/>
        <v>(5, 6]</v>
      </c>
      <c r="I21" s="110">
        <v>1</v>
      </c>
      <c r="J21" s="107">
        <v>1.0840498E-2</v>
      </c>
      <c r="K21" s="107">
        <v>1.0840498E-2</v>
      </c>
      <c r="L21" s="111">
        <v>10840498</v>
      </c>
      <c r="M21" s="107">
        <v>1.0840498E-2</v>
      </c>
      <c r="N21" s="107">
        <v>6.0213892400000003E-2</v>
      </c>
      <c r="O21" s="114"/>
      <c r="P21" s="107">
        <v>1.0840498E-2</v>
      </c>
      <c r="Q21" s="107"/>
      <c r="R21" s="107">
        <v>6.5170000000000002E-3</v>
      </c>
      <c r="S21" s="115">
        <v>0</v>
      </c>
    </row>
    <row r="22" spans="1:19" x14ac:dyDescent="0.3">
      <c r="A22" s="84">
        <v>6</v>
      </c>
      <c r="B22" s="84">
        <v>7</v>
      </c>
      <c r="C22" s="116">
        <v>8301655</v>
      </c>
      <c r="D22" s="116">
        <v>5414828470</v>
      </c>
      <c r="E22" s="107">
        <v>8.3016549999999998E-3</v>
      </c>
      <c r="F22" s="109">
        <v>6.522589134335262</v>
      </c>
      <c r="G22" s="118">
        <v>1.24</v>
      </c>
      <c r="H22" s="175" t="str">
        <f t="shared" si="0"/>
        <v>(6, 7]</v>
      </c>
      <c r="I22" s="110">
        <v>1</v>
      </c>
      <c r="J22" s="107">
        <v>8.3016549999999998E-3</v>
      </c>
      <c r="K22" s="107">
        <v>8.3016549999999998E-3</v>
      </c>
      <c r="L22" s="111">
        <v>8301655</v>
      </c>
      <c r="M22" s="107">
        <v>8.3016549999999998E-3</v>
      </c>
      <c r="N22" s="107">
        <v>5.41482847E-2</v>
      </c>
      <c r="O22" s="114"/>
      <c r="P22" s="107">
        <v>8.3016549999999998E-3</v>
      </c>
      <c r="Q22" s="107"/>
      <c r="R22" s="107">
        <v>3.5239999999999998E-3</v>
      </c>
      <c r="S22" s="115">
        <v>0</v>
      </c>
    </row>
    <row r="23" spans="1:19" x14ac:dyDescent="0.3">
      <c r="A23" s="84">
        <v>7</v>
      </c>
      <c r="B23" s="84">
        <v>8</v>
      </c>
      <c r="C23" s="116">
        <v>6817431</v>
      </c>
      <c r="D23" s="116">
        <v>5135764240</v>
      </c>
      <c r="E23" s="107">
        <v>6.8174309999999997E-3</v>
      </c>
      <c r="F23" s="109">
        <v>7.5332837838769464</v>
      </c>
      <c r="G23" s="118">
        <v>1.02</v>
      </c>
      <c r="H23" s="175" t="str">
        <f t="shared" si="0"/>
        <v>(7, 8]</v>
      </c>
      <c r="I23" s="110">
        <v>1</v>
      </c>
      <c r="J23" s="107">
        <v>6.8174309999999997E-3</v>
      </c>
      <c r="K23" s="107">
        <v>6.8174309999999997E-3</v>
      </c>
      <c r="L23" s="111">
        <v>6817431</v>
      </c>
      <c r="M23" s="107">
        <v>6.8174309999999997E-3</v>
      </c>
      <c r="N23" s="107">
        <v>5.1357642399999993E-2</v>
      </c>
      <c r="O23" s="114"/>
      <c r="P23" s="107">
        <v>6.8174309999999997E-3</v>
      </c>
      <c r="Q23" s="107"/>
      <c r="R23" s="107">
        <v>3.9699999999999996E-3</v>
      </c>
      <c r="S23" s="115">
        <v>0</v>
      </c>
    </row>
    <row r="24" spans="1:19" x14ac:dyDescent="0.3">
      <c r="A24" s="84">
        <v>8</v>
      </c>
      <c r="B24" s="84">
        <v>9</v>
      </c>
      <c r="C24" s="116">
        <v>5620980</v>
      </c>
      <c r="D24" s="116">
        <v>4811178250</v>
      </c>
      <c r="E24" s="107">
        <v>5.6209800000000002E-3</v>
      </c>
      <c r="F24" s="109">
        <v>8.5593228405011228</v>
      </c>
      <c r="G24" s="118">
        <v>1.26</v>
      </c>
      <c r="H24" s="175" t="str">
        <f t="shared" si="0"/>
        <v>(8, 9]</v>
      </c>
      <c r="I24" s="110">
        <v>1</v>
      </c>
      <c r="J24" s="107">
        <v>5.6209800000000002E-3</v>
      </c>
      <c r="K24" s="107">
        <v>5.6209800000000002E-3</v>
      </c>
      <c r="L24" s="111">
        <v>5620980</v>
      </c>
      <c r="M24" s="107">
        <v>5.6209800000000002E-3</v>
      </c>
      <c r="N24" s="107">
        <v>4.8111782500000005E-2</v>
      </c>
      <c r="O24" s="114"/>
      <c r="P24" s="107">
        <v>5.6209800000000002E-3</v>
      </c>
      <c r="Q24" s="107"/>
      <c r="R24" s="107">
        <v>3.2269999999999998E-3</v>
      </c>
      <c r="S24" s="115">
        <v>0</v>
      </c>
    </row>
    <row r="25" spans="1:19" x14ac:dyDescent="0.3">
      <c r="A25" s="84">
        <v>9</v>
      </c>
      <c r="B25" s="84">
        <v>10</v>
      </c>
      <c r="C25" s="116">
        <v>4516780</v>
      </c>
      <c r="D25" s="116">
        <v>4309464070</v>
      </c>
      <c r="E25" s="107">
        <v>4.5167799999999998E-3</v>
      </c>
      <c r="F25" s="109">
        <v>9.5410094580652594</v>
      </c>
      <c r="G25" s="118">
        <v>1.21</v>
      </c>
      <c r="H25" s="175" t="str">
        <f t="shared" si="0"/>
        <v>(9, 10]</v>
      </c>
      <c r="I25" s="110">
        <v>1</v>
      </c>
      <c r="J25" s="107">
        <v>4.5167799999999998E-3</v>
      </c>
      <c r="K25" s="107">
        <v>4.5167799999999998E-3</v>
      </c>
      <c r="L25" s="111">
        <v>4516780</v>
      </c>
      <c r="M25" s="107">
        <v>4.5167799999999998E-3</v>
      </c>
      <c r="N25" s="107">
        <v>4.3094640699999999E-2</v>
      </c>
      <c r="O25" s="114"/>
      <c r="P25" s="107">
        <v>4.5167799999999998E-3</v>
      </c>
      <c r="Q25" s="107"/>
      <c r="R25" s="107">
        <v>2.1020000000000001E-3</v>
      </c>
      <c r="S25" s="115">
        <v>0</v>
      </c>
    </row>
    <row r="26" spans="1:19" x14ac:dyDescent="0.3">
      <c r="A26" s="84">
        <v>10</v>
      </c>
      <c r="B26" s="84">
        <v>15</v>
      </c>
      <c r="C26" s="116">
        <v>14202546</v>
      </c>
      <c r="D26" s="116">
        <v>17397974830</v>
      </c>
      <c r="E26" s="107">
        <v>1.4202546E-2</v>
      </c>
      <c r="F26" s="109">
        <v>12.249898595646162</v>
      </c>
      <c r="G26" s="118">
        <v>0.48</v>
      </c>
      <c r="H26" s="175" t="str">
        <f t="shared" si="0"/>
        <v>(10, 15]</v>
      </c>
      <c r="I26" s="110">
        <v>1</v>
      </c>
      <c r="J26" s="107">
        <v>1.4202546E-2</v>
      </c>
      <c r="K26" s="107">
        <v>1.4202546E-2</v>
      </c>
      <c r="L26" s="111">
        <v>14202546</v>
      </c>
      <c r="M26" s="107">
        <v>1.4202546E-2</v>
      </c>
      <c r="N26" s="107">
        <v>0.17397974830000001</v>
      </c>
      <c r="O26" s="114"/>
      <c r="P26" s="107">
        <v>1.4202546E-2</v>
      </c>
      <c r="Q26" s="107"/>
      <c r="R26" s="107">
        <v>6.4320000000000002E-3</v>
      </c>
      <c r="S26" s="115">
        <v>0</v>
      </c>
    </row>
    <row r="27" spans="1:19" x14ac:dyDescent="0.3">
      <c r="A27" s="84">
        <v>15</v>
      </c>
      <c r="B27" s="84">
        <v>20</v>
      </c>
      <c r="C27" s="116">
        <v>7005319</v>
      </c>
      <c r="D27" s="116">
        <v>12133084415</v>
      </c>
      <c r="E27" s="107">
        <v>7.0053190000000003E-3</v>
      </c>
      <c r="F27" s="109">
        <v>17.319817148940682</v>
      </c>
      <c r="G27" s="118">
        <v>1.1299999999999999</v>
      </c>
      <c r="H27" s="175" t="str">
        <f t="shared" si="0"/>
        <v>(15, 20]</v>
      </c>
      <c r="I27" s="110">
        <v>1</v>
      </c>
      <c r="J27" s="107">
        <v>7.0053190000000003E-3</v>
      </c>
      <c r="K27" s="107">
        <v>7.0053190000000003E-3</v>
      </c>
      <c r="L27" s="111">
        <v>7005319</v>
      </c>
      <c r="M27" s="107">
        <v>7.0053190000000003E-3</v>
      </c>
      <c r="N27" s="107">
        <v>0.12133084414999999</v>
      </c>
      <c r="O27" s="114"/>
      <c r="P27" s="107">
        <v>7.0053190000000003E-3</v>
      </c>
      <c r="Q27" s="107"/>
      <c r="R27" s="107">
        <v>2.823E-3</v>
      </c>
      <c r="S27" s="115">
        <v>0</v>
      </c>
    </row>
    <row r="28" spans="1:19" x14ac:dyDescent="0.3">
      <c r="A28" s="84">
        <v>20</v>
      </c>
      <c r="B28" s="84">
        <v>25</v>
      </c>
      <c r="C28" s="116">
        <v>3961739</v>
      </c>
      <c r="D28" s="116">
        <v>8857773860</v>
      </c>
      <c r="E28" s="107">
        <v>3.9617389999999997E-3</v>
      </c>
      <c r="F28" s="109">
        <v>22.358297353763081</v>
      </c>
      <c r="G28" s="118">
        <v>0.54</v>
      </c>
      <c r="H28" s="175" t="str">
        <f t="shared" si="0"/>
        <v>(20, 25]</v>
      </c>
      <c r="I28" s="110">
        <v>1</v>
      </c>
      <c r="J28" s="107">
        <v>3.9617389999999997E-3</v>
      </c>
      <c r="K28" s="107">
        <v>3.9617389999999997E-3</v>
      </c>
      <c r="L28" s="111">
        <v>3961739</v>
      </c>
      <c r="M28" s="107">
        <v>3.9617389999999997E-3</v>
      </c>
      <c r="N28" s="107">
        <v>8.8577738599999983E-2</v>
      </c>
      <c r="O28" s="114"/>
      <c r="P28" s="107">
        <v>3.9617389999999997E-3</v>
      </c>
      <c r="Q28" s="107"/>
      <c r="R28" s="107">
        <v>1.6130000000000001E-3</v>
      </c>
      <c r="S28" s="115">
        <v>0</v>
      </c>
    </row>
    <row r="29" spans="1:19" x14ac:dyDescent="0.3">
      <c r="A29" s="84">
        <v>25</v>
      </c>
      <c r="B29" s="84">
        <v>30</v>
      </c>
      <c r="C29" s="116">
        <v>2525780</v>
      </c>
      <c r="D29" s="116">
        <v>6916640610</v>
      </c>
      <c r="E29" s="107">
        <v>2.52578E-3</v>
      </c>
      <c r="F29" s="109">
        <v>27.38417680874819</v>
      </c>
      <c r="G29" s="118">
        <v>0.2</v>
      </c>
      <c r="H29" s="175" t="str">
        <f t="shared" si="0"/>
        <v>(25, 30]</v>
      </c>
      <c r="I29" s="110">
        <v>1</v>
      </c>
      <c r="J29" s="107">
        <v>2.52578E-3</v>
      </c>
      <c r="K29" s="107">
        <v>2.52578E-3</v>
      </c>
      <c r="L29" s="111">
        <v>2525780</v>
      </c>
      <c r="M29" s="107">
        <v>2.52578E-3</v>
      </c>
      <c r="N29" s="107">
        <v>6.9166406100000008E-2</v>
      </c>
      <c r="O29" s="114"/>
      <c r="P29" s="107">
        <v>2.52578E-3</v>
      </c>
      <c r="Q29" s="107"/>
      <c r="R29" s="107">
        <v>1.3159999999999999E-3</v>
      </c>
      <c r="S29" s="115">
        <v>0</v>
      </c>
    </row>
    <row r="30" spans="1:19" x14ac:dyDescent="0.3">
      <c r="A30" s="84">
        <v>30</v>
      </c>
      <c r="B30" s="84">
        <v>35</v>
      </c>
      <c r="C30" s="116">
        <v>1608812</v>
      </c>
      <c r="D30" s="116">
        <v>5209465105</v>
      </c>
      <c r="E30" s="107">
        <v>1.608812E-3</v>
      </c>
      <c r="F30" s="109">
        <v>32.380819542619022</v>
      </c>
      <c r="G30" s="118">
        <v>0.22</v>
      </c>
      <c r="H30" s="175" t="str">
        <f t="shared" si="0"/>
        <v>(30, 35]</v>
      </c>
      <c r="I30" s="110">
        <v>1</v>
      </c>
      <c r="J30" s="107">
        <v>1.608812E-3</v>
      </c>
      <c r="K30" s="107">
        <v>1.608812E-3</v>
      </c>
      <c r="L30" s="111">
        <v>1608812</v>
      </c>
      <c r="M30" s="107">
        <v>1.608812E-3</v>
      </c>
      <c r="N30" s="107">
        <v>5.2094651049999996E-2</v>
      </c>
      <c r="O30" s="114"/>
      <c r="P30" s="107">
        <v>1.608812E-3</v>
      </c>
      <c r="Q30" s="107"/>
      <c r="R30" s="107">
        <v>6.3699999999999998E-4</v>
      </c>
      <c r="S30" s="115">
        <v>0</v>
      </c>
    </row>
    <row r="31" spans="1:19" x14ac:dyDescent="0.3">
      <c r="A31" s="84">
        <v>35</v>
      </c>
      <c r="B31" s="84">
        <v>40</v>
      </c>
      <c r="C31" s="116">
        <v>1159885</v>
      </c>
      <c r="D31" s="116">
        <v>4342277210</v>
      </c>
      <c r="E31" s="107">
        <v>1.159885E-3</v>
      </c>
      <c r="F31" s="109">
        <v>37.437135664311548</v>
      </c>
      <c r="G31" s="118">
        <v>0.33</v>
      </c>
      <c r="H31" s="175" t="str">
        <f t="shared" si="0"/>
        <v>(35, 40]</v>
      </c>
      <c r="I31" s="110">
        <v>1</v>
      </c>
      <c r="J31" s="107">
        <v>1.159885E-3</v>
      </c>
      <c r="K31" s="107">
        <v>1.159885E-3</v>
      </c>
      <c r="L31" s="111">
        <v>1159885</v>
      </c>
      <c r="M31" s="107">
        <v>1.159885E-3</v>
      </c>
      <c r="N31" s="107">
        <v>4.34227721E-2</v>
      </c>
      <c r="O31" s="114"/>
      <c r="P31" s="107">
        <v>1.159885E-3</v>
      </c>
      <c r="Q31" s="107"/>
      <c r="R31" s="107">
        <v>4.46E-4</v>
      </c>
      <c r="S31" s="115">
        <v>0</v>
      </c>
    </row>
    <row r="32" spans="1:19" x14ac:dyDescent="0.3">
      <c r="A32" s="84">
        <v>40</v>
      </c>
      <c r="B32" s="84">
        <v>45</v>
      </c>
      <c r="C32" s="116">
        <v>831034</v>
      </c>
      <c r="D32" s="116">
        <v>3525592635</v>
      </c>
      <c r="E32" s="107">
        <v>8.3103400000000003E-4</v>
      </c>
      <c r="F32" s="109">
        <v>42.424168385409018</v>
      </c>
      <c r="G32" s="118">
        <v>0.16</v>
      </c>
      <c r="H32" s="175" t="str">
        <f t="shared" si="0"/>
        <v>(40, 45]</v>
      </c>
      <c r="I32" s="110">
        <v>1</v>
      </c>
      <c r="J32" s="107">
        <v>8.3103400000000003E-4</v>
      </c>
      <c r="K32" s="107">
        <v>8.3103400000000003E-4</v>
      </c>
      <c r="L32" s="111">
        <v>831034</v>
      </c>
      <c r="M32" s="107">
        <v>8.3103400000000003E-4</v>
      </c>
      <c r="N32" s="107">
        <v>3.5255926350000001E-2</v>
      </c>
      <c r="O32" s="114"/>
      <c r="P32" s="107">
        <v>8.3103400000000003E-4</v>
      </c>
      <c r="Q32" s="107"/>
      <c r="R32" s="107">
        <v>2.7599999999999999E-4</v>
      </c>
      <c r="S32" s="115">
        <v>0</v>
      </c>
    </row>
    <row r="33" spans="1:19" x14ac:dyDescent="0.3">
      <c r="A33" s="84">
        <v>45</v>
      </c>
      <c r="B33" s="84">
        <v>50</v>
      </c>
      <c r="C33" s="116">
        <v>597919</v>
      </c>
      <c r="D33" s="116">
        <v>2838633370</v>
      </c>
      <c r="E33" s="107">
        <v>5.9791900000000003E-4</v>
      </c>
      <c r="F33" s="109">
        <v>47.47521604096876</v>
      </c>
      <c r="G33" s="118">
        <v>0.2</v>
      </c>
      <c r="H33" s="175" t="str">
        <f t="shared" si="0"/>
        <v>(45, 50]</v>
      </c>
      <c r="I33" s="110">
        <v>1</v>
      </c>
      <c r="J33" s="107">
        <v>5.9791900000000003E-4</v>
      </c>
      <c r="K33" s="107">
        <v>5.9791900000000003E-4</v>
      </c>
      <c r="L33" s="111">
        <v>597919</v>
      </c>
      <c r="M33" s="107">
        <v>5.9791900000000003E-4</v>
      </c>
      <c r="N33" s="107">
        <v>2.8386333700000002E-2</v>
      </c>
      <c r="O33" s="114"/>
      <c r="P33" s="107">
        <v>5.9791900000000003E-4</v>
      </c>
      <c r="Q33" s="107"/>
      <c r="R33" s="107">
        <v>2.34E-4</v>
      </c>
      <c r="S33" s="115">
        <v>0</v>
      </c>
    </row>
    <row r="34" spans="1:19" x14ac:dyDescent="0.3">
      <c r="A34" s="84">
        <v>50</v>
      </c>
      <c r="B34" s="84">
        <v>60</v>
      </c>
      <c r="C34" s="116">
        <v>840510</v>
      </c>
      <c r="D34" s="116">
        <v>4595492785</v>
      </c>
      <c r="E34" s="107">
        <v>8.4051000000000004E-4</v>
      </c>
      <c r="F34" s="109">
        <v>54.675051873267421</v>
      </c>
      <c r="G34" s="118">
        <v>0.2</v>
      </c>
      <c r="H34" s="175" t="str">
        <f t="shared" si="0"/>
        <v>(50, 60]</v>
      </c>
      <c r="I34" s="110">
        <v>1</v>
      </c>
      <c r="J34" s="107">
        <v>8.4051000000000004E-4</v>
      </c>
      <c r="K34" s="107">
        <v>8.4051000000000004E-4</v>
      </c>
      <c r="L34" s="111">
        <v>840510</v>
      </c>
      <c r="M34" s="107">
        <v>8.4051000000000004E-4</v>
      </c>
      <c r="N34" s="107">
        <v>4.5954927850000001E-2</v>
      </c>
      <c r="O34" s="114"/>
      <c r="P34" s="107">
        <v>8.4051000000000004E-4</v>
      </c>
      <c r="Q34" s="107"/>
      <c r="R34" s="107">
        <v>5.0900000000000001E-4</v>
      </c>
      <c r="S34" s="115">
        <v>0</v>
      </c>
    </row>
    <row r="35" spans="1:19" x14ac:dyDescent="0.3">
      <c r="A35" s="84">
        <v>60</v>
      </c>
      <c r="B35" s="84">
        <v>70</v>
      </c>
      <c r="C35" s="116">
        <v>493224</v>
      </c>
      <c r="D35" s="116">
        <v>3187394785</v>
      </c>
      <c r="E35" s="107">
        <v>4.9322400000000001E-4</v>
      </c>
      <c r="F35" s="109">
        <v>64.623675753815718</v>
      </c>
      <c r="G35" s="118">
        <v>0.11</v>
      </c>
      <c r="H35" s="175" t="str">
        <f t="shared" si="0"/>
        <v>(60, 70]</v>
      </c>
      <c r="I35" s="110">
        <v>1</v>
      </c>
      <c r="J35" s="107">
        <v>4.9322400000000001E-4</v>
      </c>
      <c r="K35" s="107">
        <v>4.9322400000000001E-4</v>
      </c>
      <c r="L35" s="111">
        <v>493224</v>
      </c>
      <c r="M35" s="107">
        <v>4.9322400000000001E-4</v>
      </c>
      <c r="N35" s="107">
        <v>3.1873947850000001E-2</v>
      </c>
      <c r="O35" s="114"/>
      <c r="P35" s="107">
        <v>4.9322400000000001E-4</v>
      </c>
      <c r="Q35" s="107"/>
      <c r="R35" s="107">
        <v>2.9700000000000001E-4</v>
      </c>
      <c r="S35" s="115">
        <v>0</v>
      </c>
    </row>
    <row r="36" spans="1:19" x14ac:dyDescent="0.3">
      <c r="A36" s="84">
        <v>70</v>
      </c>
      <c r="B36" s="84">
        <v>80</v>
      </c>
      <c r="C36" s="116">
        <v>333588</v>
      </c>
      <c r="D36" s="116">
        <v>2496772325</v>
      </c>
      <c r="E36" s="107">
        <v>3.3358800000000001E-4</v>
      </c>
      <c r="F36" s="109">
        <v>74.845987415614474</v>
      </c>
      <c r="G36" s="118">
        <v>0.12</v>
      </c>
      <c r="H36" s="175" t="str">
        <f t="shared" si="0"/>
        <v>(70, 80]</v>
      </c>
      <c r="I36" s="110">
        <v>1</v>
      </c>
      <c r="J36" s="107">
        <v>3.3358800000000001E-4</v>
      </c>
      <c r="K36" s="107">
        <v>3.3358800000000001E-4</v>
      </c>
      <c r="L36" s="111">
        <v>333588</v>
      </c>
      <c r="M36" s="107">
        <v>3.3358800000000001E-4</v>
      </c>
      <c r="N36" s="107">
        <v>2.4967723250000001E-2</v>
      </c>
      <c r="O36" s="114"/>
      <c r="P36" s="107">
        <v>3.3358800000000001E-4</v>
      </c>
      <c r="Q36" s="107"/>
      <c r="R36" s="107">
        <v>1.06E-4</v>
      </c>
      <c r="S36" s="115">
        <v>0</v>
      </c>
    </row>
    <row r="37" spans="1:19" x14ac:dyDescent="0.3">
      <c r="A37" s="84">
        <v>80</v>
      </c>
      <c r="B37" s="84">
        <v>90</v>
      </c>
      <c r="C37" s="116">
        <v>226833</v>
      </c>
      <c r="D37" s="116">
        <v>1921365645</v>
      </c>
      <c r="E37" s="107">
        <v>2.2683299999999999E-4</v>
      </c>
      <c r="F37" s="109">
        <v>84.703973628175788</v>
      </c>
      <c r="G37" s="118">
        <v>0</v>
      </c>
      <c r="H37" s="175" t="str">
        <f t="shared" si="0"/>
        <v>(80, 90]</v>
      </c>
      <c r="I37" s="110">
        <v>1</v>
      </c>
      <c r="J37" s="107">
        <v>2.2683299999999999E-4</v>
      </c>
      <c r="K37" s="107">
        <v>2.2683299999999999E-4</v>
      </c>
      <c r="L37" s="111">
        <v>226833</v>
      </c>
      <c r="M37" s="107">
        <v>2.2683299999999999E-4</v>
      </c>
      <c r="N37" s="107">
        <v>1.9213656449999998E-2</v>
      </c>
      <c r="O37" s="114"/>
      <c r="P37" s="107">
        <v>2.2683299999999999E-4</v>
      </c>
      <c r="Q37" s="107"/>
      <c r="R37" s="107">
        <v>6.3999999999999997E-5</v>
      </c>
      <c r="S37" s="115">
        <v>0</v>
      </c>
    </row>
    <row r="38" spans="1:19" x14ac:dyDescent="0.3">
      <c r="A38" s="84">
        <v>90</v>
      </c>
      <c r="B38" s="84">
        <v>100</v>
      </c>
      <c r="C38" s="116">
        <v>150424</v>
      </c>
      <c r="D38" s="116">
        <v>1426668155</v>
      </c>
      <c r="E38" s="107">
        <v>1.5042399999999999E-4</v>
      </c>
      <c r="F38" s="109">
        <v>94.84312044620539</v>
      </c>
      <c r="G38" s="118">
        <v>0</v>
      </c>
      <c r="H38" s="175" t="str">
        <f t="shared" si="0"/>
        <v>(90, 100]</v>
      </c>
      <c r="I38" s="110">
        <v>1</v>
      </c>
      <c r="J38" s="107">
        <v>1.5042399999999999E-4</v>
      </c>
      <c r="K38" s="107">
        <v>1.5042399999999999E-4</v>
      </c>
      <c r="L38" s="111">
        <v>150424</v>
      </c>
      <c r="M38" s="107">
        <v>1.5042399999999999E-4</v>
      </c>
      <c r="N38" s="107">
        <v>1.4266681549999998E-2</v>
      </c>
      <c r="O38" s="114"/>
      <c r="P38" s="107">
        <v>1.5042399999999999E-4</v>
      </c>
      <c r="Q38" s="107"/>
      <c r="R38" s="107">
        <v>1.06E-4</v>
      </c>
      <c r="S38" s="115">
        <v>0</v>
      </c>
    </row>
    <row r="39" spans="1:19" x14ac:dyDescent="0.3">
      <c r="A39" s="84">
        <v>100</v>
      </c>
      <c r="B39" s="84">
        <v>120</v>
      </c>
      <c r="C39" s="116">
        <v>202206</v>
      </c>
      <c r="D39" s="116">
        <v>2209398025</v>
      </c>
      <c r="E39" s="107">
        <v>2.0220599999999999E-4</v>
      </c>
      <c r="F39" s="109">
        <v>109.26471148234968</v>
      </c>
      <c r="G39" s="118">
        <v>0.08</v>
      </c>
      <c r="H39" s="175" t="str">
        <f t="shared" si="0"/>
        <v>(100, 120]</v>
      </c>
      <c r="I39" s="110">
        <v>1</v>
      </c>
      <c r="J39" s="107">
        <v>2.0220599999999999E-4</v>
      </c>
      <c r="K39" s="107">
        <v>2.0220599999999999E-4</v>
      </c>
      <c r="L39" s="111">
        <v>202206</v>
      </c>
      <c r="M39" s="107">
        <v>2.0220599999999999E-4</v>
      </c>
      <c r="N39" s="107">
        <v>2.2093980249999999E-2</v>
      </c>
      <c r="O39" s="114"/>
      <c r="P39" s="107">
        <v>2.0220599999999999E-4</v>
      </c>
      <c r="Q39" s="107"/>
      <c r="R39" s="107">
        <v>6.3999999999999997E-5</v>
      </c>
      <c r="S39" s="115">
        <v>0</v>
      </c>
    </row>
    <row r="40" spans="1:19" x14ac:dyDescent="0.3">
      <c r="A40" s="84">
        <v>120</v>
      </c>
      <c r="B40" s="84">
        <v>140</v>
      </c>
      <c r="C40" s="116">
        <v>107579</v>
      </c>
      <c r="D40" s="116">
        <v>1387656235</v>
      </c>
      <c r="E40" s="107">
        <v>1.0757899999999999E-4</v>
      </c>
      <c r="F40" s="109">
        <v>128.98950864016211</v>
      </c>
      <c r="G40" s="118">
        <v>0</v>
      </c>
      <c r="H40" s="175" t="str">
        <f t="shared" si="0"/>
        <v>(120, 140]</v>
      </c>
      <c r="I40" s="110">
        <v>1</v>
      </c>
      <c r="J40" s="107">
        <v>1.0757899999999999E-4</v>
      </c>
      <c r="K40" s="107">
        <v>1.0757899999999999E-4</v>
      </c>
      <c r="L40" s="111">
        <v>107579</v>
      </c>
      <c r="M40" s="107">
        <v>1.0757899999999999E-4</v>
      </c>
      <c r="N40" s="107">
        <v>1.387656235E-2</v>
      </c>
      <c r="O40" s="114"/>
      <c r="P40" s="107">
        <v>1.0757899999999999E-4</v>
      </c>
      <c r="Q40" s="107"/>
      <c r="R40" s="107">
        <v>2.0999999999999999E-5</v>
      </c>
      <c r="S40" s="115">
        <v>0</v>
      </c>
    </row>
    <row r="41" spans="1:19" x14ac:dyDescent="0.3">
      <c r="A41" s="84">
        <v>140</v>
      </c>
      <c r="B41" s="84">
        <v>160</v>
      </c>
      <c r="C41" s="116">
        <v>69399</v>
      </c>
      <c r="D41" s="116">
        <v>1038692565</v>
      </c>
      <c r="E41" s="107">
        <v>6.9399000000000004E-5</v>
      </c>
      <c r="F41" s="109">
        <v>149.66967319413826</v>
      </c>
      <c r="G41" s="118">
        <v>0</v>
      </c>
      <c r="H41" s="175" t="str">
        <f t="shared" si="0"/>
        <v>(140, 160]</v>
      </c>
      <c r="I41" s="110">
        <v>1</v>
      </c>
      <c r="J41" s="107">
        <v>6.9399000000000004E-5</v>
      </c>
      <c r="K41" s="107">
        <v>6.9399000000000004E-5</v>
      </c>
      <c r="L41" s="111">
        <v>69399</v>
      </c>
      <c r="M41" s="107">
        <v>6.9399000000000004E-5</v>
      </c>
      <c r="N41" s="107">
        <v>1.0386925650000002E-2</v>
      </c>
      <c r="O41" s="114"/>
      <c r="P41" s="107">
        <v>6.9399000000000004E-5</v>
      </c>
      <c r="Q41" s="107"/>
      <c r="R41" s="107">
        <v>0</v>
      </c>
      <c r="S41" s="115">
        <v>0</v>
      </c>
    </row>
    <row r="42" spans="1:19" x14ac:dyDescent="0.3">
      <c r="A42" s="84">
        <v>160</v>
      </c>
      <c r="B42" s="84">
        <v>180</v>
      </c>
      <c r="C42" s="116">
        <v>44064</v>
      </c>
      <c r="D42" s="116">
        <v>745463055</v>
      </c>
      <c r="E42" s="107">
        <v>4.4063999999999997E-5</v>
      </c>
      <c r="F42" s="109">
        <v>169.17734545206972</v>
      </c>
      <c r="G42" s="118">
        <v>0</v>
      </c>
      <c r="H42" s="175" t="str">
        <f t="shared" si="0"/>
        <v>(160, 180]</v>
      </c>
      <c r="I42" s="110">
        <v>1</v>
      </c>
      <c r="J42" s="107">
        <v>4.4063999999999997E-5</v>
      </c>
      <c r="K42" s="107">
        <v>4.4063999999999997E-5</v>
      </c>
      <c r="L42" s="111">
        <v>44064</v>
      </c>
      <c r="M42" s="107">
        <v>4.4063999999999997E-5</v>
      </c>
      <c r="N42" s="107">
        <v>7.4546305499999998E-3</v>
      </c>
      <c r="O42" s="114"/>
      <c r="P42" s="107">
        <v>4.4063999999999997E-5</v>
      </c>
      <c r="Q42" s="107"/>
      <c r="R42" s="107">
        <v>0</v>
      </c>
      <c r="S42" s="115">
        <v>0</v>
      </c>
    </row>
    <row r="43" spans="1:19" x14ac:dyDescent="0.3">
      <c r="A43" s="84">
        <v>180</v>
      </c>
      <c r="B43" s="84">
        <v>200</v>
      </c>
      <c r="C43" s="116">
        <v>26705</v>
      </c>
      <c r="D43" s="116">
        <v>506023475</v>
      </c>
      <c r="E43" s="107">
        <v>2.6704999999999999E-5</v>
      </c>
      <c r="F43" s="109">
        <v>189.48641640142293</v>
      </c>
      <c r="G43" s="118">
        <v>0</v>
      </c>
      <c r="H43" s="175" t="str">
        <f t="shared" si="0"/>
        <v>(180, 200]</v>
      </c>
      <c r="I43" s="110">
        <v>1</v>
      </c>
      <c r="J43" s="107">
        <v>2.6704999999999999E-5</v>
      </c>
      <c r="K43" s="107">
        <v>2.6704999999999999E-5</v>
      </c>
      <c r="L43" s="111">
        <v>26705</v>
      </c>
      <c r="M43" s="107">
        <v>2.6704999999999999E-5</v>
      </c>
      <c r="N43" s="107">
        <v>5.060234749999999E-3</v>
      </c>
      <c r="O43" s="114"/>
      <c r="P43" s="107">
        <v>2.6704999999999999E-5</v>
      </c>
      <c r="Q43" s="107"/>
      <c r="R43" s="107">
        <v>2.0999999999999999E-5</v>
      </c>
      <c r="S43" s="115">
        <v>0</v>
      </c>
    </row>
    <row r="44" spans="1:19" x14ac:dyDescent="0.3">
      <c r="A44" s="84">
        <v>200</v>
      </c>
      <c r="B44" s="84">
        <v>250</v>
      </c>
      <c r="C44" s="116">
        <v>39650</v>
      </c>
      <c r="D44" s="116">
        <v>881214305</v>
      </c>
      <c r="E44" s="107">
        <v>3.9650000000000002E-5</v>
      </c>
      <c r="F44" s="109">
        <v>222.24824842370745</v>
      </c>
      <c r="G44" s="118">
        <v>0</v>
      </c>
      <c r="H44" s="175" t="str">
        <f t="shared" si="0"/>
        <v>(200, 250]</v>
      </c>
      <c r="I44" s="110">
        <v>1</v>
      </c>
      <c r="J44" s="107">
        <v>3.9650000000000002E-5</v>
      </c>
      <c r="K44" s="107">
        <v>3.9650000000000002E-5</v>
      </c>
      <c r="L44" s="111">
        <v>39650</v>
      </c>
      <c r="M44" s="107">
        <v>3.9650000000000002E-5</v>
      </c>
      <c r="N44" s="107">
        <v>8.8121430500000004E-3</v>
      </c>
      <c r="O44" s="114"/>
      <c r="P44" s="107">
        <v>3.9650000000000002E-5</v>
      </c>
      <c r="Q44" s="107"/>
      <c r="R44" s="107">
        <v>0</v>
      </c>
      <c r="S44" s="115">
        <v>0</v>
      </c>
    </row>
    <row r="45" spans="1:19" x14ac:dyDescent="0.3">
      <c r="A45" s="84">
        <v>250</v>
      </c>
      <c r="B45" s="84">
        <v>300</v>
      </c>
      <c r="C45" s="116">
        <v>16419</v>
      </c>
      <c r="D45" s="116">
        <v>447596045</v>
      </c>
      <c r="E45" s="107">
        <v>1.6419E-5</v>
      </c>
      <c r="F45" s="109">
        <v>272.60859065716545</v>
      </c>
      <c r="G45" s="118">
        <v>0</v>
      </c>
      <c r="H45" s="175" t="str">
        <f t="shared" si="0"/>
        <v>(250, 300]</v>
      </c>
      <c r="I45" s="110">
        <v>1</v>
      </c>
      <c r="J45" s="107">
        <v>1.6419E-5</v>
      </c>
      <c r="K45" s="107">
        <v>1.6419E-5</v>
      </c>
      <c r="L45" s="111">
        <v>16419</v>
      </c>
      <c r="M45" s="107">
        <v>1.6419E-5</v>
      </c>
      <c r="N45" s="107">
        <v>4.4759604499999993E-3</v>
      </c>
      <c r="O45" s="114"/>
      <c r="P45" s="107">
        <v>1.6419E-5</v>
      </c>
      <c r="Q45" s="107"/>
      <c r="R45" s="107">
        <v>0</v>
      </c>
      <c r="S45" s="115">
        <v>0</v>
      </c>
    </row>
    <row r="46" spans="1:19" x14ac:dyDescent="0.3">
      <c r="A46" s="84">
        <v>300</v>
      </c>
      <c r="B46" s="84">
        <v>350</v>
      </c>
      <c r="C46" s="116">
        <v>9820</v>
      </c>
      <c r="D46" s="116">
        <v>316507835</v>
      </c>
      <c r="E46" s="107">
        <v>9.8200000000000008E-6</v>
      </c>
      <c r="F46" s="109">
        <v>322.30940427698573</v>
      </c>
      <c r="G46" s="118">
        <v>0</v>
      </c>
      <c r="H46" s="175" t="str">
        <f t="shared" si="0"/>
        <v>(300, 350]</v>
      </c>
      <c r="I46" s="110">
        <v>1</v>
      </c>
      <c r="J46" s="107">
        <v>9.8200000000000008E-6</v>
      </c>
      <c r="K46" s="107">
        <v>9.8200000000000008E-6</v>
      </c>
      <c r="L46" s="111">
        <v>9820</v>
      </c>
      <c r="M46" s="107">
        <v>9.8200000000000008E-6</v>
      </c>
      <c r="N46" s="107">
        <v>3.1650783500000003E-3</v>
      </c>
      <c r="O46" s="114"/>
      <c r="P46" s="107">
        <v>9.8200000000000008E-6</v>
      </c>
      <c r="Q46" s="107"/>
      <c r="R46" s="107">
        <v>0</v>
      </c>
      <c r="S46" s="115">
        <v>0</v>
      </c>
    </row>
    <row r="47" spans="1:19" x14ac:dyDescent="0.3">
      <c r="A47" s="84">
        <v>350</v>
      </c>
      <c r="B47" s="84">
        <v>400</v>
      </c>
      <c r="C47" s="116">
        <v>4717</v>
      </c>
      <c r="D47" s="116">
        <v>175973140</v>
      </c>
      <c r="E47" s="107">
        <v>4.7169999999999999E-6</v>
      </c>
      <c r="F47" s="109">
        <v>373.06156455374179</v>
      </c>
      <c r="G47" s="118">
        <v>0</v>
      </c>
      <c r="H47" s="175" t="str">
        <f t="shared" si="0"/>
        <v>(350, 400]</v>
      </c>
      <c r="I47" s="110">
        <v>1</v>
      </c>
      <c r="J47" s="107">
        <v>4.7169999999999999E-6</v>
      </c>
      <c r="K47" s="107">
        <v>4.7169999999999999E-6</v>
      </c>
      <c r="L47" s="111">
        <v>4717</v>
      </c>
      <c r="M47" s="107">
        <v>4.7169999999999999E-6</v>
      </c>
      <c r="N47" s="107">
        <v>1.7597314E-3</v>
      </c>
      <c r="O47" s="114"/>
      <c r="P47" s="107">
        <v>4.7169999999999999E-6</v>
      </c>
      <c r="Q47" s="107"/>
      <c r="R47" s="107">
        <v>0</v>
      </c>
      <c r="S47" s="115">
        <v>0</v>
      </c>
    </row>
    <row r="48" spans="1:19" x14ac:dyDescent="0.3">
      <c r="A48" s="84">
        <v>400</v>
      </c>
      <c r="B48" s="84">
        <v>450</v>
      </c>
      <c r="C48" s="116">
        <v>2944</v>
      </c>
      <c r="D48" s="116">
        <v>125153855</v>
      </c>
      <c r="E48" s="107">
        <v>2.9440000000000001E-6</v>
      </c>
      <c r="F48" s="109">
        <v>425.11499660326086</v>
      </c>
      <c r="G48" s="118">
        <v>0</v>
      </c>
      <c r="H48" s="175" t="str">
        <f t="shared" si="0"/>
        <v>(400, 450]</v>
      </c>
      <c r="I48" s="110">
        <v>1</v>
      </c>
      <c r="J48" s="107">
        <v>2.9440000000000001E-6</v>
      </c>
      <c r="K48" s="107">
        <v>2.9440000000000001E-6</v>
      </c>
      <c r="L48" s="111">
        <v>2944</v>
      </c>
      <c r="M48" s="107">
        <v>2.9440000000000001E-6</v>
      </c>
      <c r="N48" s="107">
        <v>1.2515385499999999E-3</v>
      </c>
      <c r="O48" s="114"/>
      <c r="P48" s="107">
        <v>2.9440000000000001E-6</v>
      </c>
      <c r="Q48" s="107"/>
      <c r="R48" s="107">
        <v>0</v>
      </c>
      <c r="S48" s="115">
        <v>0</v>
      </c>
    </row>
    <row r="49" spans="1:19" x14ac:dyDescent="0.3">
      <c r="A49" s="84">
        <v>450</v>
      </c>
      <c r="B49" s="84">
        <v>500</v>
      </c>
      <c r="C49" s="116">
        <v>2123</v>
      </c>
      <c r="D49" s="116">
        <v>100097245</v>
      </c>
      <c r="E49" s="107">
        <v>2.1229999999999998E-6</v>
      </c>
      <c r="F49" s="109">
        <v>471.48961375412154</v>
      </c>
      <c r="G49" s="118">
        <v>0</v>
      </c>
      <c r="H49" s="175" t="str">
        <f t="shared" si="0"/>
        <v>(450, 500]</v>
      </c>
      <c r="I49" s="110">
        <v>1</v>
      </c>
      <c r="J49" s="107">
        <v>2.1229999999999998E-6</v>
      </c>
      <c r="K49" s="107">
        <v>2.1229999999999998E-6</v>
      </c>
      <c r="L49" s="111">
        <v>2123</v>
      </c>
      <c r="M49" s="107">
        <v>2.1229999999999998E-6</v>
      </c>
      <c r="N49" s="107">
        <v>1.0009724499999999E-3</v>
      </c>
      <c r="O49" s="114"/>
      <c r="P49" s="107">
        <v>2.1229999999999998E-6</v>
      </c>
      <c r="Q49" s="107"/>
      <c r="R49" s="107">
        <v>0</v>
      </c>
      <c r="S49" s="115">
        <v>0</v>
      </c>
    </row>
    <row r="50" spans="1:19" x14ac:dyDescent="0.3">
      <c r="A50" s="84">
        <v>500</v>
      </c>
      <c r="B50" s="84">
        <v>550</v>
      </c>
      <c r="C50" s="116">
        <v>1103</v>
      </c>
      <c r="D50" s="116">
        <v>57642205</v>
      </c>
      <c r="E50" s="107">
        <v>1.1030000000000001E-6</v>
      </c>
      <c r="F50" s="109">
        <v>522.59478694469635</v>
      </c>
      <c r="G50" s="118">
        <v>0</v>
      </c>
      <c r="H50" s="175" t="str">
        <f t="shared" si="0"/>
        <v>(500, 550]</v>
      </c>
      <c r="I50" s="110">
        <v>1</v>
      </c>
      <c r="J50" s="107">
        <v>1.1030000000000001E-6</v>
      </c>
      <c r="K50" s="107">
        <v>1.1030000000000001E-6</v>
      </c>
      <c r="L50" s="111">
        <v>1103</v>
      </c>
      <c r="M50" s="107">
        <v>1.1030000000000001E-6</v>
      </c>
      <c r="N50" s="107">
        <v>5.7642205000000006E-4</v>
      </c>
      <c r="O50" s="114"/>
      <c r="P50" s="107">
        <v>1.1030000000000001E-6</v>
      </c>
      <c r="Q50" s="107"/>
      <c r="R50" s="107">
        <v>0</v>
      </c>
      <c r="S50" s="115">
        <v>0</v>
      </c>
    </row>
    <row r="51" spans="1:19" x14ac:dyDescent="0.3">
      <c r="A51" s="84">
        <v>550</v>
      </c>
      <c r="B51" s="84">
        <v>600</v>
      </c>
      <c r="C51" s="116">
        <v>795</v>
      </c>
      <c r="D51" s="116">
        <v>45805260</v>
      </c>
      <c r="E51" s="107">
        <v>7.9500000000000001E-7</v>
      </c>
      <c r="F51" s="109">
        <v>576.16679245283024</v>
      </c>
      <c r="G51" s="118">
        <v>0</v>
      </c>
      <c r="H51" s="175" t="str">
        <f t="shared" si="0"/>
        <v>(550, 600]</v>
      </c>
      <c r="I51" s="110">
        <v>1</v>
      </c>
      <c r="J51" s="107">
        <v>7.9500000000000001E-7</v>
      </c>
      <c r="K51" s="107">
        <v>7.9500000000000001E-7</v>
      </c>
      <c r="L51" s="111">
        <v>795</v>
      </c>
      <c r="M51" s="107">
        <v>7.9500000000000001E-7</v>
      </c>
      <c r="N51" s="107">
        <v>4.5805260000000007E-4</v>
      </c>
      <c r="O51" s="114"/>
      <c r="P51" s="107">
        <v>7.9500000000000001E-7</v>
      </c>
      <c r="Q51" s="107"/>
      <c r="R51" s="107">
        <v>0</v>
      </c>
      <c r="S51" s="115">
        <v>0</v>
      </c>
    </row>
    <row r="52" spans="1:19" x14ac:dyDescent="0.3">
      <c r="A52" s="84">
        <v>600</v>
      </c>
      <c r="B52" s="84">
        <v>650</v>
      </c>
      <c r="C52" s="116">
        <v>572</v>
      </c>
      <c r="D52" s="116">
        <v>35544355</v>
      </c>
      <c r="E52" s="107">
        <v>5.7199999999999999E-7</v>
      </c>
      <c r="F52" s="109">
        <v>621.40480769230771</v>
      </c>
      <c r="G52" s="118">
        <v>0</v>
      </c>
      <c r="H52" s="175" t="str">
        <f t="shared" si="0"/>
        <v>(600, 650]</v>
      </c>
      <c r="I52" s="110">
        <v>1</v>
      </c>
      <c r="J52" s="107">
        <v>5.7199999999999999E-7</v>
      </c>
      <c r="K52" s="107">
        <v>5.7199999999999999E-7</v>
      </c>
      <c r="L52" s="111">
        <v>572</v>
      </c>
      <c r="M52" s="107">
        <v>5.7199999999999999E-7</v>
      </c>
      <c r="N52" s="107">
        <v>3.5544355000000002E-4</v>
      </c>
      <c r="O52" s="114"/>
      <c r="P52" s="107">
        <v>5.7199999999999999E-7</v>
      </c>
      <c r="Q52" s="107"/>
      <c r="R52" s="107">
        <v>0</v>
      </c>
      <c r="S52" s="115">
        <v>0</v>
      </c>
    </row>
    <row r="53" spans="1:19" x14ac:dyDescent="0.3">
      <c r="A53" s="84">
        <v>650</v>
      </c>
      <c r="B53" s="84">
        <v>700</v>
      </c>
      <c r="C53" s="116">
        <v>465</v>
      </c>
      <c r="D53" s="116">
        <v>31292750</v>
      </c>
      <c r="E53" s="107">
        <v>4.6499999999999999E-7</v>
      </c>
      <c r="F53" s="109">
        <v>672.96236559139788</v>
      </c>
      <c r="G53" s="118">
        <v>0</v>
      </c>
      <c r="H53" s="175" t="str">
        <f t="shared" si="0"/>
        <v>(650, 700]</v>
      </c>
      <c r="I53" s="110">
        <v>1</v>
      </c>
      <c r="J53" s="107">
        <v>4.6499999999999999E-7</v>
      </c>
      <c r="K53" s="107">
        <v>4.6499999999999999E-7</v>
      </c>
      <c r="L53" s="111">
        <v>465</v>
      </c>
      <c r="M53" s="107">
        <v>4.6499999999999999E-7</v>
      </c>
      <c r="N53" s="107">
        <v>3.1292750000000002E-4</v>
      </c>
      <c r="O53" s="114"/>
      <c r="P53" s="107">
        <v>4.6499999999999999E-7</v>
      </c>
      <c r="Q53" s="107"/>
      <c r="R53" s="107">
        <v>0</v>
      </c>
      <c r="S53" s="115">
        <v>0</v>
      </c>
    </row>
    <row r="54" spans="1:19" x14ac:dyDescent="0.3">
      <c r="A54" s="84">
        <v>700</v>
      </c>
      <c r="B54" s="84">
        <v>750</v>
      </c>
      <c r="C54" s="116">
        <v>256</v>
      </c>
      <c r="D54" s="116">
        <v>18500155</v>
      </c>
      <c r="E54" s="107">
        <v>2.5600000000000002E-7</v>
      </c>
      <c r="F54" s="109">
        <v>722.66230468749995</v>
      </c>
      <c r="G54" s="118">
        <v>0</v>
      </c>
      <c r="H54" s="175" t="str">
        <f t="shared" si="0"/>
        <v>(700, 750]</v>
      </c>
      <c r="I54" s="110">
        <v>1</v>
      </c>
      <c r="J54" s="107">
        <v>2.5600000000000002E-7</v>
      </c>
      <c r="K54" s="107">
        <v>2.5600000000000002E-7</v>
      </c>
      <c r="L54" s="111">
        <v>256</v>
      </c>
      <c r="M54" s="107">
        <v>2.5600000000000002E-7</v>
      </c>
      <c r="N54" s="107">
        <v>1.8500155000000001E-4</v>
      </c>
      <c r="O54" s="114"/>
      <c r="P54" s="107">
        <v>2.5600000000000002E-7</v>
      </c>
      <c r="Q54" s="107"/>
      <c r="R54" s="107">
        <v>0</v>
      </c>
      <c r="S54" s="115">
        <v>0</v>
      </c>
    </row>
    <row r="55" spans="1:19" x14ac:dyDescent="0.3">
      <c r="A55" s="84">
        <v>750</v>
      </c>
      <c r="B55" s="84">
        <v>800</v>
      </c>
      <c r="C55" s="116">
        <v>206</v>
      </c>
      <c r="D55" s="116">
        <v>15938005</v>
      </c>
      <c r="E55" s="107">
        <v>2.0599999999999999E-7</v>
      </c>
      <c r="F55" s="109">
        <v>773.68956310679607</v>
      </c>
      <c r="G55" s="118">
        <v>0</v>
      </c>
      <c r="H55" s="175" t="str">
        <f t="shared" si="0"/>
        <v>(750, 800]</v>
      </c>
      <c r="I55" s="110">
        <v>1</v>
      </c>
      <c r="J55" s="107">
        <v>2.0599999999999999E-7</v>
      </c>
      <c r="K55" s="107">
        <v>2.0599999999999999E-7</v>
      </c>
      <c r="L55" s="111">
        <v>206</v>
      </c>
      <c r="M55" s="107">
        <v>2.0599999999999999E-7</v>
      </c>
      <c r="N55" s="107">
        <v>1.5938004999999997E-4</v>
      </c>
      <c r="O55" s="114"/>
      <c r="P55" s="107">
        <v>2.0599999999999999E-7</v>
      </c>
      <c r="Q55" s="107"/>
      <c r="R55" s="107">
        <v>0</v>
      </c>
      <c r="S55" s="115">
        <v>0</v>
      </c>
    </row>
    <row r="56" spans="1:19" x14ac:dyDescent="0.3">
      <c r="A56" s="84">
        <v>800</v>
      </c>
      <c r="B56" s="84">
        <v>850</v>
      </c>
      <c r="C56" s="116">
        <v>140</v>
      </c>
      <c r="D56" s="116">
        <v>11524965</v>
      </c>
      <c r="E56" s="107">
        <v>1.4000000000000001E-7</v>
      </c>
      <c r="F56" s="109">
        <v>823.21178571428561</v>
      </c>
      <c r="G56" s="118">
        <v>0</v>
      </c>
      <c r="H56" s="175" t="str">
        <f t="shared" si="0"/>
        <v>(800, 850]</v>
      </c>
      <c r="I56" s="110">
        <v>1</v>
      </c>
      <c r="J56" s="107">
        <v>1.4000000000000001E-7</v>
      </c>
      <c r="K56" s="107">
        <v>1.4000000000000001E-7</v>
      </c>
      <c r="L56" s="111">
        <v>140</v>
      </c>
      <c r="M56" s="107">
        <v>1.4000000000000001E-7</v>
      </c>
      <c r="N56" s="107">
        <v>1.1524965E-4</v>
      </c>
      <c r="O56" s="114"/>
      <c r="P56" s="107">
        <v>1.4000000000000001E-7</v>
      </c>
      <c r="Q56" s="107"/>
      <c r="R56" s="107">
        <v>0</v>
      </c>
      <c r="S56" s="115">
        <v>0</v>
      </c>
    </row>
    <row r="57" spans="1:19" x14ac:dyDescent="0.3">
      <c r="A57" s="84">
        <v>850</v>
      </c>
      <c r="B57" s="84">
        <v>900</v>
      </c>
      <c r="C57" s="116">
        <v>164</v>
      </c>
      <c r="D57" s="116">
        <v>14385140</v>
      </c>
      <c r="E57" s="107">
        <v>1.6400000000000001E-7</v>
      </c>
      <c r="F57" s="109">
        <v>877.14268292682925</v>
      </c>
      <c r="G57" s="118">
        <v>0</v>
      </c>
      <c r="H57" s="175" t="str">
        <f t="shared" si="0"/>
        <v>(850, 900]</v>
      </c>
      <c r="I57" s="110">
        <v>1</v>
      </c>
      <c r="J57" s="107">
        <v>1.6400000000000001E-7</v>
      </c>
      <c r="K57" s="107">
        <v>1.6400000000000001E-7</v>
      </c>
      <c r="L57" s="112">
        <v>164</v>
      </c>
      <c r="M57" s="107">
        <v>1.6400000000000001E-7</v>
      </c>
      <c r="N57" s="107">
        <v>1.4385140000000002E-4</v>
      </c>
      <c r="O57" s="114"/>
      <c r="P57" s="107">
        <v>1.6400000000000001E-7</v>
      </c>
      <c r="Q57" s="107"/>
      <c r="R57" s="107">
        <v>0</v>
      </c>
      <c r="S57" s="115">
        <v>0</v>
      </c>
    </row>
    <row r="58" spans="1:19" x14ac:dyDescent="0.3">
      <c r="A58" s="84">
        <v>900</v>
      </c>
      <c r="B58" s="84">
        <v>950</v>
      </c>
      <c r="C58" s="116">
        <v>125</v>
      </c>
      <c r="D58" s="116">
        <v>11522385</v>
      </c>
      <c r="E58" s="107">
        <v>1.2499999999999999E-7</v>
      </c>
      <c r="F58" s="109">
        <v>921.79079999999999</v>
      </c>
      <c r="G58" s="118">
        <v>0</v>
      </c>
      <c r="H58" s="175" t="str">
        <f t="shared" si="0"/>
        <v>(900, 950]</v>
      </c>
      <c r="I58" s="110">
        <v>1</v>
      </c>
      <c r="J58" s="107">
        <v>1.2499999999999999E-7</v>
      </c>
      <c r="K58" s="107">
        <v>1.2499999999999999E-7</v>
      </c>
      <c r="L58" s="112">
        <v>125</v>
      </c>
      <c r="M58" s="107">
        <v>1.2499999999999999E-7</v>
      </c>
      <c r="N58" s="107">
        <v>1.1522385E-4</v>
      </c>
      <c r="O58" s="114"/>
      <c r="P58" s="107">
        <v>1.2499999999999999E-7</v>
      </c>
      <c r="Q58" s="107"/>
      <c r="R58" s="107">
        <v>0</v>
      </c>
      <c r="S58" s="115">
        <v>0</v>
      </c>
    </row>
    <row r="59" spans="1:19" x14ac:dyDescent="0.3">
      <c r="A59" s="84">
        <v>950</v>
      </c>
      <c r="B59" s="84">
        <v>1000</v>
      </c>
      <c r="C59" s="116">
        <v>66</v>
      </c>
      <c r="D59" s="116">
        <v>6432800</v>
      </c>
      <c r="E59" s="107">
        <v>6.5999999999999995E-8</v>
      </c>
      <c r="F59" s="109">
        <v>974.66666666666674</v>
      </c>
      <c r="G59" s="118">
        <v>0</v>
      </c>
      <c r="H59" s="175" t="str">
        <f t="shared" si="0"/>
        <v>(950, 1000]</v>
      </c>
      <c r="I59" s="110">
        <v>1</v>
      </c>
      <c r="J59" s="107">
        <v>6.5999999999999995E-8</v>
      </c>
      <c r="K59" s="107">
        <v>6.5999999999999995E-8</v>
      </c>
      <c r="L59" s="112">
        <v>66</v>
      </c>
      <c r="M59" s="107">
        <v>6.5999999999999995E-8</v>
      </c>
      <c r="N59" s="107">
        <v>6.4327999999999998E-5</v>
      </c>
      <c r="O59" s="114"/>
      <c r="P59" s="107">
        <v>6.5999999999999995E-8</v>
      </c>
      <c r="Q59" s="107"/>
      <c r="R59" s="107">
        <v>0</v>
      </c>
      <c r="S59" s="115">
        <v>0</v>
      </c>
    </row>
    <row r="60" spans="1:19" x14ac:dyDescent="0.3">
      <c r="A60" s="84">
        <v>1000</v>
      </c>
      <c r="B60" s="84">
        <v>2000</v>
      </c>
      <c r="C60" s="116">
        <v>379</v>
      </c>
      <c r="D60" s="116">
        <v>48241495</v>
      </c>
      <c r="E60" s="107">
        <v>3.7899999999999999E-7</v>
      </c>
      <c r="F60" s="109">
        <v>1272.8626649076518</v>
      </c>
      <c r="G60" s="118">
        <v>0</v>
      </c>
      <c r="H60" s="175" t="str">
        <f t="shared" si="0"/>
        <v>(1000, 2000]</v>
      </c>
      <c r="I60" s="110">
        <v>1</v>
      </c>
      <c r="J60" s="107">
        <v>3.7899999999999999E-7</v>
      </c>
      <c r="K60" s="107">
        <v>3.7899999999999999E-7</v>
      </c>
      <c r="L60" s="112">
        <v>379</v>
      </c>
      <c r="M60" s="107">
        <v>3.7899999999999999E-7</v>
      </c>
      <c r="N60" s="107">
        <v>4.8241495000000002E-4</v>
      </c>
      <c r="O60" s="114"/>
      <c r="P60" s="107">
        <v>3.7899999999999999E-7</v>
      </c>
      <c r="Q60" s="107"/>
      <c r="R60" s="107">
        <v>0</v>
      </c>
      <c r="S60" s="115">
        <v>0</v>
      </c>
    </row>
    <row r="61" spans="1:19" x14ac:dyDescent="0.3">
      <c r="A61" s="84">
        <v>2000</v>
      </c>
      <c r="B61" s="84">
        <v>3000</v>
      </c>
      <c r="C61" s="116">
        <v>16</v>
      </c>
      <c r="D61" s="116">
        <v>3554635</v>
      </c>
      <c r="E61" s="107">
        <v>1.6000000000000001E-8</v>
      </c>
      <c r="F61" s="109">
        <v>2221.6468749999999</v>
      </c>
      <c r="G61" s="118">
        <v>0</v>
      </c>
      <c r="H61" s="175" t="str">
        <f t="shared" si="0"/>
        <v>(2000, 3000]</v>
      </c>
      <c r="I61" s="110">
        <v>1</v>
      </c>
      <c r="J61" s="107">
        <v>1.6000000000000001E-8</v>
      </c>
      <c r="K61" s="107">
        <v>1.6000000000000001E-8</v>
      </c>
      <c r="L61" s="112">
        <v>16</v>
      </c>
      <c r="M61" s="107">
        <v>1.6000000000000001E-8</v>
      </c>
      <c r="N61" s="107">
        <v>3.5546349999999999E-5</v>
      </c>
      <c r="O61" s="114"/>
      <c r="P61" s="107">
        <v>1.6000000000000001E-8</v>
      </c>
      <c r="Q61" s="107"/>
      <c r="R61" s="107">
        <v>0</v>
      </c>
      <c r="S61" s="115">
        <v>0</v>
      </c>
    </row>
    <row r="62" spans="1:19" x14ac:dyDescent="0.3">
      <c r="A62" s="84">
        <v>3000</v>
      </c>
      <c r="B62" s="84">
        <v>4000</v>
      </c>
      <c r="C62" s="116">
        <v>3</v>
      </c>
      <c r="D62" s="116">
        <v>1008260</v>
      </c>
      <c r="E62" s="107">
        <v>3E-9</v>
      </c>
      <c r="F62" s="109">
        <v>3360.8666666666668</v>
      </c>
      <c r="G62" s="118">
        <v>0</v>
      </c>
      <c r="H62" s="29" t="str">
        <f t="shared" si="0"/>
        <v>(3000, 4000]</v>
      </c>
      <c r="I62" s="110">
        <v>1</v>
      </c>
      <c r="J62" s="107">
        <v>3E-9</v>
      </c>
      <c r="K62" s="107">
        <v>3E-9</v>
      </c>
      <c r="L62" s="112">
        <v>3</v>
      </c>
      <c r="M62" s="107">
        <v>3E-9</v>
      </c>
      <c r="N62" s="107">
        <v>1.0082600000000001E-5</v>
      </c>
      <c r="O62" s="114"/>
      <c r="P62" s="107">
        <v>3E-9</v>
      </c>
      <c r="Q62" s="107"/>
      <c r="R62" s="107">
        <v>0</v>
      </c>
      <c r="S62" s="115">
        <v>0</v>
      </c>
    </row>
    <row r="63" spans="1:19" x14ac:dyDescent="0.3">
      <c r="A63" s="84">
        <v>4000</v>
      </c>
      <c r="B63" s="84">
        <v>5000</v>
      </c>
      <c r="C63" s="116">
        <v>1</v>
      </c>
      <c r="D63" s="116">
        <v>476820</v>
      </c>
      <c r="E63" s="107">
        <v>1.0000000000000001E-9</v>
      </c>
      <c r="F63" s="109">
        <v>4768.2</v>
      </c>
      <c r="G63" s="118">
        <v>0</v>
      </c>
      <c r="H63" s="29" t="str">
        <f t="shared" si="0"/>
        <v>(4000, 5000]</v>
      </c>
      <c r="I63" s="110">
        <v>1</v>
      </c>
      <c r="J63" s="107">
        <v>1.0000000000000001E-9</v>
      </c>
      <c r="K63" s="107">
        <v>1.0000000000000001E-9</v>
      </c>
      <c r="L63" s="112">
        <v>1</v>
      </c>
      <c r="M63" s="107">
        <v>1.0000000000000001E-9</v>
      </c>
      <c r="N63" s="107">
        <v>4.7682000000000004E-6</v>
      </c>
      <c r="O63" s="114"/>
      <c r="P63" s="107">
        <v>1.0000000000000001E-9</v>
      </c>
      <c r="Q63" s="107"/>
      <c r="R63" s="107">
        <v>0</v>
      </c>
      <c r="S63" s="115">
        <v>0</v>
      </c>
    </row>
    <row r="64" spans="1:19" x14ac:dyDescent="0.3">
      <c r="A64" s="84">
        <v>5000</v>
      </c>
      <c r="B64" s="84">
        <v>6000</v>
      </c>
      <c r="C64" s="116">
        <v>1</v>
      </c>
      <c r="D64" s="116">
        <v>546190</v>
      </c>
      <c r="E64" s="107">
        <v>1.0000000000000001E-9</v>
      </c>
      <c r="F64" s="109">
        <v>5461.9</v>
      </c>
      <c r="G64" s="118">
        <v>0</v>
      </c>
      <c r="H64" s="29" t="str">
        <f t="shared" si="0"/>
        <v>(5000, 6000]</v>
      </c>
      <c r="I64" s="110">
        <v>1</v>
      </c>
      <c r="J64" s="107">
        <v>1.0000000000000001E-9</v>
      </c>
      <c r="K64" s="107">
        <v>1.0000000000000001E-9</v>
      </c>
      <c r="L64" s="112">
        <v>1</v>
      </c>
      <c r="M64" s="107">
        <v>1.0000000000000001E-9</v>
      </c>
      <c r="N64" s="107">
        <v>5.4619000000000002E-6</v>
      </c>
      <c r="O64" s="114"/>
      <c r="P64" s="107">
        <v>1.0000000000000001E-9</v>
      </c>
      <c r="Q64" s="107"/>
      <c r="R64" s="107">
        <v>0</v>
      </c>
      <c r="S64" s="115">
        <v>0</v>
      </c>
    </row>
    <row r="65" spans="1:20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1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>
        <v>0</v>
      </c>
      <c r="S65" s="115">
        <v>0</v>
      </c>
    </row>
    <row r="66" spans="1:20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1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>
        <v>0</v>
      </c>
      <c r="S66" s="115">
        <v>0</v>
      </c>
    </row>
    <row r="67" spans="1:20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1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>
        <v>0</v>
      </c>
      <c r="S67" s="115">
        <v>0</v>
      </c>
    </row>
    <row r="68" spans="1:20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1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>
        <v>0</v>
      </c>
      <c r="S68" s="115">
        <v>0</v>
      </c>
    </row>
    <row r="69" spans="1:20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1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>
        <v>0</v>
      </c>
      <c r="S69" s="115">
        <v>0</v>
      </c>
    </row>
    <row r="70" spans="1:20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1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>
        <v>0</v>
      </c>
      <c r="S70" s="115">
        <v>0</v>
      </c>
    </row>
    <row r="71" spans="1:20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1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>
        <v>0</v>
      </c>
      <c r="S71" s="115">
        <v>0</v>
      </c>
    </row>
    <row r="72" spans="1:20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1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>
        <v>0</v>
      </c>
      <c r="S72" s="115">
        <v>0</v>
      </c>
    </row>
    <row r="73" spans="1:20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1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>
        <v>0</v>
      </c>
      <c r="S73" s="115">
        <v>0</v>
      </c>
    </row>
    <row r="74" spans="1:20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1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>
        <v>0</v>
      </c>
      <c r="S74" s="115">
        <v>0</v>
      </c>
    </row>
    <row r="75" spans="1:20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1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>
        <v>0</v>
      </c>
      <c r="S75" s="115">
        <v>0</v>
      </c>
    </row>
    <row r="76" spans="1:20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1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>
        <v>0</v>
      </c>
      <c r="S76" s="115">
        <v>0</v>
      </c>
    </row>
    <row r="77" spans="1:20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1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>
        <v>0</v>
      </c>
      <c r="S77" s="115">
        <v>0</v>
      </c>
    </row>
    <row r="78" spans="1:20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1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>
        <v>0</v>
      </c>
      <c r="S78" s="115">
        <v>0</v>
      </c>
    </row>
    <row r="79" spans="1:20" x14ac:dyDescent="0.3">
      <c r="A79" s="185" t="s">
        <v>63</v>
      </c>
      <c r="B79" s="186"/>
      <c r="C79" s="120">
        <f>E79*B13</f>
        <v>0</v>
      </c>
      <c r="D79" s="116"/>
      <c r="E79" s="121"/>
      <c r="F79" s="109">
        <v>0</v>
      </c>
      <c r="G79" s="118"/>
      <c r="H79" s="29" t="s">
        <v>63</v>
      </c>
      <c r="I79" s="110">
        <v>1</v>
      </c>
      <c r="J79" s="107">
        <v>0</v>
      </c>
      <c r="K79" s="107">
        <f>J79</f>
        <v>0</v>
      </c>
      <c r="L79" s="112">
        <v>0</v>
      </c>
      <c r="M79" s="113">
        <v>0</v>
      </c>
      <c r="N79" s="107">
        <v>0</v>
      </c>
      <c r="P79" s="66"/>
      <c r="Q79" s="66"/>
      <c r="R79" s="66"/>
      <c r="S79" s="66"/>
      <c r="T79" s="66"/>
    </row>
    <row r="80" spans="1:20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/>
      <c r="D87" s="105"/>
      <c r="E87" s="107" t="e" cm="1">
        <f t="array" ref="E87:E150">_xlfn.LET(_xlpm.x, C87:C150, _xlpm.x/SUM(_xlpm.x))</f>
        <v>#DIV/0!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1</v>
      </c>
      <c r="J87" s="107" t="e" cm="1">
        <f t="array" ref="J87:J150">_xlfn.ANCHORARRAY(E87)*I87:I150</f>
        <v>#DIV/0!</v>
      </c>
      <c r="K87" s="107" t="e" cm="1">
        <f t="array" ref="K87:K150">J87:J150/SUM(_xlfn.ANCHORARRAY(J87))</f>
        <v>#DIV/0!</v>
      </c>
      <c r="L87" s="111" t="e" cm="1">
        <f t="array" ref="L87:L150">INT(_xlfn.ANCHORARRAY(K87)*$B$2)</f>
        <v>#DIV/0!</v>
      </c>
      <c r="M87" s="107" t="e" cm="1">
        <f t="array" ref="M87:M150">_xlfn.LET(_xlpm.x, L87:L150, _xlpm.x/SUM(_xlpm.x))</f>
        <v>#DIV/0!</v>
      </c>
      <c r="N87" s="134" t="e" cm="1">
        <f t="array" ref="N87:N150">M87:M150*_xlfn.ANCHORARRAY(F87)</f>
        <v>#DIV/0!</v>
      </c>
      <c r="O87" s="114"/>
      <c r="P87" s="107" t="e" cm="1">
        <f t="array" ref="P87:P150">_xlfn.ANCHORARRAY(M87)</f>
        <v>#DIV/0!</v>
      </c>
      <c r="Q87" s="107"/>
      <c r="R87" s="107">
        <v>2.069E-2</v>
      </c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/>
      <c r="D88" s="116"/>
      <c r="E88" s="107" t="e">
        <v>#DIV/0!</v>
      </c>
      <c r="F88" s="109">
        <v>0</v>
      </c>
      <c r="G88" s="66">
        <v>0</v>
      </c>
      <c r="H88" s="29" t="str">
        <f t="shared" ref="H88:H150" si="1">"("&amp;$A88&amp;", "&amp;$B88&amp;"]"</f>
        <v>(0, 1]</v>
      </c>
      <c r="I88" s="110">
        <v>1</v>
      </c>
      <c r="J88" s="107" t="e">
        <v>#DIV/0!</v>
      </c>
      <c r="K88" s="107" t="e">
        <v>#DIV/0!</v>
      </c>
      <c r="L88" s="111" t="e">
        <v>#DIV/0!</v>
      </c>
      <c r="M88" s="107" t="e">
        <v>#DIV/0!</v>
      </c>
      <c r="N88" s="107" t="e">
        <v>#DIV/0!</v>
      </c>
      <c r="O88" s="114"/>
      <c r="P88" s="107" t="e">
        <v>#DIV/0!</v>
      </c>
      <c r="Q88" s="107"/>
      <c r="R88" s="107">
        <v>6.8970000000000004E-3</v>
      </c>
      <c r="S88" s="115">
        <v>0</v>
      </c>
    </row>
    <row r="89" spans="1:19" x14ac:dyDescent="0.3">
      <c r="A89" s="84">
        <v>1</v>
      </c>
      <c r="B89" s="84">
        <v>2</v>
      </c>
      <c r="C89" s="116"/>
      <c r="D89" s="116"/>
      <c r="E89" s="107" t="e">
        <v>#DIV/0!</v>
      </c>
      <c r="F89" s="109">
        <v>0</v>
      </c>
      <c r="G89" s="117">
        <f>1+G88*G87</f>
        <v>1</v>
      </c>
      <c r="H89" s="29" t="str">
        <f t="shared" si="1"/>
        <v>(1, 2]</v>
      </c>
      <c r="I89" s="110">
        <v>1</v>
      </c>
      <c r="J89" s="107" t="e">
        <v>#DIV/0!</v>
      </c>
      <c r="K89" s="107" t="e">
        <v>#DIV/0!</v>
      </c>
      <c r="L89" s="111" t="e">
        <v>#DIV/0!</v>
      </c>
      <c r="M89" s="107" t="e">
        <v>#DIV/0!</v>
      </c>
      <c r="N89" s="107" t="e">
        <v>#DIV/0!</v>
      </c>
      <c r="O89" s="114"/>
      <c r="P89" s="107" t="e">
        <v>#DIV/0!</v>
      </c>
      <c r="Q89" s="107"/>
      <c r="R89" s="107">
        <v>6.8970000000000004E-3</v>
      </c>
      <c r="S89" s="115">
        <v>0</v>
      </c>
    </row>
    <row r="90" spans="1:19" x14ac:dyDescent="0.3">
      <c r="A90" s="84">
        <v>2</v>
      </c>
      <c r="B90" s="84">
        <v>3</v>
      </c>
      <c r="C90" s="116"/>
      <c r="D90" s="116"/>
      <c r="E90" s="107" t="e">
        <v>#DIV/0!</v>
      </c>
      <c r="F90" s="109">
        <v>0</v>
      </c>
      <c r="G90" s="114"/>
      <c r="H90" s="29" t="str">
        <f t="shared" si="1"/>
        <v>(2, 3]</v>
      </c>
      <c r="I90" s="110">
        <v>1</v>
      </c>
      <c r="J90" s="107" t="e">
        <v>#DIV/0!</v>
      </c>
      <c r="K90" s="107" t="e">
        <v>#DIV/0!</v>
      </c>
      <c r="L90" s="111" t="e">
        <v>#DIV/0!</v>
      </c>
      <c r="M90" s="107" t="e">
        <v>#DIV/0!</v>
      </c>
      <c r="N90" s="107" t="e">
        <v>#DIV/0!</v>
      </c>
      <c r="O90" s="114"/>
      <c r="P90" s="107" t="e">
        <v>#DIV/0!</v>
      </c>
      <c r="Q90" s="107"/>
      <c r="R90" s="107">
        <v>6.8970000000000004E-3</v>
      </c>
      <c r="S90" s="115">
        <v>0</v>
      </c>
    </row>
    <row r="91" spans="1:19" x14ac:dyDescent="0.3">
      <c r="A91" s="84">
        <v>3</v>
      </c>
      <c r="B91" s="84">
        <v>4</v>
      </c>
      <c r="C91" s="116"/>
      <c r="D91" s="116"/>
      <c r="E91" s="107" t="e">
        <v>#DIV/0!</v>
      </c>
      <c r="F91" s="109">
        <v>0</v>
      </c>
      <c r="G91" s="114"/>
      <c r="H91" s="29" t="str">
        <f t="shared" si="1"/>
        <v>(3, 4]</v>
      </c>
      <c r="I91" s="110">
        <v>1</v>
      </c>
      <c r="J91" s="107" t="e">
        <v>#DIV/0!</v>
      </c>
      <c r="K91" s="107" t="e">
        <v>#DIV/0!</v>
      </c>
      <c r="L91" s="111" t="e">
        <v>#DIV/0!</v>
      </c>
      <c r="M91" s="107" t="e">
        <v>#DIV/0!</v>
      </c>
      <c r="N91" s="107" t="e">
        <v>#DIV/0!</v>
      </c>
      <c r="O91" s="114"/>
      <c r="P91" s="107" t="e">
        <v>#DIV/0!</v>
      </c>
      <c r="Q91" s="107"/>
      <c r="R91" s="107">
        <v>6.8970000000000004E-3</v>
      </c>
      <c r="S91" s="115">
        <v>0</v>
      </c>
    </row>
    <row r="92" spans="1:19" x14ac:dyDescent="0.3">
      <c r="A92" s="84">
        <v>4</v>
      </c>
      <c r="B92" s="84">
        <v>5</v>
      </c>
      <c r="C92" s="116"/>
      <c r="D92" s="116"/>
      <c r="E92" s="107" t="e">
        <v>#DIV/0!</v>
      </c>
      <c r="F92" s="109">
        <v>0</v>
      </c>
      <c r="G92" s="114"/>
      <c r="H92" s="29" t="str">
        <f t="shared" si="1"/>
        <v>(4, 5]</v>
      </c>
      <c r="I92" s="110">
        <v>1</v>
      </c>
      <c r="J92" s="107" t="e">
        <v>#DIV/0!</v>
      </c>
      <c r="K92" s="107" t="e">
        <v>#DIV/0!</v>
      </c>
      <c r="L92" s="111" t="e">
        <v>#DIV/0!</v>
      </c>
      <c r="M92" s="107" t="e">
        <v>#DIV/0!</v>
      </c>
      <c r="N92" s="107" t="e">
        <v>#DIV/0!</v>
      </c>
      <c r="O92" s="114"/>
      <c r="P92" s="107" t="e">
        <v>#DIV/0!</v>
      </c>
      <c r="Q92" s="107"/>
      <c r="R92" s="107">
        <v>6.8970000000000004E-3</v>
      </c>
      <c r="S92" s="115">
        <v>0</v>
      </c>
    </row>
    <row r="93" spans="1:19" x14ac:dyDescent="0.3">
      <c r="A93" s="84">
        <v>5</v>
      </c>
      <c r="B93" s="84">
        <v>6</v>
      </c>
      <c r="C93" s="116"/>
      <c r="D93" s="116"/>
      <c r="E93" s="107" t="e">
        <v>#DIV/0!</v>
      </c>
      <c r="F93" s="109">
        <v>0</v>
      </c>
      <c r="G93" s="114"/>
      <c r="H93" s="29" t="str">
        <f t="shared" si="1"/>
        <v>(5, 6]</v>
      </c>
      <c r="I93" s="110">
        <v>1</v>
      </c>
      <c r="J93" s="107" t="e">
        <v>#DIV/0!</v>
      </c>
      <c r="K93" s="107" t="e">
        <v>#DIV/0!</v>
      </c>
      <c r="L93" s="111" t="e">
        <v>#DIV/0!</v>
      </c>
      <c r="M93" s="107" t="e">
        <v>#DIV/0!</v>
      </c>
      <c r="N93" s="107" t="e">
        <v>#DIV/0!</v>
      </c>
      <c r="O93" s="114"/>
      <c r="P93" s="107" t="e">
        <v>#DIV/0!</v>
      </c>
      <c r="Q93" s="107"/>
      <c r="R93" s="107">
        <v>6.8970000000000004E-3</v>
      </c>
      <c r="S93" s="115">
        <v>0</v>
      </c>
    </row>
    <row r="94" spans="1:19" x14ac:dyDescent="0.3">
      <c r="A94" s="84">
        <v>6</v>
      </c>
      <c r="B94" s="84">
        <v>7</v>
      </c>
      <c r="C94" s="116"/>
      <c r="D94" s="116"/>
      <c r="E94" s="107" t="e">
        <v>#DIV/0!</v>
      </c>
      <c r="F94" s="109">
        <v>0</v>
      </c>
      <c r="G94" s="114"/>
      <c r="H94" s="29" t="str">
        <f t="shared" si="1"/>
        <v>(6, 7]</v>
      </c>
      <c r="I94" s="110">
        <v>1</v>
      </c>
      <c r="J94" s="107" t="e">
        <v>#DIV/0!</v>
      </c>
      <c r="K94" s="107" t="e">
        <v>#DIV/0!</v>
      </c>
      <c r="L94" s="111" t="e">
        <v>#DIV/0!</v>
      </c>
      <c r="M94" s="107" t="e">
        <v>#DIV/0!</v>
      </c>
      <c r="N94" s="107" t="e">
        <v>#DIV/0!</v>
      </c>
      <c r="O94" s="114"/>
      <c r="P94" s="107" t="e">
        <v>#DIV/0!</v>
      </c>
      <c r="Q94" s="107"/>
      <c r="R94" s="107">
        <v>2.069E-2</v>
      </c>
      <c r="S94" s="115">
        <v>0</v>
      </c>
    </row>
    <row r="95" spans="1:19" x14ac:dyDescent="0.3">
      <c r="A95" s="84">
        <v>7</v>
      </c>
      <c r="B95" s="84">
        <v>8</v>
      </c>
      <c r="C95" s="116"/>
      <c r="D95" s="116"/>
      <c r="E95" s="107" t="e">
        <v>#DIV/0!</v>
      </c>
      <c r="F95" s="109">
        <v>0</v>
      </c>
      <c r="G95" s="114"/>
      <c r="H95" s="29" t="str">
        <f t="shared" si="1"/>
        <v>(7, 8]</v>
      </c>
      <c r="I95" s="110">
        <v>1</v>
      </c>
      <c r="J95" s="107" t="e">
        <v>#DIV/0!</v>
      </c>
      <c r="K95" s="107" t="e">
        <v>#DIV/0!</v>
      </c>
      <c r="L95" s="111" t="e">
        <v>#DIV/0!</v>
      </c>
      <c r="M95" s="107" t="e">
        <v>#DIV/0!</v>
      </c>
      <c r="N95" s="107" t="e">
        <v>#DIV/0!</v>
      </c>
      <c r="O95" s="114"/>
      <c r="P95" s="107" t="e">
        <v>#DIV/0!</v>
      </c>
      <c r="Q95" s="107"/>
      <c r="R95" s="107">
        <v>0</v>
      </c>
      <c r="S95" s="115">
        <v>0</v>
      </c>
    </row>
    <row r="96" spans="1:19" x14ac:dyDescent="0.3">
      <c r="A96" s="84">
        <v>8</v>
      </c>
      <c r="B96" s="84">
        <v>9</v>
      </c>
      <c r="C96" s="116"/>
      <c r="D96" s="116"/>
      <c r="E96" s="107" t="e">
        <v>#DIV/0!</v>
      </c>
      <c r="F96" s="109">
        <v>0</v>
      </c>
      <c r="G96" s="114"/>
      <c r="H96" s="29" t="str">
        <f t="shared" si="1"/>
        <v>(8, 9]</v>
      </c>
      <c r="I96" s="110">
        <v>1</v>
      </c>
      <c r="J96" s="107" t="e">
        <v>#DIV/0!</v>
      </c>
      <c r="K96" s="107" t="e">
        <v>#DIV/0!</v>
      </c>
      <c r="L96" s="111" t="e">
        <v>#DIV/0!</v>
      </c>
      <c r="M96" s="107" t="e">
        <v>#DIV/0!</v>
      </c>
      <c r="N96" s="107" t="e">
        <v>#DIV/0!</v>
      </c>
      <c r="O96" s="114"/>
      <c r="P96" s="107" t="e">
        <v>#DIV/0!</v>
      </c>
      <c r="Q96" s="107"/>
      <c r="R96" s="107">
        <v>6.8970000000000004E-3</v>
      </c>
      <c r="S96" s="115">
        <v>0</v>
      </c>
    </row>
    <row r="97" spans="1:20" x14ac:dyDescent="0.3">
      <c r="A97" s="84">
        <v>9</v>
      </c>
      <c r="B97" s="84">
        <v>10</v>
      </c>
      <c r="C97" s="116"/>
      <c r="D97" s="116"/>
      <c r="E97" s="107" t="e">
        <v>#DIV/0!</v>
      </c>
      <c r="F97" s="109">
        <v>0</v>
      </c>
      <c r="G97" s="114"/>
      <c r="H97" s="175" t="str">
        <f t="shared" si="1"/>
        <v>(9, 10]</v>
      </c>
      <c r="I97" s="110">
        <v>1</v>
      </c>
      <c r="J97" s="107" t="e">
        <v>#DIV/0!</v>
      </c>
      <c r="K97" s="107" t="e">
        <v>#DIV/0!</v>
      </c>
      <c r="L97" s="111" t="e">
        <v>#DIV/0!</v>
      </c>
      <c r="M97" s="107" t="e">
        <v>#DIV/0!</v>
      </c>
      <c r="N97" s="107" t="e">
        <v>#DIV/0!</v>
      </c>
      <c r="O97" s="114"/>
      <c r="P97" s="107" t="e">
        <v>#DIV/0!</v>
      </c>
      <c r="Q97" s="107"/>
      <c r="R97" s="107">
        <v>0</v>
      </c>
      <c r="S97" s="115">
        <v>0</v>
      </c>
    </row>
    <row r="98" spans="1:20" x14ac:dyDescent="0.3">
      <c r="A98" s="84">
        <v>10</v>
      </c>
      <c r="B98" s="84">
        <v>15</v>
      </c>
      <c r="C98" s="116"/>
      <c r="D98" s="116"/>
      <c r="E98" s="107" t="e">
        <v>#DIV/0!</v>
      </c>
      <c r="F98" s="109">
        <v>0</v>
      </c>
      <c r="G98" s="114"/>
      <c r="H98" s="175" t="str">
        <f t="shared" si="1"/>
        <v>(10, 15]</v>
      </c>
      <c r="I98" s="110">
        <v>1</v>
      </c>
      <c r="J98" s="107" t="e">
        <v>#DIV/0!</v>
      </c>
      <c r="K98" s="107" t="e">
        <v>#DIV/0!</v>
      </c>
      <c r="L98" s="111" t="e">
        <v>#DIV/0!</v>
      </c>
      <c r="M98" s="107" t="e">
        <v>#DIV/0!</v>
      </c>
      <c r="N98" s="107" t="e">
        <v>#DIV/0!</v>
      </c>
      <c r="O98" s="114"/>
      <c r="P98" s="107" t="e">
        <v>#DIV/0!</v>
      </c>
      <c r="Q98" s="107"/>
      <c r="R98" s="107">
        <v>6.2068999999999999E-2</v>
      </c>
      <c r="S98" s="115">
        <v>0</v>
      </c>
      <c r="T98" s="135"/>
    </row>
    <row r="99" spans="1:20" x14ac:dyDescent="0.3">
      <c r="A99" s="84">
        <v>15</v>
      </c>
      <c r="B99" s="84">
        <v>20</v>
      </c>
      <c r="C99" s="116"/>
      <c r="D99" s="116"/>
      <c r="E99" s="107" t="e">
        <v>#DIV/0!</v>
      </c>
      <c r="F99" s="109">
        <v>0</v>
      </c>
      <c r="G99" s="114"/>
      <c r="H99" s="175" t="str">
        <f t="shared" si="1"/>
        <v>(15, 20]</v>
      </c>
      <c r="I99" s="110">
        <v>1</v>
      </c>
      <c r="J99" s="107" t="e">
        <v>#DIV/0!</v>
      </c>
      <c r="K99" s="107" t="e">
        <v>#DIV/0!</v>
      </c>
      <c r="L99" s="111" t="e">
        <v>#DIV/0!</v>
      </c>
      <c r="M99" s="107" t="e">
        <v>#DIV/0!</v>
      </c>
      <c r="N99" s="107" t="e">
        <v>#DIV/0!</v>
      </c>
      <c r="O99" s="114"/>
      <c r="P99" s="107" t="e">
        <v>#DIV/0!</v>
      </c>
      <c r="Q99" s="107"/>
      <c r="R99" s="107">
        <v>2.7585999999999999E-2</v>
      </c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/>
      <c r="D100" s="116"/>
      <c r="E100" s="107" t="e">
        <v>#DIV/0!</v>
      </c>
      <c r="F100" s="109">
        <v>0</v>
      </c>
      <c r="G100" s="114"/>
      <c r="H100" s="175" t="str">
        <f t="shared" si="1"/>
        <v>(20, 25]</v>
      </c>
      <c r="I100" s="110">
        <v>1</v>
      </c>
      <c r="J100" s="107" t="e">
        <v>#DIV/0!</v>
      </c>
      <c r="K100" s="107" t="e">
        <v>#DIV/0!</v>
      </c>
      <c r="L100" s="111" t="e">
        <v>#DIV/0!</v>
      </c>
      <c r="M100" s="107" t="e">
        <v>#DIV/0!</v>
      </c>
      <c r="N100" s="107" t="e">
        <v>#DIV/0!</v>
      </c>
      <c r="O100" s="114"/>
      <c r="P100" s="107" t="e">
        <v>#DIV/0!</v>
      </c>
      <c r="Q100" s="107"/>
      <c r="R100" s="107">
        <v>2.069E-2</v>
      </c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/>
      <c r="D101" s="116"/>
      <c r="E101" s="107" t="e">
        <v>#DIV/0!</v>
      </c>
      <c r="F101" s="109">
        <v>0</v>
      </c>
      <c r="G101" s="114"/>
      <c r="H101" s="175" t="str">
        <f t="shared" si="1"/>
        <v>(25, 30]</v>
      </c>
      <c r="I101" s="110">
        <v>1</v>
      </c>
      <c r="J101" s="107" t="e">
        <v>#DIV/0!</v>
      </c>
      <c r="K101" s="107" t="e">
        <v>#DIV/0!</v>
      </c>
      <c r="L101" s="111" t="e">
        <v>#DIV/0!</v>
      </c>
      <c r="M101" s="107" t="e">
        <v>#DIV/0!</v>
      </c>
      <c r="N101" s="107" t="e">
        <v>#DIV/0!</v>
      </c>
      <c r="O101" s="114"/>
      <c r="P101" s="107" t="e">
        <v>#DIV/0!</v>
      </c>
      <c r="Q101" s="107"/>
      <c r="R101" s="107">
        <v>8.9654999999999999E-2</v>
      </c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/>
      <c r="D102" s="116"/>
      <c r="E102" s="107" t="e">
        <v>#DIV/0!</v>
      </c>
      <c r="F102" s="109">
        <v>0</v>
      </c>
      <c r="G102" s="114"/>
      <c r="H102" s="175" t="str">
        <f t="shared" si="1"/>
        <v>(30, 35]</v>
      </c>
      <c r="I102" s="110">
        <v>1</v>
      </c>
      <c r="J102" s="107" t="e">
        <v>#DIV/0!</v>
      </c>
      <c r="K102" s="107" t="e">
        <v>#DIV/0!</v>
      </c>
      <c r="L102" s="111" t="e">
        <v>#DIV/0!</v>
      </c>
      <c r="M102" s="107" t="e">
        <v>#DIV/0!</v>
      </c>
      <c r="N102" s="107" t="e">
        <v>#DIV/0!</v>
      </c>
      <c r="O102" s="114"/>
      <c r="P102" s="107" t="e">
        <v>#DIV/0!</v>
      </c>
      <c r="Q102" s="107"/>
      <c r="R102" s="107">
        <v>3.4483E-2</v>
      </c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/>
      <c r="D103" s="116"/>
      <c r="E103" s="107" t="e">
        <v>#DIV/0!</v>
      </c>
      <c r="F103" s="109">
        <v>0</v>
      </c>
      <c r="G103" s="114"/>
      <c r="H103" s="175" t="str">
        <f t="shared" si="1"/>
        <v>(35, 40]</v>
      </c>
      <c r="I103" s="110">
        <v>1</v>
      </c>
      <c r="J103" s="107" t="e">
        <v>#DIV/0!</v>
      </c>
      <c r="K103" s="107" t="e">
        <v>#DIV/0!</v>
      </c>
      <c r="L103" s="111" t="e">
        <v>#DIV/0!</v>
      </c>
      <c r="M103" s="107" t="e">
        <v>#DIV/0!</v>
      </c>
      <c r="N103" s="107" t="e">
        <v>#DIV/0!</v>
      </c>
      <c r="O103" s="114"/>
      <c r="P103" s="107" t="e">
        <v>#DIV/0!</v>
      </c>
      <c r="Q103" s="107"/>
      <c r="R103" s="107">
        <v>6.2068999999999999E-2</v>
      </c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/>
      <c r="D104" s="116"/>
      <c r="E104" s="107" t="e">
        <v>#DIV/0!</v>
      </c>
      <c r="F104" s="109">
        <v>0</v>
      </c>
      <c r="G104" s="114"/>
      <c r="H104" s="175" t="str">
        <f t="shared" si="1"/>
        <v>(40, 45]</v>
      </c>
      <c r="I104" s="110">
        <v>1</v>
      </c>
      <c r="J104" s="107" t="e">
        <v>#DIV/0!</v>
      </c>
      <c r="K104" s="107" t="e">
        <v>#DIV/0!</v>
      </c>
      <c r="L104" s="111" t="e">
        <v>#DIV/0!</v>
      </c>
      <c r="M104" s="107" t="e">
        <v>#DIV/0!</v>
      </c>
      <c r="N104" s="107" t="e">
        <v>#DIV/0!</v>
      </c>
      <c r="O104" s="114"/>
      <c r="P104" s="107" t="e">
        <v>#DIV/0!</v>
      </c>
      <c r="Q104" s="107"/>
      <c r="R104" s="107">
        <v>5.5171999999999999E-2</v>
      </c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/>
      <c r="D105" s="116"/>
      <c r="E105" s="107" t="e">
        <v>#DIV/0!</v>
      </c>
      <c r="F105" s="109">
        <v>0</v>
      </c>
      <c r="G105" s="114"/>
      <c r="H105" s="175" t="str">
        <f t="shared" si="1"/>
        <v>(45, 50]</v>
      </c>
      <c r="I105" s="110">
        <v>1</v>
      </c>
      <c r="J105" s="107" t="e">
        <v>#DIV/0!</v>
      </c>
      <c r="K105" s="107" t="e">
        <v>#DIV/0!</v>
      </c>
      <c r="L105" s="111" t="e">
        <v>#DIV/0!</v>
      </c>
      <c r="M105" s="107" t="e">
        <v>#DIV/0!</v>
      </c>
      <c r="N105" s="107" t="e">
        <v>#DIV/0!</v>
      </c>
      <c r="O105" s="114"/>
      <c r="P105" s="107" t="e">
        <v>#DIV/0!</v>
      </c>
      <c r="Q105" s="107"/>
      <c r="R105" s="107">
        <v>4.8275999999999999E-2</v>
      </c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/>
      <c r="D106" s="116"/>
      <c r="E106" s="107" t="e">
        <v>#DIV/0!</v>
      </c>
      <c r="F106" s="109">
        <v>0</v>
      </c>
      <c r="G106" s="114">
        <v>2.12</v>
      </c>
      <c r="H106" s="175" t="str">
        <f t="shared" si="1"/>
        <v>(50, 60]</v>
      </c>
      <c r="I106" s="110">
        <v>1</v>
      </c>
      <c r="J106" s="107" t="e">
        <v>#DIV/0!</v>
      </c>
      <c r="K106" s="107" t="e">
        <v>#DIV/0!</v>
      </c>
      <c r="L106" s="111" t="e">
        <v>#DIV/0!</v>
      </c>
      <c r="M106" s="107" t="e">
        <v>#DIV/0!</v>
      </c>
      <c r="N106" s="107" t="e">
        <v>#DIV/0!</v>
      </c>
      <c r="O106" s="114"/>
      <c r="P106" s="107" t="e">
        <v>#DIV/0!</v>
      </c>
      <c r="Q106" s="107"/>
      <c r="R106" s="107">
        <v>4.8275999999999999E-2</v>
      </c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/>
      <c r="D107" s="116"/>
      <c r="E107" s="107" t="e">
        <v>#DIV/0!</v>
      </c>
      <c r="F107" s="109">
        <v>0</v>
      </c>
      <c r="G107" s="114">
        <v>5.94</v>
      </c>
      <c r="H107" s="175" t="str">
        <f t="shared" si="1"/>
        <v>(60, 70]</v>
      </c>
      <c r="I107" s="110">
        <v>1</v>
      </c>
      <c r="J107" s="107" t="e">
        <v>#DIV/0!</v>
      </c>
      <c r="K107" s="107" t="e">
        <v>#DIV/0!</v>
      </c>
      <c r="L107" s="111" t="e">
        <v>#DIV/0!</v>
      </c>
      <c r="M107" s="107" t="e">
        <v>#DIV/0!</v>
      </c>
      <c r="N107" s="107" t="e">
        <v>#DIV/0!</v>
      </c>
      <c r="O107" s="114"/>
      <c r="P107" s="107" t="e">
        <v>#DIV/0!</v>
      </c>
      <c r="Q107" s="107"/>
      <c r="R107" s="107">
        <v>6.8966E-2</v>
      </c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/>
      <c r="D108" s="116"/>
      <c r="E108" s="107" t="e">
        <v>#DIV/0!</v>
      </c>
      <c r="F108" s="109">
        <v>0</v>
      </c>
      <c r="G108" s="114">
        <v>5.07</v>
      </c>
      <c r="H108" s="175" t="str">
        <f t="shared" si="1"/>
        <v>(70, 80]</v>
      </c>
      <c r="I108" s="110">
        <v>1</v>
      </c>
      <c r="J108" s="107" t="e">
        <v>#DIV/0!</v>
      </c>
      <c r="K108" s="107" t="e">
        <v>#DIV/0!</v>
      </c>
      <c r="L108" s="111" t="e">
        <v>#DIV/0!</v>
      </c>
      <c r="M108" s="107" t="e">
        <v>#DIV/0!</v>
      </c>
      <c r="N108" s="107" t="e">
        <v>#DIV/0!</v>
      </c>
      <c r="O108" s="114"/>
      <c r="P108" s="107" t="e">
        <v>#DIV/0!</v>
      </c>
      <c r="Q108" s="107"/>
      <c r="R108" s="107">
        <v>3.4483E-2</v>
      </c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/>
      <c r="D109" s="116"/>
      <c r="E109" s="107" t="e">
        <v>#DIV/0!</v>
      </c>
      <c r="F109" s="109">
        <v>0</v>
      </c>
      <c r="G109" s="114">
        <v>2.4900000000000002</v>
      </c>
      <c r="H109" s="175" t="str">
        <f t="shared" si="1"/>
        <v>(80, 90]</v>
      </c>
      <c r="I109" s="110">
        <v>1</v>
      </c>
      <c r="J109" s="107" t="e">
        <v>#DIV/0!</v>
      </c>
      <c r="K109" s="107" t="e">
        <v>#DIV/0!</v>
      </c>
      <c r="L109" s="111" t="e">
        <v>#DIV/0!</v>
      </c>
      <c r="M109" s="107" t="e">
        <v>#DIV/0!</v>
      </c>
      <c r="N109" s="107" t="e">
        <v>#DIV/0!</v>
      </c>
      <c r="O109" s="114"/>
      <c r="P109" s="107" t="e">
        <v>#DIV/0!</v>
      </c>
      <c r="Q109" s="107"/>
      <c r="R109" s="107">
        <v>6.8966E-2</v>
      </c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/>
      <c r="D110" s="116"/>
      <c r="E110" s="107" t="e">
        <v>#DIV/0!</v>
      </c>
      <c r="F110" s="109">
        <v>0</v>
      </c>
      <c r="G110" s="114">
        <v>2.13</v>
      </c>
      <c r="H110" s="29" t="str">
        <f t="shared" si="1"/>
        <v>(90, 100]</v>
      </c>
      <c r="I110" s="136">
        <v>1</v>
      </c>
      <c r="J110" s="133" t="e">
        <v>#DIV/0!</v>
      </c>
      <c r="K110" s="133" t="e">
        <v>#DIV/0!</v>
      </c>
      <c r="L110" s="111" t="e">
        <v>#DIV/0!</v>
      </c>
      <c r="M110" s="133" t="e">
        <v>#DIV/0!</v>
      </c>
      <c r="N110" s="133" t="e">
        <v>#DIV/0!</v>
      </c>
      <c r="O110" s="114"/>
      <c r="P110" s="107" t="e">
        <v>#DIV/0!</v>
      </c>
      <c r="Q110" s="107"/>
      <c r="R110" s="107">
        <v>2.7585999999999999E-2</v>
      </c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/>
      <c r="D111" s="116"/>
      <c r="E111" s="107" t="e">
        <v>#DIV/0!</v>
      </c>
      <c r="F111" s="109">
        <v>0</v>
      </c>
      <c r="G111" s="114">
        <v>1.6</v>
      </c>
      <c r="H111" s="29" t="str">
        <f t="shared" si="1"/>
        <v>(100, 120]</v>
      </c>
      <c r="I111" s="136">
        <v>1</v>
      </c>
      <c r="J111" s="133" t="e">
        <v>#DIV/0!</v>
      </c>
      <c r="K111" s="133" t="e">
        <v>#DIV/0!</v>
      </c>
      <c r="L111" s="111" t="e">
        <v>#DIV/0!</v>
      </c>
      <c r="M111" s="133" t="e">
        <v>#DIV/0!</v>
      </c>
      <c r="N111" s="133" t="e">
        <v>#DIV/0!</v>
      </c>
      <c r="O111" s="114"/>
      <c r="P111" s="107" t="e">
        <v>#DIV/0!</v>
      </c>
      <c r="Q111" s="107"/>
      <c r="R111" s="107">
        <v>6.8966E-2</v>
      </c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/>
      <c r="D112" s="116"/>
      <c r="E112" s="107" t="e">
        <v>#DIV/0!</v>
      </c>
      <c r="F112" s="109">
        <v>0</v>
      </c>
      <c r="G112" s="114">
        <v>0.68</v>
      </c>
      <c r="H112" s="29" t="str">
        <f t="shared" si="1"/>
        <v>(120, 140]</v>
      </c>
      <c r="I112" s="136">
        <v>1</v>
      </c>
      <c r="J112" s="133" t="e">
        <v>#DIV/0!</v>
      </c>
      <c r="K112" s="133" t="e">
        <v>#DIV/0!</v>
      </c>
      <c r="L112" s="111" t="e">
        <v>#DIV/0!</v>
      </c>
      <c r="M112" s="133" t="e">
        <v>#DIV/0!</v>
      </c>
      <c r="N112" s="133" t="e">
        <v>#DIV/0!</v>
      </c>
      <c r="O112" s="114"/>
      <c r="P112" s="107" t="e">
        <v>#DIV/0!</v>
      </c>
      <c r="Q112" s="107"/>
      <c r="R112" s="107">
        <v>2.7585999999999999E-2</v>
      </c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/>
      <c r="D113" s="116"/>
      <c r="E113" s="107" t="e">
        <v>#DIV/0!</v>
      </c>
      <c r="F113" s="109">
        <v>0</v>
      </c>
      <c r="G113" s="114">
        <v>1.03</v>
      </c>
      <c r="H113" s="29" t="str">
        <f t="shared" si="1"/>
        <v>(140, 160]</v>
      </c>
      <c r="I113" s="136">
        <v>1</v>
      </c>
      <c r="J113" s="133" t="e">
        <v>#DIV/0!</v>
      </c>
      <c r="K113" s="133" t="e">
        <v>#DIV/0!</v>
      </c>
      <c r="L113" s="111" t="e">
        <v>#DIV/0!</v>
      </c>
      <c r="M113" s="133" t="e">
        <v>#DIV/0!</v>
      </c>
      <c r="N113" s="133" t="e">
        <v>#DIV/0!</v>
      </c>
      <c r="O113" s="114"/>
      <c r="P113" s="107" t="e">
        <v>#DIV/0!</v>
      </c>
      <c r="Q113" s="107"/>
      <c r="R113" s="107">
        <v>4.8275999999999999E-2</v>
      </c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/>
      <c r="D114" s="116"/>
      <c r="E114" s="107" t="e">
        <v>#DIV/0!</v>
      </c>
      <c r="F114" s="109">
        <v>0</v>
      </c>
      <c r="G114" s="114">
        <v>0.3</v>
      </c>
      <c r="H114" s="29" t="str">
        <f t="shared" si="1"/>
        <v>(160, 180]</v>
      </c>
      <c r="I114" s="136">
        <v>1</v>
      </c>
      <c r="J114" s="133" t="e">
        <v>#DIV/0!</v>
      </c>
      <c r="K114" s="133" t="e">
        <v>#DIV/0!</v>
      </c>
      <c r="L114" s="111" t="e">
        <v>#DIV/0!</v>
      </c>
      <c r="M114" s="133" t="e">
        <v>#DIV/0!</v>
      </c>
      <c r="N114" s="133" t="e">
        <v>#DIV/0!</v>
      </c>
      <c r="O114" s="114"/>
      <c r="P114" s="107" t="e">
        <v>#DIV/0!</v>
      </c>
      <c r="Q114" s="107"/>
      <c r="R114" s="107">
        <v>2.7585999999999999E-2</v>
      </c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/>
      <c r="D115" s="116"/>
      <c r="E115" s="107" t="e">
        <v>#DIV/0!</v>
      </c>
      <c r="F115" s="109">
        <v>0</v>
      </c>
      <c r="G115" s="114">
        <v>0.26</v>
      </c>
      <c r="H115" s="29" t="str">
        <f t="shared" si="1"/>
        <v>(180, 200]</v>
      </c>
      <c r="I115" s="136">
        <v>1</v>
      </c>
      <c r="J115" s="133" t="e">
        <v>#DIV/0!</v>
      </c>
      <c r="K115" s="133" t="e">
        <v>#DIV/0!</v>
      </c>
      <c r="L115" s="111" t="e">
        <v>#DIV/0!</v>
      </c>
      <c r="M115" s="133" t="e">
        <v>#DIV/0!</v>
      </c>
      <c r="N115" s="133" t="e">
        <v>#DIV/0!</v>
      </c>
      <c r="O115" s="114"/>
      <c r="P115" s="107" t="e">
        <v>#DIV/0!</v>
      </c>
      <c r="Q115" s="107"/>
      <c r="R115" s="107">
        <v>3.4483E-2</v>
      </c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/>
      <c r="D116" s="116"/>
      <c r="E116" s="107" t="e">
        <v>#DIV/0!</v>
      </c>
      <c r="F116" s="109">
        <v>0</v>
      </c>
      <c r="G116" s="114">
        <v>0.3</v>
      </c>
      <c r="H116" s="29" t="str">
        <f t="shared" si="1"/>
        <v>(200, 250]</v>
      </c>
      <c r="I116" s="136">
        <v>1</v>
      </c>
      <c r="J116" s="133" t="e">
        <v>#DIV/0!</v>
      </c>
      <c r="K116" s="133" t="e">
        <v>#DIV/0!</v>
      </c>
      <c r="L116" s="111" t="e">
        <v>#DIV/0!</v>
      </c>
      <c r="M116" s="133" t="e">
        <v>#DIV/0!</v>
      </c>
      <c r="N116" s="133" t="e">
        <v>#DIV/0!</v>
      </c>
      <c r="O116" s="114"/>
      <c r="P116" s="107" t="e">
        <v>#DIV/0!</v>
      </c>
      <c r="Q116" s="107"/>
      <c r="R116" s="107">
        <v>1.3793E-2</v>
      </c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/>
      <c r="D117" s="116"/>
      <c r="E117" s="107" t="e">
        <v>#DIV/0!</v>
      </c>
      <c r="F117" s="109">
        <v>0</v>
      </c>
      <c r="G117" s="114">
        <v>0.09</v>
      </c>
      <c r="H117" s="29" t="str">
        <f t="shared" si="1"/>
        <v>(250, 300]</v>
      </c>
      <c r="I117" s="136">
        <v>1</v>
      </c>
      <c r="J117" s="133" t="e">
        <v>#DIV/0!</v>
      </c>
      <c r="K117" s="133" t="e">
        <v>#DIV/0!</v>
      </c>
      <c r="L117" s="111" t="e">
        <v>#DIV/0!</v>
      </c>
      <c r="M117" s="133" t="e">
        <v>#DIV/0!</v>
      </c>
      <c r="N117" s="133" t="e">
        <v>#DIV/0!</v>
      </c>
      <c r="O117" s="114"/>
      <c r="P117" s="107" t="e">
        <v>#DIV/0!</v>
      </c>
      <c r="Q117" s="107"/>
      <c r="R117" s="107">
        <v>1.3793E-2</v>
      </c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/>
      <c r="D118" s="116"/>
      <c r="E118" s="107" t="e">
        <v>#DIV/0!</v>
      </c>
      <c r="F118" s="109">
        <v>0</v>
      </c>
      <c r="G118" s="114">
        <v>0.08</v>
      </c>
      <c r="H118" s="29" t="str">
        <f t="shared" si="1"/>
        <v>(300, 350]</v>
      </c>
      <c r="I118" s="136">
        <v>1</v>
      </c>
      <c r="J118" s="133" t="e">
        <v>#DIV/0!</v>
      </c>
      <c r="K118" s="133" t="e">
        <v>#DIV/0!</v>
      </c>
      <c r="L118" s="111" t="e">
        <v>#DIV/0!</v>
      </c>
      <c r="M118" s="133" t="e">
        <v>#DIV/0!</v>
      </c>
      <c r="N118" s="133" t="e">
        <v>#DIV/0!</v>
      </c>
      <c r="O118" s="114"/>
      <c r="P118" s="107" t="e">
        <v>#DIV/0!</v>
      </c>
      <c r="Q118" s="107"/>
      <c r="R118" s="107">
        <v>6.8970000000000004E-3</v>
      </c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/>
      <c r="D119" s="116"/>
      <c r="E119" s="107" t="e">
        <v>#DIV/0!</v>
      </c>
      <c r="F119" s="109">
        <v>0</v>
      </c>
      <c r="G119" s="114">
        <v>0.01</v>
      </c>
      <c r="H119" s="29" t="str">
        <f t="shared" si="1"/>
        <v>(350, 400]</v>
      </c>
      <c r="I119" s="136">
        <v>1</v>
      </c>
      <c r="J119" s="133" t="e">
        <v>#DIV/0!</v>
      </c>
      <c r="K119" s="133" t="e">
        <v>#DIV/0!</v>
      </c>
      <c r="L119" s="111" t="e">
        <v>#DIV/0!</v>
      </c>
      <c r="M119" s="133" t="e">
        <v>#DIV/0!</v>
      </c>
      <c r="N119" s="133" t="e">
        <v>#DIV/0!</v>
      </c>
      <c r="O119" s="114"/>
      <c r="P119" s="107" t="e">
        <v>#DIV/0!</v>
      </c>
      <c r="Q119" s="107"/>
      <c r="R119" s="107">
        <v>6.8970000000000004E-3</v>
      </c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/>
      <c r="D120" s="116"/>
      <c r="E120" s="107" t="e">
        <v>#DIV/0!</v>
      </c>
      <c r="F120" s="109">
        <v>0</v>
      </c>
      <c r="G120" s="114">
        <v>0.01</v>
      </c>
      <c r="H120" s="29" t="str">
        <f t="shared" si="1"/>
        <v>(400, 450]</v>
      </c>
      <c r="I120" s="136">
        <v>1</v>
      </c>
      <c r="J120" s="133" t="e">
        <v>#DIV/0!</v>
      </c>
      <c r="K120" s="133" t="e">
        <v>#DIV/0!</v>
      </c>
      <c r="L120" s="111" t="e">
        <v>#DIV/0!</v>
      </c>
      <c r="M120" s="133" t="e">
        <v>#DIV/0!</v>
      </c>
      <c r="N120" s="133" t="e">
        <v>#DIV/0!</v>
      </c>
      <c r="O120" s="114"/>
      <c r="P120" s="107" t="e">
        <v>#DIV/0!</v>
      </c>
      <c r="Q120" s="107"/>
      <c r="R120" s="107">
        <v>0</v>
      </c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/>
      <c r="D121" s="116"/>
      <c r="E121" s="107" t="e">
        <v>#DIV/0!</v>
      </c>
      <c r="F121" s="109">
        <v>0</v>
      </c>
      <c r="G121" s="114">
        <v>0.01</v>
      </c>
      <c r="H121" s="29" t="str">
        <f t="shared" si="1"/>
        <v>(450, 500]</v>
      </c>
      <c r="I121" s="136">
        <v>1</v>
      </c>
      <c r="J121" s="133" t="e">
        <v>#DIV/0!</v>
      </c>
      <c r="K121" s="133" t="e">
        <v>#DIV/0!</v>
      </c>
      <c r="L121" s="111" t="e">
        <v>#DIV/0!</v>
      </c>
      <c r="M121" s="133" t="e">
        <v>#DIV/0!</v>
      </c>
      <c r="N121" s="133" t="e">
        <v>#DIV/0!</v>
      </c>
      <c r="O121" s="114"/>
      <c r="P121" s="107" t="e">
        <v>#DIV/0!</v>
      </c>
      <c r="Q121" s="107"/>
      <c r="R121" s="107">
        <v>0</v>
      </c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/>
      <c r="D122" s="116"/>
      <c r="E122" s="107" t="e">
        <v>#DIV/0!</v>
      </c>
      <c r="F122" s="109">
        <v>0</v>
      </c>
      <c r="G122" s="114">
        <v>0.01</v>
      </c>
      <c r="H122" s="29" t="str">
        <f t="shared" si="1"/>
        <v>(500, 550]</v>
      </c>
      <c r="I122" s="136">
        <v>1</v>
      </c>
      <c r="J122" s="133" t="e">
        <v>#DIV/0!</v>
      </c>
      <c r="K122" s="133" t="e">
        <v>#DIV/0!</v>
      </c>
      <c r="L122" s="111" t="e">
        <v>#DIV/0!</v>
      </c>
      <c r="M122" s="133" t="e">
        <v>#DIV/0!</v>
      </c>
      <c r="N122" s="133" t="e">
        <v>#DIV/0!</v>
      </c>
      <c r="O122" s="114"/>
      <c r="P122" s="107" t="e">
        <v>#DIV/0!</v>
      </c>
      <c r="Q122" s="107"/>
      <c r="R122" s="107">
        <v>0</v>
      </c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/>
      <c r="D123" s="116"/>
      <c r="E123" s="107" t="e">
        <v>#DIV/0!</v>
      </c>
      <c r="F123" s="109">
        <v>0</v>
      </c>
      <c r="G123" s="114">
        <v>0.01</v>
      </c>
      <c r="H123" s="29" t="str">
        <f t="shared" si="1"/>
        <v>(550, 600]</v>
      </c>
      <c r="I123" s="110">
        <v>1</v>
      </c>
      <c r="J123" s="107" t="e">
        <v>#DIV/0!</v>
      </c>
      <c r="K123" s="107" t="e">
        <v>#DIV/0!</v>
      </c>
      <c r="L123" s="111" t="e">
        <v>#DIV/0!</v>
      </c>
      <c r="M123" s="107" t="e">
        <v>#DIV/0!</v>
      </c>
      <c r="N123" s="107" t="e">
        <v>#DIV/0!</v>
      </c>
      <c r="O123" s="114"/>
      <c r="P123" s="107" t="e">
        <v>#DIV/0!</v>
      </c>
      <c r="Q123" s="107"/>
      <c r="R123" s="107">
        <v>0</v>
      </c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/>
      <c r="D124" s="116"/>
      <c r="E124" s="107" t="e">
        <v>#DIV/0!</v>
      </c>
      <c r="F124" s="109">
        <v>0</v>
      </c>
      <c r="G124" s="114">
        <v>0.01</v>
      </c>
      <c r="H124" s="29" t="str">
        <f t="shared" si="1"/>
        <v>(600, 650]</v>
      </c>
      <c r="I124" s="110">
        <v>1</v>
      </c>
      <c r="J124" s="107" t="e">
        <v>#DIV/0!</v>
      </c>
      <c r="K124" s="107" t="e">
        <v>#DIV/0!</v>
      </c>
      <c r="L124" s="111" t="e">
        <v>#DIV/0!</v>
      </c>
      <c r="M124" s="107" t="e">
        <v>#DIV/0!</v>
      </c>
      <c r="N124" s="107" t="e">
        <v>#DIV/0!</v>
      </c>
      <c r="O124" s="114"/>
      <c r="P124" s="107" t="e">
        <v>#DIV/0!</v>
      </c>
      <c r="Q124" s="107"/>
      <c r="R124" s="107">
        <v>6.8970000000000004E-3</v>
      </c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/>
      <c r="D125" s="116"/>
      <c r="E125" s="107" t="e">
        <v>#DIV/0!</v>
      </c>
      <c r="F125" s="109">
        <v>0</v>
      </c>
      <c r="G125" s="114">
        <v>0.01</v>
      </c>
      <c r="H125" s="29" t="str">
        <f t="shared" si="1"/>
        <v>(650, 700]</v>
      </c>
      <c r="I125" s="110">
        <v>1</v>
      </c>
      <c r="J125" s="107" t="e">
        <v>#DIV/0!</v>
      </c>
      <c r="K125" s="107" t="e">
        <v>#DIV/0!</v>
      </c>
      <c r="L125" s="111" t="e">
        <v>#DIV/0!</v>
      </c>
      <c r="M125" s="107" t="e">
        <v>#DIV/0!</v>
      </c>
      <c r="N125" s="107" t="e">
        <v>#DIV/0!</v>
      </c>
      <c r="O125" s="114"/>
      <c r="P125" s="107" t="e">
        <v>#DIV/0!</v>
      </c>
      <c r="Q125" s="107"/>
      <c r="R125" s="107">
        <v>0</v>
      </c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/>
      <c r="D126" s="116"/>
      <c r="E126" s="107" t="e">
        <v>#DIV/0!</v>
      </c>
      <c r="F126" s="109">
        <v>0</v>
      </c>
      <c r="G126" s="114">
        <v>0.01</v>
      </c>
      <c r="H126" s="29" t="str">
        <f t="shared" si="1"/>
        <v>(700, 750]</v>
      </c>
      <c r="I126" s="110">
        <v>1</v>
      </c>
      <c r="J126" s="107" t="e">
        <v>#DIV/0!</v>
      </c>
      <c r="K126" s="107" t="e">
        <v>#DIV/0!</v>
      </c>
      <c r="L126" s="111" t="e">
        <v>#DIV/0!</v>
      </c>
      <c r="M126" s="107" t="e">
        <v>#DIV/0!</v>
      </c>
      <c r="N126" s="107" t="e">
        <v>#DIV/0!</v>
      </c>
      <c r="O126" s="114"/>
      <c r="P126" s="107" t="e">
        <v>#DIV/0!</v>
      </c>
      <c r="Q126" s="107"/>
      <c r="R126" s="107">
        <v>0</v>
      </c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/>
      <c r="D127" s="116"/>
      <c r="E127" s="107" t="e">
        <v>#DIV/0!</v>
      </c>
      <c r="F127" s="109">
        <v>0</v>
      </c>
      <c r="G127" s="114">
        <v>0.01</v>
      </c>
      <c r="H127" s="29" t="str">
        <f t="shared" si="1"/>
        <v>(750, 800]</v>
      </c>
      <c r="I127" s="110">
        <v>1</v>
      </c>
      <c r="J127" s="107" t="e">
        <v>#DIV/0!</v>
      </c>
      <c r="K127" s="107" t="e">
        <v>#DIV/0!</v>
      </c>
      <c r="L127" s="111" t="e">
        <v>#DIV/0!</v>
      </c>
      <c r="M127" s="107" t="e">
        <v>#DIV/0!</v>
      </c>
      <c r="N127" s="107" t="e">
        <v>#DIV/0!</v>
      </c>
      <c r="O127" s="114"/>
      <c r="P127" s="107" t="e">
        <v>#DIV/0!</v>
      </c>
      <c r="Q127" s="107"/>
      <c r="R127" s="107">
        <v>0</v>
      </c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/>
      <c r="D128" s="116"/>
      <c r="E128" s="107" t="e">
        <v>#DIV/0!</v>
      </c>
      <c r="F128" s="109">
        <v>0</v>
      </c>
      <c r="G128" s="114">
        <v>0.01</v>
      </c>
      <c r="H128" s="29" t="str">
        <f t="shared" si="1"/>
        <v>(800, 850]</v>
      </c>
      <c r="I128" s="110">
        <v>1</v>
      </c>
      <c r="J128" s="107" t="e">
        <v>#DIV/0!</v>
      </c>
      <c r="K128" s="107" t="e">
        <v>#DIV/0!</v>
      </c>
      <c r="L128" s="111" t="e">
        <v>#DIV/0!</v>
      </c>
      <c r="M128" s="107" t="e">
        <v>#DIV/0!</v>
      </c>
      <c r="N128" s="107" t="e">
        <v>#DIV/0!</v>
      </c>
      <c r="O128" s="114"/>
      <c r="P128" s="107" t="e">
        <v>#DIV/0!</v>
      </c>
      <c r="Q128" s="107"/>
      <c r="R128" s="107">
        <v>0</v>
      </c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/>
      <c r="D129" s="116"/>
      <c r="E129" s="107" t="e">
        <v>#DIV/0!</v>
      </c>
      <c r="F129" s="109">
        <v>0</v>
      </c>
      <c r="G129" s="114">
        <v>0.01</v>
      </c>
      <c r="H129" s="29" t="str">
        <f t="shared" si="1"/>
        <v>(850, 900]</v>
      </c>
      <c r="I129" s="110">
        <v>1</v>
      </c>
      <c r="J129" s="107" t="e">
        <v>#DIV/0!</v>
      </c>
      <c r="K129" s="107" t="e">
        <v>#DIV/0!</v>
      </c>
      <c r="L129" s="112" t="e">
        <v>#DIV/0!</v>
      </c>
      <c r="M129" s="107" t="e">
        <v>#DIV/0!</v>
      </c>
      <c r="N129" s="107" t="e">
        <v>#DIV/0!</v>
      </c>
      <c r="O129" s="114"/>
      <c r="P129" s="107" t="e">
        <v>#DIV/0!</v>
      </c>
      <c r="Q129" s="107"/>
      <c r="R129" s="107">
        <v>0</v>
      </c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/>
      <c r="D130" s="116"/>
      <c r="E130" s="107" t="e">
        <v>#DIV/0!</v>
      </c>
      <c r="F130" s="109">
        <v>0</v>
      </c>
      <c r="G130" s="114">
        <v>0.01</v>
      </c>
      <c r="H130" s="29" t="str">
        <f t="shared" si="1"/>
        <v>(900, 950]</v>
      </c>
      <c r="I130" s="110">
        <v>1</v>
      </c>
      <c r="J130" s="107" t="e">
        <v>#DIV/0!</v>
      </c>
      <c r="K130" s="107" t="e">
        <v>#DIV/0!</v>
      </c>
      <c r="L130" s="112" t="e">
        <v>#DIV/0!</v>
      </c>
      <c r="M130" s="107" t="e">
        <v>#DIV/0!</v>
      </c>
      <c r="N130" s="107" t="e">
        <v>#DIV/0!</v>
      </c>
      <c r="O130" s="114"/>
      <c r="P130" s="107" t="e">
        <v>#DIV/0!</v>
      </c>
      <c r="Q130" s="107"/>
      <c r="R130" s="107">
        <v>6.8970000000000004E-3</v>
      </c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/>
      <c r="D131" s="116"/>
      <c r="E131" s="107" t="e">
        <v>#DIV/0!</v>
      </c>
      <c r="F131" s="109">
        <v>0</v>
      </c>
      <c r="G131" s="114">
        <v>0.01</v>
      </c>
      <c r="H131" s="29" t="str">
        <f t="shared" si="1"/>
        <v>(950, 1000]</v>
      </c>
      <c r="I131" s="110">
        <v>1</v>
      </c>
      <c r="J131" s="107" t="e">
        <v>#DIV/0!</v>
      </c>
      <c r="K131" s="107" t="e">
        <v>#DIV/0!</v>
      </c>
      <c r="L131" s="112" t="e">
        <v>#DIV/0!</v>
      </c>
      <c r="M131" s="107" t="e">
        <v>#DIV/0!</v>
      </c>
      <c r="N131" s="107" t="e">
        <v>#DIV/0!</v>
      </c>
      <c r="O131" s="114"/>
      <c r="P131" s="107" t="e">
        <v>#DIV/0!</v>
      </c>
      <c r="Q131" s="107"/>
      <c r="R131" s="107">
        <v>0</v>
      </c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/>
      <c r="D132" s="116"/>
      <c r="E132" s="107" t="e">
        <v>#DIV/0!</v>
      </c>
      <c r="F132" s="109">
        <v>0</v>
      </c>
      <c r="G132" s="114">
        <v>0.01</v>
      </c>
      <c r="H132" s="29" t="str">
        <f t="shared" si="1"/>
        <v>(1000, 2000]</v>
      </c>
      <c r="I132" s="110">
        <v>1</v>
      </c>
      <c r="J132" s="107" t="e">
        <v>#DIV/0!</v>
      </c>
      <c r="K132" s="107" t="e">
        <v>#DIV/0!</v>
      </c>
      <c r="L132" s="112" t="e">
        <v>#DIV/0!</v>
      </c>
      <c r="M132" s="107" t="e">
        <v>#DIV/0!</v>
      </c>
      <c r="N132" s="107" t="e">
        <v>#DIV/0!</v>
      </c>
      <c r="O132" s="114"/>
      <c r="P132" s="107" t="e">
        <v>#DIV/0!</v>
      </c>
      <c r="Q132" s="107"/>
      <c r="R132" s="107">
        <v>0</v>
      </c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/>
      <c r="D133" s="116"/>
      <c r="E133" s="107" t="e">
        <v>#DIV/0!</v>
      </c>
      <c r="F133" s="109">
        <v>0</v>
      </c>
      <c r="G133" s="114">
        <v>0.01</v>
      </c>
      <c r="H133" s="29" t="str">
        <f t="shared" si="1"/>
        <v>(2000, 3000]</v>
      </c>
      <c r="I133" s="110">
        <v>1</v>
      </c>
      <c r="J133" s="107" t="e">
        <v>#DIV/0!</v>
      </c>
      <c r="K133" s="107" t="e">
        <v>#DIV/0!</v>
      </c>
      <c r="L133" s="112" t="e">
        <v>#DIV/0!</v>
      </c>
      <c r="M133" s="107" t="e">
        <v>#DIV/0!</v>
      </c>
      <c r="N133" s="107" t="e">
        <v>#DIV/0!</v>
      </c>
      <c r="O133" s="114"/>
      <c r="P133" s="107" t="e">
        <v>#DIV/0!</v>
      </c>
      <c r="Q133" s="107"/>
      <c r="R133" s="107">
        <v>0</v>
      </c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/>
      <c r="D134" s="116"/>
      <c r="E134" s="107" t="e">
        <v>#DIV/0!</v>
      </c>
      <c r="F134" s="109">
        <v>0</v>
      </c>
      <c r="G134" s="114">
        <v>0.01</v>
      </c>
      <c r="H134" s="29" t="str">
        <f t="shared" si="1"/>
        <v>(3000, 4000]</v>
      </c>
      <c r="I134" s="110">
        <v>1</v>
      </c>
      <c r="J134" s="107" t="e">
        <v>#DIV/0!</v>
      </c>
      <c r="K134" s="107" t="e">
        <v>#DIV/0!</v>
      </c>
      <c r="L134" s="112" t="e">
        <v>#DIV/0!</v>
      </c>
      <c r="M134" s="107" t="e">
        <v>#DIV/0!</v>
      </c>
      <c r="N134" s="107" t="e">
        <v>#DIV/0!</v>
      </c>
      <c r="O134" s="114"/>
      <c r="P134" s="107" t="e">
        <v>#DIV/0!</v>
      </c>
      <c r="Q134" s="107"/>
      <c r="R134" s="107">
        <v>0</v>
      </c>
      <c r="S134" s="115">
        <v>0</v>
      </c>
    </row>
    <row r="135" spans="1:20" x14ac:dyDescent="0.3">
      <c r="A135" s="84">
        <v>4000</v>
      </c>
      <c r="B135" s="84">
        <v>5000</v>
      </c>
      <c r="C135" s="116"/>
      <c r="D135" s="116"/>
      <c r="E135" s="107" t="e">
        <v>#DIV/0!</v>
      </c>
      <c r="F135" s="109">
        <v>0</v>
      </c>
      <c r="G135" s="114">
        <v>0.01</v>
      </c>
      <c r="H135" s="29" t="str">
        <f t="shared" si="1"/>
        <v>(4000, 5000]</v>
      </c>
      <c r="I135" s="110">
        <v>1</v>
      </c>
      <c r="J135" s="107" t="e">
        <v>#DIV/0!</v>
      </c>
      <c r="K135" s="107" t="e">
        <v>#DIV/0!</v>
      </c>
      <c r="L135" s="112" t="e">
        <v>#DIV/0!</v>
      </c>
      <c r="M135" s="107" t="e">
        <v>#DIV/0!</v>
      </c>
      <c r="N135" s="107" t="e">
        <v>#DIV/0!</v>
      </c>
      <c r="O135" s="114"/>
      <c r="P135" s="107" t="e">
        <v>#DIV/0!</v>
      </c>
      <c r="Q135" s="107"/>
      <c r="R135" s="107">
        <v>0</v>
      </c>
      <c r="S135" s="115">
        <v>0</v>
      </c>
    </row>
    <row r="136" spans="1:20" x14ac:dyDescent="0.3">
      <c r="A136" s="84">
        <v>5000</v>
      </c>
      <c r="B136" s="84">
        <v>6000</v>
      </c>
      <c r="C136" s="116"/>
      <c r="D136" s="116"/>
      <c r="E136" s="107" t="e">
        <v>#DIV/0!</v>
      </c>
      <c r="F136" s="109">
        <v>0</v>
      </c>
      <c r="G136" s="114">
        <v>0.01</v>
      </c>
      <c r="H136" s="29" t="str">
        <f t="shared" si="1"/>
        <v>(5000, 6000]</v>
      </c>
      <c r="I136" s="110">
        <v>1</v>
      </c>
      <c r="J136" s="107" t="e">
        <v>#DIV/0!</v>
      </c>
      <c r="K136" s="107" t="e">
        <v>#DIV/0!</v>
      </c>
      <c r="L136" s="112" t="e">
        <v>#DIV/0!</v>
      </c>
      <c r="M136" s="107" t="e">
        <v>#DIV/0!</v>
      </c>
      <c r="N136" s="107" t="e">
        <v>#DIV/0!</v>
      </c>
      <c r="O136" s="114"/>
      <c r="P136" s="107" t="e">
        <v>#DIV/0!</v>
      </c>
      <c r="Q136" s="107"/>
      <c r="R136" s="107">
        <v>0</v>
      </c>
      <c r="S136" s="115">
        <v>0</v>
      </c>
    </row>
    <row r="137" spans="1:20" x14ac:dyDescent="0.3">
      <c r="A137" s="84">
        <v>6000</v>
      </c>
      <c r="B137" s="84">
        <v>7000</v>
      </c>
      <c r="C137" s="116"/>
      <c r="D137" s="116"/>
      <c r="E137" s="107" t="e">
        <v>#DIV/0!</v>
      </c>
      <c r="F137" s="109">
        <v>0</v>
      </c>
      <c r="G137" s="114">
        <v>0.01</v>
      </c>
      <c r="H137" s="29" t="str">
        <f t="shared" si="1"/>
        <v>(6000, 7000]</v>
      </c>
      <c r="I137" s="110">
        <v>1</v>
      </c>
      <c r="J137" s="107" t="e">
        <v>#DIV/0!</v>
      </c>
      <c r="K137" s="107" t="e">
        <v>#DIV/0!</v>
      </c>
      <c r="L137" s="112" t="e">
        <v>#DIV/0!</v>
      </c>
      <c r="M137" s="107" t="e">
        <v>#DIV/0!</v>
      </c>
      <c r="N137" s="107" t="e">
        <v>#DIV/0!</v>
      </c>
      <c r="O137" s="114"/>
      <c r="P137" s="107" t="e">
        <v>#DIV/0!</v>
      </c>
      <c r="Q137" s="107"/>
      <c r="R137" s="107">
        <v>0</v>
      </c>
      <c r="S137" s="115">
        <v>0</v>
      </c>
    </row>
    <row r="138" spans="1:20" x14ac:dyDescent="0.3">
      <c r="A138" s="84">
        <v>7000</v>
      </c>
      <c r="B138" s="84">
        <v>8000</v>
      </c>
      <c r="C138" s="116"/>
      <c r="D138" s="116"/>
      <c r="E138" s="107" t="e">
        <v>#DIV/0!</v>
      </c>
      <c r="F138" s="109">
        <v>0</v>
      </c>
      <c r="G138" s="114">
        <v>0.01</v>
      </c>
      <c r="H138" s="29" t="str">
        <f t="shared" si="1"/>
        <v>(7000, 8000]</v>
      </c>
      <c r="I138" s="110">
        <v>1</v>
      </c>
      <c r="J138" s="107" t="e">
        <v>#DIV/0!</v>
      </c>
      <c r="K138" s="107" t="e">
        <v>#DIV/0!</v>
      </c>
      <c r="L138" s="112" t="e">
        <v>#DIV/0!</v>
      </c>
      <c r="M138" s="107" t="e">
        <v>#DIV/0!</v>
      </c>
      <c r="N138" s="107" t="e">
        <v>#DIV/0!</v>
      </c>
      <c r="O138" s="114"/>
      <c r="P138" s="107" t="e">
        <v>#DIV/0!</v>
      </c>
      <c r="Q138" s="107"/>
      <c r="R138" s="107">
        <v>0</v>
      </c>
      <c r="S138" s="115">
        <v>0</v>
      </c>
    </row>
    <row r="139" spans="1:20" x14ac:dyDescent="0.3">
      <c r="A139" s="84">
        <v>8000</v>
      </c>
      <c r="B139" s="84">
        <v>9000</v>
      </c>
      <c r="C139" s="116"/>
      <c r="D139" s="116"/>
      <c r="E139" s="107" t="e">
        <v>#DIV/0!</v>
      </c>
      <c r="F139" s="109">
        <v>0</v>
      </c>
      <c r="G139" s="114">
        <v>0.01</v>
      </c>
      <c r="H139" s="29" t="str">
        <f t="shared" si="1"/>
        <v>(8000, 9000]</v>
      </c>
      <c r="I139" s="110">
        <v>1</v>
      </c>
      <c r="J139" s="107" t="e">
        <v>#DIV/0!</v>
      </c>
      <c r="K139" s="107" t="e">
        <v>#DIV/0!</v>
      </c>
      <c r="L139" s="112" t="e">
        <v>#DIV/0!</v>
      </c>
      <c r="M139" s="107" t="e">
        <v>#DIV/0!</v>
      </c>
      <c r="N139" s="107" t="e">
        <v>#DIV/0!</v>
      </c>
      <c r="O139" s="114"/>
      <c r="P139" s="107" t="e">
        <v>#DIV/0!</v>
      </c>
      <c r="Q139" s="107"/>
      <c r="R139" s="107">
        <v>0</v>
      </c>
      <c r="S139" s="115">
        <v>0</v>
      </c>
    </row>
    <row r="140" spans="1:20" x14ac:dyDescent="0.3">
      <c r="A140" s="84">
        <v>9000</v>
      </c>
      <c r="B140" s="84">
        <v>10000</v>
      </c>
      <c r="C140" s="116"/>
      <c r="D140" s="116"/>
      <c r="E140" s="107" t="e">
        <v>#DIV/0!</v>
      </c>
      <c r="F140" s="109">
        <v>0</v>
      </c>
      <c r="G140" s="114">
        <v>0.01</v>
      </c>
      <c r="H140" s="29" t="str">
        <f t="shared" si="1"/>
        <v>(9000, 10000]</v>
      </c>
      <c r="I140" s="110">
        <v>1</v>
      </c>
      <c r="J140" s="107" t="e">
        <v>#DIV/0!</v>
      </c>
      <c r="K140" s="107" t="e">
        <v>#DIV/0!</v>
      </c>
      <c r="L140" s="112" t="e">
        <v>#DIV/0!</v>
      </c>
      <c r="M140" s="107" t="e">
        <v>#DIV/0!</v>
      </c>
      <c r="N140" s="107" t="e">
        <v>#DIV/0!</v>
      </c>
      <c r="O140" s="114"/>
      <c r="P140" s="107" t="e">
        <v>#DIV/0!</v>
      </c>
      <c r="Q140" s="107"/>
      <c r="R140" s="107">
        <v>0</v>
      </c>
      <c r="S140" s="115">
        <v>0</v>
      </c>
    </row>
    <row r="141" spans="1:20" x14ac:dyDescent="0.3">
      <c r="A141" s="84">
        <v>10000</v>
      </c>
      <c r="B141" s="84">
        <v>20000</v>
      </c>
      <c r="C141" s="116"/>
      <c r="D141" s="116"/>
      <c r="E141" s="107" t="e">
        <v>#DIV/0!</v>
      </c>
      <c r="F141" s="109">
        <v>0</v>
      </c>
      <c r="G141" s="114">
        <v>0.01</v>
      </c>
      <c r="H141" s="29" t="str">
        <f t="shared" si="1"/>
        <v>(10000, 20000]</v>
      </c>
      <c r="I141" s="110">
        <v>1</v>
      </c>
      <c r="J141" s="107" t="e">
        <v>#DIV/0!</v>
      </c>
      <c r="K141" s="107" t="e">
        <v>#DIV/0!</v>
      </c>
      <c r="L141" s="112" t="e">
        <v>#DIV/0!</v>
      </c>
      <c r="M141" s="107" t="e">
        <v>#DIV/0!</v>
      </c>
      <c r="N141" s="107" t="e">
        <v>#DIV/0!</v>
      </c>
      <c r="O141" s="114"/>
      <c r="P141" s="107" t="e">
        <v>#DIV/0!</v>
      </c>
      <c r="Q141" s="107"/>
      <c r="R141" s="107">
        <v>0</v>
      </c>
      <c r="S141" s="115">
        <v>0</v>
      </c>
    </row>
    <row r="142" spans="1:20" x14ac:dyDescent="0.3">
      <c r="A142" s="84">
        <v>20000</v>
      </c>
      <c r="B142" s="84">
        <v>30000</v>
      </c>
      <c r="C142" s="116"/>
      <c r="D142" s="116"/>
      <c r="E142" s="107" t="e">
        <v>#DIV/0!</v>
      </c>
      <c r="F142" s="109">
        <v>0</v>
      </c>
      <c r="G142" s="114">
        <v>0</v>
      </c>
      <c r="H142" s="29" t="str">
        <f t="shared" si="1"/>
        <v>(20000, 30000]</v>
      </c>
      <c r="I142" s="110">
        <v>1</v>
      </c>
      <c r="J142" s="107" t="e">
        <v>#DIV/0!</v>
      </c>
      <c r="K142" s="107" t="e">
        <v>#DIV/0!</v>
      </c>
      <c r="L142" s="112" t="e">
        <v>#DIV/0!</v>
      </c>
      <c r="M142" s="107" t="e">
        <v>#DIV/0!</v>
      </c>
      <c r="N142" s="107" t="e">
        <v>#DIV/0!</v>
      </c>
      <c r="O142" s="114"/>
      <c r="P142" s="107" t="e">
        <v>#DIV/0!</v>
      </c>
      <c r="Q142" s="107"/>
      <c r="R142" s="107">
        <v>0</v>
      </c>
      <c r="S142" s="115">
        <v>0</v>
      </c>
    </row>
    <row r="143" spans="1:20" x14ac:dyDescent="0.3">
      <c r="A143" s="84">
        <v>30000</v>
      </c>
      <c r="B143" s="84">
        <v>40000</v>
      </c>
      <c r="C143" s="116"/>
      <c r="D143" s="116"/>
      <c r="E143" s="107" t="e">
        <v>#DIV/0!</v>
      </c>
      <c r="F143" s="109">
        <v>0</v>
      </c>
      <c r="G143" s="114">
        <v>0</v>
      </c>
      <c r="H143" s="29" t="str">
        <f t="shared" si="1"/>
        <v>(30000, 40000]</v>
      </c>
      <c r="I143" s="110">
        <v>1</v>
      </c>
      <c r="J143" s="107" t="e">
        <v>#DIV/0!</v>
      </c>
      <c r="K143" s="107" t="e">
        <v>#DIV/0!</v>
      </c>
      <c r="L143" s="112" t="e">
        <v>#DIV/0!</v>
      </c>
      <c r="M143" s="107" t="e">
        <v>#DIV/0!</v>
      </c>
      <c r="N143" s="107" t="e">
        <v>#DIV/0!</v>
      </c>
      <c r="O143" s="114"/>
      <c r="P143" s="107" t="e">
        <v>#DIV/0!</v>
      </c>
      <c r="Q143" s="107"/>
      <c r="R143" s="107">
        <v>0</v>
      </c>
      <c r="S143" s="115">
        <v>0</v>
      </c>
    </row>
    <row r="144" spans="1:20" x14ac:dyDescent="0.3">
      <c r="A144" s="84">
        <v>40000</v>
      </c>
      <c r="B144" s="84">
        <v>50000</v>
      </c>
      <c r="C144" s="116"/>
      <c r="D144" s="116"/>
      <c r="E144" s="107" t="e">
        <v>#DIV/0!</v>
      </c>
      <c r="F144" s="109">
        <v>0</v>
      </c>
      <c r="G144" s="114">
        <v>0</v>
      </c>
      <c r="H144" s="29" t="str">
        <f t="shared" si="1"/>
        <v>(40000, 50000]</v>
      </c>
      <c r="I144" s="110">
        <v>1</v>
      </c>
      <c r="J144" s="107" t="e">
        <v>#DIV/0!</v>
      </c>
      <c r="K144" s="107" t="e">
        <v>#DIV/0!</v>
      </c>
      <c r="L144" s="112" t="e">
        <v>#DIV/0!</v>
      </c>
      <c r="M144" s="107" t="e">
        <v>#DIV/0!</v>
      </c>
      <c r="N144" s="107" t="e">
        <v>#DIV/0!</v>
      </c>
      <c r="O144" s="114"/>
      <c r="P144" s="107" t="e">
        <v>#DIV/0!</v>
      </c>
      <c r="Q144" s="107"/>
      <c r="R144" s="107">
        <v>0</v>
      </c>
      <c r="S144" s="115">
        <v>0</v>
      </c>
    </row>
    <row r="145" spans="1:19" x14ac:dyDescent="0.3">
      <c r="A145" s="84">
        <v>50000</v>
      </c>
      <c r="B145" s="84">
        <v>60000</v>
      </c>
      <c r="C145" s="116"/>
      <c r="D145" s="116"/>
      <c r="E145" s="107" t="e">
        <v>#DIV/0!</v>
      </c>
      <c r="F145" s="109">
        <v>0</v>
      </c>
      <c r="G145" s="114">
        <v>0</v>
      </c>
      <c r="H145" s="29" t="str">
        <f t="shared" si="1"/>
        <v>(50000, 60000]</v>
      </c>
      <c r="I145" s="110">
        <v>1</v>
      </c>
      <c r="J145" s="107" t="e">
        <v>#DIV/0!</v>
      </c>
      <c r="K145" s="107" t="e">
        <v>#DIV/0!</v>
      </c>
      <c r="L145" s="112" t="e">
        <v>#DIV/0!</v>
      </c>
      <c r="M145" s="107" t="e">
        <v>#DIV/0!</v>
      </c>
      <c r="N145" s="107" t="e">
        <v>#DIV/0!</v>
      </c>
      <c r="O145" s="114"/>
      <c r="P145" s="107" t="e">
        <v>#DIV/0!</v>
      </c>
      <c r="Q145" s="107"/>
      <c r="R145" s="107">
        <v>0</v>
      </c>
      <c r="S145" s="115">
        <v>0</v>
      </c>
    </row>
    <row r="146" spans="1:19" x14ac:dyDescent="0.3">
      <c r="A146" s="84">
        <v>60000</v>
      </c>
      <c r="B146" s="84">
        <v>70000</v>
      </c>
      <c r="C146" s="116"/>
      <c r="D146" s="116"/>
      <c r="E146" s="107" t="e">
        <v>#DIV/0!</v>
      </c>
      <c r="F146" s="109">
        <v>0</v>
      </c>
      <c r="G146" s="114">
        <v>0</v>
      </c>
      <c r="H146" s="29" t="str">
        <f t="shared" si="1"/>
        <v>(60000, 70000]</v>
      </c>
      <c r="I146" s="110">
        <v>1</v>
      </c>
      <c r="J146" s="107" t="e">
        <v>#DIV/0!</v>
      </c>
      <c r="K146" s="107" t="e">
        <v>#DIV/0!</v>
      </c>
      <c r="L146" s="112" t="e">
        <v>#DIV/0!</v>
      </c>
      <c r="M146" s="107" t="e">
        <v>#DIV/0!</v>
      </c>
      <c r="N146" s="107" t="e">
        <v>#DIV/0!</v>
      </c>
      <c r="O146" s="114"/>
      <c r="P146" s="107" t="e">
        <v>#DIV/0!</v>
      </c>
      <c r="Q146" s="107"/>
      <c r="R146" s="107">
        <v>0</v>
      </c>
      <c r="S146" s="115">
        <v>0</v>
      </c>
    </row>
    <row r="147" spans="1:19" x14ac:dyDescent="0.3">
      <c r="A147" s="84">
        <v>70000</v>
      </c>
      <c r="B147" s="84">
        <v>80000</v>
      </c>
      <c r="C147" s="116"/>
      <c r="D147" s="116"/>
      <c r="E147" s="107" t="e">
        <v>#DIV/0!</v>
      </c>
      <c r="F147" s="109">
        <v>0</v>
      </c>
      <c r="G147" s="114">
        <v>0</v>
      </c>
      <c r="H147" s="29" t="str">
        <f t="shared" si="1"/>
        <v>(70000, 80000]</v>
      </c>
      <c r="I147" s="110">
        <v>1</v>
      </c>
      <c r="J147" s="107" t="e">
        <v>#DIV/0!</v>
      </c>
      <c r="K147" s="107" t="e">
        <v>#DIV/0!</v>
      </c>
      <c r="L147" s="112" t="e">
        <v>#DIV/0!</v>
      </c>
      <c r="M147" s="107" t="e">
        <v>#DIV/0!</v>
      </c>
      <c r="N147" s="107" t="e">
        <v>#DIV/0!</v>
      </c>
      <c r="O147" s="114"/>
      <c r="P147" s="107" t="e">
        <v>#DIV/0!</v>
      </c>
      <c r="Q147" s="107"/>
      <c r="R147" s="107">
        <v>0</v>
      </c>
      <c r="S147" s="115">
        <v>0</v>
      </c>
    </row>
    <row r="148" spans="1:19" x14ac:dyDescent="0.3">
      <c r="A148" s="84">
        <v>80000</v>
      </c>
      <c r="B148" s="84">
        <v>90000</v>
      </c>
      <c r="C148" s="116"/>
      <c r="D148" s="116"/>
      <c r="E148" s="107" t="e">
        <v>#DIV/0!</v>
      </c>
      <c r="F148" s="109">
        <v>0</v>
      </c>
      <c r="G148" s="114">
        <v>0</v>
      </c>
      <c r="H148" s="29" t="str">
        <f t="shared" si="1"/>
        <v>(80000, 90000]</v>
      </c>
      <c r="I148" s="110">
        <v>1</v>
      </c>
      <c r="J148" s="107" t="e">
        <v>#DIV/0!</v>
      </c>
      <c r="K148" s="107" t="e">
        <v>#DIV/0!</v>
      </c>
      <c r="L148" s="112" t="e">
        <v>#DIV/0!</v>
      </c>
      <c r="M148" s="107" t="e">
        <v>#DIV/0!</v>
      </c>
      <c r="N148" s="107" t="e">
        <v>#DIV/0!</v>
      </c>
      <c r="O148" s="114"/>
      <c r="P148" s="107" t="e">
        <v>#DIV/0!</v>
      </c>
      <c r="Q148" s="107"/>
      <c r="R148" s="107">
        <v>0</v>
      </c>
      <c r="S148" s="115">
        <v>0</v>
      </c>
    </row>
    <row r="149" spans="1:19" x14ac:dyDescent="0.3">
      <c r="A149" s="84">
        <v>90000</v>
      </c>
      <c r="B149" s="84">
        <v>100000</v>
      </c>
      <c r="C149" s="116"/>
      <c r="D149" s="116"/>
      <c r="E149" s="107" t="e">
        <v>#DIV/0!</v>
      </c>
      <c r="F149" s="109">
        <v>0</v>
      </c>
      <c r="G149" s="114">
        <v>0</v>
      </c>
      <c r="H149" s="29" t="str">
        <f t="shared" si="1"/>
        <v>(90000, 100000]</v>
      </c>
      <c r="I149" s="110">
        <v>1</v>
      </c>
      <c r="J149" s="107" t="e">
        <v>#DIV/0!</v>
      </c>
      <c r="K149" s="107" t="e">
        <v>#DIV/0!</v>
      </c>
      <c r="L149" s="112" t="e">
        <v>#DIV/0!</v>
      </c>
      <c r="M149" s="107" t="e">
        <v>#DIV/0!</v>
      </c>
      <c r="N149" s="107" t="e">
        <v>#DIV/0!</v>
      </c>
      <c r="O149" s="114"/>
      <c r="P149" s="107" t="e">
        <v>#DIV/0!</v>
      </c>
      <c r="Q149" s="107"/>
      <c r="R149" s="107">
        <v>0</v>
      </c>
      <c r="S149" s="115">
        <v>0</v>
      </c>
    </row>
    <row r="150" spans="1:19" x14ac:dyDescent="0.3">
      <c r="A150" s="84">
        <v>100000</v>
      </c>
      <c r="B150" s="84">
        <v>9999999</v>
      </c>
      <c r="C150" s="116"/>
      <c r="D150" s="116"/>
      <c r="E150" s="107" t="e">
        <v>#DIV/0!</v>
      </c>
      <c r="F150" s="109">
        <v>0</v>
      </c>
      <c r="G150" s="114">
        <v>0</v>
      </c>
      <c r="H150" s="29" t="str">
        <f t="shared" si="1"/>
        <v>(100000, 9999999]</v>
      </c>
      <c r="I150" s="110">
        <v>1</v>
      </c>
      <c r="J150" s="107" t="e">
        <v>#DIV/0!</v>
      </c>
      <c r="K150" s="107" t="e">
        <v>#DIV/0!</v>
      </c>
      <c r="L150" s="112" t="e">
        <v>#DIV/0!</v>
      </c>
      <c r="M150" s="107" t="e">
        <v>#DIV/0!</v>
      </c>
      <c r="N150" s="107" t="e">
        <v>#DIV/0!</v>
      </c>
      <c r="O150" s="114"/>
      <c r="P150" s="107" t="e">
        <v>#DIV/0!</v>
      </c>
      <c r="Q150" s="107"/>
      <c r="R150" s="107">
        <v>0</v>
      </c>
      <c r="S150" s="115">
        <v>0</v>
      </c>
    </row>
    <row r="153" spans="1:19" s="142" customFormat="1" x14ac:dyDescent="0.3">
      <c r="A153" s="187" t="s">
        <v>91</v>
      </c>
      <c r="B153" s="187"/>
      <c r="C153" s="187"/>
      <c r="D153" s="187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0</v>
      </c>
      <c r="D157" s="126">
        <v>0</v>
      </c>
      <c r="E157" s="107" t="e" cm="1">
        <f t="array" ref="E157:E220">_xlfn.LET(_xlpm.x, C157:C220, _xlpm.x/SUM(_xlpm.x))</f>
        <v>#DIV/0!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1</v>
      </c>
      <c r="J157" s="107" t="e" cm="1">
        <f t="array" ref="J157:J220">_xlfn.ANCHORARRAY(E157)*I157:I220</f>
        <v>#DIV/0!</v>
      </c>
      <c r="K157" s="107" t="e" cm="1">
        <f t="array" ref="K157:K220">J157:J220/SUM(_xlfn.ANCHORARRAY(J157))</f>
        <v>#DIV/0!</v>
      </c>
      <c r="L157" s="111" t="e" cm="1">
        <f t="array" ref="L157:L220">INT(_xlfn.ANCHORARRAY(K157)*$B$2)</f>
        <v>#DIV/0!</v>
      </c>
      <c r="M157" s="107" t="e" cm="1">
        <f t="array" ref="M157:M220">_xlfn.LET(_xlpm.x, L157:L220, _xlpm.x/SUM(_xlpm.x))</f>
        <v>#DIV/0!</v>
      </c>
      <c r="N157" s="134" t="e" cm="1">
        <f t="array" ref="N157:N220">M157:M220*_xlfn.ANCHORARRAY(F157)</f>
        <v>#DIV/0!</v>
      </c>
      <c r="O157" s="114"/>
      <c r="P157" s="107" t="e" cm="1">
        <f t="array" ref="P157:P220">_xlfn.ANCHORARRAY(M157)</f>
        <v>#DIV/0!</v>
      </c>
      <c r="Q157" s="107"/>
      <c r="R157" s="107">
        <v>2.069E-2</v>
      </c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0</v>
      </c>
      <c r="D158" s="143">
        <v>0</v>
      </c>
      <c r="E158" s="107" t="e">
        <v>#DIV/0!</v>
      </c>
      <c r="F158" s="109">
        <v>0</v>
      </c>
      <c r="G158" s="66">
        <v>0</v>
      </c>
      <c r="H158" s="29" t="str">
        <f t="shared" ref="H158:H220" si="2">"("&amp;$A158&amp;", "&amp;$B158&amp;"]"</f>
        <v>(0, 1]</v>
      </c>
      <c r="I158" s="110">
        <v>1</v>
      </c>
      <c r="J158" s="107" t="e">
        <v>#DIV/0!</v>
      </c>
      <c r="K158" s="107" t="e">
        <v>#DIV/0!</v>
      </c>
      <c r="L158" s="111" t="e">
        <v>#DIV/0!</v>
      </c>
      <c r="M158" s="107" t="e">
        <v>#DIV/0!</v>
      </c>
      <c r="N158" s="107" t="e">
        <v>#DIV/0!</v>
      </c>
      <c r="O158" s="114"/>
      <c r="P158" s="107" t="e">
        <v>#DIV/0!</v>
      </c>
      <c r="Q158" s="107"/>
      <c r="R158" s="107">
        <v>6.8970000000000004E-3</v>
      </c>
      <c r="S158" s="115">
        <v>0</v>
      </c>
    </row>
    <row r="159" spans="1:19" x14ac:dyDescent="0.3">
      <c r="A159" s="84">
        <v>1</v>
      </c>
      <c r="B159" s="84">
        <v>2</v>
      </c>
      <c r="C159" s="143">
        <v>0</v>
      </c>
      <c r="D159" s="143">
        <v>0</v>
      </c>
      <c r="E159" s="107" t="e">
        <v>#DIV/0!</v>
      </c>
      <c r="F159" s="109">
        <v>0</v>
      </c>
      <c r="G159" s="117">
        <f>1+G158*G157</f>
        <v>1</v>
      </c>
      <c r="H159" s="29" t="str">
        <f t="shared" si="2"/>
        <v>(1, 2]</v>
      </c>
      <c r="I159" s="110">
        <v>1</v>
      </c>
      <c r="J159" s="107" t="e">
        <v>#DIV/0!</v>
      </c>
      <c r="K159" s="107" t="e">
        <v>#DIV/0!</v>
      </c>
      <c r="L159" s="111" t="e">
        <v>#DIV/0!</v>
      </c>
      <c r="M159" s="107" t="e">
        <v>#DIV/0!</v>
      </c>
      <c r="N159" s="107" t="e">
        <v>#DIV/0!</v>
      </c>
      <c r="O159" s="114"/>
      <c r="P159" s="107" t="e">
        <v>#DIV/0!</v>
      </c>
      <c r="Q159" s="107"/>
      <c r="R159" s="107">
        <v>6.8970000000000004E-3</v>
      </c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0</v>
      </c>
      <c r="D160" s="143">
        <v>0</v>
      </c>
      <c r="E160" s="107" t="e">
        <v>#DIV/0!</v>
      </c>
      <c r="F160" s="109">
        <v>0</v>
      </c>
      <c r="G160" s="114"/>
      <c r="H160" s="29" t="str">
        <f t="shared" si="2"/>
        <v>(2, 3]</v>
      </c>
      <c r="I160" s="110">
        <v>1</v>
      </c>
      <c r="J160" s="107" t="e">
        <v>#DIV/0!</v>
      </c>
      <c r="K160" s="107" t="e">
        <v>#DIV/0!</v>
      </c>
      <c r="L160" s="111" t="e">
        <v>#DIV/0!</v>
      </c>
      <c r="M160" s="107" t="e">
        <v>#DIV/0!</v>
      </c>
      <c r="N160" s="107" t="e">
        <v>#DIV/0!</v>
      </c>
      <c r="O160" s="114"/>
      <c r="P160" s="107" t="e">
        <v>#DIV/0!</v>
      </c>
      <c r="Q160" s="107"/>
      <c r="R160" s="107">
        <v>6.8970000000000004E-3</v>
      </c>
      <c r="S160" s="115">
        <v>0</v>
      </c>
    </row>
    <row r="161" spans="1:20" x14ac:dyDescent="0.3">
      <c r="A161" s="84">
        <v>3</v>
      </c>
      <c r="B161" s="84">
        <v>4</v>
      </c>
      <c r="C161" s="143">
        <v>0</v>
      </c>
      <c r="D161" s="143">
        <v>0</v>
      </c>
      <c r="E161" s="107" t="e">
        <v>#DIV/0!</v>
      </c>
      <c r="F161" s="109">
        <v>0</v>
      </c>
      <c r="G161" s="114"/>
      <c r="H161" s="29" t="str">
        <f t="shared" si="2"/>
        <v>(3, 4]</v>
      </c>
      <c r="I161" s="110">
        <v>1</v>
      </c>
      <c r="J161" s="107" t="e">
        <v>#DIV/0!</v>
      </c>
      <c r="K161" s="107" t="e">
        <v>#DIV/0!</v>
      </c>
      <c r="L161" s="111" t="e">
        <v>#DIV/0!</v>
      </c>
      <c r="M161" s="107" t="e">
        <v>#DIV/0!</v>
      </c>
      <c r="N161" s="107" t="e">
        <v>#DIV/0!</v>
      </c>
      <c r="O161" s="114"/>
      <c r="P161" s="107" t="e">
        <v>#DIV/0!</v>
      </c>
      <c r="Q161" s="107"/>
      <c r="R161" s="107">
        <v>6.8970000000000004E-3</v>
      </c>
      <c r="S161" s="115">
        <v>0</v>
      </c>
    </row>
    <row r="162" spans="1:20" x14ac:dyDescent="0.3">
      <c r="A162" s="84">
        <v>4</v>
      </c>
      <c r="B162" s="84">
        <v>5</v>
      </c>
      <c r="C162" s="143">
        <v>0</v>
      </c>
      <c r="D162" s="143">
        <v>0</v>
      </c>
      <c r="E162" s="107" t="e">
        <v>#DIV/0!</v>
      </c>
      <c r="F162" s="109">
        <v>0</v>
      </c>
      <c r="G162" s="114"/>
      <c r="H162" s="29" t="str">
        <f t="shared" si="2"/>
        <v>(4, 5]</v>
      </c>
      <c r="I162" s="110">
        <v>1</v>
      </c>
      <c r="J162" s="107" t="e">
        <v>#DIV/0!</v>
      </c>
      <c r="K162" s="107" t="e">
        <v>#DIV/0!</v>
      </c>
      <c r="L162" s="111" t="e">
        <v>#DIV/0!</v>
      </c>
      <c r="M162" s="107" t="e">
        <v>#DIV/0!</v>
      </c>
      <c r="N162" s="107" t="e">
        <v>#DIV/0!</v>
      </c>
      <c r="O162" s="114"/>
      <c r="P162" s="107" t="e">
        <v>#DIV/0!</v>
      </c>
      <c r="Q162" s="107"/>
      <c r="R162" s="107">
        <v>6.8970000000000004E-3</v>
      </c>
      <c r="S162" s="115">
        <v>0</v>
      </c>
    </row>
    <row r="163" spans="1:20" x14ac:dyDescent="0.3">
      <c r="A163" s="84">
        <v>5</v>
      </c>
      <c r="B163" s="84">
        <v>6</v>
      </c>
      <c r="C163" s="143">
        <v>0</v>
      </c>
      <c r="D163" s="143">
        <v>0</v>
      </c>
      <c r="E163" s="107" t="e">
        <v>#DIV/0!</v>
      </c>
      <c r="F163" s="109">
        <v>0</v>
      </c>
      <c r="G163" s="114"/>
      <c r="H163" s="29" t="str">
        <f t="shared" si="2"/>
        <v>(5, 6]</v>
      </c>
      <c r="I163" s="110">
        <v>1</v>
      </c>
      <c r="J163" s="107" t="e">
        <v>#DIV/0!</v>
      </c>
      <c r="K163" s="107" t="e">
        <v>#DIV/0!</v>
      </c>
      <c r="L163" s="111" t="e">
        <v>#DIV/0!</v>
      </c>
      <c r="M163" s="107" t="e">
        <v>#DIV/0!</v>
      </c>
      <c r="N163" s="107" t="e">
        <v>#DIV/0!</v>
      </c>
      <c r="O163" s="114"/>
      <c r="P163" s="107" t="e">
        <v>#DIV/0!</v>
      </c>
      <c r="Q163" s="107"/>
      <c r="R163" s="107">
        <v>6.8970000000000004E-3</v>
      </c>
      <c r="S163" s="115">
        <v>0</v>
      </c>
    </row>
    <row r="164" spans="1:20" x14ac:dyDescent="0.3">
      <c r="A164" s="84">
        <v>6</v>
      </c>
      <c r="B164" s="84">
        <v>7</v>
      </c>
      <c r="C164" s="143">
        <v>0</v>
      </c>
      <c r="D164" s="143">
        <v>0</v>
      </c>
      <c r="E164" s="107" t="e">
        <v>#DIV/0!</v>
      </c>
      <c r="F164" s="109">
        <v>0</v>
      </c>
      <c r="G164" s="114"/>
      <c r="H164" s="29" t="str">
        <f t="shared" si="2"/>
        <v>(6, 7]</v>
      </c>
      <c r="I164" s="110">
        <v>1</v>
      </c>
      <c r="J164" s="107" t="e">
        <v>#DIV/0!</v>
      </c>
      <c r="K164" s="107" t="e">
        <v>#DIV/0!</v>
      </c>
      <c r="L164" s="111" t="e">
        <v>#DIV/0!</v>
      </c>
      <c r="M164" s="107" t="e">
        <v>#DIV/0!</v>
      </c>
      <c r="N164" s="107" t="e">
        <v>#DIV/0!</v>
      </c>
      <c r="O164" s="114"/>
      <c r="P164" s="107" t="e">
        <v>#DIV/0!</v>
      </c>
      <c r="Q164" s="107"/>
      <c r="R164" s="107">
        <v>2.069E-2</v>
      </c>
      <c r="S164" s="115">
        <v>0</v>
      </c>
    </row>
    <row r="165" spans="1:20" x14ac:dyDescent="0.3">
      <c r="A165" s="84">
        <v>7</v>
      </c>
      <c r="B165" s="84">
        <v>8</v>
      </c>
      <c r="C165" s="143">
        <v>0</v>
      </c>
      <c r="D165" s="143">
        <v>0</v>
      </c>
      <c r="E165" s="107" t="e">
        <v>#DIV/0!</v>
      </c>
      <c r="F165" s="109">
        <v>0</v>
      </c>
      <c r="G165" s="114"/>
      <c r="H165" s="29" t="str">
        <f t="shared" si="2"/>
        <v>(7, 8]</v>
      </c>
      <c r="I165" s="110">
        <v>1</v>
      </c>
      <c r="J165" s="107" t="e">
        <v>#DIV/0!</v>
      </c>
      <c r="K165" s="107" t="e">
        <v>#DIV/0!</v>
      </c>
      <c r="L165" s="111" t="e">
        <v>#DIV/0!</v>
      </c>
      <c r="M165" s="107" t="e">
        <v>#DIV/0!</v>
      </c>
      <c r="N165" s="107" t="e">
        <v>#DIV/0!</v>
      </c>
      <c r="O165" s="114"/>
      <c r="P165" s="107" t="e">
        <v>#DIV/0!</v>
      </c>
      <c r="Q165" s="107"/>
      <c r="R165" s="107">
        <v>0</v>
      </c>
      <c r="S165" s="115">
        <v>0</v>
      </c>
    </row>
    <row r="166" spans="1:20" x14ac:dyDescent="0.3">
      <c r="A166" s="84">
        <v>8</v>
      </c>
      <c r="B166" s="84">
        <v>9</v>
      </c>
      <c r="C166" s="143">
        <v>0</v>
      </c>
      <c r="D166" s="143">
        <v>0</v>
      </c>
      <c r="E166" s="107" t="e">
        <v>#DIV/0!</v>
      </c>
      <c r="F166" s="109">
        <v>0</v>
      </c>
      <c r="G166" s="114"/>
      <c r="H166" s="29" t="str">
        <f t="shared" si="2"/>
        <v>(8, 9]</v>
      </c>
      <c r="I166" s="110">
        <v>1</v>
      </c>
      <c r="J166" s="107" t="e">
        <v>#DIV/0!</v>
      </c>
      <c r="K166" s="107" t="e">
        <v>#DIV/0!</v>
      </c>
      <c r="L166" s="111" t="e">
        <v>#DIV/0!</v>
      </c>
      <c r="M166" s="107" t="e">
        <v>#DIV/0!</v>
      </c>
      <c r="N166" s="107" t="e">
        <v>#DIV/0!</v>
      </c>
      <c r="O166" s="114"/>
      <c r="P166" s="107" t="e">
        <v>#DIV/0!</v>
      </c>
      <c r="Q166" s="107"/>
      <c r="R166" s="107">
        <v>6.8970000000000004E-3</v>
      </c>
      <c r="S166" s="115">
        <v>0</v>
      </c>
    </row>
    <row r="167" spans="1:20" x14ac:dyDescent="0.3">
      <c r="A167" s="84">
        <v>9</v>
      </c>
      <c r="B167" s="84">
        <v>10</v>
      </c>
      <c r="C167" s="143">
        <v>0</v>
      </c>
      <c r="D167" s="143">
        <v>0</v>
      </c>
      <c r="E167" s="107" t="e">
        <v>#DIV/0!</v>
      </c>
      <c r="F167" s="109">
        <v>0</v>
      </c>
      <c r="G167" s="114"/>
      <c r="H167" s="29" t="str">
        <f t="shared" si="2"/>
        <v>(9, 10]</v>
      </c>
      <c r="I167" s="110">
        <v>1</v>
      </c>
      <c r="J167" s="107" t="e">
        <v>#DIV/0!</v>
      </c>
      <c r="K167" s="107" t="e">
        <v>#DIV/0!</v>
      </c>
      <c r="L167" s="111" t="e">
        <v>#DIV/0!</v>
      </c>
      <c r="M167" s="107" t="e">
        <v>#DIV/0!</v>
      </c>
      <c r="N167" s="107" t="e">
        <v>#DIV/0!</v>
      </c>
      <c r="O167" s="114"/>
      <c r="P167" s="107" t="e">
        <v>#DIV/0!</v>
      </c>
      <c r="Q167" s="107"/>
      <c r="R167" s="107">
        <v>0</v>
      </c>
      <c r="S167" s="115">
        <v>0</v>
      </c>
    </row>
    <row r="168" spans="1:20" x14ac:dyDescent="0.3">
      <c r="A168" s="84">
        <v>10</v>
      </c>
      <c r="B168" s="84">
        <v>15</v>
      </c>
      <c r="C168" s="143">
        <v>0</v>
      </c>
      <c r="D168" s="143">
        <v>0</v>
      </c>
      <c r="E168" s="107" t="e">
        <v>#DIV/0!</v>
      </c>
      <c r="F168" s="109">
        <v>0</v>
      </c>
      <c r="G168" s="114"/>
      <c r="H168" s="175" t="str">
        <f t="shared" si="2"/>
        <v>(10, 15]</v>
      </c>
      <c r="I168" s="110">
        <v>1</v>
      </c>
      <c r="J168" s="107" t="e">
        <v>#DIV/0!</v>
      </c>
      <c r="K168" s="107" t="e">
        <v>#DIV/0!</v>
      </c>
      <c r="L168" s="111" t="e">
        <v>#DIV/0!</v>
      </c>
      <c r="M168" s="107" t="e">
        <v>#DIV/0!</v>
      </c>
      <c r="N168" s="107" t="e">
        <v>#DIV/0!</v>
      </c>
      <c r="O168" s="114"/>
      <c r="P168" s="107" t="e">
        <v>#DIV/0!</v>
      </c>
      <c r="Q168" s="107"/>
      <c r="R168" s="107">
        <v>6.2068999999999999E-2</v>
      </c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0</v>
      </c>
      <c r="D169" s="143">
        <v>0</v>
      </c>
      <c r="E169" s="107" t="e">
        <v>#DIV/0!</v>
      </c>
      <c r="F169" s="109">
        <v>0</v>
      </c>
      <c r="G169" s="114"/>
      <c r="H169" s="175" t="str">
        <f t="shared" si="2"/>
        <v>(15, 20]</v>
      </c>
      <c r="I169" s="110">
        <v>1</v>
      </c>
      <c r="J169" s="107" t="e">
        <v>#DIV/0!</v>
      </c>
      <c r="K169" s="107" t="e">
        <v>#DIV/0!</v>
      </c>
      <c r="L169" s="111" t="e">
        <v>#DIV/0!</v>
      </c>
      <c r="M169" s="107" t="e">
        <v>#DIV/0!</v>
      </c>
      <c r="N169" s="107" t="e">
        <v>#DIV/0!</v>
      </c>
      <c r="O169" s="114"/>
      <c r="P169" s="107" t="e">
        <v>#DIV/0!</v>
      </c>
      <c r="Q169" s="107"/>
      <c r="R169" s="107">
        <v>2.7585999999999999E-2</v>
      </c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0</v>
      </c>
      <c r="D170" s="143">
        <v>0</v>
      </c>
      <c r="E170" s="107" t="e">
        <v>#DIV/0!</v>
      </c>
      <c r="F170" s="109">
        <v>0</v>
      </c>
      <c r="G170" s="114"/>
      <c r="H170" s="175" t="str">
        <f t="shared" si="2"/>
        <v>(20, 25]</v>
      </c>
      <c r="I170" s="110">
        <v>1</v>
      </c>
      <c r="J170" s="107" t="e">
        <v>#DIV/0!</v>
      </c>
      <c r="K170" s="107" t="e">
        <v>#DIV/0!</v>
      </c>
      <c r="L170" s="111" t="e">
        <v>#DIV/0!</v>
      </c>
      <c r="M170" s="107" t="e">
        <v>#DIV/0!</v>
      </c>
      <c r="N170" s="107" t="e">
        <v>#DIV/0!</v>
      </c>
      <c r="O170" s="114"/>
      <c r="P170" s="107" t="e">
        <v>#DIV/0!</v>
      </c>
      <c r="Q170" s="107"/>
      <c r="R170" s="107">
        <v>2.069E-2</v>
      </c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0</v>
      </c>
      <c r="D171" s="143">
        <v>0</v>
      </c>
      <c r="E171" s="107" t="e">
        <v>#DIV/0!</v>
      </c>
      <c r="F171" s="109">
        <v>0</v>
      </c>
      <c r="G171" s="114"/>
      <c r="H171" s="175" t="str">
        <f t="shared" si="2"/>
        <v>(25, 30]</v>
      </c>
      <c r="I171" s="110">
        <v>1</v>
      </c>
      <c r="J171" s="107" t="e">
        <v>#DIV/0!</v>
      </c>
      <c r="K171" s="107" t="e">
        <v>#DIV/0!</v>
      </c>
      <c r="L171" s="111" t="e">
        <v>#DIV/0!</v>
      </c>
      <c r="M171" s="107" t="e">
        <v>#DIV/0!</v>
      </c>
      <c r="N171" s="107" t="e">
        <v>#DIV/0!</v>
      </c>
      <c r="O171" s="114"/>
      <c r="P171" s="107" t="e">
        <v>#DIV/0!</v>
      </c>
      <c r="Q171" s="107"/>
      <c r="R171" s="107">
        <v>8.9654999999999999E-2</v>
      </c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0</v>
      </c>
      <c r="D172" s="143">
        <v>0</v>
      </c>
      <c r="E172" s="107" t="e">
        <v>#DIV/0!</v>
      </c>
      <c r="F172" s="109">
        <v>0</v>
      </c>
      <c r="G172" s="114"/>
      <c r="H172" s="175" t="str">
        <f t="shared" si="2"/>
        <v>(30, 35]</v>
      </c>
      <c r="I172" s="110">
        <v>1</v>
      </c>
      <c r="J172" s="107" t="e">
        <v>#DIV/0!</v>
      </c>
      <c r="K172" s="107" t="e">
        <v>#DIV/0!</v>
      </c>
      <c r="L172" s="111" t="e">
        <v>#DIV/0!</v>
      </c>
      <c r="M172" s="107" t="e">
        <v>#DIV/0!</v>
      </c>
      <c r="N172" s="107" t="e">
        <v>#DIV/0!</v>
      </c>
      <c r="O172" s="114"/>
      <c r="P172" s="107" t="e">
        <v>#DIV/0!</v>
      </c>
      <c r="Q172" s="107"/>
      <c r="R172" s="107">
        <v>3.4483E-2</v>
      </c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0</v>
      </c>
      <c r="D173" s="143">
        <v>0</v>
      </c>
      <c r="E173" s="107" t="e">
        <v>#DIV/0!</v>
      </c>
      <c r="F173" s="109">
        <v>0</v>
      </c>
      <c r="G173" s="114"/>
      <c r="H173" s="175" t="str">
        <f t="shared" si="2"/>
        <v>(35, 40]</v>
      </c>
      <c r="I173" s="110">
        <v>1</v>
      </c>
      <c r="J173" s="107" t="e">
        <v>#DIV/0!</v>
      </c>
      <c r="K173" s="107" t="e">
        <v>#DIV/0!</v>
      </c>
      <c r="L173" s="111" t="e">
        <v>#DIV/0!</v>
      </c>
      <c r="M173" s="107" t="e">
        <v>#DIV/0!</v>
      </c>
      <c r="N173" s="107" t="e">
        <v>#DIV/0!</v>
      </c>
      <c r="O173" s="114"/>
      <c r="P173" s="107" t="e">
        <v>#DIV/0!</v>
      </c>
      <c r="Q173" s="107"/>
      <c r="R173" s="107">
        <v>6.2068999999999999E-2</v>
      </c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0</v>
      </c>
      <c r="D174" s="143">
        <v>0</v>
      </c>
      <c r="E174" s="107" t="e">
        <v>#DIV/0!</v>
      </c>
      <c r="F174" s="109">
        <v>0</v>
      </c>
      <c r="G174" s="114"/>
      <c r="H174" s="175" t="str">
        <f t="shared" si="2"/>
        <v>(40, 45]</v>
      </c>
      <c r="I174" s="110">
        <v>1</v>
      </c>
      <c r="J174" s="107" t="e">
        <v>#DIV/0!</v>
      </c>
      <c r="K174" s="107" t="e">
        <v>#DIV/0!</v>
      </c>
      <c r="L174" s="111" t="e">
        <v>#DIV/0!</v>
      </c>
      <c r="M174" s="107" t="e">
        <v>#DIV/0!</v>
      </c>
      <c r="N174" s="107" t="e">
        <v>#DIV/0!</v>
      </c>
      <c r="O174" s="114"/>
      <c r="P174" s="107" t="e">
        <v>#DIV/0!</v>
      </c>
      <c r="Q174" s="107"/>
      <c r="R174" s="107">
        <v>5.5171999999999999E-2</v>
      </c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0</v>
      </c>
      <c r="D175" s="143">
        <v>0</v>
      </c>
      <c r="E175" s="107" t="e">
        <v>#DIV/0!</v>
      </c>
      <c r="F175" s="109">
        <v>0</v>
      </c>
      <c r="G175" s="114"/>
      <c r="H175" s="175" t="str">
        <f t="shared" si="2"/>
        <v>(45, 50]</v>
      </c>
      <c r="I175" s="110">
        <v>1</v>
      </c>
      <c r="J175" s="107" t="e">
        <v>#DIV/0!</v>
      </c>
      <c r="K175" s="107" t="e">
        <v>#DIV/0!</v>
      </c>
      <c r="L175" s="111" t="e">
        <v>#DIV/0!</v>
      </c>
      <c r="M175" s="107" t="e">
        <v>#DIV/0!</v>
      </c>
      <c r="N175" s="107" t="e">
        <v>#DIV/0!</v>
      </c>
      <c r="O175" s="114"/>
      <c r="P175" s="107" t="e">
        <v>#DIV/0!</v>
      </c>
      <c r="Q175" s="107"/>
      <c r="R175" s="107">
        <v>4.8275999999999999E-2</v>
      </c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0</v>
      </c>
      <c r="D176" s="143">
        <v>0</v>
      </c>
      <c r="E176" s="107" t="e">
        <v>#DIV/0!</v>
      </c>
      <c r="F176" s="109">
        <v>0</v>
      </c>
      <c r="G176" s="114">
        <v>1.91</v>
      </c>
      <c r="H176" s="175" t="str">
        <f t="shared" si="2"/>
        <v>(50, 60]</v>
      </c>
      <c r="I176" s="110">
        <v>1</v>
      </c>
      <c r="J176" s="107" t="e">
        <v>#DIV/0!</v>
      </c>
      <c r="K176" s="107" t="e">
        <v>#DIV/0!</v>
      </c>
      <c r="L176" s="111" t="e">
        <v>#DIV/0!</v>
      </c>
      <c r="M176" s="107" t="e">
        <v>#DIV/0!</v>
      </c>
      <c r="N176" s="107" t="e">
        <v>#DIV/0!</v>
      </c>
      <c r="O176" s="114"/>
      <c r="P176" s="107" t="e">
        <v>#DIV/0!</v>
      </c>
      <c r="Q176" s="107"/>
      <c r="R176" s="107">
        <v>4.8275999999999999E-2</v>
      </c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0</v>
      </c>
      <c r="D177" s="143">
        <v>0</v>
      </c>
      <c r="E177" s="107" t="e">
        <v>#DIV/0!</v>
      </c>
      <c r="F177" s="109">
        <v>0</v>
      </c>
      <c r="G177" s="114">
        <v>5.94</v>
      </c>
      <c r="H177" s="175" t="str">
        <f t="shared" si="2"/>
        <v>(60, 70]</v>
      </c>
      <c r="I177" s="110">
        <v>1</v>
      </c>
      <c r="J177" s="107" t="e">
        <v>#DIV/0!</v>
      </c>
      <c r="K177" s="107" t="e">
        <v>#DIV/0!</v>
      </c>
      <c r="L177" s="111" t="e">
        <v>#DIV/0!</v>
      </c>
      <c r="M177" s="107" t="e">
        <v>#DIV/0!</v>
      </c>
      <c r="N177" s="107" t="e">
        <v>#DIV/0!</v>
      </c>
      <c r="O177" s="114"/>
      <c r="P177" s="107" t="e">
        <v>#DIV/0!</v>
      </c>
      <c r="Q177" s="107"/>
      <c r="R177" s="107">
        <v>6.8966E-2</v>
      </c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0</v>
      </c>
      <c r="D178" s="143">
        <v>0</v>
      </c>
      <c r="E178" s="107" t="e">
        <v>#DIV/0!</v>
      </c>
      <c r="F178" s="109">
        <v>0</v>
      </c>
      <c r="G178" s="114">
        <v>5.07</v>
      </c>
      <c r="H178" s="175" t="str">
        <f t="shared" si="2"/>
        <v>(70, 80]</v>
      </c>
      <c r="I178" s="110">
        <v>1</v>
      </c>
      <c r="J178" s="107" t="e">
        <v>#DIV/0!</v>
      </c>
      <c r="K178" s="107" t="e">
        <v>#DIV/0!</v>
      </c>
      <c r="L178" s="111" t="e">
        <v>#DIV/0!</v>
      </c>
      <c r="M178" s="107" t="e">
        <v>#DIV/0!</v>
      </c>
      <c r="N178" s="107" t="e">
        <v>#DIV/0!</v>
      </c>
      <c r="O178" s="114"/>
      <c r="P178" s="107" t="e">
        <v>#DIV/0!</v>
      </c>
      <c r="Q178" s="107"/>
      <c r="R178" s="107">
        <v>3.4483E-2</v>
      </c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0</v>
      </c>
      <c r="D179" s="143">
        <v>0</v>
      </c>
      <c r="E179" s="107" t="e">
        <v>#DIV/0!</v>
      </c>
      <c r="F179" s="109">
        <v>0</v>
      </c>
      <c r="G179" s="114">
        <v>2.2400000000000002</v>
      </c>
      <c r="H179" s="175" t="str">
        <f t="shared" si="2"/>
        <v>(80, 90]</v>
      </c>
      <c r="I179" s="110">
        <v>1</v>
      </c>
      <c r="J179" s="107" t="e">
        <v>#DIV/0!</v>
      </c>
      <c r="K179" s="107" t="e">
        <v>#DIV/0!</v>
      </c>
      <c r="L179" s="111" t="e">
        <v>#DIV/0!</v>
      </c>
      <c r="M179" s="107" t="e">
        <v>#DIV/0!</v>
      </c>
      <c r="N179" s="107" t="e">
        <v>#DIV/0!</v>
      </c>
      <c r="O179" s="114"/>
      <c r="P179" s="107" t="e">
        <v>#DIV/0!</v>
      </c>
      <c r="Q179" s="107"/>
      <c r="R179" s="107">
        <v>6.8966E-2</v>
      </c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0</v>
      </c>
      <c r="D180" s="143">
        <v>0</v>
      </c>
      <c r="E180" s="107" t="e">
        <v>#DIV/0!</v>
      </c>
      <c r="F180" s="109">
        <v>0</v>
      </c>
      <c r="G180" s="114">
        <v>1.91</v>
      </c>
      <c r="H180" s="175" t="str">
        <f t="shared" si="2"/>
        <v>(90, 100]</v>
      </c>
      <c r="I180" s="110">
        <v>1</v>
      </c>
      <c r="J180" s="107" t="e">
        <v>#DIV/0!</v>
      </c>
      <c r="K180" s="107" t="e">
        <v>#DIV/0!</v>
      </c>
      <c r="L180" s="111" t="e">
        <v>#DIV/0!</v>
      </c>
      <c r="M180" s="107" t="e">
        <v>#DIV/0!</v>
      </c>
      <c r="N180" s="107" t="e">
        <v>#DIV/0!</v>
      </c>
      <c r="O180" s="114"/>
      <c r="P180" s="107" t="e">
        <v>#DIV/0!</v>
      </c>
      <c r="Q180" s="107"/>
      <c r="R180" s="107">
        <v>2.7585999999999999E-2</v>
      </c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0</v>
      </c>
      <c r="D181" s="143">
        <v>0</v>
      </c>
      <c r="E181" s="107" t="e">
        <v>#DIV/0!</v>
      </c>
      <c r="F181" s="109">
        <v>0</v>
      </c>
      <c r="G181" s="114">
        <v>2.04</v>
      </c>
      <c r="H181" s="175" t="str">
        <f t="shared" si="2"/>
        <v>(100, 120]</v>
      </c>
      <c r="I181" s="110">
        <v>1</v>
      </c>
      <c r="J181" s="107" t="e">
        <v>#DIV/0!</v>
      </c>
      <c r="K181" s="107" t="e">
        <v>#DIV/0!</v>
      </c>
      <c r="L181" s="111" t="e">
        <v>#DIV/0!</v>
      </c>
      <c r="M181" s="107" t="e">
        <v>#DIV/0!</v>
      </c>
      <c r="N181" s="107" t="e">
        <v>#DIV/0!</v>
      </c>
      <c r="O181" s="114"/>
      <c r="P181" s="107" t="e">
        <v>#DIV/0!</v>
      </c>
      <c r="Q181" s="107"/>
      <c r="R181" s="107">
        <v>6.8966E-2</v>
      </c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0</v>
      </c>
      <c r="D182" s="143">
        <v>0</v>
      </c>
      <c r="E182" s="107" t="e">
        <v>#DIV/0!</v>
      </c>
      <c r="F182" s="109">
        <v>0</v>
      </c>
      <c r="G182" s="114">
        <v>0.94</v>
      </c>
      <c r="H182" s="175" t="str">
        <f t="shared" si="2"/>
        <v>(120, 140]</v>
      </c>
      <c r="I182" s="110">
        <v>1</v>
      </c>
      <c r="J182" s="107" t="e">
        <v>#DIV/0!</v>
      </c>
      <c r="K182" s="107" t="e">
        <v>#DIV/0!</v>
      </c>
      <c r="L182" s="111" t="e">
        <v>#DIV/0!</v>
      </c>
      <c r="M182" s="107" t="e">
        <v>#DIV/0!</v>
      </c>
      <c r="N182" s="107" t="e">
        <v>#DIV/0!</v>
      </c>
      <c r="O182" s="114"/>
      <c r="P182" s="107" t="e">
        <v>#DIV/0!</v>
      </c>
      <c r="Q182" s="107"/>
      <c r="R182" s="107">
        <v>2.7585999999999999E-2</v>
      </c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0</v>
      </c>
      <c r="D183" s="143">
        <v>0</v>
      </c>
      <c r="E183" s="107" t="e">
        <v>#DIV/0!</v>
      </c>
      <c r="F183" s="109">
        <v>0</v>
      </c>
      <c r="G183" s="114">
        <v>1.45</v>
      </c>
      <c r="H183" s="175" t="str">
        <f t="shared" si="2"/>
        <v>(140, 160]</v>
      </c>
      <c r="I183" s="110">
        <v>1</v>
      </c>
      <c r="J183" s="107" t="e">
        <v>#DIV/0!</v>
      </c>
      <c r="K183" s="107" t="e">
        <v>#DIV/0!</v>
      </c>
      <c r="L183" s="111" t="e">
        <v>#DIV/0!</v>
      </c>
      <c r="M183" s="107" t="e">
        <v>#DIV/0!</v>
      </c>
      <c r="N183" s="107" t="e">
        <v>#DIV/0!</v>
      </c>
      <c r="O183" s="114"/>
      <c r="P183" s="107" t="e">
        <v>#DIV/0!</v>
      </c>
      <c r="Q183" s="107"/>
      <c r="R183" s="107">
        <v>4.8275999999999999E-2</v>
      </c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0</v>
      </c>
      <c r="D184" s="143">
        <v>0</v>
      </c>
      <c r="E184" s="107" t="e">
        <v>#DIV/0!</v>
      </c>
      <c r="F184" s="109">
        <v>0</v>
      </c>
      <c r="G184" s="114">
        <v>0.71</v>
      </c>
      <c r="H184" s="175" t="str">
        <f t="shared" si="2"/>
        <v>(160, 180]</v>
      </c>
      <c r="I184" s="110">
        <v>1</v>
      </c>
      <c r="J184" s="107" t="e">
        <v>#DIV/0!</v>
      </c>
      <c r="K184" s="107" t="e">
        <v>#DIV/0!</v>
      </c>
      <c r="L184" s="111" t="e">
        <v>#DIV/0!</v>
      </c>
      <c r="M184" s="107" t="e">
        <v>#DIV/0!</v>
      </c>
      <c r="N184" s="107" t="e">
        <v>#DIV/0!</v>
      </c>
      <c r="O184" s="114"/>
      <c r="P184" s="107" t="e">
        <v>#DIV/0!</v>
      </c>
      <c r="Q184" s="107"/>
      <c r="R184" s="107">
        <v>2.7585999999999999E-2</v>
      </c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0</v>
      </c>
      <c r="D185" s="143">
        <v>0</v>
      </c>
      <c r="E185" s="107" t="e">
        <v>#DIV/0!</v>
      </c>
      <c r="F185" s="109">
        <v>0</v>
      </c>
      <c r="G185" s="114">
        <v>0.62</v>
      </c>
      <c r="H185" s="175" t="str">
        <f t="shared" si="2"/>
        <v>(180, 200]</v>
      </c>
      <c r="I185" s="110">
        <v>1</v>
      </c>
      <c r="J185" s="107" t="e">
        <v>#DIV/0!</v>
      </c>
      <c r="K185" s="107" t="e">
        <v>#DIV/0!</v>
      </c>
      <c r="L185" s="111" t="e">
        <v>#DIV/0!</v>
      </c>
      <c r="M185" s="107" t="e">
        <v>#DIV/0!</v>
      </c>
      <c r="N185" s="107" t="e">
        <v>#DIV/0!</v>
      </c>
      <c r="O185" s="114"/>
      <c r="P185" s="107" t="e">
        <v>#DIV/0!</v>
      </c>
      <c r="Q185" s="107"/>
      <c r="R185" s="107">
        <v>3.4483E-2</v>
      </c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0</v>
      </c>
      <c r="D186" s="143">
        <v>0</v>
      </c>
      <c r="E186" s="107" t="e">
        <v>#DIV/0!</v>
      </c>
      <c r="F186" s="109">
        <v>0</v>
      </c>
      <c r="G186" s="114">
        <v>0.5</v>
      </c>
      <c r="H186" s="29" t="str">
        <f t="shared" si="2"/>
        <v>(200, 250]</v>
      </c>
      <c r="I186" s="110">
        <v>1</v>
      </c>
      <c r="J186" s="107" t="e">
        <v>#DIV/0!</v>
      </c>
      <c r="K186" s="107" t="e">
        <v>#DIV/0!</v>
      </c>
      <c r="L186" s="111" t="e">
        <v>#DIV/0!</v>
      </c>
      <c r="M186" s="107" t="e">
        <v>#DIV/0!</v>
      </c>
      <c r="N186" s="107" t="e">
        <v>#DIV/0!</v>
      </c>
      <c r="O186" s="114"/>
      <c r="P186" s="107" t="e">
        <v>#DIV/0!</v>
      </c>
      <c r="Q186" s="107"/>
      <c r="R186" s="107">
        <v>1.3793E-2</v>
      </c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0</v>
      </c>
      <c r="D187" s="143">
        <v>0</v>
      </c>
      <c r="E187" s="107" t="e">
        <v>#DIV/0!</v>
      </c>
      <c r="F187" s="109">
        <v>0</v>
      </c>
      <c r="G187" s="114">
        <v>0.21</v>
      </c>
      <c r="H187" s="29" t="str">
        <f t="shared" si="2"/>
        <v>(250, 300]</v>
      </c>
      <c r="I187" s="110">
        <v>1</v>
      </c>
      <c r="J187" s="107" t="e">
        <v>#DIV/0!</v>
      </c>
      <c r="K187" s="107" t="e">
        <v>#DIV/0!</v>
      </c>
      <c r="L187" s="111" t="e">
        <v>#DIV/0!</v>
      </c>
      <c r="M187" s="107" t="e">
        <v>#DIV/0!</v>
      </c>
      <c r="N187" s="107" t="e">
        <v>#DIV/0!</v>
      </c>
      <c r="O187" s="114"/>
      <c r="P187" s="107" t="e">
        <v>#DIV/0!</v>
      </c>
      <c r="Q187" s="107"/>
      <c r="R187" s="107">
        <v>1.3793E-2</v>
      </c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0</v>
      </c>
      <c r="D188" s="143">
        <v>0</v>
      </c>
      <c r="E188" s="107" t="e">
        <v>#DIV/0!</v>
      </c>
      <c r="F188" s="109">
        <v>0</v>
      </c>
      <c r="G188" s="114">
        <v>0.19</v>
      </c>
      <c r="H188" s="29" t="str">
        <f t="shared" si="2"/>
        <v>(300, 350]</v>
      </c>
      <c r="I188" s="110">
        <v>1</v>
      </c>
      <c r="J188" s="107" t="e">
        <v>#DIV/0!</v>
      </c>
      <c r="K188" s="107" t="e">
        <v>#DIV/0!</v>
      </c>
      <c r="L188" s="111" t="e">
        <v>#DIV/0!</v>
      </c>
      <c r="M188" s="107" t="e">
        <v>#DIV/0!</v>
      </c>
      <c r="N188" s="107" t="e">
        <v>#DIV/0!</v>
      </c>
      <c r="O188" s="114"/>
      <c r="P188" s="107" t="e">
        <v>#DIV/0!</v>
      </c>
      <c r="Q188" s="107"/>
      <c r="R188" s="107">
        <v>6.8970000000000004E-3</v>
      </c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0</v>
      </c>
      <c r="D189" s="143">
        <v>0</v>
      </c>
      <c r="E189" s="107" t="e">
        <v>#DIV/0!</v>
      </c>
      <c r="F189" s="109">
        <v>0</v>
      </c>
      <c r="G189" s="114">
        <v>0.01</v>
      </c>
      <c r="H189" s="29" t="str">
        <f t="shared" si="2"/>
        <v>(350, 400]</v>
      </c>
      <c r="I189" s="110">
        <v>1</v>
      </c>
      <c r="J189" s="107" t="e">
        <v>#DIV/0!</v>
      </c>
      <c r="K189" s="107" t="e">
        <v>#DIV/0!</v>
      </c>
      <c r="L189" s="111" t="e">
        <v>#DIV/0!</v>
      </c>
      <c r="M189" s="107" t="e">
        <v>#DIV/0!</v>
      </c>
      <c r="N189" s="107" t="e">
        <v>#DIV/0!</v>
      </c>
      <c r="O189" s="114"/>
      <c r="P189" s="107" t="e">
        <v>#DIV/0!</v>
      </c>
      <c r="Q189" s="107"/>
      <c r="R189" s="107">
        <v>6.8970000000000004E-3</v>
      </c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0</v>
      </c>
      <c r="D190" s="143">
        <v>0</v>
      </c>
      <c r="E190" s="107" t="e">
        <v>#DIV/0!</v>
      </c>
      <c r="F190" s="109">
        <v>0</v>
      </c>
      <c r="G190" s="114">
        <v>0.01</v>
      </c>
      <c r="H190" s="29" t="str">
        <f t="shared" si="2"/>
        <v>(400, 450]</v>
      </c>
      <c r="I190" s="110">
        <v>1</v>
      </c>
      <c r="J190" s="107" t="e">
        <v>#DIV/0!</v>
      </c>
      <c r="K190" s="107" t="e">
        <v>#DIV/0!</v>
      </c>
      <c r="L190" s="111" t="e">
        <v>#DIV/0!</v>
      </c>
      <c r="M190" s="107" t="e">
        <v>#DIV/0!</v>
      </c>
      <c r="N190" s="107" t="e">
        <v>#DIV/0!</v>
      </c>
      <c r="O190" s="114"/>
      <c r="P190" s="107" t="e">
        <v>#DIV/0!</v>
      </c>
      <c r="Q190" s="107"/>
      <c r="R190" s="107">
        <v>0</v>
      </c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0</v>
      </c>
      <c r="D191" s="143">
        <v>0</v>
      </c>
      <c r="E191" s="107" t="e">
        <v>#DIV/0!</v>
      </c>
      <c r="F191" s="109">
        <v>0</v>
      </c>
      <c r="G191" s="114">
        <v>0.01</v>
      </c>
      <c r="H191" s="29" t="str">
        <f t="shared" si="2"/>
        <v>(450, 500]</v>
      </c>
      <c r="I191" s="110">
        <v>1</v>
      </c>
      <c r="J191" s="107" t="e">
        <v>#DIV/0!</v>
      </c>
      <c r="K191" s="107" t="e">
        <v>#DIV/0!</v>
      </c>
      <c r="L191" s="111" t="e">
        <v>#DIV/0!</v>
      </c>
      <c r="M191" s="107" t="e">
        <v>#DIV/0!</v>
      </c>
      <c r="N191" s="107" t="e">
        <v>#DIV/0!</v>
      </c>
      <c r="O191" s="114"/>
      <c r="P191" s="107" t="e">
        <v>#DIV/0!</v>
      </c>
      <c r="Q191" s="107"/>
      <c r="R191" s="107">
        <v>0</v>
      </c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0</v>
      </c>
      <c r="D192" s="143">
        <v>0</v>
      </c>
      <c r="E192" s="107" t="e">
        <v>#DIV/0!</v>
      </c>
      <c r="F192" s="109">
        <v>0</v>
      </c>
      <c r="G192" s="114">
        <v>0.01</v>
      </c>
      <c r="H192" s="29" t="str">
        <f t="shared" si="2"/>
        <v>(500, 550]</v>
      </c>
      <c r="I192" s="110">
        <v>1</v>
      </c>
      <c r="J192" s="107" t="e">
        <v>#DIV/0!</v>
      </c>
      <c r="K192" s="107" t="e">
        <v>#DIV/0!</v>
      </c>
      <c r="L192" s="111" t="e">
        <v>#DIV/0!</v>
      </c>
      <c r="M192" s="107" t="e">
        <v>#DIV/0!</v>
      </c>
      <c r="N192" s="107" t="e">
        <v>#DIV/0!</v>
      </c>
      <c r="O192" s="114"/>
      <c r="P192" s="107" t="e">
        <v>#DIV/0!</v>
      </c>
      <c r="Q192" s="107"/>
      <c r="R192" s="107">
        <v>0</v>
      </c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0</v>
      </c>
      <c r="D193" s="143">
        <v>0</v>
      </c>
      <c r="E193" s="107" t="e">
        <v>#DIV/0!</v>
      </c>
      <c r="F193" s="109">
        <v>0</v>
      </c>
      <c r="G193" s="114">
        <v>0.01</v>
      </c>
      <c r="H193" s="29" t="str">
        <f t="shared" si="2"/>
        <v>(550, 600]</v>
      </c>
      <c r="I193" s="110">
        <v>1</v>
      </c>
      <c r="J193" s="107" t="e">
        <v>#DIV/0!</v>
      </c>
      <c r="K193" s="107" t="e">
        <v>#DIV/0!</v>
      </c>
      <c r="L193" s="111" t="e">
        <v>#DIV/0!</v>
      </c>
      <c r="M193" s="107" t="e">
        <v>#DIV/0!</v>
      </c>
      <c r="N193" s="107" t="e">
        <v>#DIV/0!</v>
      </c>
      <c r="O193" s="114"/>
      <c r="P193" s="107" t="e">
        <v>#DIV/0!</v>
      </c>
      <c r="Q193" s="107"/>
      <c r="R193" s="107">
        <v>0</v>
      </c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0</v>
      </c>
      <c r="D194" s="143">
        <v>0</v>
      </c>
      <c r="E194" s="107" t="e">
        <v>#DIV/0!</v>
      </c>
      <c r="F194" s="109">
        <v>0</v>
      </c>
      <c r="G194" s="114">
        <v>0.01</v>
      </c>
      <c r="H194" s="29" t="str">
        <f t="shared" si="2"/>
        <v>(600, 650]</v>
      </c>
      <c r="I194" s="110">
        <v>1</v>
      </c>
      <c r="J194" s="107" t="e">
        <v>#DIV/0!</v>
      </c>
      <c r="K194" s="107" t="e">
        <v>#DIV/0!</v>
      </c>
      <c r="L194" s="111" t="e">
        <v>#DIV/0!</v>
      </c>
      <c r="M194" s="107" t="e">
        <v>#DIV/0!</v>
      </c>
      <c r="N194" s="107" t="e">
        <v>#DIV/0!</v>
      </c>
      <c r="O194" s="114"/>
      <c r="P194" s="107" t="e">
        <v>#DIV/0!</v>
      </c>
      <c r="Q194" s="107"/>
      <c r="R194" s="107">
        <v>6.8970000000000004E-3</v>
      </c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0</v>
      </c>
      <c r="D195" s="143">
        <v>0</v>
      </c>
      <c r="E195" s="107" t="e">
        <v>#DIV/0!</v>
      </c>
      <c r="F195" s="109">
        <v>0</v>
      </c>
      <c r="G195" s="114">
        <v>0.01</v>
      </c>
      <c r="H195" s="29" t="str">
        <f t="shared" si="2"/>
        <v>(650, 700]</v>
      </c>
      <c r="I195" s="110">
        <v>1</v>
      </c>
      <c r="J195" s="107" t="e">
        <v>#DIV/0!</v>
      </c>
      <c r="K195" s="107" t="e">
        <v>#DIV/0!</v>
      </c>
      <c r="L195" s="111" t="e">
        <v>#DIV/0!</v>
      </c>
      <c r="M195" s="107" t="e">
        <v>#DIV/0!</v>
      </c>
      <c r="N195" s="107" t="e">
        <v>#DIV/0!</v>
      </c>
      <c r="O195" s="114"/>
      <c r="P195" s="107" t="e">
        <v>#DIV/0!</v>
      </c>
      <c r="Q195" s="107"/>
      <c r="R195" s="107">
        <v>0</v>
      </c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0</v>
      </c>
      <c r="D196" s="143">
        <v>0</v>
      </c>
      <c r="E196" s="107" t="e">
        <v>#DIV/0!</v>
      </c>
      <c r="F196" s="109">
        <v>0</v>
      </c>
      <c r="G196" s="114">
        <v>0.01</v>
      </c>
      <c r="H196" s="29" t="str">
        <f t="shared" si="2"/>
        <v>(700, 750]</v>
      </c>
      <c r="I196" s="110">
        <v>1</v>
      </c>
      <c r="J196" s="107" t="e">
        <v>#DIV/0!</v>
      </c>
      <c r="K196" s="107" t="e">
        <v>#DIV/0!</v>
      </c>
      <c r="L196" s="111" t="e">
        <v>#DIV/0!</v>
      </c>
      <c r="M196" s="107" t="e">
        <v>#DIV/0!</v>
      </c>
      <c r="N196" s="107" t="e">
        <v>#DIV/0!</v>
      </c>
      <c r="O196" s="114"/>
      <c r="P196" s="107" t="e">
        <v>#DIV/0!</v>
      </c>
      <c r="Q196" s="107"/>
      <c r="R196" s="107">
        <v>0</v>
      </c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0</v>
      </c>
      <c r="D197" s="143">
        <v>0</v>
      </c>
      <c r="E197" s="107" t="e">
        <v>#DIV/0!</v>
      </c>
      <c r="F197" s="109">
        <v>0</v>
      </c>
      <c r="G197" s="114">
        <v>0.01</v>
      </c>
      <c r="H197" s="29" t="str">
        <f t="shared" si="2"/>
        <v>(750, 800]</v>
      </c>
      <c r="I197" s="110">
        <v>1</v>
      </c>
      <c r="J197" s="107" t="e">
        <v>#DIV/0!</v>
      </c>
      <c r="K197" s="107" t="e">
        <v>#DIV/0!</v>
      </c>
      <c r="L197" s="111" t="e">
        <v>#DIV/0!</v>
      </c>
      <c r="M197" s="107" t="e">
        <v>#DIV/0!</v>
      </c>
      <c r="N197" s="107" t="e">
        <v>#DIV/0!</v>
      </c>
      <c r="O197" s="114"/>
      <c r="P197" s="107" t="e">
        <v>#DIV/0!</v>
      </c>
      <c r="Q197" s="107"/>
      <c r="R197" s="107">
        <v>0</v>
      </c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0</v>
      </c>
      <c r="D198" s="143">
        <v>0</v>
      </c>
      <c r="E198" s="107" t="e">
        <v>#DIV/0!</v>
      </c>
      <c r="F198" s="109">
        <v>0</v>
      </c>
      <c r="G198" s="114">
        <v>0.01</v>
      </c>
      <c r="H198" s="29" t="str">
        <f t="shared" si="2"/>
        <v>(800, 850]</v>
      </c>
      <c r="I198" s="110">
        <v>1</v>
      </c>
      <c r="J198" s="107" t="e">
        <v>#DIV/0!</v>
      </c>
      <c r="K198" s="107" t="e">
        <v>#DIV/0!</v>
      </c>
      <c r="L198" s="111" t="e">
        <v>#DIV/0!</v>
      </c>
      <c r="M198" s="107" t="e">
        <v>#DIV/0!</v>
      </c>
      <c r="N198" s="107" t="e">
        <v>#DIV/0!</v>
      </c>
      <c r="O198" s="114"/>
      <c r="P198" s="107" t="e">
        <v>#DIV/0!</v>
      </c>
      <c r="Q198" s="107"/>
      <c r="R198" s="107">
        <v>0</v>
      </c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0</v>
      </c>
      <c r="D199" s="143">
        <v>0</v>
      </c>
      <c r="E199" s="107" t="e">
        <v>#DIV/0!</v>
      </c>
      <c r="F199" s="109">
        <v>0</v>
      </c>
      <c r="G199" s="114">
        <v>0.01</v>
      </c>
      <c r="H199" s="29" t="str">
        <f t="shared" si="2"/>
        <v>(850, 900]</v>
      </c>
      <c r="I199" s="110">
        <v>1</v>
      </c>
      <c r="J199" s="107" t="e">
        <v>#DIV/0!</v>
      </c>
      <c r="K199" s="107" t="e">
        <v>#DIV/0!</v>
      </c>
      <c r="L199" s="112" t="e">
        <v>#DIV/0!</v>
      </c>
      <c r="M199" s="107" t="e">
        <v>#DIV/0!</v>
      </c>
      <c r="N199" s="107" t="e">
        <v>#DIV/0!</v>
      </c>
      <c r="O199" s="114"/>
      <c r="P199" s="107" t="e">
        <v>#DIV/0!</v>
      </c>
      <c r="Q199" s="107"/>
      <c r="R199" s="107">
        <v>0</v>
      </c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0</v>
      </c>
      <c r="D200" s="143">
        <v>0</v>
      </c>
      <c r="E200" s="107" t="e">
        <v>#DIV/0!</v>
      </c>
      <c r="F200" s="109">
        <v>0</v>
      </c>
      <c r="G200" s="114">
        <v>0.01</v>
      </c>
      <c r="H200" s="29" t="str">
        <f t="shared" si="2"/>
        <v>(900, 950]</v>
      </c>
      <c r="I200" s="110">
        <v>1</v>
      </c>
      <c r="J200" s="107" t="e">
        <v>#DIV/0!</v>
      </c>
      <c r="K200" s="107" t="e">
        <v>#DIV/0!</v>
      </c>
      <c r="L200" s="112" t="e">
        <v>#DIV/0!</v>
      </c>
      <c r="M200" s="107" t="e">
        <v>#DIV/0!</v>
      </c>
      <c r="N200" s="107" t="e">
        <v>#DIV/0!</v>
      </c>
      <c r="O200" s="114"/>
      <c r="P200" s="107" t="e">
        <v>#DIV/0!</v>
      </c>
      <c r="Q200" s="107"/>
      <c r="R200" s="107">
        <v>6.8970000000000004E-3</v>
      </c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0</v>
      </c>
      <c r="D201" s="143">
        <v>0</v>
      </c>
      <c r="E201" s="107" t="e">
        <v>#DIV/0!</v>
      </c>
      <c r="F201" s="109">
        <v>0</v>
      </c>
      <c r="G201" s="114">
        <v>0.01</v>
      </c>
      <c r="H201" s="29" t="str">
        <f t="shared" si="2"/>
        <v>(950, 1000]</v>
      </c>
      <c r="I201" s="110">
        <v>1</v>
      </c>
      <c r="J201" s="107" t="e">
        <v>#DIV/0!</v>
      </c>
      <c r="K201" s="107" t="e">
        <v>#DIV/0!</v>
      </c>
      <c r="L201" s="112" t="e">
        <v>#DIV/0!</v>
      </c>
      <c r="M201" s="107" t="e">
        <v>#DIV/0!</v>
      </c>
      <c r="N201" s="107" t="e">
        <v>#DIV/0!</v>
      </c>
      <c r="O201" s="114"/>
      <c r="P201" s="107" t="e">
        <v>#DIV/0!</v>
      </c>
      <c r="Q201" s="107"/>
      <c r="R201" s="107">
        <v>0</v>
      </c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0</v>
      </c>
      <c r="D202" s="143">
        <v>0</v>
      </c>
      <c r="E202" s="107" t="e">
        <v>#DIV/0!</v>
      </c>
      <c r="F202" s="109">
        <v>0</v>
      </c>
      <c r="G202" s="114">
        <v>0.01</v>
      </c>
      <c r="H202" s="29" t="str">
        <f t="shared" si="2"/>
        <v>(1000, 2000]</v>
      </c>
      <c r="I202" s="110">
        <v>1</v>
      </c>
      <c r="J202" s="107" t="e">
        <v>#DIV/0!</v>
      </c>
      <c r="K202" s="107" t="e">
        <v>#DIV/0!</v>
      </c>
      <c r="L202" s="112" t="e">
        <v>#DIV/0!</v>
      </c>
      <c r="M202" s="107" t="e">
        <v>#DIV/0!</v>
      </c>
      <c r="N202" s="107" t="e">
        <v>#DIV/0!</v>
      </c>
      <c r="O202" s="114"/>
      <c r="P202" s="107" t="e">
        <v>#DIV/0!</v>
      </c>
      <c r="Q202" s="107"/>
      <c r="R202" s="107">
        <v>0</v>
      </c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0</v>
      </c>
      <c r="D203" s="143">
        <v>0</v>
      </c>
      <c r="E203" s="107" t="e">
        <v>#DIV/0!</v>
      </c>
      <c r="F203" s="109">
        <v>0</v>
      </c>
      <c r="G203" s="114">
        <v>0</v>
      </c>
      <c r="H203" s="29" t="str">
        <f t="shared" si="2"/>
        <v>(2000, 3000]</v>
      </c>
      <c r="I203" s="110">
        <v>1</v>
      </c>
      <c r="J203" s="107" t="e">
        <v>#DIV/0!</v>
      </c>
      <c r="K203" s="107" t="e">
        <v>#DIV/0!</v>
      </c>
      <c r="L203" s="112" t="e">
        <v>#DIV/0!</v>
      </c>
      <c r="M203" s="107" t="e">
        <v>#DIV/0!</v>
      </c>
      <c r="N203" s="107" t="e">
        <v>#DIV/0!</v>
      </c>
      <c r="O203" s="114"/>
      <c r="P203" s="107" t="e">
        <v>#DIV/0!</v>
      </c>
      <c r="Q203" s="107"/>
      <c r="R203" s="107">
        <v>0</v>
      </c>
      <c r="S203" s="115">
        <v>0</v>
      </c>
    </row>
    <row r="204" spans="1:20" x14ac:dyDescent="0.3">
      <c r="A204" s="84">
        <v>3000</v>
      </c>
      <c r="B204" s="84">
        <v>4000</v>
      </c>
      <c r="C204" s="143">
        <v>0</v>
      </c>
      <c r="D204" s="143">
        <v>0</v>
      </c>
      <c r="E204" s="107" t="e">
        <v>#DIV/0!</v>
      </c>
      <c r="F204" s="109">
        <v>0</v>
      </c>
      <c r="G204" s="114">
        <v>0</v>
      </c>
      <c r="H204" s="29" t="str">
        <f t="shared" si="2"/>
        <v>(3000, 4000]</v>
      </c>
      <c r="I204" s="110">
        <v>1</v>
      </c>
      <c r="J204" s="107" t="e">
        <v>#DIV/0!</v>
      </c>
      <c r="K204" s="107" t="e">
        <v>#DIV/0!</v>
      </c>
      <c r="L204" s="112" t="e">
        <v>#DIV/0!</v>
      </c>
      <c r="M204" s="107" t="e">
        <v>#DIV/0!</v>
      </c>
      <c r="N204" s="107" t="e">
        <v>#DIV/0!</v>
      </c>
      <c r="O204" s="114"/>
      <c r="P204" s="107" t="e">
        <v>#DIV/0!</v>
      </c>
      <c r="Q204" s="107"/>
      <c r="R204" s="107">
        <v>0</v>
      </c>
      <c r="S204" s="115">
        <v>0</v>
      </c>
    </row>
    <row r="205" spans="1:20" x14ac:dyDescent="0.3">
      <c r="A205" s="84">
        <v>4000</v>
      </c>
      <c r="B205" s="84">
        <v>5000</v>
      </c>
      <c r="C205" s="143">
        <v>0</v>
      </c>
      <c r="D205" s="143">
        <v>0</v>
      </c>
      <c r="E205" s="107" t="e">
        <v>#DIV/0!</v>
      </c>
      <c r="F205" s="109">
        <v>0</v>
      </c>
      <c r="G205" s="114">
        <v>0.01</v>
      </c>
      <c r="H205" s="29" t="str">
        <f t="shared" si="2"/>
        <v>(4000, 5000]</v>
      </c>
      <c r="I205" s="110">
        <v>1</v>
      </c>
      <c r="J205" s="107" t="e">
        <v>#DIV/0!</v>
      </c>
      <c r="K205" s="107" t="e">
        <v>#DIV/0!</v>
      </c>
      <c r="L205" s="112" t="e">
        <v>#DIV/0!</v>
      </c>
      <c r="M205" s="107" t="e">
        <v>#DIV/0!</v>
      </c>
      <c r="N205" s="107" t="e">
        <v>#DIV/0!</v>
      </c>
      <c r="O205" s="114"/>
      <c r="P205" s="107" t="e">
        <v>#DIV/0!</v>
      </c>
      <c r="Q205" s="107"/>
      <c r="R205" s="107">
        <v>0</v>
      </c>
      <c r="S205" s="115">
        <v>0</v>
      </c>
    </row>
    <row r="206" spans="1:20" x14ac:dyDescent="0.3">
      <c r="A206" s="84">
        <v>5000</v>
      </c>
      <c r="B206" s="84">
        <v>6000</v>
      </c>
      <c r="C206" s="143">
        <v>0</v>
      </c>
      <c r="D206" s="143">
        <v>0</v>
      </c>
      <c r="E206" s="107" t="e">
        <v>#DIV/0!</v>
      </c>
      <c r="F206" s="109">
        <v>0</v>
      </c>
      <c r="G206" s="114">
        <v>0.01</v>
      </c>
      <c r="H206" s="29" t="str">
        <f t="shared" si="2"/>
        <v>(5000, 6000]</v>
      </c>
      <c r="I206" s="110">
        <v>1</v>
      </c>
      <c r="J206" s="107" t="e">
        <v>#DIV/0!</v>
      </c>
      <c r="K206" s="107" t="e">
        <v>#DIV/0!</v>
      </c>
      <c r="L206" s="112" t="e">
        <v>#DIV/0!</v>
      </c>
      <c r="M206" s="107" t="e">
        <v>#DIV/0!</v>
      </c>
      <c r="N206" s="107" t="e">
        <v>#DIV/0!</v>
      </c>
      <c r="O206" s="114"/>
      <c r="P206" s="107" t="e">
        <v>#DIV/0!</v>
      </c>
      <c r="Q206" s="107"/>
      <c r="R206" s="107">
        <v>0</v>
      </c>
      <c r="S206" s="115">
        <v>0</v>
      </c>
    </row>
    <row r="207" spans="1:20" x14ac:dyDescent="0.3">
      <c r="A207" s="84">
        <v>6000</v>
      </c>
      <c r="B207" s="84">
        <v>7000</v>
      </c>
      <c r="C207" s="143">
        <v>0</v>
      </c>
      <c r="D207" s="143">
        <v>0</v>
      </c>
      <c r="E207" s="107" t="e">
        <v>#DIV/0!</v>
      </c>
      <c r="F207" s="109">
        <v>0</v>
      </c>
      <c r="G207" s="114">
        <v>0.01</v>
      </c>
      <c r="H207" s="29" t="str">
        <f t="shared" si="2"/>
        <v>(6000, 7000]</v>
      </c>
      <c r="I207" s="110">
        <v>1</v>
      </c>
      <c r="J207" s="107" t="e">
        <v>#DIV/0!</v>
      </c>
      <c r="K207" s="107" t="e">
        <v>#DIV/0!</v>
      </c>
      <c r="L207" s="112" t="e">
        <v>#DIV/0!</v>
      </c>
      <c r="M207" s="107" t="e">
        <v>#DIV/0!</v>
      </c>
      <c r="N207" s="107" t="e">
        <v>#DIV/0!</v>
      </c>
      <c r="O207" s="114"/>
      <c r="P207" s="107" t="e">
        <v>#DIV/0!</v>
      </c>
      <c r="Q207" s="107"/>
      <c r="R207" s="107">
        <v>0</v>
      </c>
      <c r="S207" s="115">
        <v>0</v>
      </c>
    </row>
    <row r="208" spans="1:20" x14ac:dyDescent="0.3">
      <c r="A208" s="84">
        <v>7000</v>
      </c>
      <c r="B208" s="84">
        <v>8000</v>
      </c>
      <c r="C208" s="143">
        <v>0</v>
      </c>
      <c r="D208" s="143">
        <v>0</v>
      </c>
      <c r="E208" s="107" t="e">
        <v>#DIV/0!</v>
      </c>
      <c r="F208" s="109">
        <v>0</v>
      </c>
      <c r="G208" s="114">
        <v>0.01</v>
      </c>
      <c r="H208" s="29" t="str">
        <f t="shared" si="2"/>
        <v>(7000, 8000]</v>
      </c>
      <c r="I208" s="110">
        <v>1</v>
      </c>
      <c r="J208" s="107" t="e">
        <v>#DIV/0!</v>
      </c>
      <c r="K208" s="107" t="e">
        <v>#DIV/0!</v>
      </c>
      <c r="L208" s="112" t="e">
        <v>#DIV/0!</v>
      </c>
      <c r="M208" s="107" t="e">
        <v>#DIV/0!</v>
      </c>
      <c r="N208" s="107" t="e">
        <v>#DIV/0!</v>
      </c>
      <c r="O208" s="114"/>
      <c r="P208" s="107" t="e">
        <v>#DIV/0!</v>
      </c>
      <c r="Q208" s="107"/>
      <c r="R208" s="107">
        <v>0</v>
      </c>
      <c r="S208" s="115">
        <v>0</v>
      </c>
    </row>
    <row r="209" spans="1:19" x14ac:dyDescent="0.3">
      <c r="A209" s="84">
        <v>8000</v>
      </c>
      <c r="B209" s="84">
        <v>9000</v>
      </c>
      <c r="C209" s="143">
        <v>0</v>
      </c>
      <c r="D209" s="143">
        <v>0</v>
      </c>
      <c r="E209" s="107" t="e">
        <v>#DIV/0!</v>
      </c>
      <c r="F209" s="109">
        <v>0</v>
      </c>
      <c r="G209" s="114">
        <v>0.01</v>
      </c>
      <c r="H209" s="29" t="str">
        <f t="shared" si="2"/>
        <v>(8000, 9000]</v>
      </c>
      <c r="I209" s="110">
        <v>1</v>
      </c>
      <c r="J209" s="107" t="e">
        <v>#DIV/0!</v>
      </c>
      <c r="K209" s="107" t="e">
        <v>#DIV/0!</v>
      </c>
      <c r="L209" s="112" t="e">
        <v>#DIV/0!</v>
      </c>
      <c r="M209" s="107" t="e">
        <v>#DIV/0!</v>
      </c>
      <c r="N209" s="107" t="e">
        <v>#DIV/0!</v>
      </c>
      <c r="O209" s="114"/>
      <c r="P209" s="107" t="e">
        <v>#DIV/0!</v>
      </c>
      <c r="Q209" s="107"/>
      <c r="R209" s="107">
        <v>0</v>
      </c>
      <c r="S209" s="115">
        <v>0</v>
      </c>
    </row>
    <row r="210" spans="1:19" x14ac:dyDescent="0.3">
      <c r="A210" s="84">
        <v>9000</v>
      </c>
      <c r="B210" s="84">
        <v>10000</v>
      </c>
      <c r="C210" s="143">
        <v>0</v>
      </c>
      <c r="D210" s="143">
        <v>0</v>
      </c>
      <c r="E210" s="107" t="e">
        <v>#DIV/0!</v>
      </c>
      <c r="F210" s="109">
        <v>0</v>
      </c>
      <c r="G210" s="114">
        <v>0.01</v>
      </c>
      <c r="H210" s="29" t="str">
        <f t="shared" si="2"/>
        <v>(9000, 10000]</v>
      </c>
      <c r="I210" s="110">
        <v>1</v>
      </c>
      <c r="J210" s="107" t="e">
        <v>#DIV/0!</v>
      </c>
      <c r="K210" s="107" t="e">
        <v>#DIV/0!</v>
      </c>
      <c r="L210" s="112" t="e">
        <v>#DIV/0!</v>
      </c>
      <c r="M210" s="107" t="e">
        <v>#DIV/0!</v>
      </c>
      <c r="N210" s="107" t="e">
        <v>#DIV/0!</v>
      </c>
      <c r="O210" s="114"/>
      <c r="P210" s="107" t="e">
        <v>#DIV/0!</v>
      </c>
      <c r="Q210" s="107"/>
      <c r="R210" s="107">
        <v>0</v>
      </c>
      <c r="S210" s="115">
        <v>0</v>
      </c>
    </row>
    <row r="211" spans="1:19" x14ac:dyDescent="0.3">
      <c r="A211" s="84">
        <v>10000</v>
      </c>
      <c r="B211" s="84">
        <v>20000</v>
      </c>
      <c r="C211" s="143">
        <v>0</v>
      </c>
      <c r="D211" s="143">
        <v>0</v>
      </c>
      <c r="E211" s="107" t="e">
        <v>#DIV/0!</v>
      </c>
      <c r="F211" s="109">
        <v>0</v>
      </c>
      <c r="G211" s="114">
        <v>0.01</v>
      </c>
      <c r="H211" s="29" t="str">
        <f t="shared" si="2"/>
        <v>(10000, 20000]</v>
      </c>
      <c r="I211" s="110">
        <v>1</v>
      </c>
      <c r="J211" s="107" t="e">
        <v>#DIV/0!</v>
      </c>
      <c r="K211" s="107" t="e">
        <v>#DIV/0!</v>
      </c>
      <c r="L211" s="112" t="e">
        <v>#DIV/0!</v>
      </c>
      <c r="M211" s="107" t="e">
        <v>#DIV/0!</v>
      </c>
      <c r="N211" s="107" t="e">
        <v>#DIV/0!</v>
      </c>
      <c r="O211" s="114"/>
      <c r="P211" s="107" t="e">
        <v>#DIV/0!</v>
      </c>
      <c r="Q211" s="107"/>
      <c r="R211" s="107">
        <v>0</v>
      </c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 t="e">
        <v>#DIV/0!</v>
      </c>
      <c r="F212" s="109">
        <v>0</v>
      </c>
      <c r="G212" s="114">
        <v>0</v>
      </c>
      <c r="H212" s="29" t="str">
        <f t="shared" si="2"/>
        <v>(20000, 30000]</v>
      </c>
      <c r="I212" s="110">
        <v>1</v>
      </c>
      <c r="J212" s="107" t="e">
        <v>#DIV/0!</v>
      </c>
      <c r="K212" s="107" t="e">
        <v>#DIV/0!</v>
      </c>
      <c r="L212" s="112" t="e">
        <v>#DIV/0!</v>
      </c>
      <c r="M212" s="107" t="e">
        <v>#DIV/0!</v>
      </c>
      <c r="N212" s="107" t="e">
        <v>#DIV/0!</v>
      </c>
      <c r="O212" s="114"/>
      <c r="P212" s="107" t="e">
        <v>#DIV/0!</v>
      </c>
      <c r="Q212" s="107"/>
      <c r="R212" s="107">
        <v>0</v>
      </c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 t="e">
        <v>#DIV/0!</v>
      </c>
      <c r="F213" s="109">
        <v>0</v>
      </c>
      <c r="G213" s="114">
        <v>0</v>
      </c>
      <c r="H213" s="29" t="str">
        <f t="shared" si="2"/>
        <v>(30000, 40000]</v>
      </c>
      <c r="I213" s="110">
        <v>1</v>
      </c>
      <c r="J213" s="107" t="e">
        <v>#DIV/0!</v>
      </c>
      <c r="K213" s="107" t="e">
        <v>#DIV/0!</v>
      </c>
      <c r="L213" s="112" t="e">
        <v>#DIV/0!</v>
      </c>
      <c r="M213" s="107" t="e">
        <v>#DIV/0!</v>
      </c>
      <c r="N213" s="107" t="e">
        <v>#DIV/0!</v>
      </c>
      <c r="O213" s="114"/>
      <c r="P213" s="107" t="e">
        <v>#DIV/0!</v>
      </c>
      <c r="Q213" s="107"/>
      <c r="R213" s="107">
        <v>0</v>
      </c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 t="e">
        <v>#DIV/0!</v>
      </c>
      <c r="F214" s="109">
        <v>0</v>
      </c>
      <c r="G214" s="114">
        <v>0</v>
      </c>
      <c r="H214" s="29" t="str">
        <f t="shared" si="2"/>
        <v>(40000, 50000]</v>
      </c>
      <c r="I214" s="110">
        <v>1</v>
      </c>
      <c r="J214" s="107" t="e">
        <v>#DIV/0!</v>
      </c>
      <c r="K214" s="107" t="e">
        <v>#DIV/0!</v>
      </c>
      <c r="L214" s="112" t="e">
        <v>#DIV/0!</v>
      </c>
      <c r="M214" s="107" t="e">
        <v>#DIV/0!</v>
      </c>
      <c r="N214" s="107" t="e">
        <v>#DIV/0!</v>
      </c>
      <c r="O214" s="114"/>
      <c r="P214" s="107" t="e">
        <v>#DIV/0!</v>
      </c>
      <c r="Q214" s="107"/>
      <c r="R214" s="107">
        <v>0</v>
      </c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 t="e">
        <v>#DIV/0!</v>
      </c>
      <c r="F215" s="109">
        <v>0</v>
      </c>
      <c r="G215" s="114">
        <v>0</v>
      </c>
      <c r="H215" s="29" t="str">
        <f t="shared" si="2"/>
        <v>(50000, 60000]</v>
      </c>
      <c r="I215" s="110">
        <v>1</v>
      </c>
      <c r="J215" s="107" t="e">
        <v>#DIV/0!</v>
      </c>
      <c r="K215" s="107" t="e">
        <v>#DIV/0!</v>
      </c>
      <c r="L215" s="112" t="e">
        <v>#DIV/0!</v>
      </c>
      <c r="M215" s="107" t="e">
        <v>#DIV/0!</v>
      </c>
      <c r="N215" s="107" t="e">
        <v>#DIV/0!</v>
      </c>
      <c r="O215" s="114"/>
      <c r="P215" s="107" t="e">
        <v>#DIV/0!</v>
      </c>
      <c r="Q215" s="107"/>
      <c r="R215" s="107">
        <v>0</v>
      </c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 t="e">
        <v>#DIV/0!</v>
      </c>
      <c r="F216" s="109">
        <v>0</v>
      </c>
      <c r="G216" s="114">
        <v>0</v>
      </c>
      <c r="H216" s="29" t="str">
        <f t="shared" si="2"/>
        <v>(60000, 70000]</v>
      </c>
      <c r="I216" s="110">
        <v>1</v>
      </c>
      <c r="J216" s="107" t="e">
        <v>#DIV/0!</v>
      </c>
      <c r="K216" s="107" t="e">
        <v>#DIV/0!</v>
      </c>
      <c r="L216" s="112" t="e">
        <v>#DIV/0!</v>
      </c>
      <c r="M216" s="107" t="e">
        <v>#DIV/0!</v>
      </c>
      <c r="N216" s="107" t="e">
        <v>#DIV/0!</v>
      </c>
      <c r="O216" s="114"/>
      <c r="P216" s="107" t="e">
        <v>#DIV/0!</v>
      </c>
      <c r="Q216" s="107"/>
      <c r="R216" s="107">
        <v>0</v>
      </c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 t="e">
        <v>#DIV/0!</v>
      </c>
      <c r="F217" s="109">
        <v>0</v>
      </c>
      <c r="G217" s="114">
        <v>0</v>
      </c>
      <c r="H217" s="29" t="str">
        <f t="shared" si="2"/>
        <v>(70000, 80000]</v>
      </c>
      <c r="I217" s="110">
        <v>1</v>
      </c>
      <c r="J217" s="107" t="e">
        <v>#DIV/0!</v>
      </c>
      <c r="K217" s="107" t="e">
        <v>#DIV/0!</v>
      </c>
      <c r="L217" s="112" t="e">
        <v>#DIV/0!</v>
      </c>
      <c r="M217" s="107" t="e">
        <v>#DIV/0!</v>
      </c>
      <c r="N217" s="107" t="e">
        <v>#DIV/0!</v>
      </c>
      <c r="O217" s="114"/>
      <c r="P217" s="107" t="e">
        <v>#DIV/0!</v>
      </c>
      <c r="Q217" s="107"/>
      <c r="R217" s="107">
        <v>0</v>
      </c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 t="e">
        <v>#DIV/0!</v>
      </c>
      <c r="F218" s="109">
        <v>0</v>
      </c>
      <c r="G218" s="114">
        <v>0</v>
      </c>
      <c r="H218" s="29" t="str">
        <f t="shared" si="2"/>
        <v>(80000, 90000]</v>
      </c>
      <c r="I218" s="110">
        <v>1</v>
      </c>
      <c r="J218" s="107" t="e">
        <v>#DIV/0!</v>
      </c>
      <c r="K218" s="107" t="e">
        <v>#DIV/0!</v>
      </c>
      <c r="L218" s="112" t="e">
        <v>#DIV/0!</v>
      </c>
      <c r="M218" s="107" t="e">
        <v>#DIV/0!</v>
      </c>
      <c r="N218" s="107" t="e">
        <v>#DIV/0!</v>
      </c>
      <c r="O218" s="114"/>
      <c r="P218" s="107" t="e">
        <v>#DIV/0!</v>
      </c>
      <c r="Q218" s="107"/>
      <c r="R218" s="107">
        <v>0</v>
      </c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 t="e">
        <v>#DIV/0!</v>
      </c>
      <c r="F219" s="109">
        <v>0</v>
      </c>
      <c r="G219" s="114">
        <v>0</v>
      </c>
      <c r="H219" s="29" t="str">
        <f t="shared" si="2"/>
        <v>(90000, 100000]</v>
      </c>
      <c r="I219" s="110">
        <v>1</v>
      </c>
      <c r="J219" s="107" t="e">
        <v>#DIV/0!</v>
      </c>
      <c r="K219" s="107" t="e">
        <v>#DIV/0!</v>
      </c>
      <c r="L219" s="112" t="e">
        <v>#DIV/0!</v>
      </c>
      <c r="M219" s="107" t="e">
        <v>#DIV/0!</v>
      </c>
      <c r="N219" s="107" t="e">
        <v>#DIV/0!</v>
      </c>
      <c r="O219" s="114"/>
      <c r="P219" s="107" t="e">
        <v>#DIV/0!</v>
      </c>
      <c r="Q219" s="107"/>
      <c r="R219" s="107">
        <v>0</v>
      </c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 t="e">
        <v>#DIV/0!</v>
      </c>
      <c r="F220" s="109">
        <v>0</v>
      </c>
      <c r="G220" s="114">
        <v>0</v>
      </c>
      <c r="H220" s="29" t="str">
        <f t="shared" si="2"/>
        <v>(100000, 9999999]</v>
      </c>
      <c r="I220" s="110">
        <v>1</v>
      </c>
      <c r="J220" s="107" t="e">
        <v>#DIV/0!</v>
      </c>
      <c r="K220" s="107" t="e">
        <v>#DIV/0!</v>
      </c>
      <c r="L220" s="112" t="e">
        <v>#DIV/0!</v>
      </c>
      <c r="M220" s="107" t="e">
        <v>#DIV/0!</v>
      </c>
      <c r="N220" s="107" t="e">
        <v>#DIV/0!</v>
      </c>
      <c r="O220" s="114"/>
      <c r="P220" s="107" t="e">
        <v>#DIV/0!</v>
      </c>
      <c r="Q220" s="107"/>
      <c r="R220" s="107">
        <v>0</v>
      </c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90" t="s">
        <v>194</v>
      </c>
      <c r="C5" s="190" t="s">
        <v>55</v>
      </c>
      <c r="D5" s="21" t="s">
        <v>195</v>
      </c>
      <c r="E5" s="195"/>
      <c r="F5" s="65"/>
      <c r="G5" s="193" t="e">
        <f>SUM(F5:F6)/E5*$C$2</f>
        <v>#DIV/0!</v>
      </c>
      <c r="H5" s="66"/>
    </row>
    <row r="6" spans="1:8" x14ac:dyDescent="0.3">
      <c r="B6" s="189"/>
      <c r="C6" s="189"/>
      <c r="D6" s="4" t="s">
        <v>196</v>
      </c>
      <c r="E6" s="196"/>
      <c r="F6" s="67"/>
      <c r="G6" s="194"/>
      <c r="H6" s="66"/>
    </row>
    <row r="7" spans="1:8" x14ac:dyDescent="0.3">
      <c r="A7" s="26"/>
      <c r="B7" s="190" t="s">
        <v>197</v>
      </c>
      <c r="C7" s="190" t="s">
        <v>55</v>
      </c>
      <c r="D7" s="21" t="s">
        <v>195</v>
      </c>
      <c r="E7" s="195"/>
      <c r="F7" s="67"/>
      <c r="G7" s="193" t="e">
        <f>SUM(F7:F8)/E7*$C$2</f>
        <v>#DIV/0!</v>
      </c>
      <c r="H7" s="66"/>
    </row>
    <row r="8" spans="1:8" x14ac:dyDescent="0.3">
      <c r="B8" s="189"/>
      <c r="C8" s="189"/>
      <c r="D8" s="4" t="s">
        <v>196</v>
      </c>
      <c r="E8" s="196"/>
      <c r="F8" s="67"/>
      <c r="G8" s="194"/>
      <c r="H8" s="66"/>
    </row>
    <row r="9" spans="1:8" x14ac:dyDescent="0.3">
      <c r="A9" s="26"/>
      <c r="B9" s="188" t="s">
        <v>198</v>
      </c>
      <c r="C9" s="190" t="s">
        <v>91</v>
      </c>
      <c r="D9" s="21" t="s">
        <v>195</v>
      </c>
      <c r="E9" s="191">
        <f>F9</f>
        <v>0</v>
      </c>
      <c r="F9" s="67"/>
      <c r="G9" s="193" t="e">
        <f>SUM(F9:F10)/E9*$C$2</f>
        <v>#DIV/0!</v>
      </c>
      <c r="H9" s="66"/>
    </row>
    <row r="10" spans="1:8" x14ac:dyDescent="0.3">
      <c r="B10" s="189"/>
      <c r="C10" s="189"/>
      <c r="D10" s="4" t="s">
        <v>196</v>
      </c>
      <c r="E10" s="192"/>
      <c r="F10" s="67"/>
      <c r="G10" s="194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5:B6"/>
    <mergeCell ref="C5:C6"/>
    <mergeCell ref="E5:E6"/>
    <mergeCell ref="G5:G6"/>
    <mergeCell ref="B7:B8"/>
    <mergeCell ref="C7:C8"/>
    <mergeCell ref="B9:B10"/>
    <mergeCell ref="C9:C10"/>
    <mergeCell ref="E9:E10"/>
    <mergeCell ref="G9:G10"/>
    <mergeCell ref="E7:E8"/>
    <mergeCell ref="G7:G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7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7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6" t="str" cm="1">
        <f t="array" ref="A4:B29">Overview!$A$42:$B$67</f>
        <v>WW</v>
      </c>
      <c r="B4" s="146" t="str">
        <v>Wild</v>
      </c>
      <c r="C4" s="52">
        <f>COUNTIF(M$4:M$304,$A4)</f>
        <v>0</v>
      </c>
      <c r="D4" s="52">
        <f t="shared" ref="D4:I4" si="0">COUNTIF(N$4:N$304,$A4)</f>
        <v>1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6">
        <v>0</v>
      </c>
      <c r="K4" s="34"/>
      <c r="L4" s="15" cm="1">
        <f t="array" ref="L4:L203">_xlfn.SEQUENCE(200)</f>
        <v>1</v>
      </c>
      <c r="M4" s="155" t="inlineStr">
        <is>
          <t>M4</t>
        </is>
      </c>
      <c r="N4" s="155" t="inlineStr">
        <is>
          <t>TE</t>
        </is>
      </c>
      <c r="O4" s="155" t="inlineStr">
        <is>
          <t>J</t>
        </is>
      </c>
      <c r="P4" s="155" t="inlineStr">
        <is>
          <t>M4</t>
        </is>
      </c>
      <c r="Q4" s="155" t="inlineStr">
        <is>
          <t>G2</t>
        </is>
      </c>
      <c r="R4" s="155" t="inlineStr">
        <is>
          <t>M4</t>
        </is>
      </c>
      <c r="S4" s="156" t="inlineStr">
        <is>
          <t>M6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6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8">COUNTIF(M$4:M$304,$A5)</f>
        <v>0</v>
      </c>
      <c r="D5" s="10">
        <f t="shared" ref="D5:D29" si="9">COUNTIF(N$4:N$304,$A5)</f>
        <v>0</v>
      </c>
      <c r="E5" s="10">
        <f t="shared" ref="E5:E29" si="10">COUNTIF(O$4:O$304,$A5)</f>
        <v>0</v>
      </c>
      <c r="F5" s="10">
        <f t="shared" ref="F5:F29" si="11">COUNTIF(P$4:P$304,$A5)</f>
        <v>0</v>
      </c>
      <c r="G5" s="10">
        <f t="shared" ref="G5:G29" si="12">COUNTIF(Q$4:Q$304,$A5)</f>
        <v>0</v>
      </c>
      <c r="H5" s="10">
        <f t="shared" ref="H5:H29" si="13">COUNTIF(R$4:R$304,$A5)</f>
        <v>0</v>
      </c>
      <c r="I5" s="10">
        <f t="shared" ref="I5:I29" si="14">COUNTIF(S$4:S$304,$A5)</f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GQ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8"/>
        <v>2</v>
      </c>
      <c r="D6" s="152">
        <f t="shared" si="9"/>
        <v>1</v>
      </c>
      <c r="E6" s="152">
        <f t="shared" si="10"/>
        <v>1</v>
      </c>
      <c r="F6" s="152">
        <f t="shared" si="11"/>
        <v>2</v>
      </c>
      <c r="G6" s="152">
        <f t="shared" si="12"/>
        <v>2</v>
      </c>
      <c r="H6" s="152">
        <f t="shared" si="13"/>
        <v>2</v>
      </c>
      <c r="I6" s="152">
        <f t="shared" si="14"/>
        <v>2</v>
      </c>
      <c r="J6" s="150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8"/>
        <v>6</v>
      </c>
      <c r="D7" s="152">
        <f t="shared" si="9"/>
        <v>12</v>
      </c>
      <c r="E7" s="152">
        <f t="shared" si="10"/>
        <v>10</v>
      </c>
      <c r="F7" s="152">
        <f t="shared" si="11"/>
        <v>12</v>
      </c>
      <c r="G7" s="152">
        <f t="shared" si="12"/>
        <v>16</v>
      </c>
      <c r="H7" s="152">
        <f t="shared" si="13"/>
        <v>12</v>
      </c>
      <c r="I7" s="152">
        <f t="shared" si="14"/>
        <v>15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M4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8"/>
        <v>11</v>
      </c>
      <c r="D8" s="152">
        <f t="shared" si="9"/>
        <v>10</v>
      </c>
      <c r="E8" s="152">
        <f t="shared" si="10"/>
        <v>10</v>
      </c>
      <c r="F8" s="152">
        <f t="shared" si="11"/>
        <v>12</v>
      </c>
      <c r="G8" s="152">
        <f t="shared" si="12"/>
        <v>9</v>
      </c>
      <c r="H8" s="152">
        <f t="shared" si="13"/>
        <v>7</v>
      </c>
      <c r="I8" s="152">
        <f t="shared" si="14"/>
        <v>8</v>
      </c>
      <c r="J8" s="150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8"/>
        <v>10</v>
      </c>
      <c r="D9" s="152">
        <f t="shared" si="9"/>
        <v>8</v>
      </c>
      <c r="E9" s="152">
        <f t="shared" si="10"/>
        <v>16</v>
      </c>
      <c r="F9" s="152">
        <f t="shared" si="11"/>
        <v>22</v>
      </c>
      <c r="G9" s="152">
        <f t="shared" si="12"/>
        <v>11</v>
      </c>
      <c r="H9" s="152">
        <f t="shared" si="13"/>
        <v>18</v>
      </c>
      <c r="I9" s="152">
        <f t="shared" si="14"/>
        <v>22</v>
      </c>
      <c r="J9" s="150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8"/>
        <v>10</v>
      </c>
      <c r="D10" s="152">
        <f t="shared" si="9"/>
        <v>21</v>
      </c>
      <c r="E10" s="152">
        <f t="shared" si="10"/>
        <v>14</v>
      </c>
      <c r="F10" s="152">
        <f t="shared" si="11"/>
        <v>13</v>
      </c>
      <c r="G10" s="152">
        <f t="shared" si="12"/>
        <v>21</v>
      </c>
      <c r="H10" s="152">
        <f t="shared" si="13"/>
        <v>14</v>
      </c>
      <c r="I10" s="152">
        <f t="shared" si="14"/>
        <v>17</v>
      </c>
      <c r="J10" s="150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8"/>
        <v>24</v>
      </c>
      <c r="D11" s="152">
        <f t="shared" si="9"/>
        <v>6</v>
      </c>
      <c r="E11" s="152">
        <f t="shared" si="10"/>
        <v>16</v>
      </c>
      <c r="F11" s="152">
        <f t="shared" si="11"/>
        <v>20</v>
      </c>
      <c r="G11" s="152">
        <f t="shared" si="12"/>
        <v>12</v>
      </c>
      <c r="H11" s="152">
        <f t="shared" si="13"/>
        <v>22</v>
      </c>
      <c r="I11" s="152">
        <f t="shared" si="14"/>
        <v>26</v>
      </c>
      <c r="J11" s="150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132944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8"/>
        <v>11</v>
      </c>
      <c r="D12" s="10">
        <f t="shared" si="9"/>
        <v>20</v>
      </c>
      <c r="E12" s="10">
        <f t="shared" si="10"/>
        <v>12</v>
      </c>
      <c r="F12" s="10">
        <f t="shared" si="11"/>
        <v>12</v>
      </c>
      <c r="G12" s="10">
        <f t="shared" si="12"/>
        <v>22</v>
      </c>
      <c r="H12" s="10">
        <f t="shared" si="13"/>
        <v>14</v>
      </c>
      <c r="I12" s="10">
        <f t="shared" si="14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8"/>
        <v>42</v>
      </c>
      <c r="D13" s="10">
        <f t="shared" si="9"/>
        <v>6</v>
      </c>
      <c r="E13" s="10">
        <f t="shared" si="10"/>
        <v>15</v>
      </c>
      <c r="F13" s="10">
        <f t="shared" si="11"/>
        <v>18</v>
      </c>
      <c r="G13" s="10">
        <f t="shared" si="12"/>
        <v>10</v>
      </c>
      <c r="H13" s="10">
        <f t="shared" si="13"/>
        <v>23</v>
      </c>
      <c r="I13" s="10">
        <f t="shared" si="14"/>
        <v>28</v>
      </c>
      <c r="J13" s="4">
        <v>9</v>
      </c>
      <c r="L13" s="15">
        <v>10</v>
      </c>
      <c r="M13" s="155" t="inlineStr">
        <is>
          <t>A</t>
        </is>
      </c>
      <c r="N13" s="155" t="inlineStr">
        <is>
          <t>J</t>
        </is>
      </c>
      <c r="O13" s="155" t="inlineStr">
        <is>
          <t>K</t>
        </is>
      </c>
      <c r="P13" s="155" t="inlineStr">
        <is>
          <t>Q</t>
        </is>
      </c>
      <c r="Q13" s="155" t="inlineStr">
        <is>
          <t>M5</t>
        </is>
      </c>
      <c r="R13" s="155" t="inlineStr">
        <is>
          <t>M4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113791</v>
      </c>
      <c r="AN13" s="37">
        <v>60029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8"/>
        <v>11</v>
      </c>
      <c r="D14" s="10">
        <f t="shared" si="9"/>
        <v>35</v>
      </c>
      <c r="E14" s="10">
        <f t="shared" si="10"/>
        <v>19</v>
      </c>
      <c r="F14" s="10">
        <f t="shared" si="11"/>
        <v>12</v>
      </c>
      <c r="G14" s="10">
        <f t="shared" si="12"/>
        <v>26</v>
      </c>
      <c r="H14" s="10">
        <f t="shared" si="13"/>
        <v>12</v>
      </c>
      <c r="I14" s="10">
        <f t="shared" si="14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G4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160080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8"/>
        <v>38</v>
      </c>
      <c r="D15" s="10">
        <f t="shared" si="9"/>
        <v>4</v>
      </c>
      <c r="E15" s="10">
        <f t="shared" si="10"/>
        <v>20</v>
      </c>
      <c r="F15" s="10">
        <f t="shared" si="11"/>
        <v>26</v>
      </c>
      <c r="G15" s="10">
        <f t="shared" si="12"/>
        <v>11</v>
      </c>
      <c r="H15" s="10">
        <f t="shared" si="13"/>
        <v>27</v>
      </c>
      <c r="I15" s="10">
        <f t="shared" si="14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142991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8"/>
        <v>35</v>
      </c>
      <c r="D16" s="10">
        <f t="shared" si="9"/>
        <v>23</v>
      </c>
      <c r="E16" s="10">
        <f t="shared" si="10"/>
        <v>16</v>
      </c>
      <c r="F16" s="10">
        <f t="shared" si="11"/>
        <v>14</v>
      </c>
      <c r="G16" s="10">
        <f t="shared" si="12"/>
        <v>19</v>
      </c>
      <c r="H16" s="10">
        <f t="shared" si="13"/>
        <v>13</v>
      </c>
      <c r="I16" s="10">
        <f t="shared" si="14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8"/>
        <v>0</v>
      </c>
      <c r="D17" s="152">
        <f t="shared" si="9"/>
        <v>0</v>
      </c>
      <c r="E17" s="152">
        <f t="shared" si="10"/>
        <v>0</v>
      </c>
      <c r="F17" s="152">
        <f t="shared" si="11"/>
        <v>0</v>
      </c>
      <c r="G17" s="152">
        <f t="shared" si="12"/>
        <v>0</v>
      </c>
      <c r="H17" s="152">
        <f t="shared" si="13"/>
        <v>0</v>
      </c>
      <c r="I17" s="152">
        <f t="shared" si="14"/>
        <v>0</v>
      </c>
      <c r="J17" s="150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G5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7" customFormat="1" ht="15.9" customHeight="1" x14ac:dyDescent="0.3">
      <c r="A18" s="153" t="str">
        <v>G2</v>
      </c>
      <c r="B18" s="150" t="str">
        <v>Golden M2</v>
      </c>
      <c r="C18" s="152">
        <f t="shared" si="8"/>
        <v>0</v>
      </c>
      <c r="D18" s="152">
        <f t="shared" si="9"/>
        <v>4</v>
      </c>
      <c r="E18" s="152">
        <f t="shared" si="10"/>
        <v>4</v>
      </c>
      <c r="F18" s="152">
        <f t="shared" si="11"/>
        <v>3</v>
      </c>
      <c r="G18" s="152">
        <f t="shared" si="12"/>
        <v>4</v>
      </c>
      <c r="H18" s="152">
        <f t="shared" si="13"/>
        <v>3</v>
      </c>
      <c r="I18" s="152">
        <f t="shared" si="14"/>
        <v>0</v>
      </c>
      <c r="J18" s="150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1615</v>
      </c>
      <c r="AN18" s="153">
        <v>1370</v>
      </c>
      <c r="AO18" s="153">
        <v>1360</v>
      </c>
      <c r="AP18" s="153">
        <v>520</v>
      </c>
      <c r="AQ18" s="153">
        <v>390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8"/>
        <v>0</v>
      </c>
      <c r="D19" s="152">
        <f t="shared" si="9"/>
        <v>4</v>
      </c>
      <c r="E19" s="152">
        <f t="shared" si="10"/>
        <v>4</v>
      </c>
      <c r="F19" s="152">
        <f t="shared" si="11"/>
        <v>3</v>
      </c>
      <c r="G19" s="152">
        <f t="shared" si="12"/>
        <v>2</v>
      </c>
      <c r="H19" s="152">
        <f t="shared" si="13"/>
        <v>1</v>
      </c>
      <c r="I19" s="152">
        <f t="shared" si="14"/>
        <v>0</v>
      </c>
      <c r="J19" s="150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6510</v>
      </c>
      <c r="AN19" s="153">
        <v>3980</v>
      </c>
      <c r="AO19" s="153">
        <v>6130</v>
      </c>
      <c r="AP19" s="153">
        <v>250</v>
      </c>
      <c r="AQ19" s="153">
        <v>430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8"/>
        <v>0</v>
      </c>
      <c r="D20" s="152">
        <f t="shared" si="9"/>
        <v>3</v>
      </c>
      <c r="E20" s="152">
        <f t="shared" si="10"/>
        <v>6</v>
      </c>
      <c r="F20" s="152">
        <f t="shared" si="11"/>
        <v>5</v>
      </c>
      <c r="G20" s="152">
        <f t="shared" si="12"/>
        <v>3</v>
      </c>
      <c r="H20" s="152">
        <f t="shared" si="13"/>
        <v>4</v>
      </c>
      <c r="I20" s="152">
        <f t="shared" si="14"/>
        <v>0</v>
      </c>
      <c r="J20" s="150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GJ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16575</v>
      </c>
      <c r="AN20" s="153">
        <v>12905</v>
      </c>
      <c r="AO20" s="153">
        <v>15805</v>
      </c>
      <c r="AP20" s="153">
        <v>6435</v>
      </c>
      <c r="AQ20" s="153">
        <v>3135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8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G2</t>
        </is>
      </c>
      <c r="R21" s="38" t="inlineStr">
        <is>
          <t>TE</t>
        </is>
      </c>
      <c r="S21" s="24" t="inlineStr">
        <is>
          <t>Q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4245</v>
      </c>
      <c r="AN21" s="153">
        <v>16850</v>
      </c>
      <c r="AO21" s="153">
        <v>4480</v>
      </c>
      <c r="AP21" s="153">
        <v>2635</v>
      </c>
      <c r="AQ21" s="153">
        <v>1085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8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inlineStr">
        <is>
          <t>J</t>
        </is>
      </c>
      <c r="N22" s="155" t="inlineStr">
        <is>
          <t>Q</t>
        </is>
      </c>
      <c r="O22" s="155" t="inlineStr">
        <is>
          <t>GT</t>
        </is>
      </c>
      <c r="P22" s="155" t="inlineStr">
        <is>
          <t>TE</t>
        </is>
      </c>
      <c r="Q22" s="155" t="inlineStr">
        <is>
          <t>M6</t>
        </is>
      </c>
      <c r="R22" s="155" t="inlineStr">
        <is>
          <t>A</t>
        </is>
      </c>
      <c r="S22" s="156" t="inlineStr">
        <is>
          <t>M6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15960</v>
      </c>
      <c r="AN22" s="153">
        <v>3930</v>
      </c>
      <c r="AO22" s="153">
        <v>17775</v>
      </c>
      <c r="AP22" s="153">
        <v>7775</v>
      </c>
      <c r="AQ22" s="153">
        <v>4525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8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8695</v>
      </c>
      <c r="AN23" s="37">
        <v>21955</v>
      </c>
      <c r="AO23" s="37">
        <v>9270</v>
      </c>
      <c r="AP23" s="37">
        <v>3320</v>
      </c>
      <c r="AQ23" s="37">
        <v>1635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8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J</t>
        </is>
      </c>
      <c r="O24" s="38" t="inlineStr">
        <is>
          <t>A</t>
        </is>
      </c>
      <c r="P24" s="38" t="inlineStr">
        <is>
          <t>GJ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13665</v>
      </c>
      <c r="AN24" s="37">
        <v>7805</v>
      </c>
      <c r="AO24" s="37">
        <v>14480</v>
      </c>
      <c r="AP24" s="37">
        <v>9390</v>
      </c>
      <c r="AQ24" s="37">
        <v>3945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8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11020</v>
      </c>
      <c r="AN25" s="37">
        <v>20805</v>
      </c>
      <c r="AO25" s="37">
        <v>13275</v>
      </c>
      <c r="AP25" s="37">
        <v>5005</v>
      </c>
      <c r="AQ25" s="37">
        <v>2390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8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G4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17175</v>
      </c>
      <c r="AN26" s="37">
        <v>12645</v>
      </c>
      <c r="AO26" s="37">
        <v>18985</v>
      </c>
      <c r="AP26" s="37">
        <v>10325</v>
      </c>
      <c r="AQ26" s="37">
        <v>5460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8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inlineStr">
        <is>
          <t>A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14230</v>
      </c>
      <c r="AN27" s="37">
        <v>15235</v>
      </c>
      <c r="AO27" s="37">
        <v>15460</v>
      </c>
      <c r="AP27" s="37">
        <v>7210</v>
      </c>
      <c r="AQ27" s="37">
        <v>4005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8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8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7"/>
      <c r="B30" s="147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M2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M4</t>
        </is>
      </c>
      <c r="R31" s="155" t="inlineStr">
        <is>
          <t>G3</t>
        </is>
      </c>
      <c r="S31" s="156" t="inlineStr">
        <is>
          <t>Q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6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inlineStr">
        <is>
          <t>M4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M5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K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M4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A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G6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inlineStr">
        <is>
          <t>K</t>
        </is>
      </c>
      <c r="N40" s="155" t="inlineStr">
        <is>
          <t>TE</t>
        </is>
      </c>
      <c r="O40" s="155" t="inlineStr">
        <is>
          <t>M5</t>
        </is>
      </c>
      <c r="P40" s="155" t="inlineStr">
        <is>
          <t>GQ</t>
        </is>
      </c>
      <c r="Q40" s="155" t="inlineStr">
        <is>
          <t>A</t>
        </is>
      </c>
      <c r="R40" s="155" t="inlineStr">
        <is>
          <t>A</t>
        </is>
      </c>
      <c r="S40" s="156" t="inlineStr">
        <is>
          <t>A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132944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GQ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60029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160080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GQ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142991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GA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1615</v>
      </c>
      <c r="AN47" s="153">
        <v>1370</v>
      </c>
      <c r="AO47" s="153">
        <v>1360</v>
      </c>
      <c r="AP47" s="153">
        <v>520</v>
      </c>
      <c r="AQ47" s="153">
        <v>390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6510</v>
      </c>
      <c r="AN48" s="153">
        <v>3980</v>
      </c>
      <c r="AO48" s="153">
        <v>6130</v>
      </c>
      <c r="AP48" s="153">
        <v>250</v>
      </c>
      <c r="AQ48" s="153">
        <v>430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TE</t>
        </is>
      </c>
      <c r="N49" s="155" t="inlineStr">
        <is>
          <t>M2</t>
        </is>
      </c>
      <c r="O49" s="155" t="inlineStr">
        <is>
          <t>G4</t>
        </is>
      </c>
      <c r="P49" s="155" t="inlineStr">
        <is>
          <t>M4</t>
        </is>
      </c>
      <c r="Q49" s="155" t="inlineStr">
        <is>
          <t>A</t>
        </is>
      </c>
      <c r="R49" s="155" t="inlineStr">
        <is>
          <t>J</t>
        </is>
      </c>
      <c r="S49" s="156" t="inlineStr">
        <is>
          <t>J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16575</v>
      </c>
      <c r="AN49" s="153">
        <v>12905</v>
      </c>
      <c r="AO49" s="153">
        <v>15805</v>
      </c>
      <c r="AP49" s="153">
        <v>6435</v>
      </c>
      <c r="AQ49" s="153">
        <v>3135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A</t>
        </is>
      </c>
      <c r="N50" s="38" t="inlineStr">
        <is>
          <t>GA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4245</v>
      </c>
      <c r="AN50" s="153">
        <v>16850</v>
      </c>
      <c r="AO50" s="153">
        <v>4480</v>
      </c>
      <c r="AP50" s="153">
        <v>2635</v>
      </c>
      <c r="AQ50" s="153">
        <v>1085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G4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15960</v>
      </c>
      <c r="AN51" s="153">
        <v>3930</v>
      </c>
      <c r="AO51" s="153">
        <v>17775</v>
      </c>
      <c r="AP51" s="153">
        <v>7775</v>
      </c>
      <c r="AQ51" s="153">
        <v>4525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M6</t>
        </is>
      </c>
      <c r="N52" s="38" t="inlineStr">
        <is>
          <t>J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8695</v>
      </c>
      <c r="AN52" s="37">
        <v>21955</v>
      </c>
      <c r="AO52" s="37">
        <v>9270</v>
      </c>
      <c r="AP52" s="37">
        <v>3320</v>
      </c>
      <c r="AQ52" s="37">
        <v>1635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13665</v>
      </c>
      <c r="AN53" s="37">
        <v>7805</v>
      </c>
      <c r="AO53" s="37">
        <v>14480</v>
      </c>
      <c r="AP53" s="37">
        <v>9390</v>
      </c>
      <c r="AQ53" s="37">
        <v>3945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Q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11020</v>
      </c>
      <c r="AN54" s="37">
        <v>20805</v>
      </c>
      <c r="AO54" s="37">
        <v>13275</v>
      </c>
      <c r="AP54" s="37">
        <v>5005</v>
      </c>
      <c r="AQ54" s="37">
        <v>2390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17175</v>
      </c>
      <c r="AN55" s="37">
        <v>12645</v>
      </c>
      <c r="AO55" s="37">
        <v>18985</v>
      </c>
      <c r="AP55" s="37">
        <v>10325</v>
      </c>
      <c r="AQ55" s="37">
        <v>5460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14230</v>
      </c>
      <c r="AN56" s="37">
        <v>15235</v>
      </c>
      <c r="AO56" s="37">
        <v>15460</v>
      </c>
      <c r="AP56" s="37">
        <v>7210</v>
      </c>
      <c r="AQ56" s="37">
        <v>4005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GQ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M4</t>
        </is>
      </c>
      <c r="N58" s="155" t="inlineStr">
        <is>
          <t>M2</t>
        </is>
      </c>
      <c r="O58" s="155" t="inlineStr">
        <is>
          <t>M6</t>
        </is>
      </c>
      <c r="P58" s="155" t="inlineStr">
        <is>
          <t>M2</t>
        </is>
      </c>
      <c r="Q58" s="155" t="inlineStr">
        <is>
          <t>GT</t>
        </is>
      </c>
      <c r="R58" s="155" t="inlineStr">
        <is>
          <t>A</t>
        </is>
      </c>
      <c r="S58" s="156" t="inlineStr">
        <is>
          <t>M4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J</t>
        </is>
      </c>
      <c r="N59" s="38" t="inlineStr">
        <is>
          <t>M6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A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G4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GJ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M5</t>
        </is>
      </c>
      <c r="N66" s="38" t="inlineStr">
        <is>
          <t>GQ</t>
        </is>
      </c>
      <c r="O66" s="38" t="inlineStr">
        <is>
          <t>GJ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inlineStr">
        <is>
          <t>M3</t>
        </is>
      </c>
      <c r="N67" s="155" t="inlineStr">
        <is>
          <t>K</t>
        </is>
      </c>
      <c r="O67" s="155" t="inlineStr">
        <is>
          <t>J</t>
        </is>
      </c>
      <c r="P67" s="155" t="inlineStr">
        <is>
          <t>A</t>
        </is>
      </c>
      <c r="Q67" s="155" t="inlineStr">
        <is>
          <t>Q</t>
        </is>
      </c>
      <c r="R67" s="155" t="inlineStr">
        <is>
          <t>M2</t>
        </is>
      </c>
      <c r="S67" s="156" t="inlineStr">
        <is>
          <t>A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inlineStr">
        <is>
          <t>M5</t>
        </is>
      </c>
      <c r="N69" s="38" t="inlineStr">
        <is>
          <t>GA</t>
        </is>
      </c>
      <c r="O69" s="38" t="inlineStr">
        <is>
          <t>M6</t>
        </is>
      </c>
      <c r="P69" s="38" t="inlineStr">
        <is>
          <t>GA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132944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inlineStr">
        <is>
          <t>M5</t>
        </is>
      </c>
      <c r="N71" s="38" t="inlineStr">
        <is>
          <t>M4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60029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inlineStr">
        <is>
          <t>Q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91802</v>
      </c>
      <c r="AN72" s="37">
        <v>160080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142991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G4</t>
        </is>
      </c>
      <c r="P75" s="38" t="inlineStr">
        <is>
          <t>GK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M3</t>
        </is>
      </c>
      <c r="N76" s="155" t="inlineStr">
        <is>
          <t>M6</t>
        </is>
      </c>
      <c r="O76" s="155" t="inlineStr">
        <is>
          <t>M5</t>
        </is>
      </c>
      <c r="P76" s="155" t="inlineStr">
        <is>
          <t>M5</t>
        </is>
      </c>
      <c r="Q76" s="155" t="inlineStr">
        <is>
          <t>A</t>
        </is>
      </c>
      <c r="R76" s="155" t="inlineStr">
        <is>
          <t>TE</t>
        </is>
      </c>
      <c r="S76" s="156" t="inlineStr">
        <is>
          <t>J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1615</v>
      </c>
      <c r="AN76" s="153">
        <v>1370</v>
      </c>
      <c r="AO76" s="153">
        <v>1360</v>
      </c>
      <c r="AP76" s="153">
        <v>520</v>
      </c>
      <c r="AQ76" s="153">
        <v>390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6510</v>
      </c>
      <c r="AN77" s="153">
        <v>3980</v>
      </c>
      <c r="AO77" s="153">
        <v>6130</v>
      </c>
      <c r="AP77" s="153">
        <v>250</v>
      </c>
      <c r="AQ77" s="153">
        <v>430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16575</v>
      </c>
      <c r="AN78" s="153">
        <v>12905</v>
      </c>
      <c r="AO78" s="153">
        <v>15805</v>
      </c>
      <c r="AP78" s="153">
        <v>6435</v>
      </c>
      <c r="AQ78" s="153">
        <v>3135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4245</v>
      </c>
      <c r="AN79" s="153">
        <v>16850</v>
      </c>
      <c r="AO79" s="153">
        <v>4480</v>
      </c>
      <c r="AP79" s="153">
        <v>2635</v>
      </c>
      <c r="AQ79" s="153">
        <v>1085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G4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15960</v>
      </c>
      <c r="AN80" s="153">
        <v>3930</v>
      </c>
      <c r="AO80" s="153">
        <v>17775</v>
      </c>
      <c r="AP80" s="153">
        <v>7775</v>
      </c>
      <c r="AQ80" s="153">
        <v>4525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GJ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8695</v>
      </c>
      <c r="AN81" s="37">
        <v>21955</v>
      </c>
      <c r="AO81" s="37">
        <v>9270</v>
      </c>
      <c r="AP81" s="37">
        <v>3320</v>
      </c>
      <c r="AQ81" s="37">
        <v>1635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Q</t>
        </is>
      </c>
      <c r="N82" s="38" t="inlineStr">
        <is>
          <t>GK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13665</v>
      </c>
      <c r="AN82" s="37">
        <v>7805</v>
      </c>
      <c r="AO82" s="37">
        <v>14480</v>
      </c>
      <c r="AP82" s="37">
        <v>9390</v>
      </c>
      <c r="AQ82" s="37">
        <v>3945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11020</v>
      </c>
      <c r="AN83" s="37">
        <v>20805</v>
      </c>
      <c r="AO83" s="37">
        <v>13275</v>
      </c>
      <c r="AP83" s="37">
        <v>5005</v>
      </c>
      <c r="AQ83" s="37">
        <v>2390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17175</v>
      </c>
      <c r="AN84" s="37">
        <v>12645</v>
      </c>
      <c r="AO84" s="37">
        <v>18985</v>
      </c>
      <c r="AP84" s="37">
        <v>10325</v>
      </c>
      <c r="AQ84" s="37">
        <v>5460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TE</t>
        </is>
      </c>
      <c r="N85" s="155" t="inlineStr">
        <is>
          <t>GQ</t>
        </is>
      </c>
      <c r="O85" s="155" t="inlineStr">
        <is>
          <t>A</t>
        </is>
      </c>
      <c r="P85" s="155" t="inlineStr">
        <is>
          <t>M2</t>
        </is>
      </c>
      <c r="Q85" s="155" t="inlineStr">
        <is>
          <t>M6</t>
        </is>
      </c>
      <c r="R85" s="155" t="inlineStr">
        <is>
          <t>M6</t>
        </is>
      </c>
      <c r="S85" s="156" t="inlineStr">
        <is>
          <t>M4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14230</v>
      </c>
      <c r="AN85" s="37">
        <v>15235</v>
      </c>
      <c r="AO85" s="37">
        <v>15460</v>
      </c>
      <c r="AP85" s="37">
        <v>7210</v>
      </c>
      <c r="AQ85" s="37">
        <v>4005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GA</t>
        </is>
      </c>
      <c r="R86" s="38" t="inlineStr">
        <is>
          <t>J</t>
        </is>
      </c>
      <c r="S86" s="24" t="inlineStr">
        <is>
          <t>K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G6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M6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A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Q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K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GT</t>
        </is>
      </c>
      <c r="O94" s="155" t="inlineStr">
        <is>
          <t>GT</t>
        </is>
      </c>
      <c r="P94" s="155" t="inlineStr">
        <is>
          <t>G3</t>
        </is>
      </c>
      <c r="Q94" s="155" t="inlineStr">
        <is>
          <t>M5</t>
        </is>
      </c>
      <c r="R94" s="155" t="inlineStr">
        <is>
          <t>M6</t>
        </is>
      </c>
      <c r="S94" s="156" t="inlineStr">
        <is>
          <t>J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GT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132944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113791</v>
      </c>
      <c r="AN100" s="37">
        <v>60029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160080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M6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142991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inlineStr">
        <is>
          <t>Q</t>
        </is>
      </c>
      <c r="N103" s="155" t="inlineStr">
        <is>
          <t>M2</t>
        </is>
      </c>
      <c r="O103" s="155" t="inlineStr">
        <is>
          <t>TE</t>
        </is>
      </c>
      <c r="P103" s="155" t="inlineStr">
        <is>
          <t>M4</t>
        </is>
      </c>
      <c r="Q103" s="155" t="inlineStr">
        <is>
          <t>M3</t>
        </is>
      </c>
      <c r="R103" s="155" t="inlineStr">
        <is>
          <t>J</t>
        </is>
      </c>
      <c r="S103" s="156" t="inlineStr">
        <is>
          <t>J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GJ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1615</v>
      </c>
      <c r="AN105" s="153">
        <v>1370</v>
      </c>
      <c r="AO105" s="153">
        <v>1360</v>
      </c>
      <c r="AP105" s="153">
        <v>520</v>
      </c>
      <c r="AQ105" s="153">
        <v>390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6510</v>
      </c>
      <c r="AN106" s="153">
        <v>3980</v>
      </c>
      <c r="AO106" s="153">
        <v>6130</v>
      </c>
      <c r="AP106" s="153">
        <v>250</v>
      </c>
      <c r="AQ106" s="153">
        <v>430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16575</v>
      </c>
      <c r="AN107" s="153">
        <v>12905</v>
      </c>
      <c r="AO107" s="153">
        <v>15805</v>
      </c>
      <c r="AP107" s="153">
        <v>6435</v>
      </c>
      <c r="AQ107" s="153">
        <v>3135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4245</v>
      </c>
      <c r="AN108" s="153">
        <v>16850</v>
      </c>
      <c r="AO108" s="153">
        <v>4480</v>
      </c>
      <c r="AP108" s="153">
        <v>2635</v>
      </c>
      <c r="AQ108" s="153">
        <v>1085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GJ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15960</v>
      </c>
      <c r="AN109" s="153">
        <v>3930</v>
      </c>
      <c r="AO109" s="153">
        <v>17775</v>
      </c>
      <c r="AP109" s="153">
        <v>7775</v>
      </c>
      <c r="AQ109" s="153">
        <v>4525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8695</v>
      </c>
      <c r="AN110" s="37">
        <v>21955</v>
      </c>
      <c r="AO110" s="37">
        <v>9270</v>
      </c>
      <c r="AP110" s="37">
        <v>3320</v>
      </c>
      <c r="AQ110" s="37">
        <v>1635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13665</v>
      </c>
      <c r="AN111" s="37">
        <v>7805</v>
      </c>
      <c r="AO111" s="37">
        <v>14480</v>
      </c>
      <c r="AP111" s="37">
        <v>9390</v>
      </c>
      <c r="AQ111" s="37">
        <v>3945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K</t>
        </is>
      </c>
      <c r="N112" s="155" t="inlineStr">
        <is>
          <t>M5</t>
        </is>
      </c>
      <c r="O112" s="155" t="inlineStr">
        <is>
          <t>Q</t>
        </is>
      </c>
      <c r="P112" s="155" t="inlineStr">
        <is>
          <t>J</t>
        </is>
      </c>
      <c r="Q112" s="155" t="inlineStr">
        <is>
          <t>M5</t>
        </is>
      </c>
      <c r="R112" s="155" t="inlineStr">
        <is>
          <t>GK</t>
        </is>
      </c>
      <c r="S112" s="156" t="inlineStr">
        <is>
          <t>M2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11020</v>
      </c>
      <c r="AN112" s="37">
        <v>20805</v>
      </c>
      <c r="AO112" s="37">
        <v>13275</v>
      </c>
      <c r="AP112" s="37">
        <v>5005</v>
      </c>
      <c r="AQ112" s="37">
        <v>2390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G4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17175</v>
      </c>
      <c r="AN113" s="37">
        <v>12645</v>
      </c>
      <c r="AO113" s="37">
        <v>18985</v>
      </c>
      <c r="AP113" s="37">
        <v>10325</v>
      </c>
      <c r="AQ113" s="37">
        <v>5460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14230</v>
      </c>
      <c r="AN114" s="37">
        <v>15235</v>
      </c>
      <c r="AO114" s="37">
        <v>15460</v>
      </c>
      <c r="AP114" s="37">
        <v>7210</v>
      </c>
      <c r="AQ114" s="37">
        <v>4005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GT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J</t>
        </is>
      </c>
      <c r="N121" s="155" t="inlineStr">
        <is>
          <t>M5</t>
        </is>
      </c>
      <c r="O121" s="155" t="inlineStr">
        <is>
          <t>GT</t>
        </is>
      </c>
      <c r="P121" s="155" t="inlineStr">
        <is>
          <t>J</t>
        </is>
      </c>
      <c r="Q121" s="155" t="inlineStr">
        <is>
          <t>M2</t>
        </is>
      </c>
      <c r="R121" s="155" t="inlineStr">
        <is>
          <t>K</t>
        </is>
      </c>
      <c r="S121" s="156" t="inlineStr">
        <is>
          <t>M5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132944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inlineStr">
        <is>
          <t>M5</t>
        </is>
      </c>
      <c r="N128" s="38" t="inlineStr">
        <is>
          <t>K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60029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K</t>
        </is>
      </c>
      <c r="N130" s="155" t="inlineStr">
        <is>
          <t>J</t>
        </is>
      </c>
      <c r="O130" s="155" t="inlineStr">
        <is>
          <t>M2</t>
        </is>
      </c>
      <c r="P130" s="155" t="inlineStr">
        <is>
          <t>GA</t>
        </is>
      </c>
      <c r="Q130" s="155" t="inlineStr">
        <is>
          <t>A</t>
        </is>
      </c>
      <c r="R130" s="155" t="inlineStr">
        <is>
          <t>Q</t>
        </is>
      </c>
      <c r="S130" s="156" t="inlineStr">
        <is>
          <t>K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91802</v>
      </c>
      <c r="AN130" s="37">
        <v>160080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M6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142991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G4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G4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1615</v>
      </c>
      <c r="AN134" s="153">
        <v>1370</v>
      </c>
      <c r="AO134" s="153">
        <v>1360</v>
      </c>
      <c r="AP134" s="153">
        <v>520</v>
      </c>
      <c r="AQ134" s="153">
        <v>390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6510</v>
      </c>
      <c r="AN135" s="153">
        <v>3980</v>
      </c>
      <c r="AO135" s="153">
        <v>6130</v>
      </c>
      <c r="AP135" s="153">
        <v>250</v>
      </c>
      <c r="AQ135" s="153">
        <v>430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16575</v>
      </c>
      <c r="AN136" s="153">
        <v>12905</v>
      </c>
      <c r="AO136" s="153">
        <v>15805</v>
      </c>
      <c r="AP136" s="153">
        <v>6435</v>
      </c>
      <c r="AQ136" s="153">
        <v>3135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4245</v>
      </c>
      <c r="AN137" s="153">
        <v>16850</v>
      </c>
      <c r="AO137" s="153">
        <v>4480</v>
      </c>
      <c r="AP137" s="153">
        <v>2635</v>
      </c>
      <c r="AQ137" s="153">
        <v>1085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15960</v>
      </c>
      <c r="AN138" s="153">
        <v>3930</v>
      </c>
      <c r="AO138" s="153">
        <v>17775</v>
      </c>
      <c r="AP138" s="153">
        <v>7775</v>
      </c>
      <c r="AQ138" s="153">
        <v>4525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TE</t>
        </is>
      </c>
      <c r="N139" s="155" t="inlineStr">
        <is>
          <t>GT</t>
        </is>
      </c>
      <c r="O139" s="155" t="inlineStr">
        <is>
          <t>Q</t>
        </is>
      </c>
      <c r="P139" s="155" t="inlineStr">
        <is>
          <t>GQ</t>
        </is>
      </c>
      <c r="Q139" s="155" t="inlineStr">
        <is>
          <t>Q</t>
        </is>
      </c>
      <c r="R139" s="155" t="inlineStr">
        <is>
          <t>M6</t>
        </is>
      </c>
      <c r="S139" s="156" t="inlineStr">
        <is>
          <t>M6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8695</v>
      </c>
      <c r="AN139" s="37">
        <v>21955</v>
      </c>
      <c r="AO139" s="37">
        <v>9270</v>
      </c>
      <c r="AP139" s="37">
        <v>3320</v>
      </c>
      <c r="AQ139" s="37">
        <v>1635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A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13665</v>
      </c>
      <c r="AN140" s="37">
        <v>7805</v>
      </c>
      <c r="AO140" s="37">
        <v>14480</v>
      </c>
      <c r="AP140" s="37">
        <v>9390</v>
      </c>
      <c r="AQ140" s="37">
        <v>3945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GJ</t>
        </is>
      </c>
      <c r="R141" s="38" t="inlineStr">
        <is>
          <t>G6</t>
        </is>
      </c>
      <c r="S141" s="24" t="inlineStr">
        <is>
          <t>J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11020</v>
      </c>
      <c r="AN141" s="37">
        <v>20805</v>
      </c>
      <c r="AO141" s="37">
        <v>13275</v>
      </c>
      <c r="AP141" s="37">
        <v>5005</v>
      </c>
      <c r="AQ141" s="37">
        <v>2390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17175</v>
      </c>
      <c r="AN142" s="37">
        <v>12645</v>
      </c>
      <c r="AO142" s="37">
        <v>18985</v>
      </c>
      <c r="AP142" s="37">
        <v>10325</v>
      </c>
      <c r="AQ142" s="37">
        <v>5460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14230</v>
      </c>
      <c r="AN143" s="37">
        <v>15235</v>
      </c>
      <c r="AO143" s="37">
        <v>15460</v>
      </c>
      <c r="AP143" s="37">
        <v>7210</v>
      </c>
      <c r="AQ143" s="37">
        <v>4005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M6</t>
        </is>
      </c>
      <c r="N148" s="155" t="inlineStr">
        <is>
          <t>TE</t>
        </is>
      </c>
      <c r="O148" s="155" t="inlineStr">
        <is>
          <t>M3</t>
        </is>
      </c>
      <c r="P148" s="155" t="inlineStr">
        <is>
          <t>M5</t>
        </is>
      </c>
      <c r="Q148" s="155" t="inlineStr">
        <is>
          <t>M5</t>
        </is>
      </c>
      <c r="R148" s="155" t="inlineStr">
        <is>
          <t>Q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GK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A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J</t>
        </is>
      </c>
      <c r="O153" s="38" t="inlineStr">
        <is>
          <t>GJ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M4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Q</t>
        </is>
      </c>
      <c r="N157" s="155" t="inlineStr">
        <is>
          <t>G5</t>
        </is>
      </c>
      <c r="O157" s="155" t="inlineStr">
        <is>
          <t>GJ</t>
        </is>
      </c>
      <c r="P157" s="155" t="inlineStr">
        <is>
          <t>M6</t>
        </is>
      </c>
      <c r="Q157" s="155" t="inlineStr">
        <is>
          <t>M5</t>
        </is>
      </c>
      <c r="R157" s="155" t="inlineStr">
        <is>
          <t>GT</t>
        </is>
      </c>
      <c r="S157" s="156" t="inlineStr">
        <is>
          <t>J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M6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GK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GJ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GT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A</t>
        </is>
      </c>
      <c r="O166" s="155" t="inlineStr">
        <is>
          <t>A</t>
        </is>
      </c>
      <c r="P166" s="155" t="inlineStr">
        <is>
          <t>A</t>
        </is>
      </c>
      <c r="Q166" s="155" t="inlineStr">
        <is>
          <t>K</t>
        </is>
      </c>
      <c r="R166" s="155" t="inlineStr">
        <is>
          <t>Q</t>
        </is>
      </c>
      <c r="S166" s="156" t="inlineStr">
        <is>
          <t>J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G5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G6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J</t>
        </is>
      </c>
      <c r="O175" s="155" t="inlineStr">
        <is>
          <t>M5</t>
        </is>
      </c>
      <c r="P175" s="155" t="inlineStr">
        <is>
          <t>G2</t>
        </is>
      </c>
      <c r="Q175" s="155" t="inlineStr">
        <is>
          <t>J</t>
        </is>
      </c>
      <c r="R175" s="155" t="inlineStr">
        <is>
          <t>K</t>
        </is>
      </c>
      <c r="S175" s="156" t="inlineStr">
        <is>
          <t>M6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G4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G4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G3</t>
        </is>
      </c>
      <c r="R178" s="38" t="inlineStr">
        <is>
          <t>M4</t>
        </is>
      </c>
      <c r="S178" s="24" t="inlineStr">
        <is>
          <t>M6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G6</t>
        </is>
      </c>
      <c r="P179" s="38" t="inlineStr">
        <is>
          <t>GJ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K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GJ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M6</t>
        </is>
      </c>
      <c r="O184" s="155" t="inlineStr">
        <is>
          <t>TE</t>
        </is>
      </c>
      <c r="P184" s="155" t="inlineStr">
        <is>
          <t>M6</t>
        </is>
      </c>
      <c r="Q184" s="155" t="inlineStr">
        <is>
          <t>GA</t>
        </is>
      </c>
      <c r="R184" s="155" t="inlineStr">
        <is>
          <t>J</t>
        </is>
      </c>
      <c r="S184" s="156" t="inlineStr">
        <is>
          <t>J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TE</t>
        </is>
      </c>
      <c r="N193" s="155" t="inlineStr">
        <is>
          <t>J</t>
        </is>
      </c>
      <c r="O193" s="155" t="inlineStr">
        <is>
          <t>G6</t>
        </is>
      </c>
      <c r="P193" s="155" t="inlineStr">
        <is>
          <t>K</t>
        </is>
      </c>
      <c r="Q193" s="155" t="inlineStr">
        <is>
          <t>M6</t>
        </is>
      </c>
      <c r="R193" s="155" t="inlineStr">
        <is>
          <t>M6</t>
        </is>
      </c>
      <c r="S193" s="156" t="inlineStr">
        <is>
          <t>A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GT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K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GJ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K</t>
        </is>
      </c>
      <c r="N202" s="155" t="inlineStr">
        <is>
          <t>Q</t>
        </is>
      </c>
      <c r="O202" s="155" t="inlineStr">
        <is>
          <t>GJ</t>
        </is>
      </c>
      <c r="P202" s="155" t="inlineStr">
        <is>
          <t>M3</t>
        </is>
      </c>
      <c r="Q202" s="155" t="inlineStr">
        <is>
          <t>G4</t>
        </is>
      </c>
      <c r="R202" s="155" t="inlineStr">
        <is>
          <t>K</t>
        </is>
      </c>
      <c r="S202" s="156" t="inlineStr">
        <is>
          <t>M2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7"/>
      <c r="W304" s="147"/>
      <c r="X304" s="147"/>
      <c r="Y304" s="147"/>
      <c r="Z304" s="147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J</t>
        </is>
      </c>
      <c r="O4" s="155" t="inlineStr">
        <is>
          <t>TE</t>
        </is>
      </c>
      <c r="P4" s="155" t="inlineStr">
        <is>
          <t>M6</t>
        </is>
      </c>
      <c r="Q4" s="155" t="inlineStr">
        <is>
          <t>M6</t>
        </is>
      </c>
      <c r="R4" s="155" t="inlineStr">
        <is>
          <t>A</t>
        </is>
      </c>
      <c r="S4" s="156" t="inlineStr">
        <is>
          <t>J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M5</t>
        </is>
      </c>
      <c r="N5" s="38" t="inlineStr">
        <is>
          <t>GK</t>
        </is>
      </c>
      <c r="O5" s="38" t="inlineStr">
        <is>
          <t>GJ</t>
        </is>
      </c>
      <c r="P5" s="38" t="inlineStr">
        <is>
          <t>J</t>
        </is>
      </c>
      <c r="Q5" s="38" t="inlineStr">
        <is>
          <t>A</t>
        </is>
      </c>
      <c r="R5" s="38" t="inlineStr">
        <is>
          <t>M3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8</v>
      </c>
      <c r="D6" s="152">
        <f t="shared" si="1"/>
        <v>4</v>
      </c>
      <c r="E6" s="152">
        <f t="shared" si="1"/>
        <v>4</v>
      </c>
      <c r="F6" s="152">
        <f t="shared" si="1"/>
        <v>8</v>
      </c>
      <c r="G6" s="152">
        <f t="shared" si="1"/>
        <v>8</v>
      </c>
      <c r="H6" s="152">
        <f t="shared" si="1"/>
        <v>8</v>
      </c>
      <c r="I6" s="152">
        <f t="shared" si="1"/>
        <v>8</v>
      </c>
      <c r="J6" s="150">
        <v>2</v>
      </c>
      <c r="L6" s="15">
        <v>3</v>
      </c>
      <c r="M6" s="38" t="inlineStr">
        <is>
          <t>A</t>
        </is>
      </c>
      <c r="N6" s="38" t="inlineStr">
        <is>
          <t>M4</t>
        </is>
      </c>
      <c r="O6" s="38" t="inlineStr">
        <is>
          <t>M4</t>
        </is>
      </c>
      <c r="P6" s="38" t="inlineStr">
        <is>
          <t>G3</t>
        </is>
      </c>
      <c r="Q6" s="38" t="inlineStr">
        <is>
          <t>GA</t>
        </is>
      </c>
      <c r="R6" s="38" t="inlineStr">
        <is>
          <t>M1</t>
        </is>
      </c>
      <c r="S6" s="24" t="inlineStr">
        <is>
          <t>TE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11391</v>
      </c>
      <c r="AM6" s="153">
        <v>12027</v>
      </c>
      <c r="AN6" s="153">
        <v>11031</v>
      </c>
      <c r="AO6" s="153">
        <v>15810</v>
      </c>
      <c r="AP6" s="153">
        <v>7833</v>
      </c>
      <c r="AQ6" s="153">
        <v>9189</v>
      </c>
      <c r="AR6" s="153">
        <v>9189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15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inlineStr">
        <is>
          <t>Q</t>
        </is>
      </c>
      <c r="N7" s="38" t="inlineStr">
        <is>
          <t>GQ</t>
        </is>
      </c>
      <c r="O7" s="38" t="inlineStr">
        <is>
          <t>K</t>
        </is>
      </c>
      <c r="P7" s="38" t="inlineStr">
        <is>
          <t>M2</t>
        </is>
      </c>
      <c r="Q7" s="38" t="inlineStr">
        <is>
          <t>G6</t>
        </is>
      </c>
      <c r="R7" s="38" t="inlineStr">
        <is>
          <t>TE</t>
        </is>
      </c>
      <c r="S7" s="24" t="inlineStr">
        <is>
          <t>J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13474</v>
      </c>
      <c r="AN7" s="153">
        <v>10544</v>
      </c>
      <c r="AO7" s="153">
        <v>10471</v>
      </c>
      <c r="AP7" s="153">
        <v>9160</v>
      </c>
      <c r="AQ7" s="153">
        <v>13747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inlineStr">
        <is>
          <t>M2</t>
        </is>
      </c>
      <c r="N8" s="38" t="inlineStr">
        <is>
          <t>M5</t>
        </is>
      </c>
      <c r="O8" s="38" t="inlineStr">
        <is>
          <t>M5</t>
        </is>
      </c>
      <c r="P8" s="38" t="inlineStr">
        <is>
          <t>A</t>
        </is>
      </c>
      <c r="Q8" s="38" t="inlineStr">
        <is>
          <t>Q</t>
        </is>
      </c>
      <c r="R8" s="38" t="inlineStr">
        <is>
          <t>GJ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54194</v>
      </c>
      <c r="AN8" s="153">
        <v>30603</v>
      </c>
      <c r="AO8" s="153">
        <v>47195</v>
      </c>
      <c r="AP8" s="153">
        <v>4381</v>
      </c>
      <c r="AQ8" s="153">
        <v>15274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15</v>
      </c>
      <c r="F9" s="152">
        <f t="shared" si="1"/>
        <v>21</v>
      </c>
      <c r="G9" s="152">
        <f t="shared" si="1"/>
        <v>11</v>
      </c>
      <c r="H9" s="152">
        <f t="shared" si="1"/>
        <v>17</v>
      </c>
      <c r="I9" s="152">
        <f t="shared" si="1"/>
        <v>21</v>
      </c>
      <c r="J9" s="150">
        <v>5</v>
      </c>
      <c r="L9" s="14">
        <v>6</v>
      </c>
      <c r="M9" s="38" t="inlineStr">
        <is>
          <t>M4</t>
        </is>
      </c>
      <c r="N9" s="38" t="inlineStr">
        <is>
          <t>GQ</t>
        </is>
      </c>
      <c r="O9" s="38" t="inlineStr">
        <is>
          <t>M3</t>
        </is>
      </c>
      <c r="P9" s="38" t="inlineStr">
        <is>
          <t>TE</t>
        </is>
      </c>
      <c r="Q9" s="38" t="inlineStr">
        <is>
          <t>J</t>
        </is>
      </c>
      <c r="R9" s="38" t="inlineStr">
        <is>
          <t>J</t>
        </is>
      </c>
      <c r="S9" s="24" t="inlineStr">
        <is>
          <t>TE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137998</v>
      </c>
      <c r="AN9" s="153">
        <v>99272</v>
      </c>
      <c r="AO9" s="153">
        <v>121675</v>
      </c>
      <c r="AP9" s="153">
        <v>112704</v>
      </c>
      <c r="AQ9" s="153">
        <v>110481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20</v>
      </c>
      <c r="E10" s="152">
        <f t="shared" si="1"/>
        <v>14</v>
      </c>
      <c r="F10" s="152">
        <f t="shared" si="1"/>
        <v>12</v>
      </c>
      <c r="G10" s="152">
        <f t="shared" si="1"/>
        <v>20</v>
      </c>
      <c r="H10" s="152">
        <f t="shared" si="1"/>
        <v>13</v>
      </c>
      <c r="I10" s="152">
        <f t="shared" si="1"/>
        <v>16</v>
      </c>
      <c r="J10" s="150">
        <v>6</v>
      </c>
      <c r="L10" s="15">
        <v>7</v>
      </c>
      <c r="M10" s="38" t="inlineStr">
        <is>
          <t>A</t>
        </is>
      </c>
      <c r="N10" s="38" t="inlineStr">
        <is>
          <t>M6</t>
        </is>
      </c>
      <c r="O10" s="38" t="inlineStr">
        <is>
          <t>GJ</t>
        </is>
      </c>
      <c r="P10" s="38" t="inlineStr">
        <is>
          <t>GT</t>
        </is>
      </c>
      <c r="Q10" s="38" t="inlineStr">
        <is>
          <t>M2</t>
        </is>
      </c>
      <c r="R10" s="38" t="inlineStr">
        <is>
          <t>M6</t>
        </is>
      </c>
      <c r="S10" s="24" t="inlineStr">
        <is>
          <t>K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35342</v>
      </c>
      <c r="AN10" s="153">
        <v>129605</v>
      </c>
      <c r="AO10" s="153">
        <v>34510</v>
      </c>
      <c r="AP10" s="153">
        <v>46196</v>
      </c>
      <c r="AQ10" s="153">
        <v>38185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23</v>
      </c>
      <c r="D11" s="152">
        <f t="shared" si="1"/>
        <v>6</v>
      </c>
      <c r="E11" s="152">
        <f t="shared" si="1"/>
        <v>16</v>
      </c>
      <c r="F11" s="152">
        <f t="shared" si="1"/>
        <v>19</v>
      </c>
      <c r="G11" s="152">
        <f t="shared" si="1"/>
        <v>11</v>
      </c>
      <c r="H11" s="152">
        <f t="shared" si="1"/>
        <v>21</v>
      </c>
      <c r="I11" s="152">
        <f t="shared" si="1"/>
        <v>25</v>
      </c>
      <c r="J11" s="150">
        <v>7</v>
      </c>
      <c r="L11" s="14">
        <v>8</v>
      </c>
      <c r="M11" s="38" t="inlineStr">
        <is>
          <t>K</t>
        </is>
      </c>
      <c r="N11" s="38" t="inlineStr">
        <is>
          <t>GA</t>
        </is>
      </c>
      <c r="O11" s="38" t="inlineStr">
        <is>
          <t>M2</t>
        </is>
      </c>
      <c r="P11" s="38" t="inlineStr">
        <is>
          <t>M4</t>
        </is>
      </c>
      <c r="Q11" s="38" t="inlineStr">
        <is>
          <t>M5</t>
        </is>
      </c>
      <c r="R11" s="38" t="inlineStr">
        <is>
          <t>M4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132916</v>
      </c>
      <c r="AN11" s="153">
        <v>30226</v>
      </c>
      <c r="AO11" s="153">
        <v>136866</v>
      </c>
      <c r="AP11" s="153">
        <v>136202</v>
      </c>
      <c r="AQ11" s="153">
        <v>159356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10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21</v>
      </c>
      <c r="H12" s="10">
        <f t="shared" si="1"/>
        <v>13</v>
      </c>
      <c r="I12" s="10">
        <f t="shared" si="1"/>
        <v>16</v>
      </c>
      <c r="J12" s="4">
        <v>8</v>
      </c>
      <c r="L12" s="15">
        <v>9</v>
      </c>
      <c r="M12" s="38" t="inlineStr">
        <is>
          <t>K</t>
        </is>
      </c>
      <c r="N12" s="38" t="inlineStr">
        <is>
          <t>A</t>
        </is>
      </c>
      <c r="O12" s="38" t="inlineStr">
        <is>
          <t>G4</t>
        </is>
      </c>
      <c r="P12" s="38" t="inlineStr">
        <is>
          <t>J</t>
        </is>
      </c>
      <c r="Q12" s="38" t="inlineStr">
        <is>
          <t>TE</t>
        </is>
      </c>
      <c r="R12" s="38" t="inlineStr">
        <is>
          <t>M4</t>
        </is>
      </c>
      <c r="S12" s="24" t="inlineStr">
        <is>
          <t>Q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72398</v>
      </c>
      <c r="AN12" s="37">
        <v>168860</v>
      </c>
      <c r="AO12" s="37">
        <v>71382</v>
      </c>
      <c r="AP12" s="37">
        <v>58144</v>
      </c>
      <c r="AQ12" s="37">
        <v>57531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41</v>
      </c>
      <c r="D13" s="10">
        <f t="shared" si="1"/>
        <v>6</v>
      </c>
      <c r="E13" s="10">
        <f t="shared" si="1"/>
        <v>15</v>
      </c>
      <c r="F13" s="10">
        <f t="shared" si="1"/>
        <v>17</v>
      </c>
      <c r="G13" s="10">
        <f t="shared" si="1"/>
        <v>10</v>
      </c>
      <c r="H13" s="10">
        <f t="shared" si="1"/>
        <v>22</v>
      </c>
      <c r="I13" s="10">
        <f t="shared" si="1"/>
        <v>27</v>
      </c>
      <c r="J13" s="4">
        <v>9</v>
      </c>
      <c r="L13" s="15">
        <v>10</v>
      </c>
      <c r="M13" s="155" t="inlineStr">
        <is>
          <t>TE</t>
        </is>
      </c>
      <c r="N13" s="155" t="inlineStr">
        <is>
          <t>M5</t>
        </is>
      </c>
      <c r="O13" s="155" t="inlineStr">
        <is>
          <t>GA</t>
        </is>
      </c>
      <c r="P13" s="155" t="inlineStr">
        <is>
          <t>K</t>
        </is>
      </c>
      <c r="Q13" s="155" t="inlineStr">
        <is>
          <t>A</t>
        </is>
      </c>
      <c r="R13" s="155" t="inlineStr">
        <is>
          <t>J</t>
        </is>
      </c>
      <c r="S13" s="156" t="inlineStr">
        <is>
          <t>M4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113768</v>
      </c>
      <c r="AN13" s="37">
        <v>60017</v>
      </c>
      <c r="AO13" s="37">
        <v>111498</v>
      </c>
      <c r="AP13" s="37">
        <v>164479</v>
      </c>
      <c r="AQ13" s="37">
        <v>138992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10</v>
      </c>
      <c r="D14" s="10">
        <f t="shared" si="1"/>
        <v>35</v>
      </c>
      <c r="E14" s="10">
        <f t="shared" si="1"/>
        <v>18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inlineStr">
        <is>
          <t>J</t>
        </is>
      </c>
      <c r="N14" s="38" t="inlineStr">
        <is>
          <t>J</t>
        </is>
      </c>
      <c r="O14" s="38" t="inlineStr">
        <is>
          <t>J</t>
        </is>
      </c>
      <c r="P14" s="38" t="inlineStr">
        <is>
          <t>Q</t>
        </is>
      </c>
      <c r="Q14" s="38" t="inlineStr">
        <is>
          <t>M3</t>
        </is>
      </c>
      <c r="R14" s="38" t="inlineStr">
        <is>
          <t>K</t>
        </is>
      </c>
      <c r="S14" s="24" t="inlineStr">
        <is>
          <t>TE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91784</v>
      </c>
      <c r="AN14" s="37">
        <v>160047</v>
      </c>
      <c r="AO14" s="37">
        <v>102207</v>
      </c>
      <c r="AP14" s="37">
        <v>87615</v>
      </c>
      <c r="AQ14" s="37">
        <v>84007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37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32</v>
      </c>
      <c r="J15" s="4">
        <v>11</v>
      </c>
      <c r="L15" s="15">
        <v>12</v>
      </c>
      <c r="M15" s="38" t="inlineStr">
        <is>
          <t>K</t>
        </is>
      </c>
      <c r="N15" s="38" t="inlineStr">
        <is>
          <t>A</t>
        </is>
      </c>
      <c r="O15" s="38" t="inlineStr">
        <is>
          <t>M6</t>
        </is>
      </c>
      <c r="P15" s="38" t="inlineStr">
        <is>
          <t>M4</t>
        </is>
      </c>
      <c r="Q15" s="38" t="inlineStr">
        <is>
          <t>G6</t>
        </is>
      </c>
      <c r="R15" s="38" t="inlineStr">
        <is>
          <t>K</t>
        </is>
      </c>
      <c r="S15" s="24" t="inlineStr">
        <is>
          <t>J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142963</v>
      </c>
      <c r="AN15" s="37">
        <v>97272</v>
      </c>
      <c r="AO15" s="37">
        <v>146156</v>
      </c>
      <c r="AP15" s="37">
        <v>180806</v>
      </c>
      <c r="AQ15" s="37">
        <v>192451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34</v>
      </c>
      <c r="D16" s="10">
        <f t="shared" si="1"/>
        <v>22</v>
      </c>
      <c r="E16" s="10">
        <f t="shared" si="1"/>
        <v>16</v>
      </c>
      <c r="F16" s="10">
        <f t="shared" si="1"/>
        <v>13</v>
      </c>
      <c r="G16" s="10">
        <f t="shared" si="1"/>
        <v>18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inlineStr">
        <is>
          <t>TE</t>
        </is>
      </c>
      <c r="N16" s="38" t="inlineStr">
        <is>
          <t>GQ</t>
        </is>
      </c>
      <c r="O16" s="38" t="inlineStr">
        <is>
          <t>Q</t>
        </is>
      </c>
      <c r="P16" s="38" t="inlineStr">
        <is>
          <t>TE</t>
        </is>
      </c>
      <c r="Q16" s="38" t="inlineStr">
        <is>
          <t>M4</t>
        </is>
      </c>
      <c r="R16" s="38" t="inlineStr">
        <is>
          <t>G5</t>
        </is>
      </c>
      <c r="S16" s="24" t="inlineStr">
        <is>
          <t>M6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118495</v>
      </c>
      <c r="AN16" s="37">
        <v>117170</v>
      </c>
      <c r="AO16" s="37">
        <v>119021</v>
      </c>
      <c r="AP16" s="37">
        <v>126245</v>
      </c>
      <c r="AQ16" s="37">
        <v>141028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K</t>
        </is>
      </c>
      <c r="N17" s="38" t="inlineStr">
        <is>
          <t>A</t>
        </is>
      </c>
      <c r="O17" s="38" t="inlineStr">
        <is>
          <t>GT</t>
        </is>
      </c>
      <c r="P17" s="38" t="inlineStr">
        <is>
          <t>G5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K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TE</t>
        </is>
      </c>
      <c r="N18" s="38" t="inlineStr">
        <is>
          <t>M4</t>
        </is>
      </c>
      <c r="O18" s="38" t="inlineStr">
        <is>
          <t>M5</t>
        </is>
      </c>
      <c r="P18" s="38" t="inlineStr">
        <is>
          <t>M4</t>
        </is>
      </c>
      <c r="Q18" s="38" t="inlineStr">
        <is>
          <t>M1</t>
        </is>
      </c>
      <c r="R18" s="38" t="inlineStr">
        <is>
          <t>J</t>
        </is>
      </c>
      <c r="S18" s="24" t="inlineStr">
        <is>
          <t>M4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1635</v>
      </c>
      <c r="AN18" s="153">
        <v>1380</v>
      </c>
      <c r="AO18" s="153">
        <v>1375</v>
      </c>
      <c r="AP18" s="153">
        <v>525</v>
      </c>
      <c r="AQ18" s="153">
        <v>395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J</t>
        </is>
      </c>
      <c r="N19" s="38" t="inlineStr">
        <is>
          <t>K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M1</t>
        </is>
      </c>
      <c r="R19" s="38" t="inlineStr">
        <is>
          <t>M6</t>
        </is>
      </c>
      <c r="S19" s="24" t="inlineStr">
        <is>
          <t>M6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6565</v>
      </c>
      <c r="AN19" s="153">
        <v>4015</v>
      </c>
      <c r="AO19" s="153">
        <v>6200</v>
      </c>
      <c r="AP19" s="153">
        <v>250</v>
      </c>
      <c r="AQ19" s="153">
        <v>435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TE</t>
        </is>
      </c>
      <c r="N20" s="38" t="inlineStr">
        <is>
          <t>GA</t>
        </is>
      </c>
      <c r="O20" s="38" t="inlineStr">
        <is>
          <t>TE</t>
        </is>
      </c>
      <c r="P20" s="38" t="inlineStr">
        <is>
          <t>A</t>
        </is>
      </c>
      <c r="Q20" s="38" t="inlineStr">
        <is>
          <t>G5</t>
        </is>
      </c>
      <c r="R20" s="38" t="inlineStr">
        <is>
          <t>Q</t>
        </is>
      </c>
      <c r="S20" s="24" t="inlineStr">
        <is>
          <t>M2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16720</v>
      </c>
      <c r="AN20" s="153">
        <v>13010</v>
      </c>
      <c r="AO20" s="153">
        <v>15985</v>
      </c>
      <c r="AP20" s="153">
        <v>6470</v>
      </c>
      <c r="AQ20" s="153">
        <v>3155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inlineStr">
        <is>
          <t>A</t>
        </is>
      </c>
      <c r="N21" s="38" t="inlineStr">
        <is>
          <t>TE</t>
        </is>
      </c>
      <c r="O21" s="38" t="inlineStr">
        <is>
          <t>G2</t>
        </is>
      </c>
      <c r="P21" s="38" t="inlineStr">
        <is>
          <t>M2</t>
        </is>
      </c>
      <c r="Q21" s="38" t="inlineStr">
        <is>
          <t>A</t>
        </is>
      </c>
      <c r="R21" s="38" t="inlineStr">
        <is>
          <t>M4</t>
        </is>
      </c>
      <c r="S21" s="24" t="inlineStr">
        <is>
          <t>M6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4280</v>
      </c>
      <c r="AN21" s="153">
        <v>16985</v>
      </c>
      <c r="AO21" s="153">
        <v>4535</v>
      </c>
      <c r="AP21" s="153">
        <v>2655</v>
      </c>
      <c r="AQ21" s="153">
        <v>1090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inlineStr">
        <is>
          <t>M5</t>
        </is>
      </c>
      <c r="N22" s="155" t="inlineStr">
        <is>
          <t>J</t>
        </is>
      </c>
      <c r="O22" s="155" t="inlineStr">
        <is>
          <t>M4</t>
        </is>
      </c>
      <c r="P22" s="155" t="inlineStr">
        <is>
          <t>G4</t>
        </is>
      </c>
      <c r="Q22" s="155" t="inlineStr">
        <is>
          <t>TE</t>
        </is>
      </c>
      <c r="R22" s="155" t="inlineStr">
        <is>
          <t>K</t>
        </is>
      </c>
      <c r="S22" s="156" t="inlineStr">
        <is>
          <t>J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16100</v>
      </c>
      <c r="AN22" s="153">
        <v>3960</v>
      </c>
      <c r="AO22" s="153">
        <v>17975</v>
      </c>
      <c r="AP22" s="153">
        <v>7820</v>
      </c>
      <c r="AQ22" s="153">
        <v>4555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GA</t>
        </is>
      </c>
      <c r="O23" s="38" t="inlineStr">
        <is>
          <t>K</t>
        </is>
      </c>
      <c r="P23" s="38" t="inlineStr">
        <is>
          <t>M6</t>
        </is>
      </c>
      <c r="Q23" s="38" t="inlineStr">
        <is>
          <t>J</t>
        </is>
      </c>
      <c r="R23" s="38" t="inlineStr">
        <is>
          <t>M5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8770</v>
      </c>
      <c r="AN23" s="37">
        <v>22125</v>
      </c>
      <c r="AO23" s="37">
        <v>9380</v>
      </c>
      <c r="AP23" s="37">
        <v>3340</v>
      </c>
      <c r="AQ23" s="37">
        <v>1645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inlineStr">
        <is>
          <t>Q</t>
        </is>
      </c>
      <c r="N24" s="38" t="inlineStr">
        <is>
          <t>GT</t>
        </is>
      </c>
      <c r="O24" s="38" t="inlineStr">
        <is>
          <t>GQ</t>
        </is>
      </c>
      <c r="P24" s="38" t="inlineStr">
        <is>
          <t>M4</t>
        </is>
      </c>
      <c r="Q24" s="38" t="inlineStr">
        <is>
          <t>M5</t>
        </is>
      </c>
      <c r="R24" s="38" t="inlineStr">
        <is>
          <t>G4</t>
        </is>
      </c>
      <c r="S24" s="24" t="inlineStr">
        <is>
          <t>A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13780</v>
      </c>
      <c r="AN24" s="37">
        <v>7865</v>
      </c>
      <c r="AO24" s="37">
        <v>14645</v>
      </c>
      <c r="AP24" s="37">
        <v>9435</v>
      </c>
      <c r="AQ24" s="37">
        <v>3970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11</v>
      </c>
      <c r="E25" s="10">
        <f t="shared" si="10"/>
        <v>6</v>
      </c>
      <c r="F25" s="10">
        <f t="shared" si="11"/>
        <v>3</v>
      </c>
      <c r="G25" s="10">
        <f t="shared" si="12"/>
        <v>5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M3</t>
        </is>
      </c>
      <c r="O25" s="38" t="inlineStr">
        <is>
          <t>J</t>
        </is>
      </c>
      <c r="P25" s="38" t="inlineStr">
        <is>
          <t>GJ</t>
        </is>
      </c>
      <c r="Q25" s="38" t="inlineStr">
        <is>
          <t>G2</t>
        </is>
      </c>
      <c r="R25" s="38" t="inlineStr">
        <is>
          <t>K</t>
        </is>
      </c>
      <c r="S25" s="24" t="inlineStr">
        <is>
          <t>M4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11110</v>
      </c>
      <c r="AN25" s="37">
        <v>20970</v>
      </c>
      <c r="AO25" s="37">
        <v>13425</v>
      </c>
      <c r="AP25" s="37">
        <v>5030</v>
      </c>
      <c r="AQ25" s="37">
        <v>2400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5</v>
      </c>
      <c r="F26" s="10">
        <f t="shared" si="11"/>
        <v>5</v>
      </c>
      <c r="G26" s="10">
        <f t="shared" si="12"/>
        <v>3</v>
      </c>
      <c r="H26" s="10">
        <f t="shared" si="13"/>
        <v>5</v>
      </c>
      <c r="I26" s="10">
        <f t="shared" si="14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G5</t>
        </is>
      </c>
      <c r="O26" s="38" t="inlineStr">
        <is>
          <t>J</t>
        </is>
      </c>
      <c r="P26" s="38" t="inlineStr">
        <is>
          <t>M4</t>
        </is>
      </c>
      <c r="Q26" s="38" t="inlineStr">
        <is>
          <t>Q</t>
        </is>
      </c>
      <c r="R26" s="38" t="inlineStr">
        <is>
          <t>M6</t>
        </is>
      </c>
      <c r="S26" s="24" t="inlineStr">
        <is>
          <t>A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17315</v>
      </c>
      <c r="AN26" s="37">
        <v>12745</v>
      </c>
      <c r="AO26" s="37">
        <v>19200</v>
      </c>
      <c r="AP26" s="37">
        <v>10380</v>
      </c>
      <c r="AQ26" s="37">
        <v>5495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inlineStr">
        <is>
          <t>J</t>
        </is>
      </c>
      <c r="N27" s="38" t="inlineStr">
        <is>
          <t>M2</t>
        </is>
      </c>
      <c r="O27" s="38" t="inlineStr">
        <is>
          <t>A</t>
        </is>
      </c>
      <c r="P27" s="38" t="inlineStr">
        <is>
          <t>M6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TE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14355</v>
      </c>
      <c r="AN27" s="37">
        <v>15355</v>
      </c>
      <c r="AO27" s="37">
        <v>15630</v>
      </c>
      <c r="AP27" s="37">
        <v>7250</v>
      </c>
      <c r="AQ27" s="37">
        <v>4030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M1</t>
        </is>
      </c>
      <c r="N28" s="38" t="inlineStr">
        <is>
          <t>TE</t>
        </is>
      </c>
      <c r="O28" s="38" t="inlineStr">
        <is>
          <t>GT</t>
        </is>
      </c>
      <c r="P28" s="38" t="inlineStr">
        <is>
          <t>G6</t>
        </is>
      </c>
      <c r="Q28" s="38" t="inlineStr">
        <is>
          <t>GJ</t>
        </is>
      </c>
      <c r="R28" s="38" t="inlineStr">
        <is>
          <t>M3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M6</t>
        </is>
      </c>
      <c r="N29" s="38" t="inlineStr">
        <is>
          <t>M6</t>
        </is>
      </c>
      <c r="O29" s="38" t="inlineStr">
        <is>
          <t>M6</t>
        </is>
      </c>
      <c r="P29" s="38" t="inlineStr">
        <is>
          <t>J</t>
        </is>
      </c>
      <c r="Q29" s="38" t="inlineStr">
        <is>
          <t>G2</t>
        </is>
      </c>
      <c r="R29" s="38" t="inlineStr">
        <is>
          <t>Q</t>
        </is>
      </c>
      <c r="S29" s="24" t="inlineStr">
        <is>
          <t>M6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256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TE</t>
        </is>
      </c>
      <c r="N30" s="38" t="inlineStr">
        <is>
          <t>GT</t>
        </is>
      </c>
      <c r="O30" s="38" t="inlineStr">
        <is>
          <t>M6</t>
        </is>
      </c>
      <c r="P30" s="38" t="inlineStr">
        <is>
          <t>J</t>
        </is>
      </c>
      <c r="Q30" s="38" t="inlineStr">
        <is>
          <t>J</t>
        </is>
      </c>
      <c r="R30" s="38" t="inlineStr">
        <is>
          <t>GT</t>
        </is>
      </c>
      <c r="S30" s="24" t="inlineStr">
        <is>
          <t>M5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M4</t>
        </is>
      </c>
      <c r="N31" s="155" t="inlineStr">
        <is>
          <t>A</t>
        </is>
      </c>
      <c r="O31" s="155" t="inlineStr">
        <is>
          <t>GK</t>
        </is>
      </c>
      <c r="P31" s="155" t="inlineStr">
        <is>
          <t>M5</t>
        </is>
      </c>
      <c r="Q31" s="155" t="inlineStr">
        <is>
          <t>M4</t>
        </is>
      </c>
      <c r="R31" s="155" t="inlineStr">
        <is>
          <t>GQ</t>
        </is>
      </c>
      <c r="S31" s="156" t="inlineStr">
        <is>
          <t>K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J</t>
        </is>
      </c>
      <c r="N32" s="38" t="inlineStr">
        <is>
          <t>M4</t>
        </is>
      </c>
      <c r="O32" s="38" t="inlineStr">
        <is>
          <t>M6</t>
        </is>
      </c>
      <c r="P32" s="38" t="inlineStr">
        <is>
          <t>M1</t>
        </is>
      </c>
      <c r="Q32" s="38" t="inlineStr">
        <is>
          <t>K</t>
        </is>
      </c>
      <c r="R32" s="38" t="inlineStr">
        <is>
          <t>M3</t>
        </is>
      </c>
      <c r="S32" s="24" t="inlineStr">
        <is>
          <t>M5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inlineStr">
        <is>
          <t>M1</t>
        </is>
      </c>
      <c r="N33" s="38" t="inlineStr">
        <is>
          <t>GQ</t>
        </is>
      </c>
      <c r="O33" s="38" t="inlineStr">
        <is>
          <t>M5</t>
        </is>
      </c>
      <c r="P33" s="38" t="inlineStr">
        <is>
          <t>K</t>
        </is>
      </c>
      <c r="Q33" s="38" t="inlineStr">
        <is>
          <t>GT</t>
        </is>
      </c>
      <c r="R33" s="38" t="inlineStr">
        <is>
          <t>K</t>
        </is>
      </c>
      <c r="S33" s="24" t="inlineStr">
        <is>
          <t>M6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TE</t>
        </is>
      </c>
      <c r="O34" s="38" t="inlineStr">
        <is>
          <t>GK</t>
        </is>
      </c>
      <c r="P34" s="38" t="inlineStr">
        <is>
          <t>G4</t>
        </is>
      </c>
      <c r="Q34" s="38" t="inlineStr">
        <is>
          <t>M6</t>
        </is>
      </c>
      <c r="R34" s="38" t="inlineStr">
        <is>
          <t>Q</t>
        </is>
      </c>
      <c r="S34" s="24" t="inlineStr">
        <is>
          <t>M2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M3</t>
        </is>
      </c>
      <c r="N35" s="38" t="inlineStr">
        <is>
          <t>J</t>
        </is>
      </c>
      <c r="O35" s="38" t="inlineStr">
        <is>
          <t>K</t>
        </is>
      </c>
      <c r="P35" s="38" t="inlineStr">
        <is>
          <t>M6</t>
        </is>
      </c>
      <c r="Q35" s="38" t="inlineStr">
        <is>
          <t>M3</t>
        </is>
      </c>
      <c r="R35" s="38" t="inlineStr">
        <is>
          <t>A</t>
        </is>
      </c>
      <c r="S35" s="24" t="inlineStr">
        <is>
          <t>M5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11391</v>
      </c>
      <c r="AM35" s="153">
        <v>12027</v>
      </c>
      <c r="AN35" s="153">
        <v>11031</v>
      </c>
      <c r="AO35" s="153">
        <v>15810</v>
      </c>
      <c r="AP35" s="153">
        <v>7833</v>
      </c>
      <c r="AQ35" s="153">
        <v>9189</v>
      </c>
      <c r="AR35" s="153">
        <v>9189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M5</t>
        </is>
      </c>
      <c r="O36" s="38" t="inlineStr">
        <is>
          <t>M1</t>
        </is>
      </c>
      <c r="P36" s="38" t="inlineStr">
        <is>
          <t>M1</t>
        </is>
      </c>
      <c r="Q36" s="38" t="inlineStr">
        <is>
          <t>M2</t>
        </is>
      </c>
      <c r="R36" s="38" t="inlineStr">
        <is>
          <t>G4</t>
        </is>
      </c>
      <c r="S36" s="24" t="inlineStr">
        <is>
          <t>J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13474</v>
      </c>
      <c r="AN36" s="153">
        <v>10544</v>
      </c>
      <c r="AO36" s="153">
        <v>10471</v>
      </c>
      <c r="AP36" s="153">
        <v>9160</v>
      </c>
      <c r="AQ36" s="153">
        <v>13747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M4</t>
        </is>
      </c>
      <c r="N37" s="38" t="inlineStr">
        <is>
          <t>K</t>
        </is>
      </c>
      <c r="O37" s="38" t="inlineStr">
        <is>
          <t>M2</t>
        </is>
      </c>
      <c r="P37" s="38" t="inlineStr">
        <is>
          <t>GJ</t>
        </is>
      </c>
      <c r="Q37" s="38" t="inlineStr">
        <is>
          <t>Q</t>
        </is>
      </c>
      <c r="R37" s="38" t="inlineStr">
        <is>
          <t>M3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54194</v>
      </c>
      <c r="AN37" s="153">
        <v>30603</v>
      </c>
      <c r="AO37" s="153">
        <v>47195</v>
      </c>
      <c r="AP37" s="153">
        <v>4381</v>
      </c>
      <c r="AQ37" s="153">
        <v>15274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M6</t>
        </is>
      </c>
      <c r="N38" s="38" t="inlineStr">
        <is>
          <t>G3</t>
        </is>
      </c>
      <c r="O38" s="38" t="inlineStr">
        <is>
          <t>M5</t>
        </is>
      </c>
      <c r="P38" s="38" t="inlineStr">
        <is>
          <t>M1</t>
        </is>
      </c>
      <c r="Q38" s="38" t="inlineStr">
        <is>
          <t>M6</t>
        </is>
      </c>
      <c r="R38" s="38" t="inlineStr">
        <is>
          <t>M2</t>
        </is>
      </c>
      <c r="S38" s="24" t="inlineStr">
        <is>
          <t>J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137998</v>
      </c>
      <c r="AN38" s="153">
        <v>99272</v>
      </c>
      <c r="AO38" s="153">
        <v>121675</v>
      </c>
      <c r="AP38" s="153">
        <v>112704</v>
      </c>
      <c r="AQ38" s="153">
        <v>110481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TE</t>
        </is>
      </c>
      <c r="N39" s="38" t="inlineStr">
        <is>
          <t>GA</t>
        </is>
      </c>
      <c r="O39" s="38" t="inlineStr">
        <is>
          <t>G2</t>
        </is>
      </c>
      <c r="P39" s="38" t="inlineStr">
        <is>
          <t>M2</t>
        </is>
      </c>
      <c r="Q39" s="38" t="inlineStr">
        <is>
          <t>TE</t>
        </is>
      </c>
      <c r="R39" s="38" t="inlineStr">
        <is>
          <t>Q</t>
        </is>
      </c>
      <c r="S39" s="24" t="inlineStr">
        <is>
          <t>M4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35342</v>
      </c>
      <c r="AN39" s="153">
        <v>129605</v>
      </c>
      <c r="AO39" s="153">
        <v>34510</v>
      </c>
      <c r="AP39" s="153">
        <v>46196</v>
      </c>
      <c r="AQ39" s="153">
        <v>38185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inlineStr">
        <is>
          <t>Q</t>
        </is>
      </c>
      <c r="N40" s="155" t="inlineStr">
        <is>
          <t>G4</t>
        </is>
      </c>
      <c r="O40" s="155" t="inlineStr">
        <is>
          <t>A</t>
        </is>
      </c>
      <c r="P40" s="155" t="inlineStr">
        <is>
          <t>GQ</t>
        </is>
      </c>
      <c r="Q40" s="155" t="inlineStr">
        <is>
          <t>GT</t>
        </is>
      </c>
      <c r="R40" s="155" t="inlineStr">
        <is>
          <t>K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132916</v>
      </c>
      <c r="AN40" s="153">
        <v>30226</v>
      </c>
      <c r="AO40" s="153">
        <v>136866</v>
      </c>
      <c r="AP40" s="153">
        <v>136202</v>
      </c>
      <c r="AQ40" s="153">
        <v>159356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M3</t>
        </is>
      </c>
      <c r="N41" s="38" t="inlineStr">
        <is>
          <t>Q</t>
        </is>
      </c>
      <c r="O41" s="38" t="inlineStr">
        <is>
          <t>M6</t>
        </is>
      </c>
      <c r="P41" s="38" t="inlineStr">
        <is>
          <t>G5</t>
        </is>
      </c>
      <c r="Q41" s="38" t="inlineStr">
        <is>
          <t>G2</t>
        </is>
      </c>
      <c r="R41" s="38" t="inlineStr">
        <is>
          <t>A</t>
        </is>
      </c>
      <c r="S41" s="24" t="inlineStr">
        <is>
          <t>M3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72398</v>
      </c>
      <c r="AN41" s="37">
        <v>168860</v>
      </c>
      <c r="AO41" s="37">
        <v>71382</v>
      </c>
      <c r="AP41" s="37">
        <v>58144</v>
      </c>
      <c r="AQ41" s="37">
        <v>57531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G2</t>
        </is>
      </c>
      <c r="O42" s="38" t="inlineStr">
        <is>
          <t>M3</t>
        </is>
      </c>
      <c r="P42" s="38" t="inlineStr">
        <is>
          <t>A</t>
        </is>
      </c>
      <c r="Q42" s="38" t="inlineStr">
        <is>
          <t>A</t>
        </is>
      </c>
      <c r="R42" s="38" t="inlineStr">
        <is>
          <t>M6</t>
        </is>
      </c>
      <c r="S42" s="24" t="inlineStr">
        <is>
          <t>TE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113768</v>
      </c>
      <c r="AN42" s="37">
        <v>60017</v>
      </c>
      <c r="AO42" s="37">
        <v>111498</v>
      </c>
      <c r="AP42" s="37">
        <v>164479</v>
      </c>
      <c r="AQ42" s="37">
        <v>138992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M5</t>
        </is>
      </c>
      <c r="N43" s="38" t="inlineStr">
        <is>
          <t>GT</t>
        </is>
      </c>
      <c r="O43" s="38" t="inlineStr">
        <is>
          <t>M6</t>
        </is>
      </c>
      <c r="P43" s="38" t="inlineStr">
        <is>
          <t>K</t>
        </is>
      </c>
      <c r="Q43" s="38" t="inlineStr">
        <is>
          <t>A</t>
        </is>
      </c>
      <c r="R43" s="38" t="inlineStr">
        <is>
          <t>TE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91784</v>
      </c>
      <c r="AN43" s="37">
        <v>160047</v>
      </c>
      <c r="AO43" s="37">
        <v>102207</v>
      </c>
      <c r="AP43" s="37">
        <v>87615</v>
      </c>
      <c r="AQ43" s="37">
        <v>84007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M5</t>
        </is>
      </c>
      <c r="O44" s="38" t="inlineStr">
        <is>
          <t>GA</t>
        </is>
      </c>
      <c r="P44" s="38" t="inlineStr">
        <is>
          <t>M2</t>
        </is>
      </c>
      <c r="Q44" s="38" t="inlineStr">
        <is>
          <t>TE</t>
        </is>
      </c>
      <c r="R44" s="38" t="inlineStr">
        <is>
          <t>G2</t>
        </is>
      </c>
      <c r="S44" s="24" t="inlineStr">
        <is>
          <t>J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142963</v>
      </c>
      <c r="AN44" s="37">
        <v>97272</v>
      </c>
      <c r="AO44" s="37">
        <v>146156</v>
      </c>
      <c r="AP44" s="37">
        <v>180806</v>
      </c>
      <c r="AQ44" s="37">
        <v>192451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M6</t>
        </is>
      </c>
      <c r="O45" s="38" t="inlineStr">
        <is>
          <t>GQ</t>
        </is>
      </c>
      <c r="P45" s="38" t="inlineStr">
        <is>
          <t>M3</t>
        </is>
      </c>
      <c r="Q45" s="38" t="inlineStr">
        <is>
          <t>M5</t>
        </is>
      </c>
      <c r="R45" s="38" t="inlineStr">
        <is>
          <t>GK</t>
        </is>
      </c>
      <c r="S45" s="24" t="inlineStr">
        <is>
          <t>M5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118495</v>
      </c>
      <c r="AN45" s="37">
        <v>117170</v>
      </c>
      <c r="AO45" s="37">
        <v>119021</v>
      </c>
      <c r="AP45" s="37">
        <v>126245</v>
      </c>
      <c r="AQ45" s="37">
        <v>141028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TE</t>
        </is>
      </c>
      <c r="N46" s="38" t="inlineStr">
        <is>
          <t>K</t>
        </is>
      </c>
      <c r="O46" s="38" t="inlineStr">
        <is>
          <t>M4</t>
        </is>
      </c>
      <c r="P46" s="38" t="inlineStr">
        <is>
          <t>J</t>
        </is>
      </c>
      <c r="Q46" s="38" t="inlineStr">
        <is>
          <t>GQ</t>
        </is>
      </c>
      <c r="R46" s="38" t="inlineStr">
        <is>
          <t>J</t>
        </is>
      </c>
      <c r="S46" s="24" t="inlineStr">
        <is>
          <t>J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K</t>
        </is>
      </c>
      <c r="N47" s="38" t="inlineStr">
        <is>
          <t>M1</t>
        </is>
      </c>
      <c r="O47" s="38" t="inlineStr">
        <is>
          <t>M3</t>
        </is>
      </c>
      <c r="P47" s="38" t="inlineStr">
        <is>
          <t>GK</t>
        </is>
      </c>
      <c r="Q47" s="38" t="inlineStr">
        <is>
          <t>TE</t>
        </is>
      </c>
      <c r="R47" s="38" t="inlineStr">
        <is>
          <t>M2</t>
        </is>
      </c>
      <c r="S47" s="24" t="inlineStr">
        <is>
          <t>M6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1635</v>
      </c>
      <c r="AN47" s="153">
        <v>1380</v>
      </c>
      <c r="AO47" s="153">
        <v>1375</v>
      </c>
      <c r="AP47" s="153">
        <v>525</v>
      </c>
      <c r="AQ47" s="153">
        <v>395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GT</t>
        </is>
      </c>
      <c r="O48" s="38" t="inlineStr">
        <is>
          <t>GK</t>
        </is>
      </c>
      <c r="P48" s="38" t="inlineStr">
        <is>
          <t>M2</t>
        </is>
      </c>
      <c r="Q48" s="38" t="inlineStr">
        <is>
          <t>A</t>
        </is>
      </c>
      <c r="R48" s="38" t="inlineStr">
        <is>
          <t>A</t>
        </is>
      </c>
      <c r="S48" s="24" t="inlineStr">
        <is>
          <t>TE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6565</v>
      </c>
      <c r="AN48" s="153">
        <v>4015</v>
      </c>
      <c r="AO48" s="153">
        <v>6200</v>
      </c>
      <c r="AP48" s="153">
        <v>250</v>
      </c>
      <c r="AQ48" s="153">
        <v>435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M3</t>
        </is>
      </c>
      <c r="N49" s="155" t="inlineStr">
        <is>
          <t>G5</t>
        </is>
      </c>
      <c r="O49" s="155" t="inlineStr">
        <is>
          <t>M4</t>
        </is>
      </c>
      <c r="P49" s="155" t="inlineStr">
        <is>
          <t>M4</t>
        </is>
      </c>
      <c r="Q49" s="155" t="inlineStr">
        <is>
          <t>K</t>
        </is>
      </c>
      <c r="R49" s="155" t="inlineStr">
        <is>
          <t>GJ</t>
        </is>
      </c>
      <c r="S49" s="156" t="inlineStr">
        <is>
          <t>A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16720</v>
      </c>
      <c r="AN49" s="153">
        <v>13010</v>
      </c>
      <c r="AO49" s="153">
        <v>15985</v>
      </c>
      <c r="AP49" s="153">
        <v>6470</v>
      </c>
      <c r="AQ49" s="153">
        <v>3155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K</t>
        </is>
      </c>
      <c r="N50" s="38" t="inlineStr">
        <is>
          <t>GJ</t>
        </is>
      </c>
      <c r="O50" s="38" t="inlineStr">
        <is>
          <t>TE</t>
        </is>
      </c>
      <c r="P50" s="38" t="inlineStr">
        <is>
          <t>M4</t>
        </is>
      </c>
      <c r="Q50" s="38" t="inlineStr">
        <is>
          <t>Q</t>
        </is>
      </c>
      <c r="R50" s="38" t="inlineStr">
        <is>
          <t>TE</t>
        </is>
      </c>
      <c r="S50" s="24" t="inlineStr">
        <is>
          <t>Q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4280</v>
      </c>
      <c r="AN50" s="153">
        <v>16985</v>
      </c>
      <c r="AO50" s="153">
        <v>4535</v>
      </c>
      <c r="AP50" s="153">
        <v>2655</v>
      </c>
      <c r="AQ50" s="153">
        <v>1090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A</t>
        </is>
      </c>
      <c r="N51" s="38" t="inlineStr">
        <is>
          <t>WW</t>
        </is>
      </c>
      <c r="O51" s="38" t="inlineStr">
        <is>
          <t>M6</t>
        </is>
      </c>
      <c r="P51" s="38" t="inlineStr">
        <is>
          <t>GJ</t>
        </is>
      </c>
      <c r="Q51" s="38" t="inlineStr">
        <is>
          <t>GK</t>
        </is>
      </c>
      <c r="R51" s="38" t="inlineStr">
        <is>
          <t>Q</t>
        </is>
      </c>
      <c r="S51" s="24" t="inlineStr">
        <is>
          <t>J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16100</v>
      </c>
      <c r="AN51" s="153">
        <v>3960</v>
      </c>
      <c r="AO51" s="153">
        <v>17975</v>
      </c>
      <c r="AP51" s="153">
        <v>7820</v>
      </c>
      <c r="AQ51" s="153">
        <v>4555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M4</t>
        </is>
      </c>
      <c r="N52" s="38" t="inlineStr">
        <is>
          <t>M4</t>
        </is>
      </c>
      <c r="O52" s="38" t="inlineStr">
        <is>
          <t>G2</t>
        </is>
      </c>
      <c r="P52" s="38" t="inlineStr">
        <is>
          <t>M1</t>
        </is>
      </c>
      <c r="Q52" s="38" t="inlineStr">
        <is>
          <t>M3</t>
        </is>
      </c>
      <c r="R52" s="38" t="inlineStr">
        <is>
          <t>M3</t>
        </is>
      </c>
      <c r="S52" s="24" t="inlineStr">
        <is>
          <t>M4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8770</v>
      </c>
      <c r="AN52" s="37">
        <v>22125</v>
      </c>
      <c r="AO52" s="37">
        <v>9380</v>
      </c>
      <c r="AP52" s="37">
        <v>3340</v>
      </c>
      <c r="AQ52" s="37">
        <v>1645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M5</t>
        </is>
      </c>
      <c r="N53" s="38" t="inlineStr">
        <is>
          <t>M4</t>
        </is>
      </c>
      <c r="O53" s="38" t="inlineStr">
        <is>
          <t>G5</t>
        </is>
      </c>
      <c r="P53" s="38" t="inlineStr">
        <is>
          <t>M3</t>
        </is>
      </c>
      <c r="Q53" s="38" t="inlineStr">
        <is>
          <t>M3</t>
        </is>
      </c>
      <c r="R53" s="38" t="inlineStr">
        <is>
          <t>M4</t>
        </is>
      </c>
      <c r="S53" s="24" t="inlineStr">
        <is>
          <t>J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13780</v>
      </c>
      <c r="AN53" s="37">
        <v>7865</v>
      </c>
      <c r="AO53" s="37">
        <v>14645</v>
      </c>
      <c r="AP53" s="37">
        <v>9435</v>
      </c>
      <c r="AQ53" s="37">
        <v>3970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K</t>
        </is>
      </c>
      <c r="N54" s="38" t="inlineStr">
        <is>
          <t>G4</t>
        </is>
      </c>
      <c r="O54" s="38" t="inlineStr">
        <is>
          <t>J</t>
        </is>
      </c>
      <c r="P54" s="38" t="inlineStr">
        <is>
          <t>M1</t>
        </is>
      </c>
      <c r="Q54" s="38" t="inlineStr">
        <is>
          <t>GQ</t>
        </is>
      </c>
      <c r="R54" s="38" t="inlineStr">
        <is>
          <t>M4</t>
        </is>
      </c>
      <c r="S54" s="24" t="inlineStr">
        <is>
          <t>J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11110</v>
      </c>
      <c r="AN54" s="37">
        <v>20970</v>
      </c>
      <c r="AO54" s="37">
        <v>13425</v>
      </c>
      <c r="AP54" s="37">
        <v>5030</v>
      </c>
      <c r="AQ54" s="37">
        <v>2400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TE</t>
        </is>
      </c>
      <c r="N55" s="38" t="inlineStr">
        <is>
          <t>Q</t>
        </is>
      </c>
      <c r="O55" s="38" t="inlineStr">
        <is>
          <t>Q</t>
        </is>
      </c>
      <c r="P55" s="38" t="inlineStr">
        <is>
          <t>GJ</t>
        </is>
      </c>
      <c r="Q55" s="38" t="inlineStr">
        <is>
          <t>M3</t>
        </is>
      </c>
      <c r="R55" s="38" t="inlineStr">
        <is>
          <t>GK</t>
        </is>
      </c>
      <c r="S55" s="24" t="inlineStr">
        <is>
          <t>M5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17315</v>
      </c>
      <c r="AN55" s="37">
        <v>12745</v>
      </c>
      <c r="AO55" s="37">
        <v>19200</v>
      </c>
      <c r="AP55" s="37">
        <v>10380</v>
      </c>
      <c r="AQ55" s="37">
        <v>5495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J</t>
        </is>
      </c>
      <c r="P56" s="38" t="inlineStr">
        <is>
          <t>M4</t>
        </is>
      </c>
      <c r="Q56" s="38" t="inlineStr">
        <is>
          <t>TE</t>
        </is>
      </c>
      <c r="R56" s="38" t="inlineStr">
        <is>
          <t>K</t>
        </is>
      </c>
      <c r="S56" s="24" t="inlineStr">
        <is>
          <t>M5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14355</v>
      </c>
      <c r="AN56" s="37">
        <v>15355</v>
      </c>
      <c r="AO56" s="37">
        <v>15630</v>
      </c>
      <c r="AP56" s="37">
        <v>7250</v>
      </c>
      <c r="AQ56" s="37">
        <v>4030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TE</t>
        </is>
      </c>
      <c r="N57" s="38" t="inlineStr">
        <is>
          <t>M6</t>
        </is>
      </c>
      <c r="O57" s="38" t="inlineStr">
        <is>
          <t>M5</t>
        </is>
      </c>
      <c r="P57" s="38" t="inlineStr">
        <is>
          <t>J</t>
        </is>
      </c>
      <c r="Q57" s="38" t="inlineStr">
        <is>
          <t>A</t>
        </is>
      </c>
      <c r="R57" s="38" t="inlineStr">
        <is>
          <t>G5</t>
        </is>
      </c>
      <c r="S57" s="24" t="inlineStr">
        <is>
          <t>Q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Q</t>
        </is>
      </c>
      <c r="N58" s="155" t="inlineStr">
        <is>
          <t>GT</t>
        </is>
      </c>
      <c r="O58" s="155" t="inlineStr">
        <is>
          <t>GJ</t>
        </is>
      </c>
      <c r="P58" s="155" t="inlineStr">
        <is>
          <t>Q</t>
        </is>
      </c>
      <c r="Q58" s="155" t="inlineStr">
        <is>
          <t>M5</t>
        </is>
      </c>
      <c r="R58" s="155" t="inlineStr">
        <is>
          <t>G2</t>
        </is>
      </c>
      <c r="S58" s="156" t="inlineStr">
        <is>
          <t>M2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256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Q</t>
        </is>
      </c>
      <c r="N59" s="38" t="inlineStr">
        <is>
          <t>K</t>
        </is>
      </c>
      <c r="O59" s="38" t="inlineStr">
        <is>
          <t>A</t>
        </is>
      </c>
      <c r="P59" s="38" t="inlineStr">
        <is>
          <t>G4</t>
        </is>
      </c>
      <c r="Q59" s="38" t="inlineStr">
        <is>
          <t>M4</t>
        </is>
      </c>
      <c r="R59" s="38" t="inlineStr">
        <is>
          <t>K</t>
        </is>
      </c>
      <c r="S59" s="24" t="inlineStr">
        <is>
          <t>J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M6</t>
        </is>
      </c>
      <c r="N60" s="38" t="inlineStr">
        <is>
          <t>M5</t>
        </is>
      </c>
      <c r="O60" s="38" t="inlineStr">
        <is>
          <t>M4</t>
        </is>
      </c>
      <c r="P60" s="38" t="inlineStr">
        <is>
          <t>M4</t>
        </is>
      </c>
      <c r="Q60" s="38" t="inlineStr">
        <is>
          <t>M5</t>
        </is>
      </c>
      <c r="R60" s="38" t="inlineStr">
        <is>
          <t>K</t>
        </is>
      </c>
      <c r="S60" s="24" t="inlineStr">
        <is>
          <t>M1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M2</t>
        </is>
      </c>
      <c r="N61" s="38" t="inlineStr">
        <is>
          <t>G2</t>
        </is>
      </c>
      <c r="O61" s="38" t="inlineStr">
        <is>
          <t>Q</t>
        </is>
      </c>
      <c r="P61" s="38" t="inlineStr">
        <is>
          <t>TE</t>
        </is>
      </c>
      <c r="Q61" s="38" t="inlineStr">
        <is>
          <t>G5</t>
        </is>
      </c>
      <c r="R61" s="38" t="inlineStr">
        <is>
          <t>Q</t>
        </is>
      </c>
      <c r="S61" s="24" t="inlineStr">
        <is>
          <t>TE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K</t>
        </is>
      </c>
      <c r="N62" s="38" t="inlineStr">
        <is>
          <t>M3</t>
        </is>
      </c>
      <c r="O62" s="38" t="inlineStr">
        <is>
          <t>GT</t>
        </is>
      </c>
      <c r="P62" s="38" t="inlineStr">
        <is>
          <t>A</t>
        </is>
      </c>
      <c r="Q62" s="38" t="inlineStr">
        <is>
          <t>M4</t>
        </is>
      </c>
      <c r="R62" s="38" t="inlineStr">
        <is>
          <t>M6</t>
        </is>
      </c>
      <c r="S62" s="24" t="inlineStr">
        <is>
          <t>M5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K</t>
        </is>
      </c>
      <c r="N63" s="38" t="inlineStr">
        <is>
          <t>A</t>
        </is>
      </c>
      <c r="O63" s="38" t="inlineStr">
        <is>
          <t>TE</t>
        </is>
      </c>
      <c r="P63" s="38" t="inlineStr">
        <is>
          <t>M4</t>
        </is>
      </c>
      <c r="Q63" s="38" t="inlineStr">
        <is>
          <t>A</t>
        </is>
      </c>
      <c r="R63" s="38" t="inlineStr">
        <is>
          <t>M1</t>
        </is>
      </c>
      <c r="S63" s="24" t="inlineStr">
        <is>
          <t>A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M4</t>
        </is>
      </c>
      <c r="O64" s="38" t="inlineStr">
        <is>
          <t>M4</t>
        </is>
      </c>
      <c r="P64" s="38" t="inlineStr">
        <is>
          <t>M6</t>
        </is>
      </c>
      <c r="Q64" s="38" t="inlineStr">
        <is>
          <t>M6</t>
        </is>
      </c>
      <c r="R64" s="38" t="inlineStr">
        <is>
          <t>M5</t>
        </is>
      </c>
      <c r="S64" s="24" t="inlineStr">
        <is>
          <t>A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11391</v>
      </c>
      <c r="AM64" s="153">
        <v>12027</v>
      </c>
      <c r="AN64" s="153">
        <v>11031</v>
      </c>
      <c r="AO64" s="153">
        <v>15810</v>
      </c>
      <c r="AP64" s="153">
        <v>7833</v>
      </c>
      <c r="AQ64" s="153">
        <v>9189</v>
      </c>
      <c r="AR64" s="153">
        <v>9189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GA</t>
        </is>
      </c>
      <c r="O65" s="38" t="inlineStr">
        <is>
          <t>Q</t>
        </is>
      </c>
      <c r="P65" s="38" t="inlineStr">
        <is>
          <t>A</t>
        </is>
      </c>
      <c r="Q65" s="38" t="inlineStr">
        <is>
          <t>J</t>
        </is>
      </c>
      <c r="R65" s="38" t="inlineStr">
        <is>
          <t>M4</t>
        </is>
      </c>
      <c r="S65" s="24" t="inlineStr">
        <is>
          <t>M2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13474</v>
      </c>
      <c r="AN65" s="153">
        <v>10544</v>
      </c>
      <c r="AO65" s="153">
        <v>10471</v>
      </c>
      <c r="AP65" s="153">
        <v>9160</v>
      </c>
      <c r="AQ65" s="153">
        <v>13747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J</t>
        </is>
      </c>
      <c r="N66" s="38" t="inlineStr">
        <is>
          <t>M5</t>
        </is>
      </c>
      <c r="O66" s="38" t="inlineStr">
        <is>
          <t>Q</t>
        </is>
      </c>
      <c r="P66" s="38" t="inlineStr">
        <is>
          <t>GQ</t>
        </is>
      </c>
      <c r="Q66" s="38" t="inlineStr">
        <is>
          <t>M2</t>
        </is>
      </c>
      <c r="R66" s="38" t="inlineStr">
        <is>
          <t>M6</t>
        </is>
      </c>
      <c r="S66" s="24" t="inlineStr">
        <is>
          <t>M3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54194</v>
      </c>
      <c r="AN66" s="153">
        <v>30603</v>
      </c>
      <c r="AO66" s="153">
        <v>47195</v>
      </c>
      <c r="AP66" s="153">
        <v>4381</v>
      </c>
      <c r="AQ66" s="153">
        <v>15274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inlineStr">
        <is>
          <t>TE</t>
        </is>
      </c>
      <c r="N67" s="155" t="inlineStr">
        <is>
          <t>A</t>
        </is>
      </c>
      <c r="O67" s="155" t="inlineStr">
        <is>
          <t>GJ</t>
        </is>
      </c>
      <c r="P67" s="155" t="inlineStr">
        <is>
          <t>GK</t>
        </is>
      </c>
      <c r="Q67" s="155" t="inlineStr">
        <is>
          <t>G5</t>
        </is>
      </c>
      <c r="R67" s="155" t="inlineStr">
        <is>
          <t>J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137998</v>
      </c>
      <c r="AN67" s="153">
        <v>99272</v>
      </c>
      <c r="AO67" s="153">
        <v>121675</v>
      </c>
      <c r="AP67" s="153">
        <v>112704</v>
      </c>
      <c r="AQ67" s="153">
        <v>110481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inlineStr">
        <is>
          <t>J</t>
        </is>
      </c>
      <c r="N68" s="38" t="inlineStr">
        <is>
          <t>G6</t>
        </is>
      </c>
      <c r="O68" s="38" t="inlineStr">
        <is>
          <t>M2</t>
        </is>
      </c>
      <c r="P68" s="38" t="inlineStr">
        <is>
          <t>M4</t>
        </is>
      </c>
      <c r="Q68" s="38" t="inlineStr">
        <is>
          <t>M5</t>
        </is>
      </c>
      <c r="R68" s="38" t="inlineStr">
        <is>
          <t>GT</t>
        </is>
      </c>
      <c r="S68" s="24" t="inlineStr">
        <is>
          <t>M2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35342</v>
      </c>
      <c r="AN68" s="153">
        <v>129605</v>
      </c>
      <c r="AO68" s="153">
        <v>34510</v>
      </c>
      <c r="AP68" s="153">
        <v>46196</v>
      </c>
      <c r="AQ68" s="153">
        <v>38185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inlineStr">
        <is>
          <t>TE</t>
        </is>
      </c>
      <c r="N69" s="38" t="inlineStr">
        <is>
          <t>J</t>
        </is>
      </c>
      <c r="O69" s="38" t="inlineStr">
        <is>
          <t>M5</t>
        </is>
      </c>
      <c r="P69" s="38" t="inlineStr">
        <is>
          <t>M6</t>
        </is>
      </c>
      <c r="Q69" s="38" t="inlineStr">
        <is>
          <t>A</t>
        </is>
      </c>
      <c r="R69" s="38" t="inlineStr">
        <is>
          <t>TE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132916</v>
      </c>
      <c r="AN69" s="153">
        <v>30226</v>
      </c>
      <c r="AO69" s="153">
        <v>136866</v>
      </c>
      <c r="AP69" s="153">
        <v>136202</v>
      </c>
      <c r="AQ69" s="153">
        <v>159356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inlineStr">
        <is>
          <t>M4</t>
        </is>
      </c>
      <c r="N70" s="38" t="inlineStr">
        <is>
          <t>M4</t>
        </is>
      </c>
      <c r="O70" s="38" t="inlineStr">
        <is>
          <t>M5</t>
        </is>
      </c>
      <c r="P70" s="38" t="inlineStr">
        <is>
          <t>GQ</t>
        </is>
      </c>
      <c r="Q70" s="38" t="inlineStr">
        <is>
          <t>Q</t>
        </is>
      </c>
      <c r="R70" s="38" t="inlineStr">
        <is>
          <t>A</t>
        </is>
      </c>
      <c r="S70" s="24" t="inlineStr">
        <is>
          <t>TE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72398</v>
      </c>
      <c r="AN70" s="37">
        <v>168860</v>
      </c>
      <c r="AO70" s="37">
        <v>71382</v>
      </c>
      <c r="AP70" s="37">
        <v>58144</v>
      </c>
      <c r="AQ70" s="37">
        <v>57531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0</v>
      </c>
      <c r="L71" s="15">
        <v>68</v>
      </c>
      <c r="M71" s="38" t="inlineStr">
        <is>
          <t>K</t>
        </is>
      </c>
      <c r="N71" s="38" t="inlineStr">
        <is>
          <t>GT</t>
        </is>
      </c>
      <c r="O71" s="38" t="inlineStr">
        <is>
          <t>TE</t>
        </is>
      </c>
      <c r="P71" s="38" t="inlineStr">
        <is>
          <t>M4</t>
        </is>
      </c>
      <c r="Q71" s="38" t="inlineStr">
        <is>
          <t>Q</t>
        </is>
      </c>
      <c r="R71" s="38" t="inlineStr">
        <is>
          <t>GQ</t>
        </is>
      </c>
      <c r="S71" s="24" t="inlineStr">
        <is>
          <t>M5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113768</v>
      </c>
      <c r="AN71" s="37">
        <v>60017</v>
      </c>
      <c r="AO71" s="37">
        <v>111498</v>
      </c>
      <c r="AP71" s="37">
        <v>164479</v>
      </c>
      <c r="AQ71" s="37">
        <v>138992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0</v>
      </c>
      <c r="L72" s="14">
        <v>69</v>
      </c>
      <c r="M72" s="38" t="inlineStr">
        <is>
          <t>K</t>
        </is>
      </c>
      <c r="N72" s="38" t="inlineStr">
        <is>
          <t>M5</t>
        </is>
      </c>
      <c r="O72" s="38" t="inlineStr">
        <is>
          <t>GQ</t>
        </is>
      </c>
      <c r="P72" s="38" t="inlineStr">
        <is>
          <t>M5</t>
        </is>
      </c>
      <c r="Q72" s="38" t="inlineStr">
        <is>
          <t>GA</t>
        </is>
      </c>
      <c r="R72" s="38" t="inlineStr">
        <is>
          <t>J</t>
        </is>
      </c>
      <c r="S72" s="24" t="inlineStr">
        <is>
          <t>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91784</v>
      </c>
      <c r="AN72" s="37">
        <v>160047</v>
      </c>
      <c r="AO72" s="37">
        <v>102207</v>
      </c>
      <c r="AP72" s="37">
        <v>87615</v>
      </c>
      <c r="AQ72" s="37">
        <v>84007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0</v>
      </c>
      <c r="L73" s="15">
        <v>70</v>
      </c>
      <c r="M73" s="38" t="inlineStr">
        <is>
          <t>K</t>
        </is>
      </c>
      <c r="N73" s="38" t="inlineStr">
        <is>
          <t>K</t>
        </is>
      </c>
      <c r="O73" s="38" t="inlineStr">
        <is>
          <t>J</t>
        </is>
      </c>
      <c r="P73" s="38" t="inlineStr">
        <is>
          <t>GJ</t>
        </is>
      </c>
      <c r="Q73" s="38" t="inlineStr">
        <is>
          <t>M2</t>
        </is>
      </c>
      <c r="R73" s="38" t="inlineStr">
        <is>
          <t>GA</t>
        </is>
      </c>
      <c r="S73" s="24" t="inlineStr">
        <is>
          <t>M3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142963</v>
      </c>
      <c r="AN73" s="37">
        <v>97272</v>
      </c>
      <c r="AO73" s="37">
        <v>146156</v>
      </c>
      <c r="AP73" s="37">
        <v>180806</v>
      </c>
      <c r="AQ73" s="37">
        <v>192451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0</v>
      </c>
      <c r="L74" s="14">
        <v>71</v>
      </c>
      <c r="M74" s="38" t="inlineStr">
        <is>
          <t>A</t>
        </is>
      </c>
      <c r="N74" s="38" t="inlineStr">
        <is>
          <t>G2</t>
        </is>
      </c>
      <c r="O74" s="38" t="inlineStr">
        <is>
          <t>A</t>
        </is>
      </c>
      <c r="P74" s="38" t="inlineStr">
        <is>
          <t>WW</t>
        </is>
      </c>
      <c r="Q74" s="38" t="inlineStr">
        <is>
          <t>G5</t>
        </is>
      </c>
      <c r="R74" s="38" t="inlineStr">
        <is>
          <t>TE</t>
        </is>
      </c>
      <c r="S74" s="24" t="inlineStr">
        <is>
          <t>M6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118495</v>
      </c>
      <c r="AN74" s="37">
        <v>117170</v>
      </c>
      <c r="AO74" s="37">
        <v>119021</v>
      </c>
      <c r="AP74" s="37">
        <v>126245</v>
      </c>
      <c r="AQ74" s="37">
        <v>141028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Q</t>
        </is>
      </c>
      <c r="N75" s="38" t="inlineStr">
        <is>
          <t>Q</t>
        </is>
      </c>
      <c r="O75" s="38" t="inlineStr">
        <is>
          <t>M5</t>
        </is>
      </c>
      <c r="P75" s="38" t="inlineStr">
        <is>
          <t>M5</t>
        </is>
      </c>
      <c r="Q75" s="38" t="inlineStr">
        <is>
          <t>K</t>
        </is>
      </c>
      <c r="R75" s="38" t="inlineStr">
        <is>
          <t>M4</t>
        </is>
      </c>
      <c r="S75" s="24" t="inlineStr">
        <is>
          <t>A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J</t>
        </is>
      </c>
      <c r="N76" s="155" t="inlineStr">
        <is>
          <t>GJ</t>
        </is>
      </c>
      <c r="O76" s="155" t="inlineStr">
        <is>
          <t>GT</t>
        </is>
      </c>
      <c r="P76" s="155" t="inlineStr">
        <is>
          <t>M6</t>
        </is>
      </c>
      <c r="Q76" s="155" t="inlineStr">
        <is>
          <t>M2</t>
        </is>
      </c>
      <c r="R76" s="155" t="inlineStr">
        <is>
          <t>M5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1635</v>
      </c>
      <c r="AN76" s="153">
        <v>1380</v>
      </c>
      <c r="AO76" s="153">
        <v>1375</v>
      </c>
      <c r="AP76" s="153">
        <v>525</v>
      </c>
      <c r="AQ76" s="153">
        <v>395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M4</t>
        </is>
      </c>
      <c r="N77" s="38" t="inlineStr">
        <is>
          <t>M2</t>
        </is>
      </c>
      <c r="O77" s="38" t="inlineStr">
        <is>
          <t>GT</t>
        </is>
      </c>
      <c r="P77" s="38" t="inlineStr">
        <is>
          <t>J</t>
        </is>
      </c>
      <c r="Q77" s="38" t="inlineStr">
        <is>
          <t>M3</t>
        </is>
      </c>
      <c r="R77" s="38" t="inlineStr">
        <is>
          <t>M5</t>
        </is>
      </c>
      <c r="S77" s="24" t="inlineStr">
        <is>
          <t>M4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6565</v>
      </c>
      <c r="AN77" s="153">
        <v>4015</v>
      </c>
      <c r="AO77" s="153">
        <v>6200</v>
      </c>
      <c r="AP77" s="153">
        <v>250</v>
      </c>
      <c r="AQ77" s="153">
        <v>435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J</t>
        </is>
      </c>
      <c r="N78" s="38" t="inlineStr">
        <is>
          <t>Q</t>
        </is>
      </c>
      <c r="O78" s="38" t="inlineStr">
        <is>
          <t>M6</t>
        </is>
      </c>
      <c r="P78" s="38" t="inlineStr">
        <is>
          <t>K</t>
        </is>
      </c>
      <c r="Q78" s="38" t="inlineStr">
        <is>
          <t>M4</t>
        </is>
      </c>
      <c r="R78" s="38" t="inlineStr">
        <is>
          <t>TE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16720</v>
      </c>
      <c r="AN78" s="153">
        <v>13010</v>
      </c>
      <c r="AO78" s="153">
        <v>15985</v>
      </c>
      <c r="AP78" s="153">
        <v>6470</v>
      </c>
      <c r="AQ78" s="153">
        <v>3155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M6</t>
        </is>
      </c>
      <c r="N79" s="38" t="inlineStr">
        <is>
          <t>Q</t>
        </is>
      </c>
      <c r="O79" s="38" t="inlineStr">
        <is>
          <t>A</t>
        </is>
      </c>
      <c r="P79" s="38" t="inlineStr">
        <is>
          <t>GJ</t>
        </is>
      </c>
      <c r="Q79" s="38" t="inlineStr">
        <is>
          <t>K</t>
        </is>
      </c>
      <c r="R79" s="38" t="inlineStr">
        <is>
          <t>M5</t>
        </is>
      </c>
      <c r="S79" s="24" t="inlineStr">
        <is>
          <t>J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4280</v>
      </c>
      <c r="AN79" s="153">
        <v>16985</v>
      </c>
      <c r="AO79" s="153">
        <v>4535</v>
      </c>
      <c r="AP79" s="153">
        <v>2655</v>
      </c>
      <c r="AQ79" s="153">
        <v>1090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TE</t>
        </is>
      </c>
      <c r="N80" s="38" t="inlineStr">
        <is>
          <t>GA</t>
        </is>
      </c>
      <c r="O80" s="38" t="inlineStr">
        <is>
          <t>TE</t>
        </is>
      </c>
      <c r="P80" s="38" t="inlineStr">
        <is>
          <t>M4</t>
        </is>
      </c>
      <c r="Q80" s="38" t="inlineStr">
        <is>
          <t>G4</t>
        </is>
      </c>
      <c r="R80" s="38" t="inlineStr">
        <is>
          <t>J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16100</v>
      </c>
      <c r="AN80" s="153">
        <v>3960</v>
      </c>
      <c r="AO80" s="153">
        <v>17975</v>
      </c>
      <c r="AP80" s="153">
        <v>7820</v>
      </c>
      <c r="AQ80" s="153">
        <v>4555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M3</t>
        </is>
      </c>
      <c r="N81" s="38" t="inlineStr">
        <is>
          <t>M6</t>
        </is>
      </c>
      <c r="O81" s="38" t="inlineStr">
        <is>
          <t>G5</t>
        </is>
      </c>
      <c r="P81" s="38" t="inlineStr">
        <is>
          <t>M5</t>
        </is>
      </c>
      <c r="Q81" s="38" t="inlineStr">
        <is>
          <t>A</t>
        </is>
      </c>
      <c r="R81" s="38" t="inlineStr">
        <is>
          <t>K</t>
        </is>
      </c>
      <c r="S81" s="24" t="inlineStr">
        <is>
          <t>J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8770</v>
      </c>
      <c r="AN81" s="37">
        <v>22125</v>
      </c>
      <c r="AO81" s="37">
        <v>9380</v>
      </c>
      <c r="AP81" s="37">
        <v>3340</v>
      </c>
      <c r="AQ81" s="37">
        <v>1645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M5</t>
        </is>
      </c>
      <c r="N82" s="38" t="inlineStr">
        <is>
          <t>M4</t>
        </is>
      </c>
      <c r="O82" s="38" t="inlineStr">
        <is>
          <t>M4</t>
        </is>
      </c>
      <c r="P82" s="38" t="inlineStr">
        <is>
          <t>A</t>
        </is>
      </c>
      <c r="Q82" s="38" t="inlineStr">
        <is>
          <t>TE</t>
        </is>
      </c>
      <c r="R82" s="38" t="inlineStr">
        <is>
          <t>GK</t>
        </is>
      </c>
      <c r="S82" s="24" t="inlineStr">
        <is>
          <t>K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13780</v>
      </c>
      <c r="AN82" s="37">
        <v>7865</v>
      </c>
      <c r="AO82" s="37">
        <v>14645</v>
      </c>
      <c r="AP82" s="37">
        <v>9435</v>
      </c>
      <c r="AQ82" s="37">
        <v>3970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M3</t>
        </is>
      </c>
      <c r="N83" s="38" t="inlineStr">
        <is>
          <t>GK</t>
        </is>
      </c>
      <c r="O83" s="38" t="inlineStr">
        <is>
          <t>A</t>
        </is>
      </c>
      <c r="P83" s="38" t="inlineStr">
        <is>
          <t>TE</t>
        </is>
      </c>
      <c r="Q83" s="38" t="inlineStr">
        <is>
          <t>M2</t>
        </is>
      </c>
      <c r="R83" s="38" t="inlineStr">
        <is>
          <t>M6</t>
        </is>
      </c>
      <c r="S83" s="24" t="inlineStr">
        <is>
          <t>M3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11110</v>
      </c>
      <c r="AN83" s="37">
        <v>20970</v>
      </c>
      <c r="AO83" s="37">
        <v>13425</v>
      </c>
      <c r="AP83" s="37">
        <v>5030</v>
      </c>
      <c r="AQ83" s="37">
        <v>2400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K</t>
        </is>
      </c>
      <c r="N84" s="38" t="inlineStr">
        <is>
          <t>M5</t>
        </is>
      </c>
      <c r="O84" s="38" t="inlineStr">
        <is>
          <t>G6</t>
        </is>
      </c>
      <c r="P84" s="38" t="inlineStr">
        <is>
          <t>GJ</t>
        </is>
      </c>
      <c r="Q84" s="38" t="inlineStr">
        <is>
          <t>M5</t>
        </is>
      </c>
      <c r="R84" s="38" t="inlineStr">
        <is>
          <t>A</t>
        </is>
      </c>
      <c r="S84" s="24" t="inlineStr">
        <is>
          <t>M4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17315</v>
      </c>
      <c r="AN84" s="37">
        <v>12745</v>
      </c>
      <c r="AO84" s="37">
        <v>19200</v>
      </c>
      <c r="AP84" s="37">
        <v>10380</v>
      </c>
      <c r="AQ84" s="37">
        <v>5495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TE</t>
        </is>
      </c>
      <c r="N85" s="155" t="inlineStr">
        <is>
          <t>G3</t>
        </is>
      </c>
      <c r="O85" s="155" t="inlineStr">
        <is>
          <t>M1</t>
        </is>
      </c>
      <c r="P85" s="155" t="inlineStr">
        <is>
          <t>A</t>
        </is>
      </c>
      <c r="Q85" s="155" t="inlineStr">
        <is>
          <t>M5</t>
        </is>
      </c>
      <c r="R85" s="155" t="inlineStr">
        <is>
          <t>M1</t>
        </is>
      </c>
      <c r="S85" s="156" t="inlineStr">
        <is>
          <t>A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14355</v>
      </c>
      <c r="AN85" s="37">
        <v>15355</v>
      </c>
      <c r="AO85" s="37">
        <v>15630</v>
      </c>
      <c r="AP85" s="37">
        <v>7250</v>
      </c>
      <c r="AQ85" s="37">
        <v>4030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Q</t>
        </is>
      </c>
      <c r="Q86" s="38" t="inlineStr">
        <is>
          <t>A</t>
        </is>
      </c>
      <c r="R86" s="38" t="inlineStr">
        <is>
          <t>G6</t>
        </is>
      </c>
      <c r="S86" s="24" t="inlineStr">
        <is>
          <t>K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M2</t>
        </is>
      </c>
      <c r="N87" s="38" t="inlineStr">
        <is>
          <t>J</t>
        </is>
      </c>
      <c r="O87" s="38" t="inlineStr">
        <is>
          <t>G4</t>
        </is>
      </c>
      <c r="P87" s="38" t="inlineStr">
        <is>
          <t>M6</t>
        </is>
      </c>
      <c r="Q87" s="38" t="inlineStr">
        <is>
          <t>GT</t>
        </is>
      </c>
      <c r="R87" s="38" t="inlineStr">
        <is>
          <t>M4</t>
        </is>
      </c>
      <c r="S87" s="24" t="inlineStr">
        <is>
          <t>K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256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A</t>
        </is>
      </c>
      <c r="N88" s="38" t="inlineStr">
        <is>
          <t>M5</t>
        </is>
      </c>
      <c r="O88" s="38" t="inlineStr">
        <is>
          <t>M3</t>
        </is>
      </c>
      <c r="P88" s="38" t="inlineStr">
        <is>
          <t>M2</t>
        </is>
      </c>
      <c r="Q88" s="38" t="inlineStr">
        <is>
          <t>A</t>
        </is>
      </c>
      <c r="R88" s="38" t="inlineStr">
        <is>
          <t>M6</t>
        </is>
      </c>
      <c r="S88" s="24" t="inlineStr">
        <is>
          <t>TE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TE</t>
        </is>
      </c>
      <c r="N89" s="38" t="inlineStr">
        <is>
          <t>Q</t>
        </is>
      </c>
      <c r="O89" s="38" t="inlineStr">
        <is>
          <t>J</t>
        </is>
      </c>
      <c r="P89" s="38" t="inlineStr">
        <is>
          <t>M6</t>
        </is>
      </c>
      <c r="Q89" s="38" t="inlineStr">
        <is>
          <t>M2</t>
        </is>
      </c>
      <c r="R89" s="38" t="inlineStr">
        <is>
          <t>M4</t>
        </is>
      </c>
      <c r="S89" s="24" t="inlineStr">
        <is>
          <t>A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TE</t>
        </is>
      </c>
      <c r="N90" s="38" t="inlineStr">
        <is>
          <t>GQ</t>
        </is>
      </c>
      <c r="O90" s="38" t="inlineStr">
        <is>
          <t>GK</t>
        </is>
      </c>
      <c r="P90" s="38" t="inlineStr">
        <is>
          <t>GA</t>
        </is>
      </c>
      <c r="Q90" s="38" t="inlineStr">
        <is>
          <t>G4</t>
        </is>
      </c>
      <c r="R90" s="38" t="inlineStr">
        <is>
          <t>M1</t>
        </is>
      </c>
      <c r="S90" s="24" t="inlineStr">
        <is>
          <t>J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Q</t>
        </is>
      </c>
      <c r="N91" s="38" t="inlineStr">
        <is>
          <t>Q</t>
        </is>
      </c>
      <c r="O91" s="38" t="inlineStr">
        <is>
          <t>M2</t>
        </is>
      </c>
      <c r="P91" s="38" t="inlineStr">
        <is>
          <t>Q</t>
        </is>
      </c>
      <c r="Q91" s="38" t="inlineStr">
        <is>
          <t>M5</t>
        </is>
      </c>
      <c r="R91" s="38" t="inlineStr">
        <is>
          <t>M6</t>
        </is>
      </c>
      <c r="S91" s="24" t="inlineStr">
        <is>
          <t>Q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J</t>
        </is>
      </c>
      <c r="N92" s="38" t="inlineStr">
        <is>
          <t>M6</t>
        </is>
      </c>
      <c r="O92" s="38" t="inlineStr">
        <is>
          <t>K</t>
        </is>
      </c>
      <c r="P92" s="38" t="inlineStr">
        <is>
          <t>J</t>
        </is>
      </c>
      <c r="Q92" s="38" t="inlineStr">
        <is>
          <t>Q</t>
        </is>
      </c>
      <c r="R92" s="38" t="inlineStr">
        <is>
          <t>M6</t>
        </is>
      </c>
      <c r="S92" s="24" t="inlineStr">
        <is>
          <t>TE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inlineStr">
        <is>
          <t>M1</t>
        </is>
      </c>
      <c r="N93" s="38" t="inlineStr">
        <is>
          <t>M5</t>
        </is>
      </c>
      <c r="O93" s="38" t="inlineStr">
        <is>
          <t>G6</t>
        </is>
      </c>
      <c r="P93" s="38" t="inlineStr">
        <is>
          <t>M6</t>
        </is>
      </c>
      <c r="Q93" s="38" t="inlineStr">
        <is>
          <t>M2</t>
        </is>
      </c>
      <c r="R93" s="38" t="inlineStr">
        <is>
          <t>M2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11391</v>
      </c>
      <c r="AM93" s="153">
        <v>12027</v>
      </c>
      <c r="AN93" s="153">
        <v>11031</v>
      </c>
      <c r="AO93" s="153">
        <v>15810</v>
      </c>
      <c r="AP93" s="153">
        <v>7833</v>
      </c>
      <c r="AQ93" s="153">
        <v>9189</v>
      </c>
      <c r="AR93" s="153">
        <v>9189</v>
      </c>
      <c r="AS93" s="150">
        <v>2</v>
      </c>
    </row>
    <row r="94" spans="12:45" x14ac:dyDescent="0.3">
      <c r="L94" s="15">
        <v>91</v>
      </c>
      <c r="M94" s="155" t="inlineStr">
        <is>
          <t>K</t>
        </is>
      </c>
      <c r="N94" s="155" t="inlineStr">
        <is>
          <t>M5</t>
        </is>
      </c>
      <c r="O94" s="155" t="inlineStr">
        <is>
          <t>G2</t>
        </is>
      </c>
      <c r="P94" s="155" t="inlineStr">
        <is>
          <t>GK</t>
        </is>
      </c>
      <c r="Q94" s="155" t="inlineStr">
        <is>
          <t>M4</t>
        </is>
      </c>
      <c r="R94" s="155" t="inlineStr">
        <is>
          <t>M1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13474</v>
      </c>
      <c r="AN94" s="153">
        <v>10544</v>
      </c>
      <c r="AO94" s="153">
        <v>10471</v>
      </c>
      <c r="AP94" s="153">
        <v>9160</v>
      </c>
      <c r="AQ94" s="153">
        <v>13747</v>
      </c>
      <c r="AR94" s="153">
        <v>13826</v>
      </c>
      <c r="AS94" s="150">
        <v>3</v>
      </c>
    </row>
    <row r="95" spans="12:45" x14ac:dyDescent="0.3">
      <c r="L95" s="14">
        <v>92</v>
      </c>
      <c r="M95" s="38" t="inlineStr">
        <is>
          <t>M5</t>
        </is>
      </c>
      <c r="N95" s="38" t="inlineStr">
        <is>
          <t>GK</t>
        </is>
      </c>
      <c r="O95" s="38" t="inlineStr">
        <is>
          <t>M5</t>
        </is>
      </c>
      <c r="P95" s="38" t="inlineStr">
        <is>
          <t>J</t>
        </is>
      </c>
      <c r="Q95" s="38" t="inlineStr">
        <is>
          <t>M4</t>
        </is>
      </c>
      <c r="R95" s="38" t="inlineStr">
        <is>
          <t>K</t>
        </is>
      </c>
      <c r="S95" s="24" t="inlineStr">
        <is>
          <t>Q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54194</v>
      </c>
      <c r="AN95" s="153">
        <v>30603</v>
      </c>
      <c r="AO95" s="153">
        <v>47195</v>
      </c>
      <c r="AP95" s="153">
        <v>4381</v>
      </c>
      <c r="AQ95" s="153">
        <v>15274</v>
      </c>
      <c r="AR95" s="153">
        <v>15361</v>
      </c>
      <c r="AS95" s="150">
        <v>4</v>
      </c>
    </row>
    <row r="96" spans="12:45" x14ac:dyDescent="0.3">
      <c r="L96" s="15">
        <v>93</v>
      </c>
      <c r="M96" s="38" t="inlineStr">
        <is>
          <t>J</t>
        </is>
      </c>
      <c r="N96" s="38" t="inlineStr">
        <is>
          <t>M2</t>
        </is>
      </c>
      <c r="O96" s="38" t="inlineStr">
        <is>
          <t>GQ</t>
        </is>
      </c>
      <c r="P96" s="38" t="inlineStr">
        <is>
          <t>M5</t>
        </is>
      </c>
      <c r="Q96" s="38" t="inlineStr">
        <is>
          <t>TE</t>
        </is>
      </c>
      <c r="R96" s="38" t="inlineStr">
        <is>
          <t>J</t>
        </is>
      </c>
      <c r="S96" s="24" t="inlineStr">
        <is>
          <t>M1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137998</v>
      </c>
      <c r="AN96" s="153">
        <v>99272</v>
      </c>
      <c r="AO96" s="153">
        <v>121675</v>
      </c>
      <c r="AP96" s="153">
        <v>112704</v>
      </c>
      <c r="AQ96" s="153">
        <v>110481</v>
      </c>
      <c r="AR96" s="153">
        <v>111112</v>
      </c>
      <c r="AS96" s="150">
        <v>5</v>
      </c>
    </row>
    <row r="97" spans="12:45" x14ac:dyDescent="0.3">
      <c r="L97" s="14">
        <v>94</v>
      </c>
      <c r="M97" s="38" t="inlineStr">
        <is>
          <t>K</t>
        </is>
      </c>
      <c r="N97" s="38" t="inlineStr">
        <is>
          <t>M3</t>
        </is>
      </c>
      <c r="O97" s="38" t="inlineStr">
        <is>
          <t>M3</t>
        </is>
      </c>
      <c r="P97" s="38" t="inlineStr">
        <is>
          <t>M3</t>
        </is>
      </c>
      <c r="Q97" s="38" t="inlineStr">
        <is>
          <t>GK</t>
        </is>
      </c>
      <c r="R97" s="38" t="inlineStr">
        <is>
          <t>K</t>
        </is>
      </c>
      <c r="S97" s="24" t="inlineStr">
        <is>
          <t>M1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35342</v>
      </c>
      <c r="AN97" s="153">
        <v>129605</v>
      </c>
      <c r="AO97" s="153">
        <v>34510</v>
      </c>
      <c r="AP97" s="153">
        <v>46196</v>
      </c>
      <c r="AQ97" s="153">
        <v>38185</v>
      </c>
      <c r="AR97" s="153">
        <v>38403</v>
      </c>
      <c r="AS97" s="150">
        <v>6</v>
      </c>
    </row>
    <row r="98" spans="12:45" x14ac:dyDescent="0.3">
      <c r="L98" s="15">
        <v>95</v>
      </c>
      <c r="M98" s="38" t="inlineStr">
        <is>
          <t>Q</t>
        </is>
      </c>
      <c r="N98" s="38" t="inlineStr">
        <is>
          <t>J</t>
        </is>
      </c>
      <c r="O98" s="38" t="inlineStr">
        <is>
          <t>M1</t>
        </is>
      </c>
      <c r="P98" s="38" t="inlineStr">
        <is>
          <t>K</t>
        </is>
      </c>
      <c r="Q98" s="38" t="inlineStr">
        <is>
          <t>K</t>
        </is>
      </c>
      <c r="R98" s="38" t="inlineStr">
        <is>
          <t>J</t>
        </is>
      </c>
      <c r="S98" s="24" t="inlineStr">
        <is>
          <t>M3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132916</v>
      </c>
      <c r="AN98" s="153">
        <v>30226</v>
      </c>
      <c r="AO98" s="153">
        <v>136866</v>
      </c>
      <c r="AP98" s="153">
        <v>136202</v>
      </c>
      <c r="AQ98" s="153">
        <v>159356</v>
      </c>
      <c r="AR98" s="153">
        <v>160267</v>
      </c>
      <c r="AS98" s="150">
        <v>7</v>
      </c>
    </row>
    <row r="99" spans="12:45" x14ac:dyDescent="0.3">
      <c r="L99" s="14">
        <v>96</v>
      </c>
      <c r="M99" s="38" t="inlineStr">
        <is>
          <t>M4</t>
        </is>
      </c>
      <c r="N99" s="38" t="inlineStr">
        <is>
          <t>G4</t>
        </is>
      </c>
      <c r="O99" s="38" t="inlineStr">
        <is>
          <t>M2</t>
        </is>
      </c>
      <c r="P99" s="38" t="inlineStr">
        <is>
          <t>G6</t>
        </is>
      </c>
      <c r="Q99" s="38" t="inlineStr">
        <is>
          <t>M2</t>
        </is>
      </c>
      <c r="R99" s="38" t="inlineStr">
        <is>
          <t>A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72398</v>
      </c>
      <c r="AN99" s="37">
        <v>168860</v>
      </c>
      <c r="AO99" s="37">
        <v>71382</v>
      </c>
      <c r="AP99" s="37">
        <v>58144</v>
      </c>
      <c r="AQ99" s="37">
        <v>57531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M5</t>
        </is>
      </c>
      <c r="O100" s="38" t="inlineStr">
        <is>
          <t>M5</t>
        </is>
      </c>
      <c r="P100" s="38" t="inlineStr">
        <is>
          <t>M4</t>
        </is>
      </c>
      <c r="Q100" s="38" t="inlineStr">
        <is>
          <t>A</t>
        </is>
      </c>
      <c r="R100" s="38" t="inlineStr">
        <is>
          <t>M5</t>
        </is>
      </c>
      <c r="S100" s="24" t="inlineStr">
        <is>
          <t>M6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113768</v>
      </c>
      <c r="AN100" s="37">
        <v>60017</v>
      </c>
      <c r="AO100" s="37">
        <v>111498</v>
      </c>
      <c r="AP100" s="37">
        <v>164479</v>
      </c>
      <c r="AQ100" s="37">
        <v>138992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K</t>
        </is>
      </c>
      <c r="N101" s="38" t="inlineStr">
        <is>
          <t>A</t>
        </is>
      </c>
      <c r="O101" s="38" t="inlineStr">
        <is>
          <t>GJ</t>
        </is>
      </c>
      <c r="P101" s="38" t="inlineStr">
        <is>
          <t>G2</t>
        </is>
      </c>
      <c r="Q101" s="38" t="inlineStr">
        <is>
          <t>GQ</t>
        </is>
      </c>
      <c r="R101" s="38" t="inlineStr">
        <is>
          <t>M3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91784</v>
      </c>
      <c r="AN101" s="37">
        <v>160047</v>
      </c>
      <c r="AO101" s="37">
        <v>102207</v>
      </c>
      <c r="AP101" s="37">
        <v>87615</v>
      </c>
      <c r="AQ101" s="37">
        <v>84007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M3</t>
        </is>
      </c>
      <c r="O102" s="38" t="inlineStr">
        <is>
          <t>M3</t>
        </is>
      </c>
      <c r="P102" s="38" t="inlineStr">
        <is>
          <t>TE</t>
        </is>
      </c>
      <c r="Q102" s="38" t="inlineStr">
        <is>
          <t>TE</t>
        </is>
      </c>
      <c r="R102" s="38" t="inlineStr">
        <is>
          <t>M6</t>
        </is>
      </c>
      <c r="S102" s="24" t="inlineStr">
        <is>
          <t>M2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142963</v>
      </c>
      <c r="AN102" s="37">
        <v>97272</v>
      </c>
      <c r="AO102" s="37">
        <v>146156</v>
      </c>
      <c r="AP102" s="37">
        <v>180806</v>
      </c>
      <c r="AQ102" s="37">
        <v>192451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G4</t>
        </is>
      </c>
      <c r="O103" s="155" t="inlineStr">
        <is>
          <t>K</t>
        </is>
      </c>
      <c r="P103" s="155" t="inlineStr">
        <is>
          <t>M3</t>
        </is>
      </c>
      <c r="Q103" s="155" t="inlineStr">
        <is>
          <t>WW</t>
        </is>
      </c>
      <c r="R103" s="155" t="inlineStr">
        <is>
          <t>J</t>
        </is>
      </c>
      <c r="S103" s="156" t="inlineStr">
        <is>
          <t>M5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118495</v>
      </c>
      <c r="AN103" s="37">
        <v>117170</v>
      </c>
      <c r="AO103" s="37">
        <v>119021</v>
      </c>
      <c r="AP103" s="37">
        <v>126245</v>
      </c>
      <c r="AQ103" s="37">
        <v>141028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TE</t>
        </is>
      </c>
      <c r="N104" s="38" t="inlineStr">
        <is>
          <t>Q</t>
        </is>
      </c>
      <c r="O104" s="38" t="inlineStr">
        <is>
          <t>G5</t>
        </is>
      </c>
      <c r="P104" s="38" t="inlineStr">
        <is>
          <t>A</t>
        </is>
      </c>
      <c r="Q104" s="38" t="inlineStr">
        <is>
          <t>TE</t>
        </is>
      </c>
      <c r="R104" s="38" t="inlineStr">
        <is>
          <t>J</t>
        </is>
      </c>
      <c r="S104" s="24" t="inlineStr">
        <is>
          <t>TE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G6</t>
        </is>
      </c>
      <c r="P105" s="38" t="inlineStr">
        <is>
          <t>G4</t>
        </is>
      </c>
      <c r="Q105" s="38" t="inlineStr">
        <is>
          <t>M2</t>
        </is>
      </c>
      <c r="R105" s="38" t="inlineStr">
        <is>
          <t>J</t>
        </is>
      </c>
      <c r="S105" s="24" t="inlineStr">
        <is>
          <t>M6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1635</v>
      </c>
      <c r="AN105" s="153">
        <v>1380</v>
      </c>
      <c r="AO105" s="153">
        <v>1375</v>
      </c>
      <c r="AP105" s="153">
        <v>525</v>
      </c>
      <c r="AQ105" s="153">
        <v>395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M2</t>
        </is>
      </c>
      <c r="N106" s="38" t="inlineStr">
        <is>
          <t>G3</t>
        </is>
      </c>
      <c r="O106" s="38" t="inlineStr">
        <is>
          <t>K</t>
        </is>
      </c>
      <c r="P106" s="38" t="inlineStr">
        <is>
          <t>M4</t>
        </is>
      </c>
      <c r="Q106" s="38" t="inlineStr">
        <is>
          <t>M1</t>
        </is>
      </c>
      <c r="R106" s="38" t="inlineStr">
        <is>
          <t>M4</t>
        </is>
      </c>
      <c r="S106" s="24" t="inlineStr">
        <is>
          <t>M2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6565</v>
      </c>
      <c r="AN106" s="153">
        <v>4015</v>
      </c>
      <c r="AO106" s="153">
        <v>6200</v>
      </c>
      <c r="AP106" s="153">
        <v>250</v>
      </c>
      <c r="AQ106" s="153">
        <v>435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M1</t>
        </is>
      </c>
      <c r="N107" s="38" t="inlineStr">
        <is>
          <t>M6</t>
        </is>
      </c>
      <c r="O107" s="38" t="inlineStr">
        <is>
          <t>M4</t>
        </is>
      </c>
      <c r="P107" s="38" t="inlineStr">
        <is>
          <t>K</t>
        </is>
      </c>
      <c r="Q107" s="38" t="inlineStr">
        <is>
          <t>M2</t>
        </is>
      </c>
      <c r="R107" s="38" t="inlineStr">
        <is>
          <t>K</t>
        </is>
      </c>
      <c r="S107" s="24" t="inlineStr">
        <is>
          <t>J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16720</v>
      </c>
      <c r="AN107" s="153">
        <v>13010</v>
      </c>
      <c r="AO107" s="153">
        <v>15985</v>
      </c>
      <c r="AP107" s="153">
        <v>6470</v>
      </c>
      <c r="AQ107" s="153">
        <v>3155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TE</t>
        </is>
      </c>
      <c r="N108" s="38" t="inlineStr">
        <is>
          <t>G5</t>
        </is>
      </c>
      <c r="O108" s="38" t="inlineStr">
        <is>
          <t>M6</t>
        </is>
      </c>
      <c r="P108" s="38" t="inlineStr">
        <is>
          <t>M3</t>
        </is>
      </c>
      <c r="Q108" s="38" t="inlineStr">
        <is>
          <t>M5</t>
        </is>
      </c>
      <c r="R108" s="38" t="inlineStr">
        <is>
          <t>M2</t>
        </is>
      </c>
      <c r="S108" s="24" t="inlineStr">
        <is>
          <t>K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4280</v>
      </c>
      <c r="AN108" s="153">
        <v>16985</v>
      </c>
      <c r="AO108" s="153">
        <v>4535</v>
      </c>
      <c r="AP108" s="153">
        <v>2655</v>
      </c>
      <c r="AQ108" s="153">
        <v>1090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GK</t>
        </is>
      </c>
      <c r="O109" s="38" t="inlineStr">
        <is>
          <t>M1</t>
        </is>
      </c>
      <c r="P109" s="38" t="inlineStr">
        <is>
          <t>GA</t>
        </is>
      </c>
      <c r="Q109" s="38" t="inlineStr">
        <is>
          <t>M3</t>
        </is>
      </c>
      <c r="R109" s="38" t="inlineStr">
        <is>
          <t>G6</t>
        </is>
      </c>
      <c r="S109" s="24" t="inlineStr">
        <is>
          <t>M6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16100</v>
      </c>
      <c r="AN109" s="153">
        <v>3960</v>
      </c>
      <c r="AO109" s="153">
        <v>17975</v>
      </c>
      <c r="AP109" s="153">
        <v>7820</v>
      </c>
      <c r="AQ109" s="153">
        <v>4555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A</t>
        </is>
      </c>
      <c r="N110" s="38" t="inlineStr">
        <is>
          <t>M2</t>
        </is>
      </c>
      <c r="O110" s="38" t="inlineStr">
        <is>
          <t>G4</t>
        </is>
      </c>
      <c r="P110" s="38" t="inlineStr">
        <is>
          <t>M3</t>
        </is>
      </c>
      <c r="Q110" s="38" t="inlineStr">
        <is>
          <t>GT</t>
        </is>
      </c>
      <c r="R110" s="38" t="inlineStr">
        <is>
          <t>M1</t>
        </is>
      </c>
      <c r="S110" s="24" t="inlineStr">
        <is>
          <t>M4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8770</v>
      </c>
      <c r="AN110" s="37">
        <v>22125</v>
      </c>
      <c r="AO110" s="37">
        <v>9380</v>
      </c>
      <c r="AP110" s="37">
        <v>3340</v>
      </c>
      <c r="AQ110" s="37">
        <v>1645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M6</t>
        </is>
      </c>
      <c r="N111" s="38" t="inlineStr">
        <is>
          <t>M5</t>
        </is>
      </c>
      <c r="O111" s="38" t="inlineStr">
        <is>
          <t>G4</t>
        </is>
      </c>
      <c r="P111" s="38" t="inlineStr">
        <is>
          <t>K</t>
        </is>
      </c>
      <c r="Q111" s="38" t="inlineStr">
        <is>
          <t>M6</t>
        </is>
      </c>
      <c r="R111" s="38" t="inlineStr">
        <is>
          <t>M5</t>
        </is>
      </c>
      <c r="S111" s="24" t="inlineStr">
        <is>
          <t>J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13780</v>
      </c>
      <c r="AN111" s="37">
        <v>7865</v>
      </c>
      <c r="AO111" s="37">
        <v>14645</v>
      </c>
      <c r="AP111" s="37">
        <v>9435</v>
      </c>
      <c r="AQ111" s="37">
        <v>3970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Q</t>
        </is>
      </c>
      <c r="N112" s="155" t="inlineStr">
        <is>
          <t>M3</t>
        </is>
      </c>
      <c r="O112" s="155" t="inlineStr">
        <is>
          <t>J</t>
        </is>
      </c>
      <c r="P112" s="155" t="inlineStr">
        <is>
          <t>TE</t>
        </is>
      </c>
      <c r="Q112" s="155" t="inlineStr">
        <is>
          <t>K</t>
        </is>
      </c>
      <c r="R112" s="155" t="inlineStr">
        <is>
          <t>M6</t>
        </is>
      </c>
      <c r="S112" s="156" t="inlineStr">
        <is>
          <t>J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11110</v>
      </c>
      <c r="AN112" s="37">
        <v>20970</v>
      </c>
      <c r="AO112" s="37">
        <v>13425</v>
      </c>
      <c r="AP112" s="37">
        <v>5030</v>
      </c>
      <c r="AQ112" s="37">
        <v>2400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M3</t>
        </is>
      </c>
      <c r="N113" s="38" t="inlineStr">
        <is>
          <t>GT</t>
        </is>
      </c>
      <c r="O113" s="38" t="inlineStr">
        <is>
          <t>GQ</t>
        </is>
      </c>
      <c r="P113" s="38" t="inlineStr">
        <is>
          <t>G3</t>
        </is>
      </c>
      <c r="Q113" s="38" t="inlineStr">
        <is>
          <t>M5</t>
        </is>
      </c>
      <c r="R113" s="38" t="inlineStr">
        <is>
          <t>J</t>
        </is>
      </c>
      <c r="S113" s="24" t="inlineStr">
        <is>
          <t>M2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17315</v>
      </c>
      <c r="AN113" s="37">
        <v>12745</v>
      </c>
      <c r="AO113" s="37">
        <v>19200</v>
      </c>
      <c r="AP113" s="37">
        <v>10380</v>
      </c>
      <c r="AQ113" s="37">
        <v>5495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M6</t>
        </is>
      </c>
      <c r="N114" s="38" t="inlineStr">
        <is>
          <t>M2</t>
        </is>
      </c>
      <c r="O114" s="38" t="inlineStr">
        <is>
          <t>G4</t>
        </is>
      </c>
      <c r="P114" s="38" t="inlineStr">
        <is>
          <t>J</t>
        </is>
      </c>
      <c r="Q114" s="38" t="inlineStr">
        <is>
          <t>A</t>
        </is>
      </c>
      <c r="R114" s="38" t="inlineStr">
        <is>
          <t>A</t>
        </is>
      </c>
      <c r="S114" s="24" t="inlineStr">
        <is>
          <t>K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14355</v>
      </c>
      <c r="AN114" s="37">
        <v>15355</v>
      </c>
      <c r="AO114" s="37">
        <v>15630</v>
      </c>
      <c r="AP114" s="37">
        <v>7250</v>
      </c>
      <c r="AQ114" s="37">
        <v>4030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TE</t>
        </is>
      </c>
      <c r="N115" s="38" t="inlineStr">
        <is>
          <t>TE</t>
        </is>
      </c>
      <c r="O115" s="38" t="inlineStr">
        <is>
          <t>Q</t>
        </is>
      </c>
      <c r="P115" s="38" t="inlineStr">
        <is>
          <t>Q</t>
        </is>
      </c>
      <c r="Q115" s="38" t="inlineStr">
        <is>
          <t>GQ</t>
        </is>
      </c>
      <c r="R115" s="38" t="inlineStr">
        <is>
          <t>J</t>
        </is>
      </c>
      <c r="S115" s="24" t="inlineStr">
        <is>
          <t>M2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M1</t>
        </is>
      </c>
      <c r="N116" s="38" t="inlineStr">
        <is>
          <t>M2</t>
        </is>
      </c>
      <c r="O116" s="38" t="inlineStr">
        <is>
          <t>GK</t>
        </is>
      </c>
      <c r="P116" s="38" t="inlineStr">
        <is>
          <t>G3</t>
        </is>
      </c>
      <c r="Q116" s="38" t="inlineStr">
        <is>
          <t>M2</t>
        </is>
      </c>
      <c r="R116" s="38" t="inlineStr">
        <is>
          <t>GK</t>
        </is>
      </c>
      <c r="S116" s="24" t="inlineStr">
        <is>
          <t>A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256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M4</t>
        </is>
      </c>
      <c r="O117" s="38" t="inlineStr">
        <is>
          <t>G4</t>
        </is>
      </c>
      <c r="P117" s="38" t="inlineStr">
        <is>
          <t>M2</t>
        </is>
      </c>
      <c r="Q117" s="38" t="inlineStr">
        <is>
          <t>Q</t>
        </is>
      </c>
      <c r="R117" s="38" t="inlineStr">
        <is>
          <t>TE</t>
        </is>
      </c>
      <c r="S117" s="24" t="inlineStr">
        <is>
          <t>J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A</t>
        </is>
      </c>
      <c r="O118" s="38" t="inlineStr">
        <is>
          <t>K</t>
        </is>
      </c>
      <c r="P118" s="38" t="inlineStr">
        <is>
          <t>K</t>
        </is>
      </c>
      <c r="Q118" s="38" t="inlineStr">
        <is>
          <t>J</t>
        </is>
      </c>
      <c r="R118" s="38" t="inlineStr">
        <is>
          <t>GT</t>
        </is>
      </c>
      <c r="S118" s="24" t="inlineStr">
        <is>
          <t>M4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M6</t>
        </is>
      </c>
      <c r="N119" s="38" t="inlineStr">
        <is>
          <t>M3</t>
        </is>
      </c>
      <c r="O119" s="38" t="inlineStr">
        <is>
          <t>G3</t>
        </is>
      </c>
      <c r="P119" s="38" t="inlineStr">
        <is>
          <t>M3</t>
        </is>
      </c>
      <c r="Q119" s="38" t="inlineStr">
        <is>
          <t>M1</t>
        </is>
      </c>
      <c r="R119" s="38" t="inlineStr">
        <is>
          <t>J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M3</t>
        </is>
      </c>
      <c r="N120" s="38" t="inlineStr">
        <is>
          <t>GJ</t>
        </is>
      </c>
      <c r="O120" s="38" t="inlineStr">
        <is>
          <t>K</t>
        </is>
      </c>
      <c r="P120" s="38" t="inlineStr">
        <is>
          <t>M1</t>
        </is>
      </c>
      <c r="Q120" s="38" t="inlineStr">
        <is>
          <t>G4</t>
        </is>
      </c>
      <c r="R120" s="38" t="inlineStr">
        <is>
          <t>J</t>
        </is>
      </c>
      <c r="S120" s="24" t="inlineStr">
        <is>
          <t>M4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TE</t>
        </is>
      </c>
      <c r="N121" s="155" t="inlineStr">
        <is>
          <t>TE</t>
        </is>
      </c>
      <c r="O121" s="155" t="inlineStr">
        <is>
          <t>J</t>
        </is>
      </c>
      <c r="P121" s="155" t="inlineStr">
        <is>
          <t>M6</t>
        </is>
      </c>
      <c r="Q121" s="155" t="inlineStr">
        <is>
          <t>GQ</t>
        </is>
      </c>
      <c r="R121" s="155" t="inlineStr">
        <is>
          <t>J</t>
        </is>
      </c>
      <c r="S121" s="156" t="inlineStr">
        <is>
          <t>K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G6</t>
        </is>
      </c>
      <c r="O122" s="38" t="inlineStr">
        <is>
          <t>J</t>
        </is>
      </c>
      <c r="P122" s="38" t="inlineStr">
        <is>
          <t>M6</t>
        </is>
      </c>
      <c r="Q122" s="38" t="inlineStr">
        <is>
          <t>M1</t>
        </is>
      </c>
      <c r="R122" s="38" t="inlineStr">
        <is>
          <t>K</t>
        </is>
      </c>
      <c r="S122" s="24" t="inlineStr">
        <is>
          <t>M3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11391</v>
      </c>
      <c r="AM122" s="153">
        <v>12027</v>
      </c>
      <c r="AN122" s="153">
        <v>11031</v>
      </c>
      <c r="AO122" s="153">
        <v>15810</v>
      </c>
      <c r="AP122" s="153">
        <v>7833</v>
      </c>
      <c r="AQ122" s="153">
        <v>9189</v>
      </c>
      <c r="AR122" s="153">
        <v>9189</v>
      </c>
      <c r="AS122" s="150">
        <v>2</v>
      </c>
    </row>
    <row r="123" spans="12:46" x14ac:dyDescent="0.3">
      <c r="L123" s="15">
        <v>120</v>
      </c>
      <c r="M123" s="38" t="inlineStr">
        <is>
          <t>J</t>
        </is>
      </c>
      <c r="N123" s="38" t="inlineStr">
        <is>
          <t>Q</t>
        </is>
      </c>
      <c r="O123" s="38" t="inlineStr">
        <is>
          <t>G3</t>
        </is>
      </c>
      <c r="P123" s="38" t="inlineStr">
        <is>
          <t>M2</t>
        </is>
      </c>
      <c r="Q123" s="38" t="inlineStr">
        <is>
          <t>K</t>
        </is>
      </c>
      <c r="R123" s="38" t="inlineStr">
        <is>
          <t>TE</t>
        </is>
      </c>
      <c r="S123" s="24" t="inlineStr">
        <is>
          <t>M6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13474</v>
      </c>
      <c r="AN123" s="153">
        <v>10544</v>
      </c>
      <c r="AO123" s="153">
        <v>10471</v>
      </c>
      <c r="AP123" s="153">
        <v>9160</v>
      </c>
      <c r="AQ123" s="153">
        <v>13747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inlineStr">
        <is>
          <t>Q</t>
        </is>
      </c>
      <c r="N124" s="38" t="inlineStr">
        <is>
          <t>Q</t>
        </is>
      </c>
      <c r="O124" s="38" t="inlineStr">
        <is>
          <t>M5</t>
        </is>
      </c>
      <c r="P124" s="38" t="inlineStr">
        <is>
          <t>GT</t>
        </is>
      </c>
      <c r="Q124" s="38" t="inlineStr">
        <is>
          <t>TE</t>
        </is>
      </c>
      <c r="R124" s="38" t="inlineStr">
        <is>
          <t>M2</t>
        </is>
      </c>
      <c r="S124" s="24" t="inlineStr">
        <is>
          <t>Q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54194</v>
      </c>
      <c r="AN124" s="153">
        <v>30603</v>
      </c>
      <c r="AO124" s="153">
        <v>47195</v>
      </c>
      <c r="AP124" s="153">
        <v>4381</v>
      </c>
      <c r="AQ124" s="153">
        <v>15274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inlineStr">
        <is>
          <t>A</t>
        </is>
      </c>
      <c r="N125" s="38" t="inlineStr">
        <is>
          <t>K</t>
        </is>
      </c>
      <c r="O125" s="38" t="inlineStr">
        <is>
          <t>M2</t>
        </is>
      </c>
      <c r="P125" s="38" t="inlineStr">
        <is>
          <t>K</t>
        </is>
      </c>
      <c r="Q125" s="38" t="inlineStr">
        <is>
          <t>J</t>
        </is>
      </c>
      <c r="R125" s="38" t="inlineStr">
        <is>
          <t>M2</t>
        </is>
      </c>
      <c r="S125" s="24" t="inlineStr">
        <is>
          <t>Q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137998</v>
      </c>
      <c r="AN125" s="153">
        <v>99272</v>
      </c>
      <c r="AO125" s="153">
        <v>121675</v>
      </c>
      <c r="AP125" s="153">
        <v>112704</v>
      </c>
      <c r="AQ125" s="153">
        <v>110481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inlineStr">
        <is>
          <t>M6</t>
        </is>
      </c>
      <c r="N126" s="38" t="inlineStr">
        <is>
          <t>GQ</t>
        </is>
      </c>
      <c r="O126" s="38" t="inlineStr">
        <is>
          <t>M6</t>
        </is>
      </c>
      <c r="P126" s="38" t="inlineStr">
        <is>
          <t>M6</t>
        </is>
      </c>
      <c r="Q126" s="38" t="inlineStr">
        <is>
          <t>J</t>
        </is>
      </c>
      <c r="R126" s="38" t="inlineStr">
        <is>
          <t>GJ</t>
        </is>
      </c>
      <c r="S126" s="24" t="inlineStr">
        <is>
          <t>M1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35342</v>
      </c>
      <c r="AN126" s="153">
        <v>129605</v>
      </c>
      <c r="AO126" s="153">
        <v>34510</v>
      </c>
      <c r="AP126" s="153">
        <v>46196</v>
      </c>
      <c r="AQ126" s="153">
        <v>38185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M4</t>
        </is>
      </c>
      <c r="O127" s="38" t="inlineStr">
        <is>
          <t>GT</t>
        </is>
      </c>
      <c r="P127" s="38" t="inlineStr">
        <is>
          <t>TE</t>
        </is>
      </c>
      <c r="Q127" s="38" t="inlineStr">
        <is>
          <t>M1</t>
        </is>
      </c>
      <c r="R127" s="38" t="inlineStr">
        <is>
          <t>Q</t>
        </is>
      </c>
      <c r="S127" s="24" t="inlineStr">
        <is>
          <t>M3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132916</v>
      </c>
      <c r="AN127" s="153">
        <v>30226</v>
      </c>
      <c r="AO127" s="153">
        <v>136866</v>
      </c>
      <c r="AP127" s="153">
        <v>136202</v>
      </c>
      <c r="AQ127" s="153">
        <v>159356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inlineStr">
        <is>
          <t>M5</t>
        </is>
      </c>
      <c r="N128" s="38" t="inlineStr">
        <is>
          <t>M2</t>
        </is>
      </c>
      <c r="O128" s="38" t="inlineStr">
        <is>
          <t>M4</t>
        </is>
      </c>
      <c r="P128" s="38" t="inlineStr">
        <is>
          <t>G6</t>
        </is>
      </c>
      <c r="Q128" s="38" t="inlineStr">
        <is>
          <t>Q</t>
        </is>
      </c>
      <c r="R128" s="38" t="inlineStr">
        <is>
          <t>J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72398</v>
      </c>
      <c r="AN128" s="37">
        <v>168860</v>
      </c>
      <c r="AO128" s="37">
        <v>71382</v>
      </c>
      <c r="AP128" s="37">
        <v>58144</v>
      </c>
      <c r="AQ128" s="37">
        <v>57531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J</t>
        </is>
      </c>
      <c r="N129" s="38" t="inlineStr">
        <is>
          <t>M6</t>
        </is>
      </c>
      <c r="O129" s="38" t="inlineStr">
        <is>
          <t>Q</t>
        </is>
      </c>
      <c r="P129" s="38" t="inlineStr">
        <is>
          <t>M2</t>
        </is>
      </c>
      <c r="Q129" s="38" t="inlineStr">
        <is>
          <t>GA</t>
        </is>
      </c>
      <c r="R129" s="38" t="inlineStr">
        <is>
          <t>G6</t>
        </is>
      </c>
      <c r="S129" s="24" t="inlineStr">
        <is>
          <t>A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113768</v>
      </c>
      <c r="AN129" s="37">
        <v>60017</v>
      </c>
      <c r="AO129" s="37">
        <v>111498</v>
      </c>
      <c r="AP129" s="37">
        <v>164479</v>
      </c>
      <c r="AQ129" s="37">
        <v>138992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K</t>
        </is>
      </c>
      <c r="N130" s="155" t="inlineStr">
        <is>
          <t>M1</t>
        </is>
      </c>
      <c r="O130" s="155" t="inlineStr">
        <is>
          <t>K</t>
        </is>
      </c>
      <c r="P130" s="155" t="inlineStr">
        <is>
          <t>M2</t>
        </is>
      </c>
      <c r="Q130" s="155" t="inlineStr">
        <is>
          <t>J</t>
        </is>
      </c>
      <c r="R130" s="155" t="inlineStr">
        <is>
          <t>J</t>
        </is>
      </c>
      <c r="S130" s="156" t="inlineStr">
        <is>
          <t>Q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91784</v>
      </c>
      <c r="AN130" s="37">
        <v>160047</v>
      </c>
      <c r="AO130" s="37">
        <v>102207</v>
      </c>
      <c r="AP130" s="37">
        <v>87615</v>
      </c>
      <c r="AQ130" s="37">
        <v>84007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M6</t>
        </is>
      </c>
      <c r="N131" s="38" t="inlineStr">
        <is>
          <t>G3</t>
        </is>
      </c>
      <c r="O131" s="38" t="inlineStr">
        <is>
          <t>GJ</t>
        </is>
      </c>
      <c r="P131" s="38" t="inlineStr">
        <is>
          <t>M6</t>
        </is>
      </c>
      <c r="Q131" s="38" t="inlineStr">
        <is>
          <t>Q</t>
        </is>
      </c>
      <c r="R131" s="38" t="inlineStr">
        <is>
          <t>M2</t>
        </is>
      </c>
      <c r="S131" s="24" t="inlineStr">
        <is>
          <t>K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142963</v>
      </c>
      <c r="AN131" s="37">
        <v>97272</v>
      </c>
      <c r="AO131" s="37">
        <v>146156</v>
      </c>
      <c r="AP131" s="37">
        <v>180806</v>
      </c>
      <c r="AQ131" s="37">
        <v>192451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TE</t>
        </is>
      </c>
      <c r="O132" s="38" t="inlineStr">
        <is>
          <t>K</t>
        </is>
      </c>
      <c r="P132" s="38" t="inlineStr">
        <is>
          <t>GJ</t>
        </is>
      </c>
      <c r="Q132" s="38" t="inlineStr">
        <is>
          <t>J</t>
        </is>
      </c>
      <c r="R132" s="38" t="inlineStr">
        <is>
          <t>M6</t>
        </is>
      </c>
      <c r="S132" s="24" t="inlineStr">
        <is>
          <t>A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118495</v>
      </c>
      <c r="AN132" s="37">
        <v>117170</v>
      </c>
      <c r="AO132" s="37">
        <v>119021</v>
      </c>
      <c r="AP132" s="37">
        <v>126245</v>
      </c>
      <c r="AQ132" s="37">
        <v>141028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K</t>
        </is>
      </c>
      <c r="N133" s="38" t="inlineStr">
        <is>
          <t>M4</t>
        </is>
      </c>
      <c r="O133" s="38" t="inlineStr">
        <is>
          <t>GQ</t>
        </is>
      </c>
      <c r="P133" s="38" t="inlineStr">
        <is>
          <t>A</t>
        </is>
      </c>
      <c r="Q133" s="38" t="inlineStr">
        <is>
          <t>Q</t>
        </is>
      </c>
      <c r="R133" s="38" t="inlineStr">
        <is>
          <t>M1</t>
        </is>
      </c>
      <c r="S133" s="24" t="inlineStr">
        <is>
          <t>M5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TE</t>
        </is>
      </c>
      <c r="N134" s="38" t="inlineStr">
        <is>
          <t>M3</t>
        </is>
      </c>
      <c r="O134" s="38" t="inlineStr">
        <is>
          <t>TE</t>
        </is>
      </c>
      <c r="P134" s="38" t="inlineStr">
        <is>
          <t>M2</t>
        </is>
      </c>
      <c r="Q134" s="38" t="inlineStr">
        <is>
          <t>G5</t>
        </is>
      </c>
      <c r="R134" s="38" t="inlineStr">
        <is>
          <t>M5</t>
        </is>
      </c>
      <c r="S134" s="24" t="inlineStr">
        <is>
          <t>M6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1635</v>
      </c>
      <c r="AN134" s="153">
        <v>1380</v>
      </c>
      <c r="AO134" s="153">
        <v>1375</v>
      </c>
      <c r="AP134" s="153">
        <v>525</v>
      </c>
      <c r="AQ134" s="153">
        <v>395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M4</t>
        </is>
      </c>
      <c r="N135" s="38" t="inlineStr">
        <is>
          <t>GQ</t>
        </is>
      </c>
      <c r="O135" s="38" t="inlineStr">
        <is>
          <t>GA</t>
        </is>
      </c>
      <c r="P135" s="38" t="inlineStr">
        <is>
          <t>TE</t>
        </is>
      </c>
      <c r="Q135" s="38" t="inlineStr">
        <is>
          <t>M6</t>
        </is>
      </c>
      <c r="R135" s="38" t="inlineStr">
        <is>
          <t>Q</t>
        </is>
      </c>
      <c r="S135" s="24" t="inlineStr">
        <is>
          <t>J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6565</v>
      </c>
      <c r="AN135" s="153">
        <v>4015</v>
      </c>
      <c r="AO135" s="153">
        <v>6200</v>
      </c>
      <c r="AP135" s="153">
        <v>250</v>
      </c>
      <c r="AQ135" s="153">
        <v>435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J</t>
        </is>
      </c>
      <c r="O136" s="38" t="inlineStr">
        <is>
          <t>Q</t>
        </is>
      </c>
      <c r="P136" s="38" t="inlineStr">
        <is>
          <t>Q</t>
        </is>
      </c>
      <c r="Q136" s="38" t="inlineStr">
        <is>
          <t>M2</t>
        </is>
      </c>
      <c r="R136" s="38" t="inlineStr">
        <is>
          <t>K</t>
        </is>
      </c>
      <c r="S136" s="24" t="inlineStr">
        <is>
          <t>M5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16720</v>
      </c>
      <c r="AN136" s="153">
        <v>13010</v>
      </c>
      <c r="AO136" s="153">
        <v>15985</v>
      </c>
      <c r="AP136" s="153">
        <v>6470</v>
      </c>
      <c r="AQ136" s="153">
        <v>3155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Q</t>
        </is>
      </c>
      <c r="N137" s="38" t="inlineStr">
        <is>
          <t>M6</t>
        </is>
      </c>
      <c r="O137" s="38" t="inlineStr">
        <is>
          <t>Q</t>
        </is>
      </c>
      <c r="P137" s="38" t="inlineStr">
        <is>
          <t>K</t>
        </is>
      </c>
      <c r="Q137" s="38" t="inlineStr">
        <is>
          <t>TE</t>
        </is>
      </c>
      <c r="R137" s="38" t="inlineStr">
        <is>
          <t>TE</t>
        </is>
      </c>
      <c r="S137" s="24" t="inlineStr">
        <is>
          <t>TE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4280</v>
      </c>
      <c r="AN137" s="153">
        <v>16985</v>
      </c>
      <c r="AO137" s="153">
        <v>4535</v>
      </c>
      <c r="AP137" s="153">
        <v>2655</v>
      </c>
      <c r="AQ137" s="153">
        <v>1090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K</t>
        </is>
      </c>
      <c r="N138" s="38" t="inlineStr">
        <is>
          <t>GA</t>
        </is>
      </c>
      <c r="O138" s="38" t="inlineStr">
        <is>
          <t>J</t>
        </is>
      </c>
      <c r="P138" s="38" t="inlineStr">
        <is>
          <t>GA</t>
        </is>
      </c>
      <c r="Q138" s="38" t="inlineStr">
        <is>
          <t>M5</t>
        </is>
      </c>
      <c r="R138" s="38" t="inlineStr">
        <is>
          <t>TE</t>
        </is>
      </c>
      <c r="S138" s="24" t="inlineStr">
        <is>
          <t>M4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16100</v>
      </c>
      <c r="AN138" s="153">
        <v>3960</v>
      </c>
      <c r="AO138" s="153">
        <v>17975</v>
      </c>
      <c r="AP138" s="153">
        <v>7820</v>
      </c>
      <c r="AQ138" s="153">
        <v>4555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TE</t>
        </is>
      </c>
      <c r="N139" s="155" t="inlineStr">
        <is>
          <t>G5</t>
        </is>
      </c>
      <c r="O139" s="155" t="inlineStr">
        <is>
          <t>M4</t>
        </is>
      </c>
      <c r="P139" s="155" t="inlineStr">
        <is>
          <t>TE</t>
        </is>
      </c>
      <c r="Q139" s="155" t="inlineStr">
        <is>
          <t>M6</t>
        </is>
      </c>
      <c r="R139" s="155" t="inlineStr">
        <is>
          <t>K</t>
        </is>
      </c>
      <c r="S139" s="156" t="inlineStr">
        <is>
          <t>M4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8770</v>
      </c>
      <c r="AN139" s="37">
        <v>22125</v>
      </c>
      <c r="AO139" s="37">
        <v>9380</v>
      </c>
      <c r="AP139" s="37">
        <v>3340</v>
      </c>
      <c r="AQ139" s="37">
        <v>1645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A</t>
        </is>
      </c>
      <c r="N140" s="38" t="inlineStr">
        <is>
          <t>K</t>
        </is>
      </c>
      <c r="O140" s="38" t="inlineStr">
        <is>
          <t>GT</t>
        </is>
      </c>
      <c r="P140" s="38" t="inlineStr">
        <is>
          <t>K</t>
        </is>
      </c>
      <c r="Q140" s="38" t="inlineStr">
        <is>
          <t>GA</t>
        </is>
      </c>
      <c r="R140" s="38" t="inlineStr">
        <is>
          <t>Q</t>
        </is>
      </c>
      <c r="S140" s="24" t="inlineStr">
        <is>
          <t>J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13780</v>
      </c>
      <c r="AN140" s="37">
        <v>7865</v>
      </c>
      <c r="AO140" s="37">
        <v>14645</v>
      </c>
      <c r="AP140" s="37">
        <v>9435</v>
      </c>
      <c r="AQ140" s="37">
        <v>3970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M5</t>
        </is>
      </c>
      <c r="N141" s="38" t="inlineStr">
        <is>
          <t>GA</t>
        </is>
      </c>
      <c r="O141" s="38" t="inlineStr">
        <is>
          <t>Q</t>
        </is>
      </c>
      <c r="P141" s="38" t="inlineStr">
        <is>
          <t>K</t>
        </is>
      </c>
      <c r="Q141" s="38" t="inlineStr">
        <is>
          <t>GQ</t>
        </is>
      </c>
      <c r="R141" s="38" t="inlineStr">
        <is>
          <t>M1</t>
        </is>
      </c>
      <c r="S141" s="24" t="inlineStr">
        <is>
          <t>M4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11110</v>
      </c>
      <c r="AN141" s="37">
        <v>20970</v>
      </c>
      <c r="AO141" s="37">
        <v>13425</v>
      </c>
      <c r="AP141" s="37">
        <v>5030</v>
      </c>
      <c r="AQ141" s="37">
        <v>2400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M3</t>
        </is>
      </c>
      <c r="N142" s="38" t="inlineStr">
        <is>
          <t>G5</t>
        </is>
      </c>
      <c r="O142" s="38" t="inlineStr">
        <is>
          <t>Q</t>
        </is>
      </c>
      <c r="P142" s="38" t="inlineStr">
        <is>
          <t>M6</t>
        </is>
      </c>
      <c r="Q142" s="38" t="inlineStr">
        <is>
          <t>G3</t>
        </is>
      </c>
      <c r="R142" s="38" t="inlineStr">
        <is>
          <t>M5</t>
        </is>
      </c>
      <c r="S142" s="24" t="inlineStr">
        <is>
          <t>A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17315</v>
      </c>
      <c r="AN142" s="37">
        <v>12745</v>
      </c>
      <c r="AO142" s="37">
        <v>19200</v>
      </c>
      <c r="AP142" s="37">
        <v>10380</v>
      </c>
      <c r="AQ142" s="37">
        <v>5495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M1</t>
        </is>
      </c>
      <c r="N143" s="38" t="inlineStr">
        <is>
          <t>GQ</t>
        </is>
      </c>
      <c r="O143" s="38" t="inlineStr">
        <is>
          <t>J</t>
        </is>
      </c>
      <c r="P143" s="38" t="inlineStr">
        <is>
          <t>Q</t>
        </is>
      </c>
      <c r="Q143" s="38" t="inlineStr">
        <is>
          <t>GT</t>
        </is>
      </c>
      <c r="R143" s="38" t="inlineStr">
        <is>
          <t>G6</t>
        </is>
      </c>
      <c r="S143" s="24" t="inlineStr">
        <is>
          <t>M6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14355</v>
      </c>
      <c r="AN143" s="37">
        <v>15355</v>
      </c>
      <c r="AO143" s="37">
        <v>15630</v>
      </c>
      <c r="AP143" s="37">
        <v>7250</v>
      </c>
      <c r="AQ143" s="37">
        <v>4030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M6</t>
        </is>
      </c>
      <c r="N144" s="38" t="inlineStr">
        <is>
          <t>GA</t>
        </is>
      </c>
      <c r="O144" s="38" t="inlineStr">
        <is>
          <t>A</t>
        </is>
      </c>
      <c r="P144" s="38" t="inlineStr">
        <is>
          <t>G2</t>
        </is>
      </c>
      <c r="Q144" s="38" t="inlineStr">
        <is>
          <t>Q</t>
        </is>
      </c>
      <c r="R144" s="38" t="inlineStr">
        <is>
          <t>M6</t>
        </is>
      </c>
      <c r="S144" s="24" t="inlineStr">
        <is>
          <t>J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M4</t>
        </is>
      </c>
      <c r="O145" s="38" t="inlineStr">
        <is>
          <t>G3</t>
        </is>
      </c>
      <c r="P145" s="38" t="inlineStr">
        <is>
          <t>M1</t>
        </is>
      </c>
      <c r="Q145" s="38" t="inlineStr">
        <is>
          <t>Q</t>
        </is>
      </c>
      <c r="R145" s="38" t="inlineStr">
        <is>
          <t>M4</t>
        </is>
      </c>
      <c r="S145" s="24" t="inlineStr">
        <is>
          <t>K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256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TE</t>
        </is>
      </c>
      <c r="N146" s="38" t="inlineStr">
        <is>
          <t>M3</t>
        </is>
      </c>
      <c r="O146" s="38" t="inlineStr">
        <is>
          <t>Q</t>
        </is>
      </c>
      <c r="P146" s="38" t="inlineStr">
        <is>
          <t>J</t>
        </is>
      </c>
      <c r="Q146" s="38" t="inlineStr">
        <is>
          <t>Q</t>
        </is>
      </c>
      <c r="R146" s="38" t="inlineStr">
        <is>
          <t>J</t>
        </is>
      </c>
      <c r="S146" s="24" t="inlineStr">
        <is>
          <t>M6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M4</t>
        </is>
      </c>
      <c r="N147" s="38" t="inlineStr">
        <is>
          <t>GT</t>
        </is>
      </c>
      <c r="O147" s="38" t="inlineStr">
        <is>
          <t>M2</t>
        </is>
      </c>
      <c r="P147" s="38" t="inlineStr">
        <is>
          <t>GA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M4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GT</t>
        </is>
      </c>
      <c r="O148" s="155" t="inlineStr">
        <is>
          <t>M4</t>
        </is>
      </c>
      <c r="P148" s="155" t="inlineStr">
        <is>
          <t>M2</t>
        </is>
      </c>
      <c r="Q148" s="155" t="inlineStr">
        <is>
          <t>M3</t>
        </is>
      </c>
      <c r="R148" s="155" t="inlineStr">
        <is>
          <t>G4</t>
        </is>
      </c>
      <c r="S148" s="156" t="inlineStr">
        <is>
          <t>M1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J</t>
        </is>
      </c>
      <c r="N149" s="38" t="inlineStr">
        <is>
          <t>Q</t>
        </is>
      </c>
      <c r="O149" s="38" t="inlineStr">
        <is>
          <t>GJ</t>
        </is>
      </c>
      <c r="P149" s="38" t="inlineStr">
        <is>
          <t>M5</t>
        </is>
      </c>
      <c r="Q149" s="38" t="inlineStr">
        <is>
          <t>TE</t>
        </is>
      </c>
      <c r="R149" s="38" t="inlineStr">
        <is>
          <t>M5</t>
        </is>
      </c>
      <c r="S149" s="24" t="inlineStr">
        <is>
          <t>M2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M6</t>
        </is>
      </c>
      <c r="N150" s="38" t="inlineStr">
        <is>
          <t>M2</t>
        </is>
      </c>
      <c r="O150" s="38" t="inlineStr">
        <is>
          <t>A</t>
        </is>
      </c>
      <c r="P150" s="38" t="inlineStr">
        <is>
          <t>Q</t>
        </is>
      </c>
      <c r="Q150" s="38" t="inlineStr">
        <is>
          <t>J</t>
        </is>
      </c>
      <c r="R150" s="38" t="inlineStr">
        <is>
          <t>M6</t>
        </is>
      </c>
      <c r="S150" s="24" t="inlineStr">
        <is>
          <t>Q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GQ</t>
        </is>
      </c>
      <c r="O151" s="38" t="inlineStr">
        <is>
          <t>J</t>
        </is>
      </c>
      <c r="P151" s="38" t="inlineStr">
        <is>
          <t>M5</t>
        </is>
      </c>
      <c r="Q151" s="38" t="inlineStr">
        <is>
          <t>M1</t>
        </is>
      </c>
      <c r="R151" s="38" t="inlineStr">
        <is>
          <t>J</t>
        </is>
      </c>
      <c r="S151" s="24" t="inlineStr">
        <is>
          <t>M2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A</t>
        </is>
      </c>
      <c r="N152" s="38" t="inlineStr">
        <is>
          <t>M6</t>
        </is>
      </c>
      <c r="O152" s="38" t="inlineStr">
        <is>
          <t>M3</t>
        </is>
      </c>
      <c r="P152" s="38" t="inlineStr">
        <is>
          <t>G4</t>
        </is>
      </c>
      <c r="Q152" s="38" t="inlineStr">
        <is>
          <t>GA</t>
        </is>
      </c>
      <c r="R152" s="38" t="inlineStr">
        <is>
          <t>M4</t>
        </is>
      </c>
      <c r="S152" s="24" t="inlineStr">
        <is>
          <t>M4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M1</t>
        </is>
      </c>
      <c r="N153" s="38" t="inlineStr">
        <is>
          <t>J</t>
        </is>
      </c>
      <c r="O153" s="38" t="inlineStr">
        <is>
          <t>G2</t>
        </is>
      </c>
      <c r="P153" s="38" t="inlineStr">
        <is>
          <t>M5</t>
        </is>
      </c>
      <c r="Q153" s="38" t="inlineStr">
        <is>
          <t>K</t>
        </is>
      </c>
      <c r="R153" s="38" t="inlineStr">
        <is>
          <t>M2</t>
        </is>
      </c>
      <c r="S153" s="24" t="inlineStr">
        <is>
          <t>M4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Q</t>
        </is>
      </c>
      <c r="N154" s="38" t="inlineStr">
        <is>
          <t>G2</t>
        </is>
      </c>
      <c r="O154" s="38" t="inlineStr">
        <is>
          <t>M3</t>
        </is>
      </c>
      <c r="P154" s="38" t="inlineStr">
        <is>
          <t>M5</t>
        </is>
      </c>
      <c r="Q154" s="38" t="inlineStr">
        <is>
          <t>Q</t>
        </is>
      </c>
      <c r="R154" s="38" t="inlineStr">
        <is>
          <t>K</t>
        </is>
      </c>
      <c r="S154" s="24" t="inlineStr">
        <is>
          <t>M6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M5</t>
        </is>
      </c>
      <c r="N155" s="38" t="inlineStr">
        <is>
          <t>K</t>
        </is>
      </c>
      <c r="O155" s="38" t="inlineStr">
        <is>
          <t>G5</t>
        </is>
      </c>
      <c r="P155" s="38" t="inlineStr">
        <is>
          <t>M4</t>
        </is>
      </c>
      <c r="Q155" s="38" t="inlineStr">
        <is>
          <t>M6</t>
        </is>
      </c>
      <c r="R155" s="38" t="inlineStr">
        <is>
          <t>M4</t>
        </is>
      </c>
      <c r="S155" s="24" t="inlineStr">
        <is>
          <t>M6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M5</t>
        </is>
      </c>
      <c r="N156" s="38" t="inlineStr">
        <is>
          <t>A</t>
        </is>
      </c>
      <c r="O156" s="38" t="inlineStr">
        <is>
          <t>K</t>
        </is>
      </c>
      <c r="P156" s="38" t="inlineStr">
        <is>
          <t>G4</t>
        </is>
      </c>
      <c r="Q156" s="38" t="inlineStr">
        <is>
          <t>Q</t>
        </is>
      </c>
      <c r="R156" s="38" t="inlineStr">
        <is>
          <t>J</t>
        </is>
      </c>
      <c r="S156" s="24" t="inlineStr">
        <is>
          <t>K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A</t>
        </is>
      </c>
      <c r="O157" s="155" t="inlineStr">
        <is>
          <t>M4</t>
        </is>
      </c>
      <c r="P157" s="155" t="inlineStr">
        <is>
          <t>M4</t>
        </is>
      </c>
      <c r="Q157" s="155" t="inlineStr">
        <is>
          <t>G5</t>
        </is>
      </c>
      <c r="R157" s="155" t="inlineStr">
        <is>
          <t>M2</t>
        </is>
      </c>
      <c r="S157" s="156" t="inlineStr">
        <is>
          <t>Q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A</t>
        </is>
      </c>
      <c r="O158" s="38" t="inlineStr">
        <is>
          <t>A</t>
        </is>
      </c>
      <c r="P158" s="38" t="inlineStr">
        <is>
          <t>J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M4</t>
        </is>
      </c>
      <c r="O159" s="38" t="inlineStr">
        <is>
          <t>M3</t>
        </is>
      </c>
      <c r="P159" s="38" t="inlineStr">
        <is>
          <t>M3</t>
        </is>
      </c>
      <c r="Q159" s="38" t="inlineStr">
        <is>
          <t>M4</t>
        </is>
      </c>
      <c r="R159" s="38" t="inlineStr">
        <is>
          <t>A</t>
        </is>
      </c>
      <c r="S159" s="24" t="inlineStr">
        <is>
          <t>M6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M6</t>
        </is>
      </c>
      <c r="N160" s="38" t="inlineStr">
        <is>
          <t>G5</t>
        </is>
      </c>
      <c r="O160" s="38" t="inlineStr">
        <is>
          <t>GK</t>
        </is>
      </c>
      <c r="P160" s="38" t="inlineStr">
        <is>
          <t>G4</t>
        </is>
      </c>
      <c r="Q160" s="38" t="inlineStr">
        <is>
          <t>M6</t>
        </is>
      </c>
      <c r="R160" s="38" t="inlineStr">
        <is>
          <t>M6</t>
        </is>
      </c>
      <c r="S160" s="24" t="inlineStr">
        <is>
          <t>M1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A</t>
        </is>
      </c>
      <c r="N161" s="38" t="inlineStr">
        <is>
          <t>K</t>
        </is>
      </c>
      <c r="O161" s="38" t="inlineStr">
        <is>
          <t>GT</t>
        </is>
      </c>
      <c r="P161" s="38" t="inlineStr">
        <is>
          <t>M6</t>
        </is>
      </c>
      <c r="Q161" s="38" t="inlineStr">
        <is>
          <t>M4</t>
        </is>
      </c>
      <c r="R161" s="38" t="inlineStr">
        <is>
          <t>M2</t>
        </is>
      </c>
      <c r="S161" s="24" t="inlineStr">
        <is>
          <t>K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J</t>
        </is>
      </c>
      <c r="N162" s="38" t="inlineStr">
        <is>
          <t>M3</t>
        </is>
      </c>
      <c r="O162" s="38" t="inlineStr">
        <is>
          <t>M6</t>
        </is>
      </c>
      <c r="P162" s="38" t="inlineStr">
        <is>
          <t>Q</t>
        </is>
      </c>
      <c r="Q162" s="38" t="inlineStr">
        <is>
          <t>GA</t>
        </is>
      </c>
      <c r="R162" s="38" t="inlineStr">
        <is>
          <t>M4</t>
        </is>
      </c>
      <c r="S162" s="24" t="inlineStr">
        <is>
          <t>M6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M2</t>
        </is>
      </c>
      <c r="N163" s="38" t="inlineStr">
        <is>
          <t>GQ</t>
        </is>
      </c>
      <c r="O163" s="38" t="inlineStr">
        <is>
          <t>M4</t>
        </is>
      </c>
      <c r="P163" s="38" t="inlineStr">
        <is>
          <t>Q</t>
        </is>
      </c>
      <c r="Q163" s="38" t="inlineStr">
        <is>
          <t>M1</t>
        </is>
      </c>
      <c r="R163" s="38" t="inlineStr">
        <is>
          <t>Q</t>
        </is>
      </c>
      <c r="S163" s="24" t="inlineStr">
        <is>
          <t>K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TE</t>
        </is>
      </c>
      <c r="N164" s="38" t="inlineStr">
        <is>
          <t>TE</t>
        </is>
      </c>
      <c r="O164" s="38" t="inlineStr">
        <is>
          <t>M6</t>
        </is>
      </c>
      <c r="P164" s="38" t="inlineStr">
        <is>
          <t>K</t>
        </is>
      </c>
      <c r="Q164" s="38" t="inlineStr">
        <is>
          <t>A</t>
        </is>
      </c>
      <c r="R164" s="38" t="inlineStr">
        <is>
          <t>Q</t>
        </is>
      </c>
      <c r="S164" s="24" t="inlineStr">
        <is>
          <t>J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M3</t>
        </is>
      </c>
      <c r="N165" s="38" t="inlineStr">
        <is>
          <t>M5</t>
        </is>
      </c>
      <c r="O165" s="38" t="inlineStr">
        <is>
          <t>Q</t>
        </is>
      </c>
      <c r="P165" s="38" t="inlineStr">
        <is>
          <t>TE</t>
        </is>
      </c>
      <c r="Q165" s="38" t="inlineStr">
        <is>
          <t>M4</t>
        </is>
      </c>
      <c r="R165" s="38" t="inlineStr">
        <is>
          <t>M4</t>
        </is>
      </c>
      <c r="S165" s="24" t="inlineStr">
        <is>
          <t>Q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TE</t>
        </is>
      </c>
      <c r="N166" s="155" t="inlineStr">
        <is>
          <t>M5</t>
        </is>
      </c>
      <c r="O166" s="155" t="inlineStr">
        <is>
          <t>GK</t>
        </is>
      </c>
      <c r="P166" s="155" t="inlineStr">
        <is>
          <t>GK</t>
        </is>
      </c>
      <c r="Q166" s="155" t="inlineStr">
        <is>
          <t>A</t>
        </is>
      </c>
      <c r="R166" s="155" t="inlineStr">
        <is>
          <t>J</t>
        </is>
      </c>
      <c r="S166" s="156" t="inlineStr">
        <is>
          <t>Q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K</t>
        </is>
      </c>
      <c r="N167" s="38" t="inlineStr">
        <is>
          <t>G6</t>
        </is>
      </c>
      <c r="O167" s="38" t="inlineStr">
        <is>
          <t>TE</t>
        </is>
      </c>
      <c r="P167" s="38" t="inlineStr">
        <is>
          <t>M1</t>
        </is>
      </c>
      <c r="Q167" s="38" t="inlineStr">
        <is>
          <t>TE</t>
        </is>
      </c>
      <c r="R167" s="38" t="inlineStr">
        <is>
          <t>M6</t>
        </is>
      </c>
      <c r="S167" s="24" t="inlineStr">
        <is>
          <t>J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Q</t>
        </is>
      </c>
      <c r="N168" s="38" t="inlineStr">
        <is>
          <t>A</t>
        </is>
      </c>
      <c r="O168" s="38" t="inlineStr">
        <is>
          <t>GA</t>
        </is>
      </c>
      <c r="P168" s="38" t="inlineStr">
        <is>
          <t>TE</t>
        </is>
      </c>
      <c r="Q168" s="38" t="inlineStr">
        <is>
          <t>M5</t>
        </is>
      </c>
      <c r="R168" s="38" t="inlineStr">
        <is>
          <t>G2</t>
        </is>
      </c>
      <c r="S168" s="24" t="inlineStr">
        <is>
          <t>M5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M6</t>
        </is>
      </c>
      <c r="N169" s="38" t="inlineStr">
        <is>
          <t>M2</t>
        </is>
      </c>
      <c r="O169" s="38" t="inlineStr">
        <is>
          <t>GQ</t>
        </is>
      </c>
      <c r="P169" s="38" t="inlineStr">
        <is>
          <t>J</t>
        </is>
      </c>
      <c r="Q169" s="38" t="inlineStr">
        <is>
          <t>GJ</t>
        </is>
      </c>
      <c r="R169" s="38" t="inlineStr">
        <is>
          <t>GA</t>
        </is>
      </c>
      <c r="S169" s="24" t="inlineStr">
        <is>
          <t>M6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TE</t>
        </is>
      </c>
      <c r="N170" s="38" t="inlineStr">
        <is>
          <t>A</t>
        </is>
      </c>
      <c r="O170" s="38" t="inlineStr">
        <is>
          <t>K</t>
        </is>
      </c>
      <c r="P170" s="38" t="inlineStr">
        <is>
          <t>G3</t>
        </is>
      </c>
      <c r="Q170" s="38" t="inlineStr">
        <is>
          <t>M4</t>
        </is>
      </c>
      <c r="R170" s="38" t="inlineStr">
        <is>
          <t>J</t>
        </is>
      </c>
      <c r="S170" s="24" t="inlineStr">
        <is>
          <t>M2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GJ</t>
        </is>
      </c>
      <c r="O171" s="38" t="inlineStr">
        <is>
          <t>A</t>
        </is>
      </c>
      <c r="P171" s="38" t="inlineStr">
        <is>
          <t>J</t>
        </is>
      </c>
      <c r="Q171" s="38" t="inlineStr">
        <is>
          <t>A</t>
        </is>
      </c>
      <c r="R171" s="38" t="inlineStr">
        <is>
          <t>A</t>
        </is>
      </c>
      <c r="S171" s="24" t="inlineStr">
        <is>
          <t>M4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J</t>
        </is>
      </c>
      <c r="N172" s="38" t="inlineStr">
        <is>
          <t>TE</t>
        </is>
      </c>
      <c r="O172" s="38" t="inlineStr">
        <is>
          <t>M2</t>
        </is>
      </c>
      <c r="P172" s="38" t="inlineStr">
        <is>
          <t>Q</t>
        </is>
      </c>
      <c r="Q172" s="38" t="inlineStr">
        <is>
          <t>M5</t>
        </is>
      </c>
      <c r="R172" s="38" t="inlineStr">
        <is>
          <t>WW</t>
        </is>
      </c>
      <c r="S172" s="24" t="inlineStr">
        <is>
          <t>J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K</t>
        </is>
      </c>
      <c r="O173" s="38" t="inlineStr">
        <is>
          <t>Q</t>
        </is>
      </c>
      <c r="P173" s="38" t="inlineStr">
        <is>
          <t>J</t>
        </is>
      </c>
      <c r="Q173" s="38" t="inlineStr">
        <is>
          <t>M5</t>
        </is>
      </c>
      <c r="R173" s="38" t="inlineStr">
        <is>
          <t>M6</t>
        </is>
      </c>
      <c r="S173" s="24" t="inlineStr">
        <is>
          <t>M4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J</t>
        </is>
      </c>
      <c r="N174" s="38" t="inlineStr">
        <is>
          <t>TE</t>
        </is>
      </c>
      <c r="O174" s="38" t="inlineStr">
        <is>
          <t>G6</t>
        </is>
      </c>
      <c r="P174" s="38" t="inlineStr">
        <is>
          <t>G6</t>
        </is>
      </c>
      <c r="Q174" s="38" t="inlineStr">
        <is>
          <t>GJ</t>
        </is>
      </c>
      <c r="R174" s="38" t="inlineStr">
        <is>
          <t>GJ</t>
        </is>
      </c>
      <c r="S174" s="24" t="inlineStr">
        <is>
          <t>M5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K</t>
        </is>
      </c>
      <c r="N175" s="155" t="inlineStr">
        <is>
          <t>GT</t>
        </is>
      </c>
      <c r="O175" s="155" t="inlineStr">
        <is>
          <t>M5</t>
        </is>
      </c>
      <c r="P175" s="155" t="inlineStr">
        <is>
          <t>J</t>
        </is>
      </c>
      <c r="Q175" s="155" t="inlineStr">
        <is>
          <t>TE</t>
        </is>
      </c>
      <c r="R175" s="155" t="inlineStr">
        <is>
          <t>TE</t>
        </is>
      </c>
      <c r="S175" s="156" t="inlineStr">
        <is>
          <t>J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M6</t>
        </is>
      </c>
      <c r="N176" s="38" t="inlineStr">
        <is>
          <t>A</t>
        </is>
      </c>
      <c r="O176" s="38" t="inlineStr">
        <is>
          <t>M4</t>
        </is>
      </c>
      <c r="P176" s="38" t="inlineStr">
        <is>
          <t>G2</t>
        </is>
      </c>
      <c r="Q176" s="38" t="inlineStr">
        <is>
          <t>M2</t>
        </is>
      </c>
      <c r="R176" s="38" t="inlineStr">
        <is>
          <t>GJ</t>
        </is>
      </c>
      <c r="S176" s="24" t="inlineStr">
        <is>
          <t>M6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M2</t>
        </is>
      </c>
      <c r="N177" s="38" t="inlineStr">
        <is>
          <t>M1</t>
        </is>
      </c>
      <c r="O177" s="38" t="inlineStr">
        <is>
          <t>G6</t>
        </is>
      </c>
      <c r="P177" s="38" t="inlineStr">
        <is>
          <t>A</t>
        </is>
      </c>
      <c r="Q177" s="38" t="inlineStr">
        <is>
          <t>M5</t>
        </is>
      </c>
      <c r="R177" s="38" t="inlineStr">
        <is>
          <t>GQ</t>
        </is>
      </c>
      <c r="S177" s="24" t="inlineStr">
        <is>
          <t>M2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M5</t>
        </is>
      </c>
      <c r="N178" s="38" t="inlineStr">
        <is>
          <t>TE</t>
        </is>
      </c>
      <c r="O178" s="38" t="inlineStr">
        <is>
          <t>J</t>
        </is>
      </c>
      <c r="P178" s="38" t="inlineStr">
        <is>
          <t>G5</t>
        </is>
      </c>
      <c r="Q178" s="38" t="inlineStr">
        <is>
          <t>M5</t>
        </is>
      </c>
      <c r="R178" s="38" t="inlineStr">
        <is>
          <t>M5</t>
        </is>
      </c>
      <c r="S178" s="24" t="inlineStr">
        <is>
          <t>TE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J</t>
        </is>
      </c>
      <c r="N179" s="38" t="inlineStr">
        <is>
          <t>TE</t>
        </is>
      </c>
      <c r="O179" s="38" t="inlineStr">
        <is>
          <t>A</t>
        </is>
      </c>
      <c r="P179" s="38" t="inlineStr">
        <is>
          <t>J</t>
        </is>
      </c>
      <c r="Q179" s="38" t="inlineStr">
        <is>
          <t>GT</t>
        </is>
      </c>
      <c r="R179" s="38" t="inlineStr">
        <is>
          <t>Q</t>
        </is>
      </c>
      <c r="S179" s="24" t="inlineStr">
        <is>
          <t>A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M4</t>
        </is>
      </c>
      <c r="N180" s="38" t="inlineStr">
        <is>
          <t>M5</t>
        </is>
      </c>
      <c r="O180" s="38" t="inlineStr">
        <is>
          <t>TE</t>
        </is>
      </c>
      <c r="P180" s="38" t="inlineStr">
        <is>
          <t>M6</t>
        </is>
      </c>
      <c r="Q180" s="38" t="inlineStr">
        <is>
          <t>A</t>
        </is>
      </c>
      <c r="R180" s="38" t="inlineStr">
        <is>
          <t>M5</t>
        </is>
      </c>
      <c r="S180" s="24" t="inlineStr">
        <is>
          <t>K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G4</t>
        </is>
      </c>
      <c r="O181" s="38" t="inlineStr">
        <is>
          <t>GQ</t>
        </is>
      </c>
      <c r="P181" s="38" t="inlineStr">
        <is>
          <t>M5</t>
        </is>
      </c>
      <c r="Q181" s="38" t="inlineStr">
        <is>
          <t>G3</t>
        </is>
      </c>
      <c r="R181" s="38" t="inlineStr">
        <is>
          <t>G5</t>
        </is>
      </c>
      <c r="S181" s="24" t="inlineStr">
        <is>
          <t>K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M1</t>
        </is>
      </c>
      <c r="O182" s="38" t="inlineStr">
        <is>
          <t>WW</t>
        </is>
      </c>
      <c r="P182" s="38" t="inlineStr">
        <is>
          <t>Q</t>
        </is>
      </c>
      <c r="Q182" s="38" t="inlineStr">
        <is>
          <t>Q</t>
        </is>
      </c>
      <c r="R182" s="38" t="inlineStr">
        <is>
          <t>M3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Q</t>
        </is>
      </c>
      <c r="N183" s="38" t="inlineStr">
        <is>
          <t>M6</t>
        </is>
      </c>
      <c r="O183" s="38" t="inlineStr">
        <is>
          <t>M2</t>
        </is>
      </c>
      <c r="P183" s="38" t="inlineStr">
        <is>
          <t>K</t>
        </is>
      </c>
      <c r="Q183" s="38" t="inlineStr">
        <is>
          <t>K</t>
        </is>
      </c>
      <c r="R183" s="38" t="inlineStr">
        <is>
          <t>M2</t>
        </is>
      </c>
      <c r="S183" s="24" t="inlineStr">
        <is>
          <t>TE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Q</t>
        </is>
      </c>
      <c r="O184" s="155" t="inlineStr">
        <is>
          <t>WW</t>
        </is>
      </c>
      <c r="P184" s="155" t="inlineStr">
        <is>
          <t>GT</t>
        </is>
      </c>
      <c r="Q184" s="155" t="inlineStr">
        <is>
          <t>M5</t>
        </is>
      </c>
      <c r="R184" s="155" t="inlineStr">
        <is>
          <t>K</t>
        </is>
      </c>
      <c r="S184" s="156" t="inlineStr">
        <is>
          <t>TE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G2</t>
        </is>
      </c>
      <c r="O185" s="38" t="inlineStr">
        <is>
          <t>G4</t>
        </is>
      </c>
      <c r="P185" s="38" t="inlineStr">
        <is>
          <t>M3</t>
        </is>
      </c>
      <c r="Q185" s="38" t="inlineStr">
        <is>
          <t>Q</t>
        </is>
      </c>
      <c r="R185" s="38" t="inlineStr">
        <is>
          <t>M5</t>
        </is>
      </c>
      <c r="S185" s="24" t="inlineStr">
        <is>
          <t>M2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A</t>
        </is>
      </c>
      <c r="N186" s="38" t="inlineStr">
        <is>
          <t>K</t>
        </is>
      </c>
      <c r="O186" s="38" t="inlineStr">
        <is>
          <t>Q</t>
        </is>
      </c>
      <c r="P186" s="38" t="inlineStr">
        <is>
          <t>J</t>
        </is>
      </c>
      <c r="Q186" s="38" t="inlineStr">
        <is>
          <t>G6</t>
        </is>
      </c>
      <c r="R186" s="38" t="inlineStr">
        <is>
          <t>G4</t>
        </is>
      </c>
      <c r="S186" s="24" t="inlineStr">
        <is>
          <t>J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J</t>
        </is>
      </c>
      <c r="N187" s="38" t="inlineStr">
        <is>
          <t>J</t>
        </is>
      </c>
      <c r="O187" s="38" t="inlineStr">
        <is>
          <t>G3</t>
        </is>
      </c>
      <c r="P187" s="38" t="inlineStr">
        <is>
          <t>M3</t>
        </is>
      </c>
      <c r="Q187" s="38" t="inlineStr">
        <is>
          <t>Q</t>
        </is>
      </c>
      <c r="R187" s="38" t="inlineStr">
        <is>
          <t>TE</t>
        </is>
      </c>
      <c r="S187" s="24" t="inlineStr">
        <is>
          <t>K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Q</t>
        </is>
      </c>
      <c r="N188" s="38" t="inlineStr">
        <is>
          <t>Q</t>
        </is>
      </c>
      <c r="O188" s="38" t="inlineStr">
        <is>
          <t>Q</t>
        </is>
      </c>
      <c r="P188" s="38" t="inlineStr">
        <is>
          <t>J</t>
        </is>
      </c>
      <c r="Q188" s="38" t="inlineStr">
        <is>
          <t>Q</t>
        </is>
      </c>
      <c r="R188" s="38" t="inlineStr">
        <is>
          <t>G3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TE</t>
        </is>
      </c>
      <c r="N189" s="38" t="inlineStr">
        <is>
          <t>GT</t>
        </is>
      </c>
      <c r="O189" s="38" t="inlineStr">
        <is>
          <t>M6</t>
        </is>
      </c>
      <c r="P189" s="38" t="inlineStr">
        <is>
          <t>GT</t>
        </is>
      </c>
      <c r="Q189" s="38" t="inlineStr">
        <is>
          <t>A</t>
        </is>
      </c>
      <c r="R189" s="38" t="inlineStr">
        <is>
          <t>K</t>
        </is>
      </c>
      <c r="S189" s="24" t="inlineStr">
        <is>
          <t>M6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J</t>
        </is>
      </c>
      <c r="N190" s="38" t="inlineStr">
        <is>
          <t>TE</t>
        </is>
      </c>
      <c r="O190" s="38" t="inlineStr">
        <is>
          <t>TE</t>
        </is>
      </c>
      <c r="P190" s="38" t="inlineStr">
        <is>
          <t>K</t>
        </is>
      </c>
      <c r="Q190" s="38" t="inlineStr">
        <is>
          <t>M5</t>
        </is>
      </c>
      <c r="R190" s="38" t="inlineStr">
        <is>
          <t>A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M5</t>
        </is>
      </c>
      <c r="N191" s="38" t="inlineStr">
        <is>
          <t>G5</t>
        </is>
      </c>
      <c r="O191" s="38" t="inlineStr">
        <is>
          <t>G6</t>
        </is>
      </c>
      <c r="P191" s="38" t="inlineStr">
        <is>
          <t>M5</t>
        </is>
      </c>
      <c r="Q191" s="38" t="inlineStr">
        <is>
          <t>Q</t>
        </is>
      </c>
      <c r="R191" s="38" t="inlineStr">
        <is>
          <t>K</t>
        </is>
      </c>
      <c r="S191" s="24" t="inlineStr">
        <is>
          <t>M3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Q</t>
        </is>
      </c>
      <c r="N192" s="38" t="inlineStr">
        <is>
          <t>G2</t>
        </is>
      </c>
      <c r="O192" s="38" t="inlineStr">
        <is>
          <t>J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GA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M3</t>
        </is>
      </c>
      <c r="N193" s="155" t="inlineStr">
        <is>
          <t>GK</t>
        </is>
      </c>
      <c r="O193" s="155" t="inlineStr">
        <is>
          <t>J</t>
        </is>
      </c>
      <c r="P193" s="155" t="inlineStr">
        <is>
          <t>TE</t>
        </is>
      </c>
      <c r="Q193" s="155" t="inlineStr">
        <is>
          <t>J</t>
        </is>
      </c>
      <c r="R193" s="155" t="inlineStr">
        <is>
          <t>TE</t>
        </is>
      </c>
      <c r="S193" s="156" t="inlineStr">
        <is>
          <t>M1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J</t>
        </is>
      </c>
      <c r="N194" s="38" t="inlineStr">
        <is>
          <t>A</t>
        </is>
      </c>
      <c r="O194" s="38" t="inlineStr">
        <is>
          <t>M5</t>
        </is>
      </c>
      <c r="P194" s="38" t="inlineStr">
        <is>
          <t>G6</t>
        </is>
      </c>
      <c r="Q194" s="38" t="inlineStr">
        <is>
          <t>GQ</t>
        </is>
      </c>
      <c r="R194" s="38" t="inlineStr">
        <is>
          <t>M4</t>
        </is>
      </c>
      <c r="S194" s="24" t="inlineStr">
        <is>
          <t>M6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M4</t>
        </is>
      </c>
      <c r="N195" s="38" t="inlineStr">
        <is>
          <t>M3</t>
        </is>
      </c>
      <c r="O195" s="38" t="inlineStr">
        <is>
          <t>J</t>
        </is>
      </c>
      <c r="P195" s="38" t="inlineStr">
        <is>
          <t>J</t>
        </is>
      </c>
      <c r="Q195" s="38" t="inlineStr">
        <is>
          <t>M6</t>
        </is>
      </c>
      <c r="R195" s="38" t="inlineStr">
        <is>
          <t>M6</t>
        </is>
      </c>
      <c r="S195" s="24" t="inlineStr">
        <is>
          <t>WW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K</t>
        </is>
      </c>
      <c r="N196" s="38" t="inlineStr">
        <is>
          <t>M6</t>
        </is>
      </c>
      <c r="O196" s="38" t="inlineStr">
        <is>
          <t>M6</t>
        </is>
      </c>
      <c r="P196" s="38" t="inlineStr">
        <is>
          <t>M6</t>
        </is>
      </c>
      <c r="Q196" s="38" t="inlineStr">
        <is>
          <t>M3</t>
        </is>
      </c>
      <c r="R196" s="38" t="inlineStr">
        <is>
          <t>J</t>
        </is>
      </c>
      <c r="S196" s="24" t="inlineStr">
        <is>
          <t>K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M4</t>
        </is>
      </c>
      <c r="O197" s="38" t="inlineStr">
        <is>
          <t>GT</t>
        </is>
      </c>
      <c r="P197" s="38" t="inlineStr">
        <is>
          <t>GK</t>
        </is>
      </c>
      <c r="Q197" s="38" t="inlineStr">
        <is>
          <t>A</t>
        </is>
      </c>
      <c r="R197" s="38" t="inlineStr">
        <is>
          <t>M2</t>
        </is>
      </c>
      <c r="S197" s="24" t="inlineStr">
        <is>
          <t>M6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M3</t>
        </is>
      </c>
      <c r="N198" s="38" t="inlineStr">
        <is>
          <t>Q</t>
        </is>
      </c>
      <c r="O198" s="38" t="inlineStr">
        <is>
          <t>TE</t>
        </is>
      </c>
      <c r="P198" s="38" t="inlineStr">
        <is>
          <t>G4</t>
        </is>
      </c>
      <c r="Q198" s="38" t="inlineStr">
        <is>
          <t>TE</t>
        </is>
      </c>
      <c r="R198" s="38" t="inlineStr">
        <is>
          <t>GK</t>
        </is>
      </c>
      <c r="S198" s="24" t="inlineStr">
        <is>
          <t>M2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M1</t>
        </is>
      </c>
      <c r="N199" s="38" t="inlineStr">
        <is>
          <t>M5</t>
        </is>
      </c>
      <c r="O199" s="38" t="inlineStr">
        <is>
          <t>GJ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M6</t>
        </is>
      </c>
      <c r="S199" s="24" t="inlineStr">
        <is>
          <t>M4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J</t>
        </is>
      </c>
      <c r="N200" s="38" t="inlineStr">
        <is>
          <t>GQ</t>
        </is>
      </c>
      <c r="O200" s="38" t="inlineStr">
        <is>
          <t>M5</t>
        </is>
      </c>
      <c r="P200" s="38" t="inlineStr">
        <is>
          <t>J</t>
        </is>
      </c>
      <c r="Q200" s="38" t="inlineStr">
        <is>
          <t>G5</t>
        </is>
      </c>
      <c r="R200" s="38" t="inlineStr">
        <is>
          <t>K</t>
        </is>
      </c>
      <c r="S200" s="24" t="inlineStr">
        <is>
          <t>M5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TE</t>
        </is>
      </c>
      <c r="N201" s="38" t="inlineStr">
        <is>
          <t>TE</t>
        </is>
      </c>
      <c r="O201" s="38" t="inlineStr">
        <is>
          <t>K</t>
        </is>
      </c>
      <c r="P201" s="38" t="inlineStr">
        <is>
          <t>M3</t>
        </is>
      </c>
      <c r="Q201" s="38" t="inlineStr">
        <is>
          <t>M2</t>
        </is>
      </c>
      <c r="R201" s="38" t="inlineStr">
        <is>
          <t>A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A</t>
        </is>
      </c>
      <c r="N202" s="155" t="inlineStr">
        <is>
          <t>M2</t>
        </is>
      </c>
      <c r="O202" s="155" t="inlineStr">
        <is>
          <t>M3</t>
        </is>
      </c>
      <c r="P202" s="155" t="inlineStr">
        <is>
          <t>G4</t>
        </is>
      </c>
      <c r="Q202" s="155" t="inlineStr">
        <is>
          <t>TE</t>
        </is>
      </c>
      <c r="R202" s="155" t="inlineStr">
        <is>
          <t>J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K</t>
        </is>
      </c>
      <c r="N203" s="38" t="inlineStr">
        <is>
          <t>M5</t>
        </is>
      </c>
      <c r="O203" s="38" t="inlineStr">
        <is>
          <t>TE</t>
        </is>
      </c>
      <c r="P203" s="38" t="inlineStr">
        <is>
          <t>GJ</t>
        </is>
      </c>
      <c r="Q203" s="38" t="inlineStr">
        <is>
          <t>Q</t>
        </is>
      </c>
      <c r="R203" s="38" t="inlineStr">
        <is>
          <t>A</t>
        </is>
      </c>
      <c r="S203" s="24" t="inlineStr">
        <is>
          <t>K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T19" sqref="T1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Q</t>
        </is>
      </c>
      <c r="O4" s="155" t="inlineStr">
        <is>
          <t>TE</t>
        </is>
      </c>
      <c r="P4" s="155" t="inlineStr">
        <is>
          <t>G3</t>
        </is>
      </c>
      <c r="Q4" s="155" t="inlineStr">
        <is>
          <t>WW</t>
        </is>
      </c>
      <c r="R4" s="155" t="inlineStr">
        <is>
          <t>K</t>
        </is>
      </c>
      <c r="S4" s="156" t="inlineStr">
        <is>
          <t>M1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Q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0"/>
        <v>5</v>
      </c>
      <c r="E7" s="152">
        <f t="shared" si="0"/>
        <v>6</v>
      </c>
      <c r="F7" s="152">
        <f t="shared" si="0"/>
        <v>7</v>
      </c>
      <c r="G7" s="152">
        <f t="shared" si="0"/>
        <v>4</v>
      </c>
      <c r="H7" s="152">
        <f t="shared" si="0"/>
        <v>4</v>
      </c>
      <c r="I7" s="152">
        <f t="shared" si="0"/>
        <v>3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5</v>
      </c>
      <c r="E8" s="152">
        <f t="shared" si="0"/>
        <v>7</v>
      </c>
      <c r="F8" s="152">
        <f t="shared" si="0"/>
        <v>5</v>
      </c>
      <c r="G8" s="152">
        <f t="shared" si="0"/>
        <v>4</v>
      </c>
      <c r="H8" s="152">
        <f t="shared" si="0"/>
        <v>5</v>
      </c>
      <c r="I8" s="152">
        <f t="shared" si="0"/>
        <v>5</v>
      </c>
      <c r="J8" s="150">
        <v>4</v>
      </c>
      <c r="L8" s="15">
        <v>5</v>
      </c>
      <c r="M8" s="38" t="inlineStr">
        <is>
          <t>GJ</t>
        </is>
      </c>
      <c r="N8" s="38" t="inlineStr">
        <is>
          <t>G5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19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21</v>
      </c>
      <c r="I9" s="152">
        <f t="shared" si="0"/>
        <v>21</v>
      </c>
      <c r="J9" s="150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G6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0"/>
        <v>26</v>
      </c>
      <c r="E10" s="152">
        <f t="shared" si="0"/>
        <v>9</v>
      </c>
      <c r="F10" s="152">
        <f t="shared" si="0"/>
        <v>25</v>
      </c>
      <c r="G10" s="152">
        <f t="shared" si="0"/>
        <v>19</v>
      </c>
      <c r="H10" s="152">
        <f t="shared" si="0"/>
        <v>20</v>
      </c>
      <c r="I10" s="152">
        <f t="shared" si="0"/>
        <v>19</v>
      </c>
      <c r="J10" s="150">
        <v>6</v>
      </c>
      <c r="L10" s="15">
        <v>7</v>
      </c>
      <c r="M10" s="38" t="inlineStr">
        <is>
          <t>M4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42</v>
      </c>
      <c r="D11" s="152">
        <f t="shared" si="0"/>
        <v>9</v>
      </c>
      <c r="E11" s="152">
        <f t="shared" si="0"/>
        <v>27</v>
      </c>
      <c r="F11" s="152">
        <f t="shared" si="0"/>
        <v>13</v>
      </c>
      <c r="G11" s="152">
        <f t="shared" si="0"/>
        <v>17</v>
      </c>
      <c r="H11" s="152">
        <f t="shared" si="0"/>
        <v>21</v>
      </c>
      <c r="I11" s="152">
        <f t="shared" si="0"/>
        <v>20</v>
      </c>
      <c r="J11" s="150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GA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0"/>
        <v>30</v>
      </c>
      <c r="E12" s="10">
        <f t="shared" si="0"/>
        <v>14</v>
      </c>
      <c r="F12" s="10">
        <f t="shared" si="0"/>
        <v>27</v>
      </c>
      <c r="G12" s="10">
        <f t="shared" si="0"/>
        <v>23</v>
      </c>
      <c r="H12" s="10">
        <f t="shared" si="0"/>
        <v>19</v>
      </c>
      <c r="I12" s="10">
        <f t="shared" si="0"/>
        <v>18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43</v>
      </c>
      <c r="D13" s="10">
        <f t="shared" si="0"/>
        <v>9</v>
      </c>
      <c r="E13" s="10">
        <f t="shared" si="0"/>
        <v>29</v>
      </c>
      <c r="F13" s="10">
        <f t="shared" si="0"/>
        <v>13</v>
      </c>
      <c r="G13" s="10">
        <f t="shared" si="0"/>
        <v>19</v>
      </c>
      <c r="H13" s="10">
        <f t="shared" si="0"/>
        <v>21</v>
      </c>
      <c r="I13" s="10">
        <f t="shared" si="0"/>
        <v>20</v>
      </c>
      <c r="J13" s="4">
        <v>9</v>
      </c>
      <c r="L13" s="15">
        <v>10</v>
      </c>
      <c r="M13" s="155" t="inlineStr">
        <is>
          <t>K</t>
        </is>
      </c>
      <c r="N13" s="155" t="inlineStr">
        <is>
          <t>Q</t>
        </is>
      </c>
      <c r="O13" s="155" t="inlineStr">
        <is>
          <t>M6</t>
        </is>
      </c>
      <c r="P13" s="155" t="inlineStr">
        <is>
          <t>A</t>
        </is>
      </c>
      <c r="Q13" s="155" t="inlineStr">
        <is>
          <t>M1</t>
        </is>
      </c>
      <c r="R13" s="155" t="inlineStr">
        <is>
          <t>M5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0"/>
        <v>31</v>
      </c>
      <c r="E14" s="10">
        <f t="shared" si="0"/>
        <v>8</v>
      </c>
      <c r="F14" s="10">
        <f t="shared" si="0"/>
        <v>25</v>
      </c>
      <c r="G14" s="10">
        <f t="shared" si="0"/>
        <v>19</v>
      </c>
      <c r="H14" s="10">
        <f t="shared" si="0"/>
        <v>16</v>
      </c>
      <c r="I14" s="10">
        <f t="shared" si="0"/>
        <v>19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43</v>
      </c>
      <c r="D15" s="10">
        <f t="shared" si="0"/>
        <v>12</v>
      </c>
      <c r="E15" s="10">
        <f t="shared" si="0"/>
        <v>30</v>
      </c>
      <c r="F15" s="10">
        <f t="shared" si="0"/>
        <v>14</v>
      </c>
      <c r="G15" s="10">
        <f t="shared" si="0"/>
        <v>24</v>
      </c>
      <c r="H15" s="10">
        <f t="shared" si="0"/>
        <v>21</v>
      </c>
      <c r="I15" s="10">
        <f t="shared" si="0"/>
        <v>24</v>
      </c>
      <c r="J15" s="4">
        <v>11</v>
      </c>
      <c r="L15" s="15">
        <v>12</v>
      </c>
      <c r="M15" s="38" t="inlineStr">
        <is>
          <t>G6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GK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0"/>
        <v>32</v>
      </c>
      <c r="E16" s="10">
        <f t="shared" si="0"/>
        <v>16</v>
      </c>
      <c r="F16" s="10">
        <f t="shared" si="0"/>
        <v>26</v>
      </c>
      <c r="G16" s="10">
        <f t="shared" si="0"/>
        <v>18</v>
      </c>
      <c r="H16" s="10">
        <f t="shared" si="0"/>
        <v>17</v>
      </c>
      <c r="I16" s="10">
        <f t="shared" si="0"/>
        <v>16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G4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0"/>
        <v>1</v>
      </c>
      <c r="E18" s="152">
        <f t="shared" si="0"/>
        <v>1</v>
      </c>
      <c r="F18" s="152">
        <f t="shared" si="0"/>
        <v>1</v>
      </c>
      <c r="G18" s="152">
        <f t="shared" si="0"/>
        <v>1</v>
      </c>
      <c r="H18" s="152">
        <f t="shared" si="0"/>
        <v>0</v>
      </c>
      <c r="I18" s="152">
        <f t="shared" si="0"/>
        <v>1</v>
      </c>
      <c r="J18" s="150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0</v>
      </c>
      <c r="E19" s="152">
        <f t="shared" si="0"/>
        <v>2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2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2</v>
      </c>
      <c r="I20" s="152">
        <f t="shared" si="0"/>
        <v>2</v>
      </c>
      <c r="J20" s="150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0"/>
        <v>6</v>
      </c>
      <c r="E21" s="152">
        <f t="shared" si="0"/>
        <v>2</v>
      </c>
      <c r="F21" s="152">
        <f t="shared" si="0"/>
        <v>4</v>
      </c>
      <c r="G21" s="152">
        <f t="shared" si="0"/>
        <v>3</v>
      </c>
      <c r="H21" s="152">
        <f t="shared" si="0"/>
        <v>3</v>
      </c>
      <c r="I21" s="152">
        <f t="shared" si="0"/>
        <v>4</v>
      </c>
      <c r="J21" s="150">
        <v>17</v>
      </c>
      <c r="L21" s="15">
        <v>18</v>
      </c>
      <c r="M21" s="38" t="inlineStr">
        <is>
          <t>GJ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GK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9</v>
      </c>
      <c r="D22" s="152">
        <f t="shared" si="0"/>
        <v>1</v>
      </c>
      <c r="E22" s="152">
        <f t="shared" si="0"/>
        <v>4</v>
      </c>
      <c r="F22" s="152">
        <f t="shared" si="0"/>
        <v>2</v>
      </c>
      <c r="G22" s="152">
        <f t="shared" si="0"/>
        <v>4</v>
      </c>
      <c r="H22" s="152">
        <f t="shared" si="0"/>
        <v>6</v>
      </c>
      <c r="I22" s="152">
        <f t="shared" si="0"/>
        <v>7</v>
      </c>
      <c r="J22" s="150">
        <v>18</v>
      </c>
      <c r="L22" s="15">
        <v>19</v>
      </c>
      <c r="M22" s="155" t="inlineStr">
        <is>
          <t>K</t>
        </is>
      </c>
      <c r="N22" s="155" t="inlineStr">
        <is>
          <t>G5</t>
        </is>
      </c>
      <c r="O22" s="155" t="inlineStr">
        <is>
          <t>M6</t>
        </is>
      </c>
      <c r="P22" s="155" t="inlineStr">
        <is>
          <t>M5</t>
        </is>
      </c>
      <c r="Q22" s="155" t="inlineStr">
        <is>
          <t>J</t>
        </is>
      </c>
      <c r="R22" s="155" t="inlineStr">
        <is>
          <t>GA</t>
        </is>
      </c>
      <c r="S22" s="156" t="inlineStr">
        <is>
          <t>Q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0"/>
        <v>7</v>
      </c>
      <c r="E23" s="10">
        <f t="shared" si="0"/>
        <v>2</v>
      </c>
      <c r="F23" s="10">
        <f t="shared" si="0"/>
        <v>6</v>
      </c>
      <c r="G23" s="10">
        <f t="shared" si="0"/>
        <v>3</v>
      </c>
      <c r="H23" s="10">
        <f t="shared" si="0"/>
        <v>2</v>
      </c>
      <c r="I23" s="10">
        <f t="shared" si="0"/>
        <v>3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5</v>
      </c>
      <c r="D24" s="10">
        <f t="shared" si="0"/>
        <v>1</v>
      </c>
      <c r="E24" s="10">
        <f t="shared" si="0"/>
        <v>5</v>
      </c>
      <c r="F24" s="10">
        <f t="shared" si="0"/>
        <v>2</v>
      </c>
      <c r="G24" s="10">
        <f t="shared" si="0"/>
        <v>4</v>
      </c>
      <c r="H24" s="10">
        <f t="shared" si="0"/>
        <v>5</v>
      </c>
      <c r="I24" s="10">
        <f t="shared" si="0"/>
        <v>6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0"/>
        <v>5</v>
      </c>
      <c r="E25" s="10">
        <f t="shared" si="0"/>
        <v>1</v>
      </c>
      <c r="F25" s="10">
        <f t="shared" si="0"/>
        <v>3</v>
      </c>
      <c r="G25" s="10">
        <f t="shared" si="0"/>
        <v>3</v>
      </c>
      <c r="H25" s="10">
        <f t="shared" si="0"/>
        <v>5</v>
      </c>
      <c r="I25" s="10">
        <f t="shared" si="0"/>
        <v>2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Q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14</v>
      </c>
      <c r="D26" s="10">
        <f t="shared" si="0"/>
        <v>2</v>
      </c>
      <c r="E26" s="10">
        <f t="shared" si="0"/>
        <v>7</v>
      </c>
      <c r="F26" s="10">
        <f t="shared" si="0"/>
        <v>3</v>
      </c>
      <c r="G26" s="10">
        <f t="shared" si="0"/>
        <v>4</v>
      </c>
      <c r="H26" s="10">
        <f t="shared" si="0"/>
        <v>5</v>
      </c>
      <c r="I26" s="10">
        <f t="shared" si="0"/>
        <v>2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0"/>
        <v>6</v>
      </c>
      <c r="E27" s="10">
        <f t="shared" si="0"/>
        <v>1</v>
      </c>
      <c r="F27" s="10">
        <f t="shared" si="0"/>
        <v>5</v>
      </c>
      <c r="G27" s="10">
        <f t="shared" si="0"/>
        <v>5</v>
      </c>
      <c r="H27" s="10">
        <f t="shared" si="0"/>
        <v>2</v>
      </c>
      <c r="I27" s="10">
        <f t="shared" si="0"/>
        <v>3</v>
      </c>
      <c r="J27" s="4">
        <v>23</v>
      </c>
      <c r="L27" s="14">
        <v>24</v>
      </c>
      <c r="M27" s="38" t="inlineStr">
        <is>
          <t>G6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GJ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M6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TE</t>
        </is>
      </c>
      <c r="R31" s="155" t="inlineStr">
        <is>
          <t>GK</t>
        </is>
      </c>
      <c r="S31" s="156" t="inlineStr">
        <is>
          <t>J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GA</t>
        </is>
      </c>
      <c r="O32" s="38" t="inlineStr">
        <is>
          <t>GK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inlineStr">
        <is>
          <t>GJ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G2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TE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A</t>
        </is>
      </c>
      <c r="R36" s="38" t="inlineStr">
        <is>
          <t>M2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G6</t>
        </is>
      </c>
      <c r="N39" s="38" t="inlineStr">
        <is>
          <t>M5</t>
        </is>
      </c>
      <c r="O39" s="38" t="inlineStr">
        <is>
          <t>G4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inlineStr">
        <is>
          <t>M6</t>
        </is>
      </c>
      <c r="N40" s="155" t="inlineStr">
        <is>
          <t>M4</t>
        </is>
      </c>
      <c r="O40" s="155" t="inlineStr">
        <is>
          <t>K</t>
        </is>
      </c>
      <c r="P40" s="155" t="inlineStr">
        <is>
          <t>TE</t>
        </is>
      </c>
      <c r="Q40" s="155" t="inlineStr">
        <is>
          <t>TE</t>
        </is>
      </c>
      <c r="R40" s="155" t="inlineStr">
        <is>
          <t>J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M6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G6</t>
        </is>
      </c>
      <c r="N46" s="38" t="inlineStr">
        <is>
          <t>M5</t>
        </is>
      </c>
      <c r="O46" s="38" t="inlineStr">
        <is>
          <t>G4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GQ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J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GT</t>
        </is>
      </c>
      <c r="Q48" s="38" t="inlineStr">
        <is>
          <t>J</t>
        </is>
      </c>
      <c r="R48" s="38" t="inlineStr">
        <is>
          <t>GK</t>
        </is>
      </c>
      <c r="S48" s="24" t="inlineStr">
        <is>
          <t>Q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J</t>
        </is>
      </c>
      <c r="N49" s="155" t="inlineStr">
        <is>
          <t>K</t>
        </is>
      </c>
      <c r="O49" s="155" t="inlineStr">
        <is>
          <t>K</t>
        </is>
      </c>
      <c r="P49" s="155" t="inlineStr">
        <is>
          <t>Q</t>
        </is>
      </c>
      <c r="Q49" s="155" t="inlineStr">
        <is>
          <t>M4</t>
        </is>
      </c>
      <c r="R49" s="155" t="inlineStr">
        <is>
          <t>M5</t>
        </is>
      </c>
      <c r="S49" s="156" t="inlineStr">
        <is>
          <t>M5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GJ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G6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G6</t>
        </is>
      </c>
      <c r="R54" s="38" t="inlineStr">
        <is>
          <t>M6</t>
        </is>
      </c>
      <c r="S54" s="24" t="inlineStr">
        <is>
          <t>K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J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M6</t>
        </is>
      </c>
      <c r="N57" s="38" t="inlineStr">
        <is>
          <t>TE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G6</t>
        </is>
      </c>
      <c r="S57" s="24" t="inlineStr">
        <is>
          <t>M6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G4</t>
        </is>
      </c>
      <c r="N58" s="155" t="inlineStr">
        <is>
          <t>A</t>
        </is>
      </c>
      <c r="O58" s="155" t="inlineStr">
        <is>
          <t>M5</t>
        </is>
      </c>
      <c r="P58" s="155" t="inlineStr">
        <is>
          <t>Q</t>
        </is>
      </c>
      <c r="Q58" s="155" t="inlineStr">
        <is>
          <t>A</t>
        </is>
      </c>
      <c r="R58" s="155" t="inlineStr">
        <is>
          <t>TE</t>
        </is>
      </c>
      <c r="S58" s="156" t="inlineStr">
        <is>
          <t>M6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G6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GJ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GK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G4</t>
        </is>
      </c>
      <c r="S65" s="24" t="inlineStr">
        <is>
          <t>G6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GT</t>
        </is>
      </c>
      <c r="R66" s="38" t="inlineStr">
        <is>
          <t>M4</t>
        </is>
      </c>
      <c r="S66" s="24" t="inlineStr">
        <is>
          <t>J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inlineStr">
        <is>
          <t>Q</t>
        </is>
      </c>
      <c r="N67" s="155" t="inlineStr">
        <is>
          <t>A</t>
        </is>
      </c>
      <c r="O67" s="155" t="inlineStr">
        <is>
          <t>J</t>
        </is>
      </c>
      <c r="P67" s="155" t="inlineStr">
        <is>
          <t>G5</t>
        </is>
      </c>
      <c r="Q67" s="155" t="inlineStr">
        <is>
          <t>M4</t>
        </is>
      </c>
      <c r="R67" s="155" t="inlineStr">
        <is>
          <t>M4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inlineStr">
        <is>
          <t>GJ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M5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G6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J</t>
        </is>
      </c>
      <c r="S72" s="24" t="inlineStr">
        <is>
          <t>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GK</t>
        </is>
      </c>
      <c r="N76" s="155" t="inlineStr">
        <is>
          <t>Q</t>
        </is>
      </c>
      <c r="O76" s="155" t="inlineStr">
        <is>
          <t>TE</t>
        </is>
      </c>
      <c r="P76" s="155" t="inlineStr">
        <is>
          <t>TE</t>
        </is>
      </c>
      <c r="Q76" s="155" t="inlineStr">
        <is>
          <t>A</t>
        </is>
      </c>
      <c r="R76" s="155" t="inlineStr">
        <is>
          <t>Q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GK</t>
        </is>
      </c>
      <c r="R77" s="38" t="inlineStr">
        <is>
          <t>A</t>
        </is>
      </c>
      <c r="S77" s="24" t="inlineStr">
        <is>
          <t>GK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G5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G5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inlineStr">
        <is>
          <t>GJ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G6</t>
        </is>
      </c>
      <c r="S83" s="24" t="inlineStr">
        <is>
          <t>M5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Q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GA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inlineStr">
        <is>
          <t>K</t>
        </is>
      </c>
      <c r="N85" s="155" t="inlineStr">
        <is>
          <t>M5</t>
        </is>
      </c>
      <c r="O85" s="155" t="inlineStr">
        <is>
          <t>Q</t>
        </is>
      </c>
      <c r="P85" s="155" t="inlineStr">
        <is>
          <t>K</t>
        </is>
      </c>
      <c r="Q85" s="155" t="inlineStr">
        <is>
          <t>M1</t>
        </is>
      </c>
      <c r="R85" s="155" t="inlineStr">
        <is>
          <t>M1</t>
        </is>
      </c>
      <c r="S85" s="156" t="inlineStr">
        <is>
          <t>Q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Q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G6</t>
        </is>
      </c>
      <c r="N89" s="38" t="inlineStr">
        <is>
          <t>GT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G5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TE</t>
        </is>
      </c>
      <c r="Q94" s="155" t="inlineStr">
        <is>
          <t>M4</t>
        </is>
      </c>
      <c r="R94" s="155" t="inlineStr">
        <is>
          <t>Q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inlineStr">
        <is>
          <t>GJ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GA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A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G6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GJ</t>
        </is>
      </c>
      <c r="R100" s="38" t="inlineStr">
        <is>
          <t>GA</t>
        </is>
      </c>
      <c r="S100" s="24" t="inlineStr">
        <is>
          <t>A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inlineStr">
        <is>
          <t>G6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A</t>
        </is>
      </c>
      <c r="R102" s="38" t="inlineStr">
        <is>
          <t>GJ</t>
        </is>
      </c>
      <c r="S102" s="24" t="inlineStr">
        <is>
          <t>A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A</t>
        </is>
      </c>
      <c r="O103" s="155" t="inlineStr">
        <is>
          <t>J</t>
        </is>
      </c>
      <c r="P103" s="155" t="inlineStr">
        <is>
          <t>TE</t>
        </is>
      </c>
      <c r="Q103" s="155" t="inlineStr">
        <is>
          <t>M6</t>
        </is>
      </c>
      <c r="R103" s="155" t="inlineStr">
        <is>
          <t>A</t>
        </is>
      </c>
      <c r="S103" s="156" t="inlineStr">
        <is>
          <t>GA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inlineStr">
        <is>
          <t>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K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inlineStr">
        <is>
          <t>GK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GT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J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TE</t>
        </is>
      </c>
      <c r="Q111" s="38" t="inlineStr">
        <is>
          <t>M3</t>
        </is>
      </c>
      <c r="R111" s="38" t="inlineStr">
        <is>
          <t>GK</t>
        </is>
      </c>
      <c r="S111" s="24" t="inlineStr">
        <is>
          <t>M4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inlineStr">
        <is>
          <t>M4</t>
        </is>
      </c>
      <c r="N112" s="155" t="inlineStr">
        <is>
          <t>M5</t>
        </is>
      </c>
      <c r="O112" s="155" t="inlineStr">
        <is>
          <t>M4</t>
        </is>
      </c>
      <c r="P112" s="155" t="inlineStr">
        <is>
          <t>TE</t>
        </is>
      </c>
      <c r="Q112" s="155" t="inlineStr">
        <is>
          <t>A</t>
        </is>
      </c>
      <c r="R112" s="155" t="inlineStr">
        <is>
          <t>M5</t>
        </is>
      </c>
      <c r="S112" s="156" t="inlineStr">
        <is>
          <t>A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M6</t>
        </is>
      </c>
      <c r="P114" s="38" t="inlineStr">
        <is>
          <t>GA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GT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GA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GJ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M3</t>
        </is>
      </c>
      <c r="N121" s="155" t="inlineStr">
        <is>
          <t>J</t>
        </is>
      </c>
      <c r="O121" s="155" t="inlineStr">
        <is>
          <t>M6</t>
        </is>
      </c>
      <c r="P121" s="155" t="inlineStr">
        <is>
          <t>K</t>
        </is>
      </c>
      <c r="Q121" s="155" t="inlineStr">
        <is>
          <t>K</t>
        </is>
      </c>
      <c r="R121" s="155" t="inlineStr">
        <is>
          <t>GJ</t>
        </is>
      </c>
      <c r="S121" s="156" t="inlineStr">
        <is>
          <t>M3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GT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A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inlineStr">
        <is>
          <t>GJ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G5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M5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J</t>
        </is>
      </c>
      <c r="N130" s="155" t="inlineStr">
        <is>
          <t>TE</t>
        </is>
      </c>
      <c r="O130" s="155" t="inlineStr">
        <is>
          <t>M6</t>
        </is>
      </c>
      <c r="P130" s="155" t="inlineStr">
        <is>
          <t>A</t>
        </is>
      </c>
      <c r="Q130" s="155" t="inlineStr">
        <is>
          <t>GK</t>
        </is>
      </c>
      <c r="R130" s="155" t="inlineStr">
        <is>
          <t>GJ</t>
        </is>
      </c>
      <c r="S130" s="156" t="inlineStr">
        <is>
          <t>M5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Q</t>
        </is>
      </c>
      <c r="R131" s="38" t="inlineStr">
        <is>
          <t>J</t>
        </is>
      </c>
      <c r="S131" s="24" t="inlineStr">
        <is>
          <t>M5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G4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GA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GQ</t>
        </is>
      </c>
      <c r="S135" s="24" t="inlineStr">
        <is>
          <t>Q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M3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GK</t>
        </is>
      </c>
      <c r="N139" s="155" t="inlineStr">
        <is>
          <t>A</t>
        </is>
      </c>
      <c r="O139" s="155" t="inlineStr">
        <is>
          <t>GJ</t>
        </is>
      </c>
      <c r="P139" s="155" t="inlineStr">
        <is>
          <t>Q</t>
        </is>
      </c>
      <c r="Q139" s="155" t="inlineStr">
        <is>
          <t>GT</t>
        </is>
      </c>
      <c r="R139" s="155" t="inlineStr">
        <is>
          <t>M6</t>
        </is>
      </c>
      <c r="S139" s="156" t="inlineStr">
        <is>
          <t>J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GQ</t>
        </is>
      </c>
      <c r="S140" s="24" t="inlineStr">
        <is>
          <t>G4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G4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A</t>
        </is>
      </c>
      <c r="R143" s="38" t="inlineStr">
        <is>
          <t>K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Q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GQ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GK</t>
        </is>
      </c>
      <c r="S145" s="24" t="inlineStr">
        <is>
          <t>M5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GJ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G5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M1</t>
        </is>
      </c>
      <c r="O148" s="155" t="inlineStr">
        <is>
          <t>M4</t>
        </is>
      </c>
      <c r="P148" s="155" t="inlineStr">
        <is>
          <t>GA</t>
        </is>
      </c>
      <c r="Q148" s="155" t="inlineStr">
        <is>
          <t>GT</t>
        </is>
      </c>
      <c r="R148" s="155" t="inlineStr">
        <is>
          <t>M4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GQ</t>
        </is>
      </c>
      <c r="S150" s="24" t="inlineStr">
        <is>
          <t>M6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M6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GJ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M1</t>
        </is>
      </c>
      <c r="O153" s="38" t="inlineStr">
        <is>
          <t>GK</t>
        </is>
      </c>
      <c r="P153" s="38" t="inlineStr">
        <is>
          <t>M5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GK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M6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G6</t>
        </is>
      </c>
      <c r="S155" s="24" t="inlineStr">
        <is>
          <t>J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M5</t>
        </is>
      </c>
      <c r="O157" s="155" t="inlineStr">
        <is>
          <t>M4</t>
        </is>
      </c>
      <c r="P157" s="155" t="inlineStr">
        <is>
          <t>A</t>
        </is>
      </c>
      <c r="Q157" s="155" t="inlineStr">
        <is>
          <t>K</t>
        </is>
      </c>
      <c r="R157" s="155" t="inlineStr">
        <is>
          <t>M1</t>
        </is>
      </c>
      <c r="S157" s="156" t="inlineStr">
        <is>
          <t>K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GJ</t>
        </is>
      </c>
      <c r="N158" s="38" t="inlineStr">
        <is>
          <t>TE</t>
        </is>
      </c>
      <c r="O158" s="38" t="inlineStr">
        <is>
          <t>M6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GT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GJ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GJ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J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GK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M2</t>
        </is>
      </c>
      <c r="O166" s="155" t="inlineStr">
        <is>
          <t>M6</t>
        </is>
      </c>
      <c r="P166" s="155" t="inlineStr">
        <is>
          <t>K</t>
        </is>
      </c>
      <c r="Q166" s="155" t="inlineStr">
        <is>
          <t>TE</t>
        </is>
      </c>
      <c r="R166" s="155" t="inlineStr">
        <is>
          <t>A</t>
        </is>
      </c>
      <c r="S166" s="156" t="inlineStr">
        <is>
          <t>M5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G3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G6</t>
        </is>
      </c>
      <c r="S167" s="24" t="inlineStr">
        <is>
          <t>M6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G6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GK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J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G6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J</t>
        </is>
      </c>
      <c r="O175" s="155" t="inlineStr">
        <is>
          <t>J</t>
        </is>
      </c>
      <c r="P175" s="155" t="inlineStr">
        <is>
          <t>TE</t>
        </is>
      </c>
      <c r="Q175" s="155" t="inlineStr">
        <is>
          <t>M4</t>
        </is>
      </c>
      <c r="R175" s="155" t="inlineStr">
        <is>
          <t>GQ</t>
        </is>
      </c>
      <c r="S175" s="156" t="inlineStr">
        <is>
          <t>TE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GJ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GQ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M2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G5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M4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G5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GK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M4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M1</t>
        </is>
      </c>
      <c r="O184" s="155" t="inlineStr">
        <is>
          <t>M3</t>
        </is>
      </c>
      <c r="P184" s="155" t="inlineStr">
        <is>
          <t>J</t>
        </is>
      </c>
      <c r="Q184" s="155" t="inlineStr">
        <is>
          <t>Q</t>
        </is>
      </c>
      <c r="R184" s="155" t="inlineStr">
        <is>
          <t>K</t>
        </is>
      </c>
      <c r="S184" s="156" t="inlineStr">
        <is>
          <t>G5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GJ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G6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GJ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A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J</t>
        </is>
      </c>
      <c r="N193" s="155" t="inlineStr">
        <is>
          <t>TE</t>
        </is>
      </c>
      <c r="O193" s="155" t="inlineStr">
        <is>
          <t>M6</t>
        </is>
      </c>
      <c r="P193" s="155" t="inlineStr">
        <is>
          <t>TE</t>
        </is>
      </c>
      <c r="Q193" s="155" t="inlineStr">
        <is>
          <t>M5</t>
        </is>
      </c>
      <c r="R193" s="155" t="inlineStr">
        <is>
          <t>M4</t>
        </is>
      </c>
      <c r="S193" s="156" t="inlineStr">
        <is>
          <t>K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GK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G6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GJ</t>
        </is>
      </c>
      <c r="S195" s="24" t="inlineStr">
        <is>
          <t>M6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K</t>
        </is>
      </c>
      <c r="P196" s="38" t="inlineStr">
        <is>
          <t>GJ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G4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GJ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GJ</t>
        </is>
      </c>
      <c r="S200" s="24" t="inlineStr">
        <is>
          <t>M4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A</t>
        </is>
      </c>
      <c r="R201" s="38" t="inlineStr">
        <is>
          <t>M4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M4</t>
        </is>
      </c>
      <c r="N202" s="155" t="inlineStr">
        <is>
          <t>Q</t>
        </is>
      </c>
      <c r="O202" s="155" t="inlineStr">
        <is>
          <t>M6</t>
        </is>
      </c>
      <c r="P202" s="155" t="inlineStr">
        <is>
          <t>M5</t>
        </is>
      </c>
      <c r="Q202" s="155" t="inlineStr">
        <is>
          <t>G5</t>
        </is>
      </c>
      <c r="R202" s="155" t="inlineStr">
        <is>
          <t>Q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G6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inlineStr">
        <is>
          <t>GK</t>
        </is>
      </c>
      <c r="N4" s="155" t="inlineStr">
        <is>
          <t>GQ</t>
        </is>
      </c>
      <c r="O4" s="155" t="inlineStr">
        <is>
          <t>TE</t>
        </is>
      </c>
      <c r="P4" s="155" t="inlineStr">
        <is>
          <t>G3</t>
        </is>
      </c>
      <c r="Q4" s="155" t="inlineStr">
        <is>
          <t>WW</t>
        </is>
      </c>
      <c r="R4" s="155" t="inlineStr">
        <is>
          <t>GK</t>
        </is>
      </c>
      <c r="S4" s="156" t="inlineStr">
        <is>
          <t>M1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Q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1</v>
      </c>
      <c r="D7" s="152">
        <f t="shared" si="0"/>
        <v>4</v>
      </c>
      <c r="E7" s="152">
        <f t="shared" si="0"/>
        <v>6</v>
      </c>
      <c r="F7" s="152">
        <f t="shared" si="0"/>
        <v>5</v>
      </c>
      <c r="G7" s="152">
        <f t="shared" si="0"/>
        <v>3</v>
      </c>
      <c r="H7" s="152">
        <f t="shared" si="0"/>
        <v>4</v>
      </c>
      <c r="I7" s="152">
        <f t="shared" si="0"/>
        <v>2</v>
      </c>
      <c r="J7" s="150">
        <v>3</v>
      </c>
      <c r="L7" s="14">
        <v>4</v>
      </c>
      <c r="M7" s="38" t="inlineStr">
        <is>
          <t>G5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3</v>
      </c>
      <c r="E8" s="152">
        <f t="shared" si="0"/>
        <v>5</v>
      </c>
      <c r="F8" s="152">
        <f t="shared" si="0"/>
        <v>5</v>
      </c>
      <c r="G8" s="152">
        <f t="shared" si="0"/>
        <v>4</v>
      </c>
      <c r="H8" s="152">
        <f t="shared" si="0"/>
        <v>4</v>
      </c>
      <c r="I8" s="152">
        <f t="shared" si="0"/>
        <v>4</v>
      </c>
      <c r="J8" s="150">
        <v>4</v>
      </c>
      <c r="L8" s="15">
        <v>5</v>
      </c>
      <c r="M8" s="38" t="inlineStr">
        <is>
          <t>J</t>
        </is>
      </c>
      <c r="N8" s="38" t="inlineStr">
        <is>
          <t>G5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15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16</v>
      </c>
      <c r="I9" s="152">
        <f t="shared" si="0"/>
        <v>18</v>
      </c>
      <c r="J9" s="150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3</v>
      </c>
      <c r="D10" s="152">
        <f t="shared" si="0"/>
        <v>27</v>
      </c>
      <c r="E10" s="152">
        <f t="shared" si="0"/>
        <v>8</v>
      </c>
      <c r="F10" s="152">
        <f t="shared" si="0"/>
        <v>23</v>
      </c>
      <c r="G10" s="152">
        <f t="shared" si="0"/>
        <v>19</v>
      </c>
      <c r="H10" s="152">
        <f t="shared" si="0"/>
        <v>19</v>
      </c>
      <c r="I10" s="152">
        <f t="shared" si="0"/>
        <v>19</v>
      </c>
      <c r="J10" s="150">
        <v>6</v>
      </c>
      <c r="L10" s="15">
        <v>7</v>
      </c>
      <c r="M10" s="38" t="inlineStr">
        <is>
          <t>G4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G4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45</v>
      </c>
      <c r="D11" s="152">
        <f t="shared" si="0"/>
        <v>8</v>
      </c>
      <c r="E11" s="152">
        <f t="shared" si="0"/>
        <v>24</v>
      </c>
      <c r="F11" s="152">
        <f t="shared" si="0"/>
        <v>13</v>
      </c>
      <c r="G11" s="152">
        <f t="shared" si="0"/>
        <v>17</v>
      </c>
      <c r="H11" s="152">
        <f t="shared" si="0"/>
        <v>22</v>
      </c>
      <c r="I11" s="152">
        <f t="shared" si="0"/>
        <v>21</v>
      </c>
      <c r="J11" s="150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GA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2</v>
      </c>
      <c r="D12" s="10">
        <f t="shared" si="0"/>
        <v>28</v>
      </c>
      <c r="E12" s="10">
        <f t="shared" si="0"/>
        <v>13</v>
      </c>
      <c r="F12" s="10">
        <f t="shared" si="0"/>
        <v>27</v>
      </c>
      <c r="G12" s="10">
        <f t="shared" si="0"/>
        <v>21</v>
      </c>
      <c r="H12" s="10">
        <f t="shared" si="0"/>
        <v>18</v>
      </c>
      <c r="I12" s="10">
        <f t="shared" si="0"/>
        <v>19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G6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40</v>
      </c>
      <c r="D13" s="10">
        <f t="shared" si="0"/>
        <v>8</v>
      </c>
      <c r="E13" s="10">
        <f t="shared" si="0"/>
        <v>28</v>
      </c>
      <c r="F13" s="10">
        <f t="shared" si="0"/>
        <v>11</v>
      </c>
      <c r="G13" s="10">
        <f t="shared" si="0"/>
        <v>17</v>
      </c>
      <c r="H13" s="10">
        <f t="shared" si="0"/>
        <v>20</v>
      </c>
      <c r="I13" s="10">
        <f t="shared" si="0"/>
        <v>21</v>
      </c>
      <c r="J13" s="4">
        <v>9</v>
      </c>
      <c r="L13" s="15">
        <v>10</v>
      </c>
      <c r="M13" s="155" t="inlineStr">
        <is>
          <t>GK</t>
        </is>
      </c>
      <c r="N13" s="155" t="inlineStr">
        <is>
          <t>Q</t>
        </is>
      </c>
      <c r="O13" s="155" t="inlineStr">
        <is>
          <t>G6</t>
        </is>
      </c>
      <c r="P13" s="155" t="inlineStr">
        <is>
          <t>A</t>
        </is>
      </c>
      <c r="Q13" s="155" t="inlineStr">
        <is>
          <t>M1</t>
        </is>
      </c>
      <c r="R13" s="155" t="inlineStr">
        <is>
          <t>M5</t>
        </is>
      </c>
      <c r="S13" s="156" t="inlineStr">
        <is>
          <t>GJ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0"/>
        <v>29</v>
      </c>
      <c r="E14" s="10">
        <f t="shared" si="0"/>
        <v>8</v>
      </c>
      <c r="F14" s="10">
        <f t="shared" si="0"/>
        <v>23</v>
      </c>
      <c r="G14" s="10">
        <f t="shared" si="0"/>
        <v>18</v>
      </c>
      <c r="H14" s="10">
        <f t="shared" si="0"/>
        <v>16</v>
      </c>
      <c r="I14" s="10">
        <f t="shared" si="0"/>
        <v>13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44</v>
      </c>
      <c r="D15" s="10">
        <f t="shared" si="0"/>
        <v>12</v>
      </c>
      <c r="E15" s="10">
        <f t="shared" si="0"/>
        <v>29</v>
      </c>
      <c r="F15" s="10">
        <f t="shared" si="0"/>
        <v>13</v>
      </c>
      <c r="G15" s="10">
        <f t="shared" si="0"/>
        <v>20</v>
      </c>
      <c r="H15" s="10">
        <f t="shared" si="0"/>
        <v>22</v>
      </c>
      <c r="I15" s="10">
        <f t="shared" si="0"/>
        <v>22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A</t>
        </is>
      </c>
      <c r="O15" s="38" t="inlineStr">
        <is>
          <t>K</t>
        </is>
      </c>
      <c r="P15" s="38" t="inlineStr">
        <is>
          <t>GQ</t>
        </is>
      </c>
      <c r="Q15" s="38" t="inlineStr">
        <is>
          <t>GJ</t>
        </is>
      </c>
      <c r="R15" s="38" t="inlineStr">
        <is>
          <t>M2</t>
        </is>
      </c>
      <c r="S15" s="24" t="inlineStr">
        <is>
          <t>K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0"/>
        <v>30</v>
      </c>
      <c r="E16" s="10">
        <f t="shared" si="0"/>
        <v>15</v>
      </c>
      <c r="F16" s="10">
        <f t="shared" si="0"/>
        <v>25</v>
      </c>
      <c r="G16" s="10">
        <f t="shared" si="0"/>
        <v>18</v>
      </c>
      <c r="H16" s="10">
        <f t="shared" si="0"/>
        <v>14</v>
      </c>
      <c r="I16" s="10">
        <f t="shared" si="0"/>
        <v>16</v>
      </c>
      <c r="J16" s="4">
        <v>12</v>
      </c>
      <c r="L16" s="14">
        <v>13</v>
      </c>
      <c r="M16" s="38" t="inlineStr">
        <is>
          <t>G4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G6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G4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2</v>
      </c>
      <c r="D18" s="152">
        <f t="shared" si="0"/>
        <v>2</v>
      </c>
      <c r="E18" s="152">
        <f t="shared" si="0"/>
        <v>1</v>
      </c>
      <c r="F18" s="152">
        <f t="shared" si="0"/>
        <v>3</v>
      </c>
      <c r="G18" s="152">
        <f t="shared" si="0"/>
        <v>2</v>
      </c>
      <c r="H18" s="152">
        <f t="shared" si="0"/>
        <v>0</v>
      </c>
      <c r="I18" s="152">
        <f t="shared" si="0"/>
        <v>2</v>
      </c>
      <c r="J18" s="150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GA</t>
        </is>
      </c>
      <c r="S18" s="24" t="inlineStr">
        <is>
          <t>M5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2</v>
      </c>
      <c r="E19" s="152">
        <f t="shared" si="0"/>
        <v>4</v>
      </c>
      <c r="F19" s="152">
        <f t="shared" si="0"/>
        <v>1</v>
      </c>
      <c r="G19" s="152">
        <f t="shared" si="0"/>
        <v>1</v>
      </c>
      <c r="H19" s="152">
        <f t="shared" si="0"/>
        <v>1</v>
      </c>
      <c r="I19" s="152">
        <f t="shared" si="0"/>
        <v>1</v>
      </c>
      <c r="J19" s="150">
        <v>15</v>
      </c>
      <c r="K19" s="42"/>
      <c r="L19" s="15">
        <v>16</v>
      </c>
      <c r="M19" s="38" t="inlineStr">
        <is>
          <t>GJ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GJ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6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7</v>
      </c>
      <c r="I20" s="152">
        <f t="shared" si="0"/>
        <v>5</v>
      </c>
      <c r="J20" s="150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1</v>
      </c>
      <c r="D21" s="152">
        <f t="shared" si="0"/>
        <v>5</v>
      </c>
      <c r="E21" s="152">
        <f t="shared" si="0"/>
        <v>3</v>
      </c>
      <c r="F21" s="152">
        <f t="shared" si="0"/>
        <v>6</v>
      </c>
      <c r="G21" s="152">
        <f t="shared" si="0"/>
        <v>3</v>
      </c>
      <c r="H21" s="152">
        <f t="shared" si="0"/>
        <v>4</v>
      </c>
      <c r="I21" s="152">
        <f t="shared" si="0"/>
        <v>4</v>
      </c>
      <c r="J21" s="150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6</v>
      </c>
      <c r="D22" s="152">
        <f t="shared" si="0"/>
        <v>2</v>
      </c>
      <c r="E22" s="152">
        <f t="shared" si="0"/>
        <v>7</v>
      </c>
      <c r="F22" s="152">
        <f t="shared" si="0"/>
        <v>2</v>
      </c>
      <c r="G22" s="152">
        <f t="shared" si="0"/>
        <v>4</v>
      </c>
      <c r="H22" s="152">
        <f t="shared" si="0"/>
        <v>5</v>
      </c>
      <c r="I22" s="152">
        <f t="shared" si="0"/>
        <v>6</v>
      </c>
      <c r="J22" s="150">
        <v>18</v>
      </c>
      <c r="L22" s="15">
        <v>19</v>
      </c>
      <c r="M22" s="155" t="inlineStr">
        <is>
          <t>GK</t>
        </is>
      </c>
      <c r="N22" s="155" t="inlineStr">
        <is>
          <t>G5</t>
        </is>
      </c>
      <c r="O22" s="155" t="inlineStr">
        <is>
          <t>M6</t>
        </is>
      </c>
      <c r="P22" s="155" t="inlineStr">
        <is>
          <t>M5</t>
        </is>
      </c>
      <c r="Q22" s="155" t="inlineStr">
        <is>
          <t>J</t>
        </is>
      </c>
      <c r="R22" s="155" t="inlineStr">
        <is>
          <t>GA</t>
        </is>
      </c>
      <c r="S22" s="156" t="inlineStr">
        <is>
          <t>GQ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2</v>
      </c>
      <c r="D23" s="10">
        <f t="shared" si="0"/>
        <v>9</v>
      </c>
      <c r="E23" s="10">
        <f t="shared" si="0"/>
        <v>3</v>
      </c>
      <c r="F23" s="10">
        <f t="shared" si="0"/>
        <v>6</v>
      </c>
      <c r="G23" s="10">
        <f t="shared" si="0"/>
        <v>5</v>
      </c>
      <c r="H23" s="10">
        <f t="shared" si="0"/>
        <v>3</v>
      </c>
      <c r="I23" s="10">
        <f t="shared" si="0"/>
        <v>2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8</v>
      </c>
      <c r="D24" s="10">
        <f t="shared" si="0"/>
        <v>2</v>
      </c>
      <c r="E24" s="10">
        <f t="shared" si="0"/>
        <v>6</v>
      </c>
      <c r="F24" s="10">
        <f t="shared" si="0"/>
        <v>4</v>
      </c>
      <c r="G24" s="10">
        <f t="shared" si="0"/>
        <v>6</v>
      </c>
      <c r="H24" s="10">
        <f t="shared" si="0"/>
        <v>6</v>
      </c>
      <c r="I24" s="10">
        <f t="shared" si="0"/>
        <v>5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1</v>
      </c>
      <c r="D25" s="10">
        <f t="shared" si="0"/>
        <v>7</v>
      </c>
      <c r="E25" s="10">
        <f t="shared" si="0"/>
        <v>1</v>
      </c>
      <c r="F25" s="10">
        <f t="shared" si="0"/>
        <v>5</v>
      </c>
      <c r="G25" s="10">
        <f t="shared" si="0"/>
        <v>4</v>
      </c>
      <c r="H25" s="10">
        <f t="shared" si="0"/>
        <v>5</v>
      </c>
      <c r="I25" s="10">
        <f t="shared" si="0"/>
        <v>8</v>
      </c>
      <c r="J25" s="4">
        <v>21</v>
      </c>
      <c r="L25" s="14">
        <v>22</v>
      </c>
      <c r="M25" s="38" t="inlineStr">
        <is>
          <t>G4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GQ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13</v>
      </c>
      <c r="D26" s="10">
        <f t="shared" si="0"/>
        <v>2</v>
      </c>
      <c r="E26" s="10">
        <f t="shared" si="0"/>
        <v>8</v>
      </c>
      <c r="F26" s="10">
        <f t="shared" si="0"/>
        <v>4</v>
      </c>
      <c r="G26" s="10">
        <f t="shared" si="0"/>
        <v>8</v>
      </c>
      <c r="H26" s="10">
        <f t="shared" si="0"/>
        <v>4</v>
      </c>
      <c r="I26" s="10">
        <f t="shared" si="0"/>
        <v>4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J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GK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1</v>
      </c>
      <c r="D27" s="10">
        <f t="shared" si="0"/>
        <v>8</v>
      </c>
      <c r="E27" s="10">
        <f t="shared" si="0"/>
        <v>2</v>
      </c>
      <c r="F27" s="10">
        <f t="shared" si="0"/>
        <v>6</v>
      </c>
      <c r="G27" s="10">
        <f t="shared" si="0"/>
        <v>5</v>
      </c>
      <c r="H27" s="10">
        <f t="shared" si="0"/>
        <v>5</v>
      </c>
      <c r="I27" s="10">
        <f t="shared" si="0"/>
        <v>3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GA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J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inlineStr">
        <is>
          <t>GJ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G4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M6</t>
        </is>
      </c>
      <c r="O31" s="155" t="inlineStr">
        <is>
          <t>GT</t>
        </is>
      </c>
      <c r="P31" s="155" t="inlineStr">
        <is>
          <t>TE</t>
        </is>
      </c>
      <c r="Q31" s="155" t="inlineStr">
        <is>
          <t>TE</t>
        </is>
      </c>
      <c r="R31" s="155" t="inlineStr">
        <is>
          <t>GK</t>
        </is>
      </c>
      <c r="S31" s="156" t="inlineStr">
        <is>
          <t>J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GK</t>
        </is>
      </c>
      <c r="N32" s="38" t="inlineStr">
        <is>
          <t>GA</t>
        </is>
      </c>
      <c r="O32" s="38" t="inlineStr">
        <is>
          <t>K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G2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inlineStr">
        <is>
          <t>J</t>
        </is>
      </c>
      <c r="N33" s="38" t="inlineStr">
        <is>
          <t>Q</t>
        </is>
      </c>
      <c r="O33" s="38" t="inlineStr">
        <is>
          <t>M4</t>
        </is>
      </c>
      <c r="P33" s="38" t="inlineStr">
        <is>
          <t>K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GK</t>
        </is>
      </c>
      <c r="N35" s="38" t="inlineStr">
        <is>
          <t>A</t>
        </is>
      </c>
      <c r="O35" s="38" t="inlineStr">
        <is>
          <t>GK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G2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TE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A</t>
        </is>
      </c>
      <c r="R36" s="38" t="inlineStr">
        <is>
          <t>M2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G3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GT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GA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G4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inlineStr">
        <is>
          <t>M6</t>
        </is>
      </c>
      <c r="N40" s="155" t="inlineStr">
        <is>
          <t>M4</t>
        </is>
      </c>
      <c r="O40" s="155" t="inlineStr">
        <is>
          <t>K</t>
        </is>
      </c>
      <c r="P40" s="155" t="inlineStr">
        <is>
          <t>TE</t>
        </is>
      </c>
      <c r="Q40" s="155" t="inlineStr">
        <is>
          <t>TE</t>
        </is>
      </c>
      <c r="R40" s="155" t="inlineStr">
        <is>
          <t>J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GJ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GQ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G4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GK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G6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M2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G4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G6</t>
        </is>
      </c>
      <c r="N47" s="38" t="inlineStr">
        <is>
          <t>J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G5</t>
        </is>
      </c>
      <c r="S47" s="24" t="inlineStr">
        <is>
          <t>GQ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GT</t>
        </is>
      </c>
      <c r="O48" s="38" t="inlineStr">
        <is>
          <t>TE</t>
        </is>
      </c>
      <c r="P48" s="38" t="inlineStr">
        <is>
          <t>GT</t>
        </is>
      </c>
      <c r="Q48" s="38" t="inlineStr">
        <is>
          <t>GJ</t>
        </is>
      </c>
      <c r="R48" s="38" t="inlineStr">
        <is>
          <t>K</t>
        </is>
      </c>
      <c r="S48" s="24" t="inlineStr">
        <is>
          <t>Q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J</t>
        </is>
      </c>
      <c r="N49" s="155" t="inlineStr">
        <is>
          <t>K</t>
        </is>
      </c>
      <c r="O49" s="155" t="inlineStr">
        <is>
          <t>K</t>
        </is>
      </c>
      <c r="P49" s="155" t="inlineStr">
        <is>
          <t>Q</t>
        </is>
      </c>
      <c r="Q49" s="155" t="inlineStr">
        <is>
          <t>M4</t>
        </is>
      </c>
      <c r="R49" s="155" t="inlineStr">
        <is>
          <t>M5</t>
        </is>
      </c>
      <c r="S49" s="156" t="inlineStr">
        <is>
          <t>M5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G2</t>
        </is>
      </c>
      <c r="N50" s="38" t="inlineStr">
        <is>
          <t>M6</t>
        </is>
      </c>
      <c r="O50" s="38" t="inlineStr">
        <is>
          <t>G3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GK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G3</t>
        </is>
      </c>
      <c r="S51" s="24" t="inlineStr">
        <is>
          <t>A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GJ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G6</t>
        </is>
      </c>
      <c r="R54" s="38" t="inlineStr">
        <is>
          <t>M6</t>
        </is>
      </c>
      <c r="S54" s="24" t="inlineStr">
        <is>
          <t>GK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GT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GT</t>
        </is>
      </c>
      <c r="S56" s="24" t="inlineStr">
        <is>
          <t>J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G6</t>
        </is>
      </c>
      <c r="N57" s="38" t="inlineStr">
        <is>
          <t>TE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M4</t>
        </is>
      </c>
      <c r="N58" s="155" t="inlineStr">
        <is>
          <t>A</t>
        </is>
      </c>
      <c r="O58" s="155" t="inlineStr">
        <is>
          <t>G5</t>
        </is>
      </c>
      <c r="P58" s="155" t="inlineStr">
        <is>
          <t>GQ</t>
        </is>
      </c>
      <c r="Q58" s="155" t="inlineStr">
        <is>
          <t>A</t>
        </is>
      </c>
      <c r="R58" s="155" t="inlineStr">
        <is>
          <t>TE</t>
        </is>
      </c>
      <c r="S58" s="156" t="inlineStr">
        <is>
          <t>M6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GJ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G2</t>
        </is>
      </c>
      <c r="R60" s="38" t="inlineStr">
        <is>
          <t>GT</t>
        </is>
      </c>
      <c r="S60" s="24" t="inlineStr">
        <is>
          <t>G6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GJ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G4</t>
        </is>
      </c>
      <c r="S65" s="24" t="inlineStr">
        <is>
          <t>M6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GJ</t>
        </is>
      </c>
      <c r="N66" s="38" t="inlineStr">
        <is>
          <t>K</t>
        </is>
      </c>
      <c r="O66" s="38" t="inlineStr">
        <is>
          <t>G3</t>
        </is>
      </c>
      <c r="P66" s="38" t="inlineStr">
        <is>
          <t>J</t>
        </is>
      </c>
      <c r="Q66" s="38" t="inlineStr">
        <is>
          <t>GT</t>
        </is>
      </c>
      <c r="R66" s="38" t="inlineStr">
        <is>
          <t>M4</t>
        </is>
      </c>
      <c r="S66" s="24" t="inlineStr">
        <is>
          <t>GJ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inlineStr">
        <is>
          <t>Q</t>
        </is>
      </c>
      <c r="N67" s="155" t="inlineStr">
        <is>
          <t>A</t>
        </is>
      </c>
      <c r="O67" s="155" t="inlineStr">
        <is>
          <t>J</t>
        </is>
      </c>
      <c r="P67" s="155" t="inlineStr">
        <is>
          <t>G5</t>
        </is>
      </c>
      <c r="Q67" s="155" t="inlineStr">
        <is>
          <t>M4</t>
        </is>
      </c>
      <c r="R67" s="155" t="inlineStr">
        <is>
          <t>M4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inlineStr">
        <is>
          <t>J</t>
        </is>
      </c>
      <c r="N69" s="38" t="inlineStr">
        <is>
          <t>GA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GJ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M5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GT</t>
        </is>
      </c>
      <c r="P71" s="38" t="inlineStr">
        <is>
          <t>TE</t>
        </is>
      </c>
      <c r="Q71" s="38" t="inlineStr">
        <is>
          <t>GA</t>
        </is>
      </c>
      <c r="R71" s="38" t="inlineStr">
        <is>
          <t>M6</t>
        </is>
      </c>
      <c r="S71" s="24" t="inlineStr">
        <is>
          <t>M6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inlineStr">
        <is>
          <t>G4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J</t>
        </is>
      </c>
      <c r="R72" s="38" t="inlineStr">
        <is>
          <t>J</t>
        </is>
      </c>
      <c r="S72" s="24" t="inlineStr">
        <is>
          <t>GK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G5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K</t>
        </is>
      </c>
      <c r="N76" s="155" t="inlineStr">
        <is>
          <t>Q</t>
        </is>
      </c>
      <c r="O76" s="155" t="inlineStr">
        <is>
          <t>TE</t>
        </is>
      </c>
      <c r="P76" s="155" t="inlineStr">
        <is>
          <t>TE</t>
        </is>
      </c>
      <c r="Q76" s="155" t="inlineStr">
        <is>
          <t>A</t>
        </is>
      </c>
      <c r="R76" s="155" t="inlineStr">
        <is>
          <t>Q</t>
        </is>
      </c>
      <c r="S76" s="156" t="inlineStr">
        <is>
          <t>GK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GK</t>
        </is>
      </c>
      <c r="R77" s="38" t="inlineStr">
        <is>
          <t>A</t>
        </is>
      </c>
      <c r="S77" s="24" t="inlineStr">
        <is>
          <t>K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G4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GQ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G5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GK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G5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GT</t>
        </is>
      </c>
      <c r="S82" s="24" t="inlineStr">
        <is>
          <t>M6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GJ</t>
        </is>
      </c>
      <c r="R83" s="38" t="inlineStr">
        <is>
          <t>M6</t>
        </is>
      </c>
      <c r="S83" s="24" t="inlineStr">
        <is>
          <t>M5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M4</t>
        </is>
      </c>
      <c r="P84" s="38" t="inlineStr">
        <is>
          <t>Q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inlineStr">
        <is>
          <t>GK</t>
        </is>
      </c>
      <c r="N85" s="155" t="inlineStr">
        <is>
          <t>M5</t>
        </is>
      </c>
      <c r="O85" s="155" t="inlineStr">
        <is>
          <t>Q</t>
        </is>
      </c>
      <c r="P85" s="155" t="inlineStr">
        <is>
          <t>GK</t>
        </is>
      </c>
      <c r="Q85" s="155" t="inlineStr">
        <is>
          <t>M1</t>
        </is>
      </c>
      <c r="R85" s="155" t="inlineStr">
        <is>
          <t>M1</t>
        </is>
      </c>
      <c r="S85" s="156" t="inlineStr">
        <is>
          <t>GQ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G6</t>
        </is>
      </c>
      <c r="S86" s="24" t="inlineStr">
        <is>
          <t>M4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Q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GT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G6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G5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GA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TE</t>
        </is>
      </c>
      <c r="Q94" s="155" t="inlineStr">
        <is>
          <t>M4</t>
        </is>
      </c>
      <c r="R94" s="155" t="inlineStr">
        <is>
          <t>Q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GK</t>
        </is>
      </c>
      <c r="Q95" s="38" t="inlineStr">
        <is>
          <t>GK</t>
        </is>
      </c>
      <c r="R95" s="38" t="inlineStr">
        <is>
          <t>G4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GA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inlineStr">
        <is>
          <t>GJ</t>
        </is>
      </c>
      <c r="N97" s="38" t="inlineStr">
        <is>
          <t>M5</t>
        </is>
      </c>
      <c r="O97" s="38" t="inlineStr">
        <is>
          <t>A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G6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GJ</t>
        </is>
      </c>
      <c r="R100" s="38" t="inlineStr">
        <is>
          <t>GA</t>
        </is>
      </c>
      <c r="S100" s="24" t="inlineStr">
        <is>
          <t>A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GK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A</t>
        </is>
      </c>
      <c r="R102" s="38" t="inlineStr">
        <is>
          <t>GJ</t>
        </is>
      </c>
      <c r="S102" s="24" t="inlineStr">
        <is>
          <t>A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A</t>
        </is>
      </c>
      <c r="O103" s="155" t="inlineStr">
        <is>
          <t>J</t>
        </is>
      </c>
      <c r="P103" s="155" t="inlineStr">
        <is>
          <t>TE</t>
        </is>
      </c>
      <c r="Q103" s="155" t="inlineStr">
        <is>
          <t>M6</t>
        </is>
      </c>
      <c r="R103" s="155" t="inlineStr">
        <is>
          <t>A</t>
        </is>
      </c>
      <c r="S103" s="156" t="inlineStr">
        <is>
          <t>A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inlineStr">
        <is>
          <t>GJ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GQ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M5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GQ</t>
        </is>
      </c>
      <c r="R105" s="38" t="inlineStr">
        <is>
          <t>WW</t>
        </is>
      </c>
      <c r="S105" s="24" t="inlineStr">
        <is>
          <t>K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G4</t>
        </is>
      </c>
      <c r="S106" s="24" t="inlineStr">
        <is>
          <t>M5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inlineStr">
        <is>
          <t>GJ</t>
        </is>
      </c>
      <c r="N110" s="38" t="inlineStr">
        <is>
          <t>TE</t>
        </is>
      </c>
      <c r="O110" s="38" t="inlineStr">
        <is>
          <t>J</t>
        </is>
      </c>
      <c r="P110" s="38" t="inlineStr">
        <is>
          <t>G5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GT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TE</t>
        </is>
      </c>
      <c r="Q111" s="38" t="inlineStr">
        <is>
          <t>M3</t>
        </is>
      </c>
      <c r="R111" s="38" t="inlineStr">
        <is>
          <t>GK</t>
        </is>
      </c>
      <c r="S111" s="24" t="inlineStr">
        <is>
          <t>M4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inlineStr">
        <is>
          <t>M4</t>
        </is>
      </c>
      <c r="N112" s="155" t="inlineStr">
        <is>
          <t>M5</t>
        </is>
      </c>
      <c r="O112" s="155" t="inlineStr">
        <is>
          <t>M4</t>
        </is>
      </c>
      <c r="P112" s="155" t="inlineStr">
        <is>
          <t>TE</t>
        </is>
      </c>
      <c r="Q112" s="155" t="inlineStr">
        <is>
          <t>A</t>
        </is>
      </c>
      <c r="R112" s="155" t="inlineStr">
        <is>
          <t>M5</t>
        </is>
      </c>
      <c r="S112" s="156" t="inlineStr">
        <is>
          <t>A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GJ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G6</t>
        </is>
      </c>
      <c r="P114" s="38" t="inlineStr">
        <is>
          <t>GA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GT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GT</t>
        </is>
      </c>
      <c r="S116" s="24" t="inlineStr">
        <is>
          <t>G3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GA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M3</t>
        </is>
      </c>
      <c r="N121" s="155" t="inlineStr">
        <is>
          <t>J</t>
        </is>
      </c>
      <c r="O121" s="155" t="inlineStr">
        <is>
          <t>M6</t>
        </is>
      </c>
      <c r="P121" s="155" t="inlineStr">
        <is>
          <t>K</t>
        </is>
      </c>
      <c r="Q121" s="155" t="inlineStr">
        <is>
          <t>GK</t>
        </is>
      </c>
      <c r="R121" s="155" t="inlineStr">
        <is>
          <t>GJ</t>
        </is>
      </c>
      <c r="S121" s="156" t="inlineStr">
        <is>
          <t>M3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GA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GT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GJ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A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G4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G2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G5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J</t>
        </is>
      </c>
      <c r="N130" s="155" t="inlineStr">
        <is>
          <t>TE</t>
        </is>
      </c>
      <c r="O130" s="155" t="inlineStr">
        <is>
          <t>M6</t>
        </is>
      </c>
      <c r="P130" s="155" t="inlineStr">
        <is>
          <t>A</t>
        </is>
      </c>
      <c r="Q130" s="155" t="inlineStr">
        <is>
          <t>GK</t>
        </is>
      </c>
      <c r="R130" s="155" t="inlineStr">
        <is>
          <t>GJ</t>
        </is>
      </c>
      <c r="S130" s="156" t="inlineStr">
        <is>
          <t>M5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Q</t>
        </is>
      </c>
      <c r="R131" s="38" t="inlineStr">
        <is>
          <t>J</t>
        </is>
      </c>
      <c r="S131" s="24" t="inlineStr">
        <is>
          <t>M5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GK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GA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GQ</t>
        </is>
      </c>
      <c r="S135" s="24" t="inlineStr">
        <is>
          <t>GQ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M3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K</t>
        </is>
      </c>
      <c r="N139" s="155" t="inlineStr">
        <is>
          <t>A</t>
        </is>
      </c>
      <c r="O139" s="155" t="inlineStr">
        <is>
          <t>GJ</t>
        </is>
      </c>
      <c r="P139" s="155" t="inlineStr">
        <is>
          <t>Q</t>
        </is>
      </c>
      <c r="Q139" s="155" t="inlineStr">
        <is>
          <t>GT</t>
        </is>
      </c>
      <c r="R139" s="155" t="inlineStr">
        <is>
          <t>M6</t>
        </is>
      </c>
      <c r="S139" s="156" t="inlineStr">
        <is>
          <t>J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GQ</t>
        </is>
      </c>
      <c r="S140" s="24" t="inlineStr">
        <is>
          <t>M4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G6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G4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G4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A</t>
        </is>
      </c>
      <c r="R143" s="38" t="inlineStr">
        <is>
          <t>K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Q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GQ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GK</t>
        </is>
      </c>
      <c r="S145" s="24" t="inlineStr">
        <is>
          <t>M5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G6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G5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M1</t>
        </is>
      </c>
      <c r="O148" s="155" t="inlineStr">
        <is>
          <t>M4</t>
        </is>
      </c>
      <c r="P148" s="155" t="inlineStr">
        <is>
          <t>GA</t>
        </is>
      </c>
      <c r="Q148" s="155" t="inlineStr">
        <is>
          <t>GT</t>
        </is>
      </c>
      <c r="R148" s="155" t="inlineStr">
        <is>
          <t>M4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GQ</t>
        </is>
      </c>
      <c r="S150" s="24" t="inlineStr">
        <is>
          <t>M6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M6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M1</t>
        </is>
      </c>
      <c r="O153" s="38" t="inlineStr">
        <is>
          <t>GK</t>
        </is>
      </c>
      <c r="P153" s="38" t="inlineStr">
        <is>
          <t>M5</t>
        </is>
      </c>
      <c r="Q153" s="38" t="inlineStr">
        <is>
          <t>GA</t>
        </is>
      </c>
      <c r="R153" s="38" t="inlineStr">
        <is>
          <t>TE</t>
        </is>
      </c>
      <c r="S153" s="24" t="inlineStr">
        <is>
          <t>K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G4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G6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G6</t>
        </is>
      </c>
      <c r="S155" s="24" t="inlineStr">
        <is>
          <t>J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M5</t>
        </is>
      </c>
      <c r="O157" s="155" t="inlineStr">
        <is>
          <t>M4</t>
        </is>
      </c>
      <c r="P157" s="155" t="inlineStr">
        <is>
          <t>A</t>
        </is>
      </c>
      <c r="Q157" s="155" t="inlineStr">
        <is>
          <t>K</t>
        </is>
      </c>
      <c r="R157" s="155" t="inlineStr">
        <is>
          <t>M1</t>
        </is>
      </c>
      <c r="S157" s="156" t="inlineStr">
        <is>
          <t>K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M6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GJ</t>
        </is>
      </c>
      <c r="N160" s="38" t="inlineStr">
        <is>
          <t>M4</t>
        </is>
      </c>
      <c r="O160" s="38" t="inlineStr">
        <is>
          <t>GJ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GT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G2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J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GJ</t>
        </is>
      </c>
      <c r="N166" s="155" t="inlineStr">
        <is>
          <t>M2</t>
        </is>
      </c>
      <c r="O166" s="155" t="inlineStr">
        <is>
          <t>M6</t>
        </is>
      </c>
      <c r="P166" s="155" t="inlineStr">
        <is>
          <t>K</t>
        </is>
      </c>
      <c r="Q166" s="155" t="inlineStr">
        <is>
          <t>TE</t>
        </is>
      </c>
      <c r="R166" s="155" t="inlineStr">
        <is>
          <t>A</t>
        </is>
      </c>
      <c r="S166" s="156" t="inlineStr">
        <is>
          <t>G5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G3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G6</t>
        </is>
      </c>
      <c r="S167" s="24" t="inlineStr">
        <is>
          <t>M6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GT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GJ</t>
        </is>
      </c>
      <c r="R171" s="38" t="inlineStr">
        <is>
          <t>J</t>
        </is>
      </c>
      <c r="S171" s="24" t="inlineStr">
        <is>
          <t>K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G2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G4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GQ</t>
        </is>
      </c>
      <c r="O173" s="38" t="inlineStr">
        <is>
          <t>J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G6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J</t>
        </is>
      </c>
      <c r="O175" s="155" t="inlineStr">
        <is>
          <t>J</t>
        </is>
      </c>
      <c r="P175" s="155" t="inlineStr">
        <is>
          <t>TE</t>
        </is>
      </c>
      <c r="Q175" s="155" t="inlineStr">
        <is>
          <t>M4</t>
        </is>
      </c>
      <c r="R175" s="155" t="inlineStr">
        <is>
          <t>GQ</t>
        </is>
      </c>
      <c r="S175" s="156" t="inlineStr">
        <is>
          <t>TE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G2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GK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G4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GJ</t>
        </is>
      </c>
      <c r="Q182" s="38" t="inlineStr">
        <is>
          <t>M5</t>
        </is>
      </c>
      <c r="R182" s="38" t="inlineStr">
        <is>
          <t>G5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GK</t>
        </is>
      </c>
      <c r="O183" s="38" t="inlineStr">
        <is>
          <t>M5</t>
        </is>
      </c>
      <c r="P183" s="38" t="inlineStr">
        <is>
          <t>M4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M1</t>
        </is>
      </c>
      <c r="O184" s="155" t="inlineStr">
        <is>
          <t>M3</t>
        </is>
      </c>
      <c r="P184" s="155" t="inlineStr">
        <is>
          <t>J</t>
        </is>
      </c>
      <c r="Q184" s="155" t="inlineStr">
        <is>
          <t>Q</t>
        </is>
      </c>
      <c r="R184" s="155" t="inlineStr">
        <is>
          <t>K</t>
        </is>
      </c>
      <c r="S184" s="156" t="inlineStr">
        <is>
          <t>M5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GJ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GJ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GJ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GQ</t>
        </is>
      </c>
      <c r="R189" s="38" t="inlineStr">
        <is>
          <t>M2</t>
        </is>
      </c>
      <c r="S189" s="24" t="inlineStr">
        <is>
          <t>K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G6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GA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J</t>
        </is>
      </c>
      <c r="N193" s="155" t="inlineStr">
        <is>
          <t>TE</t>
        </is>
      </c>
      <c r="O193" s="155" t="inlineStr">
        <is>
          <t>G6</t>
        </is>
      </c>
      <c r="P193" s="155" t="inlineStr">
        <is>
          <t>TE</t>
        </is>
      </c>
      <c r="Q193" s="155" t="inlineStr">
        <is>
          <t>M5</t>
        </is>
      </c>
      <c r="R193" s="155" t="inlineStr">
        <is>
          <t>M4</t>
        </is>
      </c>
      <c r="S193" s="156" t="inlineStr">
        <is>
          <t>K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GA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K</t>
        </is>
      </c>
      <c r="P196" s="38" t="inlineStr">
        <is>
          <t>GJ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GJ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GQ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GJ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G4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A</t>
        </is>
      </c>
      <c r="R201" s="38" t="inlineStr">
        <is>
          <t>M4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M4</t>
        </is>
      </c>
      <c r="N202" s="155" t="inlineStr">
        <is>
          <t>Q</t>
        </is>
      </c>
      <c r="O202" s="155" t="inlineStr">
        <is>
          <t>M6</t>
        </is>
      </c>
      <c r="P202" s="155" t="inlineStr">
        <is>
          <t>M5</t>
        </is>
      </c>
      <c r="Q202" s="155" t="inlineStr">
        <is>
          <t>G5</t>
        </is>
      </c>
      <c r="R202" s="155" t="inlineStr">
        <is>
          <t>Q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G6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K</t>
        </is>
      </c>
      <c r="N4" s="155" t="inlineStr">
        <is>
          <t>Q</t>
        </is>
      </c>
      <c r="O4" s="155" t="inlineStr">
        <is>
          <t>TE</t>
        </is>
      </c>
      <c r="P4" s="155" t="inlineStr">
        <is>
          <t>G3</t>
        </is>
      </c>
      <c r="Q4" s="155" t="inlineStr">
        <is>
          <t>WW</t>
        </is>
      </c>
      <c r="R4" s="155" t="inlineStr">
        <is>
          <t>K</t>
        </is>
      </c>
      <c r="S4" s="156" t="inlineStr">
        <is>
          <t>M1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K</t>
        </is>
      </c>
      <c r="N5" s="38" t="inlineStr">
        <is>
          <t>M1</t>
        </is>
      </c>
      <c r="O5" s="38" t="inlineStr">
        <is>
          <t>M6</t>
        </is>
      </c>
      <c r="P5" s="38" t="inlineStr">
        <is>
          <t>M5</t>
        </is>
      </c>
      <c r="Q5" s="38" t="inlineStr">
        <is>
          <t>GT</t>
        </is>
      </c>
      <c r="R5" s="38" t="inlineStr">
        <is>
          <t>M6</t>
        </is>
      </c>
      <c r="S5" s="24" t="inlineStr">
        <is>
          <t>M1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1"/>
        <v>20</v>
      </c>
      <c r="E6" s="152">
        <f t="shared" si="1"/>
        <v>20</v>
      </c>
      <c r="F6" s="152">
        <f t="shared" si="1"/>
        <v>12</v>
      </c>
      <c r="G6" s="152">
        <f t="shared" si="1"/>
        <v>12</v>
      </c>
      <c r="H6" s="152">
        <f t="shared" si="1"/>
        <v>4</v>
      </c>
      <c r="I6" s="152">
        <f t="shared" si="1"/>
        <v>4</v>
      </c>
      <c r="J6" s="150">
        <v>2</v>
      </c>
      <c r="L6" s="15">
        <v>3</v>
      </c>
      <c r="M6" s="38" t="inlineStr">
        <is>
          <t>K</t>
        </is>
      </c>
      <c r="N6" s="38" t="inlineStr">
        <is>
          <t>M3</t>
        </is>
      </c>
      <c r="O6" s="38" t="inlineStr">
        <is>
          <t>GA</t>
        </is>
      </c>
      <c r="P6" s="38" t="inlineStr">
        <is>
          <t>M6</t>
        </is>
      </c>
      <c r="Q6" s="38" t="inlineStr">
        <is>
          <t>GK</t>
        </is>
      </c>
      <c r="R6" s="38" t="inlineStr">
        <is>
          <t>J</t>
        </is>
      </c>
      <c r="S6" s="24" t="inlineStr">
        <is>
          <t>M1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1"/>
        <v>4</v>
      </c>
      <c r="E7" s="152">
        <f t="shared" si="1"/>
        <v>5</v>
      </c>
      <c r="F7" s="152">
        <f t="shared" si="1"/>
        <v>7</v>
      </c>
      <c r="G7" s="152">
        <f t="shared" si="1"/>
        <v>4</v>
      </c>
      <c r="H7" s="152">
        <f t="shared" si="1"/>
        <v>4</v>
      </c>
      <c r="I7" s="152">
        <f t="shared" si="1"/>
        <v>4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M1</t>
        </is>
      </c>
      <c r="P7" s="38" t="inlineStr">
        <is>
          <t>Q</t>
        </is>
      </c>
      <c r="Q7" s="38" t="inlineStr">
        <is>
          <t>K</t>
        </is>
      </c>
      <c r="R7" s="38" t="inlineStr">
        <is>
          <t>K</t>
        </is>
      </c>
      <c r="S7" s="24" t="inlineStr">
        <is>
          <t>M1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11198</v>
      </c>
      <c r="AM7" s="153">
        <v>18095</v>
      </c>
      <c r="AN7" s="153">
        <v>18440</v>
      </c>
      <c r="AO7" s="153">
        <v>18818</v>
      </c>
      <c r="AP7" s="153">
        <v>17049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1"/>
        <v>5</v>
      </c>
      <c r="E8" s="152">
        <f t="shared" si="1"/>
        <v>7</v>
      </c>
      <c r="F8" s="152">
        <f t="shared" si="1"/>
        <v>5</v>
      </c>
      <c r="G8" s="152">
        <f t="shared" si="1"/>
        <v>4</v>
      </c>
      <c r="H8" s="152">
        <f t="shared" si="1"/>
        <v>5</v>
      </c>
      <c r="I8" s="152">
        <f t="shared" si="1"/>
        <v>5</v>
      </c>
      <c r="J8" s="150">
        <v>4</v>
      </c>
      <c r="L8" s="15">
        <v>5</v>
      </c>
      <c r="M8" s="38" t="inlineStr">
        <is>
          <t>J</t>
        </is>
      </c>
      <c r="N8" s="38" t="inlineStr">
        <is>
          <t>G5</t>
        </is>
      </c>
      <c r="O8" s="38" t="inlineStr">
        <is>
          <t>J</t>
        </is>
      </c>
      <c r="P8" s="38" t="inlineStr">
        <is>
          <t>M6</t>
        </is>
      </c>
      <c r="Q8" s="38" t="inlineStr">
        <is>
          <t>J</t>
        </is>
      </c>
      <c r="R8" s="38" t="inlineStr">
        <is>
          <t>K</t>
        </is>
      </c>
      <c r="S8" s="24" t="inlineStr">
        <is>
          <t>A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50952</v>
      </c>
      <c r="AM8" s="153">
        <v>37052</v>
      </c>
      <c r="AN8" s="153">
        <v>62411</v>
      </c>
      <c r="AO8" s="153">
        <v>26882</v>
      </c>
      <c r="AP8" s="153">
        <v>22732</v>
      </c>
      <c r="AQ8" s="153">
        <v>15847</v>
      </c>
      <c r="AR8" s="153">
        <v>15873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21</v>
      </c>
      <c r="D9" s="152">
        <f t="shared" si="1"/>
        <v>5</v>
      </c>
      <c r="E9" s="152">
        <f t="shared" si="1"/>
        <v>19</v>
      </c>
      <c r="F9" s="152">
        <f t="shared" si="1"/>
        <v>10</v>
      </c>
      <c r="G9" s="152">
        <f t="shared" si="1"/>
        <v>18</v>
      </c>
      <c r="H9" s="152">
        <f t="shared" si="1"/>
        <v>22</v>
      </c>
      <c r="I9" s="152">
        <f t="shared" si="1"/>
        <v>23</v>
      </c>
      <c r="J9" s="150">
        <v>5</v>
      </c>
      <c r="L9" s="14">
        <v>6</v>
      </c>
      <c r="M9" s="38" t="inlineStr">
        <is>
          <t>M6</t>
        </is>
      </c>
      <c r="N9" s="38" t="inlineStr">
        <is>
          <t>TE</t>
        </is>
      </c>
      <c r="O9" s="38" t="inlineStr">
        <is>
          <t>TE</t>
        </is>
      </c>
      <c r="P9" s="38" t="inlineStr">
        <is>
          <t>M5</t>
        </is>
      </c>
      <c r="Q9" s="38" t="inlineStr">
        <is>
          <t>M4</t>
        </is>
      </c>
      <c r="R9" s="38" t="inlineStr">
        <is>
          <t>GK</t>
        </is>
      </c>
      <c r="S9" s="24" t="inlineStr">
        <is>
          <t>M6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33035</v>
      </c>
      <c r="AM9" s="153">
        <v>145624</v>
      </c>
      <c r="AN9" s="153">
        <v>29078</v>
      </c>
      <c r="AO9" s="153">
        <v>34946</v>
      </c>
      <c r="AP9" s="153">
        <v>142072</v>
      </c>
      <c r="AQ9" s="153">
        <v>31694</v>
      </c>
      <c r="AR9" s="153">
        <v>31746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1"/>
        <v>26</v>
      </c>
      <c r="E10" s="152">
        <f t="shared" si="1"/>
        <v>9</v>
      </c>
      <c r="F10" s="152">
        <f t="shared" si="1"/>
        <v>24</v>
      </c>
      <c r="G10" s="152">
        <f t="shared" si="1"/>
        <v>19</v>
      </c>
      <c r="H10" s="152">
        <f t="shared" si="1"/>
        <v>21</v>
      </c>
      <c r="I10" s="152">
        <f t="shared" si="1"/>
        <v>23</v>
      </c>
      <c r="J10" s="150">
        <v>6</v>
      </c>
      <c r="L10" s="15">
        <v>7</v>
      </c>
      <c r="M10" s="38" t="inlineStr">
        <is>
          <t>M4</t>
        </is>
      </c>
      <c r="N10" s="38" t="inlineStr">
        <is>
          <t>TE</t>
        </is>
      </c>
      <c r="O10" s="38" t="inlineStr">
        <is>
          <t>G6</t>
        </is>
      </c>
      <c r="P10" s="38" t="inlineStr">
        <is>
          <t>M1</t>
        </is>
      </c>
      <c r="Q10" s="38" t="inlineStr">
        <is>
          <t>GQ</t>
        </is>
      </c>
      <c r="R10" s="38" t="inlineStr">
        <is>
          <t>J</t>
        </is>
      </c>
      <c r="S10" s="24" t="inlineStr">
        <is>
          <t>M4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147256</v>
      </c>
      <c r="AM10" s="153">
        <v>31883</v>
      </c>
      <c r="AN10" s="153">
        <v>121987</v>
      </c>
      <c r="AO10" s="153">
        <v>201612</v>
      </c>
      <c r="AP10" s="153">
        <v>11366</v>
      </c>
      <c r="AQ10" s="153">
        <v>158469</v>
      </c>
      <c r="AR10" s="153">
        <v>158730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51</v>
      </c>
      <c r="D11" s="152">
        <f t="shared" si="1"/>
        <v>9</v>
      </c>
      <c r="E11" s="152">
        <f t="shared" si="1"/>
        <v>25</v>
      </c>
      <c r="F11" s="152">
        <f t="shared" si="1"/>
        <v>13</v>
      </c>
      <c r="G11" s="152">
        <f t="shared" si="1"/>
        <v>18</v>
      </c>
      <c r="H11" s="152">
        <f t="shared" si="1"/>
        <v>25</v>
      </c>
      <c r="I11" s="152">
        <f t="shared" si="1"/>
        <v>27</v>
      </c>
      <c r="J11" s="150">
        <v>7</v>
      </c>
      <c r="L11" s="14">
        <v>8</v>
      </c>
      <c r="M11" s="38" t="inlineStr">
        <is>
          <t>J</t>
        </is>
      </c>
      <c r="N11" s="38" t="inlineStr">
        <is>
          <t>M5</t>
        </is>
      </c>
      <c r="O11" s="38" t="inlineStr">
        <is>
          <t>M5</t>
        </is>
      </c>
      <c r="P11" s="38" t="inlineStr">
        <is>
          <t>A</t>
        </is>
      </c>
      <c r="Q11" s="38" t="inlineStr">
        <is>
          <t>K</t>
        </is>
      </c>
      <c r="R11" s="38" t="inlineStr">
        <is>
          <t>A</t>
        </is>
      </c>
      <c r="S11" s="24" t="inlineStr">
        <is>
          <t>J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95745</v>
      </c>
      <c r="AM11" s="153">
        <v>157688</v>
      </c>
      <c r="AN11" s="153">
        <v>75177</v>
      </c>
      <c r="AO11" s="153">
        <v>18818</v>
      </c>
      <c r="AP11" s="153">
        <v>250048</v>
      </c>
      <c r="AQ11" s="153">
        <v>47541</v>
      </c>
      <c r="AR11" s="153">
        <v>47619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29</v>
      </c>
      <c r="E12" s="10">
        <f t="shared" si="1"/>
        <v>14</v>
      </c>
      <c r="F12" s="10">
        <f t="shared" si="1"/>
        <v>28</v>
      </c>
      <c r="G12" s="10">
        <f t="shared" si="1"/>
        <v>19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inlineStr">
        <is>
          <t>M4</t>
        </is>
      </c>
      <c r="N12" s="38" t="inlineStr">
        <is>
          <t>M6</t>
        </is>
      </c>
      <c r="O12" s="38" t="inlineStr">
        <is>
          <t>M2</t>
        </is>
      </c>
      <c r="P12" s="38" t="inlineStr">
        <is>
          <t>TE</t>
        </is>
      </c>
      <c r="Q12" s="38" t="inlineStr">
        <is>
          <t>J</t>
        </is>
      </c>
      <c r="R12" s="38" t="inlineStr">
        <is>
          <t>M5</t>
        </is>
      </c>
      <c r="S12" s="24" t="inlineStr">
        <is>
          <t>J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64626</v>
      </c>
      <c r="AN12" s="37">
        <v>183689</v>
      </c>
      <c r="AO12" s="37">
        <v>198923</v>
      </c>
      <c r="AP12" s="37">
        <v>28414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29</v>
      </c>
      <c r="F13" s="10">
        <f t="shared" si="1"/>
        <v>12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5" t="inlineStr">
        <is>
          <t>K</t>
        </is>
      </c>
      <c r="N13" s="155" t="inlineStr">
        <is>
          <t>Q</t>
        </is>
      </c>
      <c r="O13" s="155" t="inlineStr">
        <is>
          <t>M6</t>
        </is>
      </c>
      <c r="P13" s="155" t="inlineStr">
        <is>
          <t>A</t>
        </is>
      </c>
      <c r="Q13" s="155" t="inlineStr">
        <is>
          <t>M1</t>
        </is>
      </c>
      <c r="R13" s="155" t="inlineStr">
        <is>
          <t>M5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109433</v>
      </c>
      <c r="AN13" s="37">
        <v>38297</v>
      </c>
      <c r="AO13" s="37">
        <v>48387</v>
      </c>
      <c r="AP13" s="37">
        <v>176169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29</v>
      </c>
      <c r="E14" s="10">
        <f t="shared" si="1"/>
        <v>7</v>
      </c>
      <c r="F14" s="10">
        <f t="shared" si="1"/>
        <v>23</v>
      </c>
      <c r="G14" s="10">
        <f t="shared" si="1"/>
        <v>18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inlineStr">
        <is>
          <t>M4</t>
        </is>
      </c>
      <c r="N14" s="38" t="inlineStr">
        <is>
          <t>A</t>
        </is>
      </c>
      <c r="O14" s="38" t="inlineStr">
        <is>
          <t>J</t>
        </is>
      </c>
      <c r="P14" s="38" t="inlineStr">
        <is>
          <t>A</t>
        </is>
      </c>
      <c r="Q14" s="38" t="inlineStr">
        <is>
          <t>M5</t>
        </is>
      </c>
      <c r="R14" s="38" t="inlineStr">
        <is>
          <t>G4</t>
        </is>
      </c>
      <c r="S14" s="24" t="inlineStr">
        <is>
          <t>J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118050</v>
      </c>
      <c r="AN14" s="37">
        <v>151065</v>
      </c>
      <c r="AO14" s="37">
        <v>158601</v>
      </c>
      <c r="AP14" s="37">
        <v>28414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9</v>
      </c>
      <c r="E15" s="10">
        <f t="shared" si="1"/>
        <v>31</v>
      </c>
      <c r="F15" s="10">
        <f t="shared" si="1"/>
        <v>15</v>
      </c>
      <c r="G15" s="10">
        <f t="shared" si="1"/>
        <v>24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inlineStr">
        <is>
          <t>M6</t>
        </is>
      </c>
      <c r="N15" s="38" t="inlineStr">
        <is>
          <t>M1</t>
        </is>
      </c>
      <c r="O15" s="38" t="inlineStr">
        <is>
          <t>K</t>
        </is>
      </c>
      <c r="P15" s="38" t="inlineStr">
        <is>
          <t>Q</t>
        </is>
      </c>
      <c r="Q15" s="38" t="inlineStr">
        <is>
          <t>J</t>
        </is>
      </c>
      <c r="R15" s="38" t="inlineStr">
        <is>
          <t>M2</t>
        </is>
      </c>
      <c r="S15" s="24" t="inlineStr">
        <is>
          <t>K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130114</v>
      </c>
      <c r="AN15" s="37">
        <v>112766</v>
      </c>
      <c r="AO15" s="37">
        <v>43010</v>
      </c>
      <c r="AP15" s="37">
        <v>204583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29</v>
      </c>
      <c r="E16" s="10">
        <f t="shared" si="1"/>
        <v>16</v>
      </c>
      <c r="F16" s="10">
        <f t="shared" si="1"/>
        <v>26</v>
      </c>
      <c r="G16" s="10">
        <f t="shared" si="1"/>
        <v>18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inlineStr">
        <is>
          <t>M4</t>
        </is>
      </c>
      <c r="N16" s="38" t="inlineStr">
        <is>
          <t>GQ</t>
        </is>
      </c>
      <c r="O16" s="38" t="inlineStr">
        <is>
          <t>M2</t>
        </is>
      </c>
      <c r="P16" s="38" t="inlineStr">
        <is>
          <t>J</t>
        </is>
      </c>
      <c r="Q16" s="38" t="inlineStr">
        <is>
          <t>M2</t>
        </is>
      </c>
      <c r="R16" s="38" t="inlineStr">
        <is>
          <t>J</t>
        </is>
      </c>
      <c r="S16" s="24" t="inlineStr">
        <is>
          <t>M6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144763</v>
      </c>
      <c r="AN16" s="37">
        <v>159575</v>
      </c>
      <c r="AO16" s="37">
        <v>161289</v>
      </c>
      <c r="AP16" s="37">
        <v>34098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M6</t>
        </is>
      </c>
      <c r="N17" s="38" t="inlineStr">
        <is>
          <t>A</t>
        </is>
      </c>
      <c r="O17" s="38" t="inlineStr">
        <is>
          <t>M4</t>
        </is>
      </c>
      <c r="P17" s="38" t="inlineStr">
        <is>
          <t>M6</t>
        </is>
      </c>
      <c r="Q17" s="38" t="inlineStr">
        <is>
          <t>K</t>
        </is>
      </c>
      <c r="R17" s="38" t="inlineStr">
        <is>
          <t>A</t>
        </is>
      </c>
      <c r="S17" s="24" t="inlineStr">
        <is>
          <t>Q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2</v>
      </c>
      <c r="E18" s="152">
        <f t="shared" si="1"/>
        <v>1</v>
      </c>
      <c r="F18" s="152">
        <f t="shared" si="1"/>
        <v>1</v>
      </c>
      <c r="G18" s="152">
        <f t="shared" si="1"/>
        <v>1</v>
      </c>
      <c r="H18" s="152">
        <f t="shared" si="1"/>
        <v>0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M6</t>
        </is>
      </c>
      <c r="N18" s="38" t="inlineStr">
        <is>
          <t>M5</t>
        </is>
      </c>
      <c r="O18" s="38" t="inlineStr">
        <is>
          <t>J</t>
        </is>
      </c>
      <c r="P18" s="38" t="inlineStr">
        <is>
          <t>Q</t>
        </is>
      </c>
      <c r="Q18" s="38" t="inlineStr">
        <is>
          <t>J</t>
        </is>
      </c>
      <c r="R18" s="38" t="inlineStr">
        <is>
          <t>A</t>
        </is>
      </c>
      <c r="S18" s="24" t="inlineStr">
        <is>
          <t>M5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310</v>
      </c>
      <c r="AN18" s="153">
        <v>333</v>
      </c>
      <c r="AO18" s="153">
        <v>204</v>
      </c>
      <c r="AP18" s="153">
        <v>94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0</v>
      </c>
      <c r="E19" s="152">
        <f t="shared" si="1"/>
        <v>1</v>
      </c>
      <c r="F19" s="152">
        <f t="shared" si="1"/>
        <v>1</v>
      </c>
      <c r="G19" s="152">
        <f t="shared" si="1"/>
        <v>1</v>
      </c>
      <c r="H19" s="152">
        <f t="shared" si="1"/>
        <v>0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J</t>
        </is>
      </c>
      <c r="N19" s="38" t="inlineStr">
        <is>
          <t>M5</t>
        </is>
      </c>
      <c r="O19" s="38" t="inlineStr">
        <is>
          <t>M1</t>
        </is>
      </c>
      <c r="P19" s="38" t="inlineStr">
        <is>
          <t>GA</t>
        </is>
      </c>
      <c r="Q19" s="38" t="inlineStr">
        <is>
          <t>K</t>
        </is>
      </c>
      <c r="R19" s="38" t="inlineStr">
        <is>
          <t>M6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634</v>
      </c>
      <c r="AN19" s="153">
        <v>1126</v>
      </c>
      <c r="AO19" s="153">
        <v>292</v>
      </c>
      <c r="AP19" s="153">
        <v>125</v>
      </c>
      <c r="AQ19" s="153">
        <v>26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1</v>
      </c>
      <c r="E20" s="152">
        <f t="shared" ref="E20:E29" si="10">COUNTIF(O$4:O$304,$A20)</f>
        <v>3</v>
      </c>
      <c r="F20" s="152">
        <f t="shared" ref="F20:F29" si="11">COUNTIF(P$4:P$304,$A20)</f>
        <v>2</v>
      </c>
      <c r="G20" s="152">
        <f t="shared" ref="G20:G29" si="12">COUNTIF(Q$4:Q$304,$A20)</f>
        <v>2</v>
      </c>
      <c r="H20" s="152">
        <f t="shared" ref="H20:H29" si="13">COUNTIF(R$4:R$304,$A20)</f>
        <v>1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M6</t>
        </is>
      </c>
      <c r="N20" s="38" t="inlineStr">
        <is>
          <t>K</t>
        </is>
      </c>
      <c r="O20" s="38" t="inlineStr">
        <is>
          <t>M3</t>
        </is>
      </c>
      <c r="P20" s="38" t="inlineStr">
        <is>
          <t>A</t>
        </is>
      </c>
      <c r="Q20" s="38" t="inlineStr">
        <is>
          <t>GJ</t>
        </is>
      </c>
      <c r="R20" s="38" t="inlineStr">
        <is>
          <t>J</t>
        </is>
      </c>
      <c r="S20" s="24" t="inlineStr">
        <is>
          <t>M4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2492</v>
      </c>
      <c r="AN20" s="153">
        <v>525</v>
      </c>
      <c r="AO20" s="153">
        <v>380</v>
      </c>
      <c r="AP20" s="153">
        <v>785</v>
      </c>
      <c r="AQ20" s="153">
        <v>52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5</v>
      </c>
      <c r="E21" s="152">
        <f t="shared" si="10"/>
        <v>1</v>
      </c>
      <c r="F21" s="152">
        <f t="shared" si="11"/>
        <v>3</v>
      </c>
      <c r="G21" s="152">
        <f t="shared" si="12"/>
        <v>3</v>
      </c>
      <c r="H21" s="152">
        <f t="shared" si="13"/>
        <v>2</v>
      </c>
      <c r="I21" s="152">
        <f t="shared" si="14"/>
        <v>0</v>
      </c>
      <c r="J21" s="150">
        <v>17</v>
      </c>
      <c r="L21" s="15">
        <v>18</v>
      </c>
      <c r="M21" s="38" t="inlineStr">
        <is>
          <t>J</t>
        </is>
      </c>
      <c r="N21" s="38" t="inlineStr">
        <is>
          <t>M2</t>
        </is>
      </c>
      <c r="O21" s="38" t="inlineStr">
        <is>
          <t>K</t>
        </is>
      </c>
      <c r="P21" s="38" t="inlineStr">
        <is>
          <t>M5</t>
        </is>
      </c>
      <c r="Q21" s="38" t="inlineStr">
        <is>
          <t>M3</t>
        </is>
      </c>
      <c r="R21" s="38" t="inlineStr">
        <is>
          <t>TE</t>
        </is>
      </c>
      <c r="S21" s="24" t="inlineStr">
        <is>
          <t>K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545</v>
      </c>
      <c r="AN21" s="153">
        <v>2201</v>
      </c>
      <c r="AO21" s="153">
        <v>2192</v>
      </c>
      <c r="AP21" s="153">
        <v>63</v>
      </c>
      <c r="AQ21" s="153">
        <v>261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1</v>
      </c>
      <c r="E22" s="152">
        <f t="shared" si="10"/>
        <v>3</v>
      </c>
      <c r="F22" s="152">
        <f t="shared" si="11"/>
        <v>2</v>
      </c>
      <c r="G22" s="152">
        <f t="shared" si="12"/>
        <v>3</v>
      </c>
      <c r="H22" s="152">
        <f t="shared" si="13"/>
        <v>2</v>
      </c>
      <c r="I22" s="152">
        <f t="shared" si="14"/>
        <v>0</v>
      </c>
      <c r="J22" s="150">
        <v>18</v>
      </c>
      <c r="L22" s="15">
        <v>19</v>
      </c>
      <c r="M22" s="155" t="inlineStr">
        <is>
          <t>K</t>
        </is>
      </c>
      <c r="N22" s="155" t="inlineStr">
        <is>
          <t>G5</t>
        </is>
      </c>
      <c r="O22" s="155" t="inlineStr">
        <is>
          <t>M6</t>
        </is>
      </c>
      <c r="P22" s="155" t="inlineStr">
        <is>
          <t>M5</t>
        </is>
      </c>
      <c r="Q22" s="155" t="inlineStr">
        <is>
          <t>J</t>
        </is>
      </c>
      <c r="R22" s="155" t="inlineStr">
        <is>
          <t>A</t>
        </is>
      </c>
      <c r="S22" s="156" t="inlineStr">
        <is>
          <t>Q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2698</v>
      </c>
      <c r="AN22" s="153">
        <v>1357</v>
      </c>
      <c r="AO22" s="153">
        <v>204</v>
      </c>
      <c r="AP22" s="153">
        <v>1381</v>
      </c>
      <c r="AQ22" s="153">
        <v>78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4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4">
        <v>20</v>
      </c>
      <c r="M23" s="38" t="inlineStr">
        <is>
          <t>K</t>
        </is>
      </c>
      <c r="N23" s="38" t="inlineStr">
        <is>
          <t>A</t>
        </is>
      </c>
      <c r="O23" s="38" t="inlineStr">
        <is>
          <t>J</t>
        </is>
      </c>
      <c r="P23" s="38" t="inlineStr">
        <is>
          <t>A</t>
        </is>
      </c>
      <c r="Q23" s="38" t="inlineStr">
        <is>
          <t>TE</t>
        </is>
      </c>
      <c r="R23" s="38" t="inlineStr">
        <is>
          <t>M3</t>
        </is>
      </c>
      <c r="S23" s="24" t="inlineStr">
        <is>
          <t>Q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1106</v>
      </c>
      <c r="AN23" s="37">
        <v>3315</v>
      </c>
      <c r="AO23" s="37">
        <v>2164</v>
      </c>
      <c r="AP23" s="37">
        <v>157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5">
        <v>21</v>
      </c>
      <c r="M24" s="38" t="inlineStr">
        <is>
          <t>J</t>
        </is>
      </c>
      <c r="N24" s="38" t="inlineStr">
        <is>
          <t>M5</t>
        </is>
      </c>
      <c r="O24" s="38" t="inlineStr">
        <is>
          <t>G2</t>
        </is>
      </c>
      <c r="P24" s="38" t="inlineStr">
        <is>
          <t>GK</t>
        </is>
      </c>
      <c r="Q24" s="38" t="inlineStr">
        <is>
          <t>G6</t>
        </is>
      </c>
      <c r="R24" s="38" t="inlineStr">
        <is>
          <t>TE</t>
        </is>
      </c>
      <c r="S24" s="24" t="inlineStr">
        <is>
          <t>Q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1873</v>
      </c>
      <c r="AN24" s="37">
        <v>692</v>
      </c>
      <c r="AO24" s="37">
        <v>526</v>
      </c>
      <c r="AP24" s="37">
        <v>974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5</v>
      </c>
      <c r="E25" s="10">
        <f t="shared" si="10"/>
        <v>1</v>
      </c>
      <c r="F25" s="10">
        <f t="shared" si="11"/>
        <v>3</v>
      </c>
      <c r="G25" s="10">
        <f t="shared" si="12"/>
        <v>2</v>
      </c>
      <c r="H25" s="10">
        <f t="shared" si="13"/>
        <v>1</v>
      </c>
      <c r="I25" s="10">
        <f t="shared" si="14"/>
        <v>0</v>
      </c>
      <c r="J25" s="4">
        <v>21</v>
      </c>
      <c r="L25" s="14">
        <v>22</v>
      </c>
      <c r="M25" s="38" t="inlineStr">
        <is>
          <t>M4</t>
        </is>
      </c>
      <c r="N25" s="38" t="inlineStr">
        <is>
          <t>M5</t>
        </is>
      </c>
      <c r="O25" s="38" t="inlineStr">
        <is>
          <t>K</t>
        </is>
      </c>
      <c r="P25" s="38" t="inlineStr">
        <is>
          <t>GA</t>
        </is>
      </c>
      <c r="Q25" s="38" t="inlineStr">
        <is>
          <t>Q</t>
        </is>
      </c>
      <c r="R25" s="38" t="inlineStr">
        <is>
          <t>Q</t>
        </is>
      </c>
      <c r="S25" s="24" t="inlineStr">
        <is>
          <t>Q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2020</v>
      </c>
      <c r="AN25" s="37">
        <v>2726</v>
      </c>
      <c r="AO25" s="37">
        <v>1725</v>
      </c>
      <c r="AP25" s="37">
        <v>157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5">
        <v>23</v>
      </c>
      <c r="M26" s="38" t="inlineStr">
        <is>
          <t>M6</t>
        </is>
      </c>
      <c r="N26" s="38" t="inlineStr">
        <is>
          <t>M1</t>
        </is>
      </c>
      <c r="O26" s="38" t="inlineStr">
        <is>
          <t>K</t>
        </is>
      </c>
      <c r="P26" s="38" t="inlineStr">
        <is>
          <t>Q</t>
        </is>
      </c>
      <c r="Q26" s="38" t="inlineStr">
        <is>
          <t>A</t>
        </is>
      </c>
      <c r="R26" s="38" t="inlineStr">
        <is>
          <t>K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2226</v>
      </c>
      <c r="AN26" s="37">
        <v>2035</v>
      </c>
      <c r="AO26" s="37">
        <v>468</v>
      </c>
      <c r="AP26" s="37">
        <v>1131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0</v>
      </c>
      <c r="F27" s="10">
        <f t="shared" si="11"/>
        <v>4</v>
      </c>
      <c r="G27" s="10">
        <f t="shared" si="12"/>
        <v>4</v>
      </c>
      <c r="H27" s="10">
        <f t="shared" si="13"/>
        <v>1</v>
      </c>
      <c r="I27" s="10">
        <f t="shared" si="14"/>
        <v>0</v>
      </c>
      <c r="J27" s="4">
        <v>23</v>
      </c>
      <c r="L27" s="14">
        <v>24</v>
      </c>
      <c r="M27" s="38" t="inlineStr">
        <is>
          <t>M6</t>
        </is>
      </c>
      <c r="N27" s="38" t="inlineStr">
        <is>
          <t>A</t>
        </is>
      </c>
      <c r="O27" s="38" t="inlineStr">
        <is>
          <t>M5</t>
        </is>
      </c>
      <c r="P27" s="38" t="inlineStr">
        <is>
          <t>GQ</t>
        </is>
      </c>
      <c r="Q27" s="38" t="inlineStr">
        <is>
          <t>M6</t>
        </is>
      </c>
      <c r="R27" s="38" t="inlineStr">
        <is>
          <t>M4</t>
        </is>
      </c>
      <c r="S27" s="24" t="inlineStr">
        <is>
          <t>J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2476</v>
      </c>
      <c r="AN27" s="37">
        <v>2880</v>
      </c>
      <c r="AO27" s="37">
        <v>1754</v>
      </c>
      <c r="AP27" s="37">
        <v>188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K</t>
        </is>
      </c>
      <c r="N28" s="38" t="inlineStr">
        <is>
          <t>J</t>
        </is>
      </c>
      <c r="O28" s="38" t="inlineStr">
        <is>
          <t>J</t>
        </is>
      </c>
      <c r="P28" s="38" t="inlineStr">
        <is>
          <t>M4</t>
        </is>
      </c>
      <c r="Q28" s="38" t="inlineStr">
        <is>
          <t>M6</t>
        </is>
      </c>
      <c r="R28" s="38" t="inlineStr">
        <is>
          <t>M6</t>
        </is>
      </c>
      <c r="S28" s="24" t="inlineStr">
        <is>
          <t>M6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A</t>
        </is>
      </c>
      <c r="O29" s="38" t="inlineStr">
        <is>
          <t>K</t>
        </is>
      </c>
      <c r="P29" s="38" t="inlineStr">
        <is>
          <t>G2</t>
        </is>
      </c>
      <c r="Q29" s="38" t="inlineStr">
        <is>
          <t>A</t>
        </is>
      </c>
      <c r="R29" s="38" t="inlineStr">
        <is>
          <t>A</t>
        </is>
      </c>
      <c r="S29" s="24" t="inlineStr">
        <is>
          <t>M4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J</t>
        </is>
      </c>
      <c r="N30" s="38" t="inlineStr">
        <is>
          <t>Q</t>
        </is>
      </c>
      <c r="O30" s="38" t="inlineStr">
        <is>
          <t>M6</t>
        </is>
      </c>
      <c r="P30" s="38" t="inlineStr">
        <is>
          <t>M5</t>
        </is>
      </c>
      <c r="Q30" s="38" t="inlineStr">
        <is>
          <t>GK</t>
        </is>
      </c>
      <c r="R30" s="38" t="inlineStr">
        <is>
          <t>J</t>
        </is>
      </c>
      <c r="S30" s="24" t="inlineStr">
        <is>
          <t>A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M6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TE</t>
        </is>
      </c>
      <c r="R31" s="155" t="inlineStr">
        <is>
          <t>GK</t>
        </is>
      </c>
      <c r="S31" s="156" t="inlineStr">
        <is>
          <t>J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K</t>
        </is>
      </c>
      <c r="N32" s="38" t="inlineStr">
        <is>
          <t>A</t>
        </is>
      </c>
      <c r="O32" s="38" t="inlineStr">
        <is>
          <t>M1</t>
        </is>
      </c>
      <c r="P32" s="38" t="inlineStr">
        <is>
          <t>A</t>
        </is>
      </c>
      <c r="Q32" s="38" t="inlineStr">
        <is>
          <t>J</t>
        </is>
      </c>
      <c r="R32" s="38" t="inlineStr">
        <is>
          <t>G6</t>
        </is>
      </c>
      <c r="S32" s="24" t="inlineStr">
        <is>
          <t>M2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inlineStr">
        <is>
          <t>J</t>
        </is>
      </c>
      <c r="N33" s="38" t="inlineStr">
        <is>
          <t>GQ</t>
        </is>
      </c>
      <c r="O33" s="38" t="inlineStr">
        <is>
          <t>M4</t>
        </is>
      </c>
      <c r="P33" s="38" t="inlineStr">
        <is>
          <t>M1</t>
        </is>
      </c>
      <c r="Q33" s="38" t="inlineStr">
        <is>
          <t>M6</t>
        </is>
      </c>
      <c r="R33" s="38" t="inlineStr">
        <is>
          <t>M3</t>
        </is>
      </c>
      <c r="S33" s="24" t="inlineStr">
        <is>
          <t>M2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inlineStr">
        <is>
          <t>TE</t>
        </is>
      </c>
      <c r="N34" s="38" t="inlineStr">
        <is>
          <t>Q</t>
        </is>
      </c>
      <c r="O34" s="38" t="inlineStr">
        <is>
          <t>K</t>
        </is>
      </c>
      <c r="P34" s="38" t="inlineStr">
        <is>
          <t>GJ</t>
        </is>
      </c>
      <c r="Q34" s="38" t="inlineStr">
        <is>
          <t>G6</t>
        </is>
      </c>
      <c r="R34" s="38" t="inlineStr">
        <is>
          <t>M4</t>
        </is>
      </c>
      <c r="S34" s="24" t="inlineStr">
        <is>
          <t>M2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inlineStr">
        <is>
          <t>K</t>
        </is>
      </c>
      <c r="N35" s="38" t="inlineStr">
        <is>
          <t>A</t>
        </is>
      </c>
      <c r="O35" s="38" t="inlineStr">
        <is>
          <t>K</t>
        </is>
      </c>
      <c r="P35" s="38" t="inlineStr">
        <is>
          <t>A</t>
        </is>
      </c>
      <c r="Q35" s="38" t="inlineStr">
        <is>
          <t>G2</t>
        </is>
      </c>
      <c r="R35" s="38" t="inlineStr">
        <is>
          <t>Q</t>
        </is>
      </c>
      <c r="S35" s="24" t="inlineStr">
        <is>
          <t>M2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inlineStr">
        <is>
          <t>A</t>
        </is>
      </c>
      <c r="N36" s="38" t="inlineStr">
        <is>
          <t>M1</t>
        </is>
      </c>
      <c r="O36" s="38" t="inlineStr">
        <is>
          <t>K</t>
        </is>
      </c>
      <c r="P36" s="38" t="inlineStr">
        <is>
          <t>J</t>
        </is>
      </c>
      <c r="Q36" s="38" t="inlineStr">
        <is>
          <t>M1</t>
        </is>
      </c>
      <c r="R36" s="38" t="inlineStr">
        <is>
          <t>M2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11198</v>
      </c>
      <c r="AM36" s="153">
        <v>18095</v>
      </c>
      <c r="AN36" s="153">
        <v>18440</v>
      </c>
      <c r="AO36" s="153">
        <v>18818</v>
      </c>
      <c r="AP36" s="153">
        <v>17049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inlineStr">
        <is>
          <t>K</t>
        </is>
      </c>
      <c r="N37" s="38" t="inlineStr">
        <is>
          <t>M3</t>
        </is>
      </c>
      <c r="O37" s="38" t="inlineStr">
        <is>
          <t>M6</t>
        </is>
      </c>
      <c r="P37" s="38" t="inlineStr">
        <is>
          <t>A</t>
        </is>
      </c>
      <c r="Q37" s="38" t="inlineStr">
        <is>
          <t>J</t>
        </is>
      </c>
      <c r="R37" s="38" t="inlineStr">
        <is>
          <t>M1</t>
        </is>
      </c>
      <c r="S37" s="24" t="inlineStr">
        <is>
          <t>K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50952</v>
      </c>
      <c r="AM37" s="153">
        <v>37052</v>
      </c>
      <c r="AN37" s="153">
        <v>62411</v>
      </c>
      <c r="AO37" s="153">
        <v>26882</v>
      </c>
      <c r="AP37" s="153">
        <v>22732</v>
      </c>
      <c r="AQ37" s="153">
        <v>15847</v>
      </c>
      <c r="AR37" s="153">
        <v>15873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inlineStr">
        <is>
          <t>M1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TE</t>
        </is>
      </c>
      <c r="Q38" s="38" t="inlineStr">
        <is>
          <t>K</t>
        </is>
      </c>
      <c r="R38" s="38" t="inlineStr">
        <is>
          <t>M6</t>
        </is>
      </c>
      <c r="S38" s="24" t="inlineStr">
        <is>
          <t>A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33035</v>
      </c>
      <c r="AM38" s="153">
        <v>145624</v>
      </c>
      <c r="AN38" s="153">
        <v>29078</v>
      </c>
      <c r="AO38" s="153">
        <v>34946</v>
      </c>
      <c r="AP38" s="153">
        <v>142072</v>
      </c>
      <c r="AQ38" s="153">
        <v>31694</v>
      </c>
      <c r="AR38" s="153">
        <v>31746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inlineStr">
        <is>
          <t>M6</t>
        </is>
      </c>
      <c r="N39" s="38" t="inlineStr">
        <is>
          <t>M5</t>
        </is>
      </c>
      <c r="O39" s="38" t="inlineStr">
        <is>
          <t>G4</t>
        </is>
      </c>
      <c r="P39" s="38" t="inlineStr">
        <is>
          <t>Q</t>
        </is>
      </c>
      <c r="Q39" s="38" t="inlineStr">
        <is>
          <t>Q</t>
        </is>
      </c>
      <c r="R39" s="38" t="inlineStr">
        <is>
          <t>G5</t>
        </is>
      </c>
      <c r="S39" s="24" t="inlineStr">
        <is>
          <t>J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147256</v>
      </c>
      <c r="AM39" s="153">
        <v>31883</v>
      </c>
      <c r="AN39" s="153">
        <v>121987</v>
      </c>
      <c r="AO39" s="153">
        <v>201612</v>
      </c>
      <c r="AP39" s="153">
        <v>11366</v>
      </c>
      <c r="AQ39" s="153">
        <v>158469</v>
      </c>
      <c r="AR39" s="153">
        <v>158730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inlineStr">
        <is>
          <t>M6</t>
        </is>
      </c>
      <c r="N40" s="155" t="inlineStr">
        <is>
          <t>M4</t>
        </is>
      </c>
      <c r="O40" s="155" t="inlineStr">
        <is>
          <t>K</t>
        </is>
      </c>
      <c r="P40" s="155" t="inlineStr">
        <is>
          <t>TE</t>
        </is>
      </c>
      <c r="Q40" s="155" t="inlineStr">
        <is>
          <t>TE</t>
        </is>
      </c>
      <c r="R40" s="155" t="inlineStr">
        <is>
          <t>J</t>
        </is>
      </c>
      <c r="S40" s="156" t="inlineStr">
        <is>
          <t>TE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95745</v>
      </c>
      <c r="AM40" s="153">
        <v>157688</v>
      </c>
      <c r="AN40" s="153">
        <v>75177</v>
      </c>
      <c r="AO40" s="153">
        <v>18818</v>
      </c>
      <c r="AP40" s="153">
        <v>250048</v>
      </c>
      <c r="AQ40" s="153">
        <v>47541</v>
      </c>
      <c r="AR40" s="153">
        <v>47619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inlineStr">
        <is>
          <t>J</t>
        </is>
      </c>
      <c r="N41" s="38" t="inlineStr">
        <is>
          <t>A</t>
        </is>
      </c>
      <c r="O41" s="38" t="inlineStr">
        <is>
          <t>M6</t>
        </is>
      </c>
      <c r="P41" s="38" t="inlineStr">
        <is>
          <t>A</t>
        </is>
      </c>
      <c r="Q41" s="38" t="inlineStr">
        <is>
          <t>M4</t>
        </is>
      </c>
      <c r="R41" s="38" t="inlineStr">
        <is>
          <t>Q</t>
        </is>
      </c>
      <c r="S41" s="24" t="inlineStr">
        <is>
          <t>Q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64626</v>
      </c>
      <c r="AN41" s="37">
        <v>183689</v>
      </c>
      <c r="AO41" s="37">
        <v>198923</v>
      </c>
      <c r="AP41" s="37">
        <v>28414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inlineStr">
        <is>
          <t>M4</t>
        </is>
      </c>
      <c r="N42" s="38" t="inlineStr">
        <is>
          <t>Q</t>
        </is>
      </c>
      <c r="O42" s="38" t="inlineStr">
        <is>
          <t>TE</t>
        </is>
      </c>
      <c r="P42" s="38" t="inlineStr">
        <is>
          <t>G6</t>
        </is>
      </c>
      <c r="Q42" s="38" t="inlineStr">
        <is>
          <t>Q</t>
        </is>
      </c>
      <c r="R42" s="38" t="inlineStr">
        <is>
          <t>K</t>
        </is>
      </c>
      <c r="S42" s="24" t="inlineStr">
        <is>
          <t>A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109433</v>
      </c>
      <c r="AN42" s="37">
        <v>38297</v>
      </c>
      <c r="AO42" s="37">
        <v>48387</v>
      </c>
      <c r="AP42" s="37">
        <v>176169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inlineStr">
        <is>
          <t>M6</t>
        </is>
      </c>
      <c r="N43" s="38" t="inlineStr">
        <is>
          <t>GT</t>
        </is>
      </c>
      <c r="O43" s="38" t="inlineStr">
        <is>
          <t>TE</t>
        </is>
      </c>
      <c r="P43" s="38" t="inlineStr">
        <is>
          <t>M5</t>
        </is>
      </c>
      <c r="Q43" s="38" t="inlineStr">
        <is>
          <t>G3</t>
        </is>
      </c>
      <c r="R43" s="38" t="inlineStr">
        <is>
          <t>M4</t>
        </is>
      </c>
      <c r="S43" s="24" t="inlineStr">
        <is>
          <t>K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118050</v>
      </c>
      <c r="AN43" s="37">
        <v>151065</v>
      </c>
      <c r="AO43" s="37">
        <v>158601</v>
      </c>
      <c r="AP43" s="37">
        <v>28414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inlineStr">
        <is>
          <t>K</t>
        </is>
      </c>
      <c r="N44" s="38" t="inlineStr">
        <is>
          <t>GQ</t>
        </is>
      </c>
      <c r="O44" s="38" t="inlineStr">
        <is>
          <t>M6</t>
        </is>
      </c>
      <c r="P44" s="38" t="inlineStr">
        <is>
          <t>M4</t>
        </is>
      </c>
      <c r="Q44" s="38" t="inlineStr">
        <is>
          <t>TE</t>
        </is>
      </c>
      <c r="R44" s="38" t="inlineStr">
        <is>
          <t>A</t>
        </is>
      </c>
      <c r="S44" s="24" t="inlineStr">
        <is>
          <t>M6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130114</v>
      </c>
      <c r="AN44" s="37">
        <v>112766</v>
      </c>
      <c r="AO44" s="37">
        <v>43010</v>
      </c>
      <c r="AP44" s="37">
        <v>204583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inlineStr">
        <is>
          <t>K</t>
        </is>
      </c>
      <c r="N45" s="38" t="inlineStr">
        <is>
          <t>M5</t>
        </is>
      </c>
      <c r="O45" s="38" t="inlineStr">
        <is>
          <t>M1</t>
        </is>
      </c>
      <c r="P45" s="38" t="inlineStr">
        <is>
          <t>M5</t>
        </is>
      </c>
      <c r="Q45" s="38" t="inlineStr">
        <is>
          <t>K</t>
        </is>
      </c>
      <c r="R45" s="38" t="inlineStr">
        <is>
          <t>A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144763</v>
      </c>
      <c r="AN45" s="37">
        <v>159575</v>
      </c>
      <c r="AO45" s="37">
        <v>161289</v>
      </c>
      <c r="AP45" s="37">
        <v>34098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inlineStr">
        <is>
          <t>M6</t>
        </is>
      </c>
      <c r="N46" s="38" t="inlineStr">
        <is>
          <t>M5</t>
        </is>
      </c>
      <c r="O46" s="38" t="inlineStr">
        <is>
          <t>M4</t>
        </is>
      </c>
      <c r="P46" s="38" t="inlineStr">
        <is>
          <t>TE</t>
        </is>
      </c>
      <c r="Q46" s="38" t="inlineStr">
        <is>
          <t>M4</t>
        </is>
      </c>
      <c r="R46" s="38" t="inlineStr">
        <is>
          <t>M6</t>
        </is>
      </c>
      <c r="S46" s="24" t="inlineStr">
        <is>
          <t>Q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inlineStr">
        <is>
          <t>M6</t>
        </is>
      </c>
      <c r="N47" s="38" t="inlineStr">
        <is>
          <t>M1</t>
        </is>
      </c>
      <c r="O47" s="38" t="inlineStr">
        <is>
          <t>Q</t>
        </is>
      </c>
      <c r="P47" s="38" t="inlineStr">
        <is>
          <t>J</t>
        </is>
      </c>
      <c r="Q47" s="38" t="inlineStr">
        <is>
          <t>M5</t>
        </is>
      </c>
      <c r="R47" s="38" t="inlineStr">
        <is>
          <t>M5</t>
        </is>
      </c>
      <c r="S47" s="24" t="inlineStr">
        <is>
          <t>Q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310</v>
      </c>
      <c r="AN47" s="153">
        <v>333</v>
      </c>
      <c r="AO47" s="153">
        <v>204</v>
      </c>
      <c r="AP47" s="153">
        <v>94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K</t>
        </is>
      </c>
      <c r="N48" s="38" t="inlineStr">
        <is>
          <t>TE</t>
        </is>
      </c>
      <c r="O48" s="38" t="inlineStr">
        <is>
          <t>TE</t>
        </is>
      </c>
      <c r="P48" s="38" t="inlineStr">
        <is>
          <t>TE</t>
        </is>
      </c>
      <c r="Q48" s="38" t="inlineStr">
        <is>
          <t>J</t>
        </is>
      </c>
      <c r="R48" s="38" t="inlineStr">
        <is>
          <t>K</t>
        </is>
      </c>
      <c r="S48" s="24" t="inlineStr">
        <is>
          <t>Q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634</v>
      </c>
      <c r="AN48" s="153">
        <v>1126</v>
      </c>
      <c r="AO48" s="153">
        <v>292</v>
      </c>
      <c r="AP48" s="153">
        <v>125</v>
      </c>
      <c r="AQ48" s="153">
        <v>26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J</t>
        </is>
      </c>
      <c r="N49" s="155" t="inlineStr">
        <is>
          <t>K</t>
        </is>
      </c>
      <c r="O49" s="155" t="inlineStr">
        <is>
          <t>K</t>
        </is>
      </c>
      <c r="P49" s="155" t="inlineStr">
        <is>
          <t>Q</t>
        </is>
      </c>
      <c r="Q49" s="155" t="inlineStr">
        <is>
          <t>M4</t>
        </is>
      </c>
      <c r="R49" s="155" t="inlineStr">
        <is>
          <t>M5</t>
        </is>
      </c>
      <c r="S49" s="156" t="inlineStr">
        <is>
          <t>M5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2492</v>
      </c>
      <c r="AN49" s="153">
        <v>525</v>
      </c>
      <c r="AO49" s="153">
        <v>380</v>
      </c>
      <c r="AP49" s="153">
        <v>785</v>
      </c>
      <c r="AQ49" s="153">
        <v>52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M2</t>
        </is>
      </c>
      <c r="N50" s="38" t="inlineStr">
        <is>
          <t>M6</t>
        </is>
      </c>
      <c r="O50" s="38" t="inlineStr">
        <is>
          <t>M3</t>
        </is>
      </c>
      <c r="P50" s="38" t="inlineStr">
        <is>
          <t>M4</t>
        </is>
      </c>
      <c r="Q50" s="38" t="inlineStr">
        <is>
          <t>TE</t>
        </is>
      </c>
      <c r="R50" s="38" t="inlineStr">
        <is>
          <t>M5</t>
        </is>
      </c>
      <c r="S50" s="24" t="inlineStr">
        <is>
          <t>K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545</v>
      </c>
      <c r="AN50" s="153">
        <v>2201</v>
      </c>
      <c r="AO50" s="153">
        <v>2192</v>
      </c>
      <c r="AP50" s="153">
        <v>63</v>
      </c>
      <c r="AQ50" s="153">
        <v>261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M4</t>
        </is>
      </c>
      <c r="N51" s="38" t="inlineStr">
        <is>
          <t>Q</t>
        </is>
      </c>
      <c r="O51" s="38" t="inlineStr">
        <is>
          <t>Q</t>
        </is>
      </c>
      <c r="P51" s="38" t="inlineStr">
        <is>
          <t>K</t>
        </is>
      </c>
      <c r="Q51" s="38" t="inlineStr">
        <is>
          <t>A</t>
        </is>
      </c>
      <c r="R51" s="38" t="inlineStr">
        <is>
          <t>M3</t>
        </is>
      </c>
      <c r="S51" s="24" t="inlineStr">
        <is>
          <t>A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2698</v>
      </c>
      <c r="AN51" s="153">
        <v>1357</v>
      </c>
      <c r="AO51" s="153">
        <v>204</v>
      </c>
      <c r="AP51" s="153">
        <v>1381</v>
      </c>
      <c r="AQ51" s="153">
        <v>78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J</t>
        </is>
      </c>
      <c r="N52" s="38" t="inlineStr">
        <is>
          <t>G5</t>
        </is>
      </c>
      <c r="O52" s="38" t="inlineStr">
        <is>
          <t>M2</t>
        </is>
      </c>
      <c r="P52" s="38" t="inlineStr">
        <is>
          <t>A</t>
        </is>
      </c>
      <c r="Q52" s="38" t="inlineStr">
        <is>
          <t>J</t>
        </is>
      </c>
      <c r="R52" s="38" t="inlineStr">
        <is>
          <t>M5</t>
        </is>
      </c>
      <c r="S52" s="24" t="inlineStr">
        <is>
          <t>M6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1106</v>
      </c>
      <c r="AN52" s="37">
        <v>3315</v>
      </c>
      <c r="AO52" s="37">
        <v>2164</v>
      </c>
      <c r="AP52" s="37">
        <v>157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M6</t>
        </is>
      </c>
      <c r="N53" s="38" t="inlineStr">
        <is>
          <t>TE</t>
        </is>
      </c>
      <c r="O53" s="38" t="inlineStr">
        <is>
          <t>M6</t>
        </is>
      </c>
      <c r="P53" s="38" t="inlineStr">
        <is>
          <t>M5</t>
        </is>
      </c>
      <c r="Q53" s="38" t="inlineStr">
        <is>
          <t>M5</t>
        </is>
      </c>
      <c r="R53" s="38" t="inlineStr">
        <is>
          <t>M4</t>
        </is>
      </c>
      <c r="S53" s="24" t="inlineStr">
        <is>
          <t>Q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1873</v>
      </c>
      <c r="AN53" s="37">
        <v>692</v>
      </c>
      <c r="AO53" s="37">
        <v>526</v>
      </c>
      <c r="AP53" s="37">
        <v>974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TE</t>
        </is>
      </c>
      <c r="O54" s="38" t="inlineStr">
        <is>
          <t>GK</t>
        </is>
      </c>
      <c r="P54" s="38" t="inlineStr">
        <is>
          <t>G5</t>
        </is>
      </c>
      <c r="Q54" s="38" t="inlineStr">
        <is>
          <t>M6</t>
        </is>
      </c>
      <c r="R54" s="38" t="inlineStr">
        <is>
          <t>M6</t>
        </is>
      </c>
      <c r="S54" s="24" t="inlineStr">
        <is>
          <t>K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2020</v>
      </c>
      <c r="AN54" s="37">
        <v>2726</v>
      </c>
      <c r="AO54" s="37">
        <v>1725</v>
      </c>
      <c r="AP54" s="37">
        <v>157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J</t>
        </is>
      </c>
      <c r="N55" s="38" t="inlineStr">
        <is>
          <t>M5</t>
        </is>
      </c>
      <c r="O55" s="38" t="inlineStr">
        <is>
          <t>M4</t>
        </is>
      </c>
      <c r="P55" s="38" t="inlineStr">
        <is>
          <t>TE</t>
        </is>
      </c>
      <c r="Q55" s="38" t="inlineStr">
        <is>
          <t>M6</t>
        </is>
      </c>
      <c r="R55" s="38" t="inlineStr">
        <is>
          <t>TE</t>
        </is>
      </c>
      <c r="S55" s="24" t="inlineStr">
        <is>
          <t>A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2226</v>
      </c>
      <c r="AN55" s="37">
        <v>2035</v>
      </c>
      <c r="AO55" s="37">
        <v>468</v>
      </c>
      <c r="AP55" s="37">
        <v>1131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K</t>
        </is>
      </c>
      <c r="N56" s="38" t="inlineStr">
        <is>
          <t>TE</t>
        </is>
      </c>
      <c r="O56" s="38" t="inlineStr">
        <is>
          <t>M3</t>
        </is>
      </c>
      <c r="P56" s="38" t="inlineStr">
        <is>
          <t>M1</t>
        </is>
      </c>
      <c r="Q56" s="38" t="inlineStr">
        <is>
          <t>TE</t>
        </is>
      </c>
      <c r="R56" s="38" t="inlineStr">
        <is>
          <t>TE</t>
        </is>
      </c>
      <c r="S56" s="24" t="inlineStr">
        <is>
          <t>J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2476</v>
      </c>
      <c r="AN56" s="37">
        <v>2880</v>
      </c>
      <c r="AO56" s="37">
        <v>1754</v>
      </c>
      <c r="AP56" s="37">
        <v>188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M6</t>
        </is>
      </c>
      <c r="N57" s="38" t="inlineStr">
        <is>
          <t>M1</t>
        </is>
      </c>
      <c r="O57" s="38" t="inlineStr">
        <is>
          <t>Q</t>
        </is>
      </c>
      <c r="P57" s="38" t="inlineStr">
        <is>
          <t>M3</t>
        </is>
      </c>
      <c r="Q57" s="38" t="inlineStr">
        <is>
          <t>Q</t>
        </is>
      </c>
      <c r="R57" s="38" t="inlineStr">
        <is>
          <t>M6</t>
        </is>
      </c>
      <c r="S57" s="24" t="inlineStr">
        <is>
          <t>M6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M4</t>
        </is>
      </c>
      <c r="N58" s="155" t="inlineStr">
        <is>
          <t>A</t>
        </is>
      </c>
      <c r="O58" s="155" t="inlineStr">
        <is>
          <t>M1</t>
        </is>
      </c>
      <c r="P58" s="155" t="inlineStr">
        <is>
          <t>Q</t>
        </is>
      </c>
      <c r="Q58" s="155" t="inlineStr">
        <is>
          <t>A</t>
        </is>
      </c>
      <c r="R58" s="155" t="inlineStr">
        <is>
          <t>TE</t>
        </is>
      </c>
      <c r="S58" s="156" t="inlineStr">
        <is>
          <t>M6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K</t>
        </is>
      </c>
      <c r="N59" s="38" t="inlineStr">
        <is>
          <t>Q</t>
        </is>
      </c>
      <c r="O59" s="38" t="inlineStr">
        <is>
          <t>J</t>
        </is>
      </c>
      <c r="P59" s="38" t="inlineStr">
        <is>
          <t>K</t>
        </is>
      </c>
      <c r="Q59" s="38" t="inlineStr">
        <is>
          <t>M1</t>
        </is>
      </c>
      <c r="R59" s="38" t="inlineStr">
        <is>
          <t>A</t>
        </is>
      </c>
      <c r="S59" s="24" t="inlineStr">
        <is>
          <t>M6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J</t>
        </is>
      </c>
      <c r="N60" s="38" t="inlineStr">
        <is>
          <t>GA</t>
        </is>
      </c>
      <c r="O60" s="38" t="inlineStr">
        <is>
          <t>A</t>
        </is>
      </c>
      <c r="P60" s="38" t="inlineStr">
        <is>
          <t>K</t>
        </is>
      </c>
      <c r="Q60" s="38" t="inlineStr">
        <is>
          <t>M2</t>
        </is>
      </c>
      <c r="R60" s="38" t="inlineStr">
        <is>
          <t>TE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TE</t>
        </is>
      </c>
      <c r="O61" s="38" t="inlineStr">
        <is>
          <t>Q</t>
        </is>
      </c>
      <c r="P61" s="38" t="inlineStr">
        <is>
          <t>M2</t>
        </is>
      </c>
      <c r="Q61" s="38" t="inlineStr">
        <is>
          <t>A</t>
        </is>
      </c>
      <c r="R61" s="38" t="inlineStr">
        <is>
          <t>A</t>
        </is>
      </c>
      <c r="S61" s="24" t="inlineStr">
        <is>
          <t>K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J</t>
        </is>
      </c>
      <c r="N62" s="38" t="inlineStr">
        <is>
          <t>WW</t>
        </is>
      </c>
      <c r="O62" s="38" t="inlineStr">
        <is>
          <t>J</t>
        </is>
      </c>
      <c r="P62" s="38" t="inlineStr">
        <is>
          <t>Q</t>
        </is>
      </c>
      <c r="Q62" s="38" t="inlineStr">
        <is>
          <t>M4</t>
        </is>
      </c>
      <c r="R62" s="38" t="inlineStr">
        <is>
          <t>Q</t>
        </is>
      </c>
      <c r="S62" s="24" t="inlineStr">
        <is>
          <t>A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J</t>
        </is>
      </c>
      <c r="P63" s="38" t="inlineStr">
        <is>
          <t>G5</t>
        </is>
      </c>
      <c r="Q63" s="38" t="inlineStr">
        <is>
          <t>M2</t>
        </is>
      </c>
      <c r="R63" s="38" t="inlineStr">
        <is>
          <t>K</t>
        </is>
      </c>
      <c r="S63" s="24" t="inlineStr">
        <is>
          <t>M5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inlineStr">
        <is>
          <t>K</t>
        </is>
      </c>
      <c r="N64" s="38" t="inlineStr">
        <is>
          <t>GA</t>
        </is>
      </c>
      <c r="O64" s="38" t="inlineStr">
        <is>
          <t>A</t>
        </is>
      </c>
      <c r="P64" s="38" t="inlineStr">
        <is>
          <t>Q</t>
        </is>
      </c>
      <c r="Q64" s="38" t="inlineStr">
        <is>
          <t>M6</t>
        </is>
      </c>
      <c r="R64" s="38" t="inlineStr">
        <is>
          <t>J</t>
        </is>
      </c>
      <c r="S64" s="24" t="inlineStr">
        <is>
          <t>M4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M6</t>
        </is>
      </c>
      <c r="N65" s="38" t="inlineStr">
        <is>
          <t>Q</t>
        </is>
      </c>
      <c r="O65" s="38" t="inlineStr">
        <is>
          <t>TE</t>
        </is>
      </c>
      <c r="P65" s="38" t="inlineStr">
        <is>
          <t>Q</t>
        </is>
      </c>
      <c r="Q65" s="38" t="inlineStr">
        <is>
          <t>Q</t>
        </is>
      </c>
      <c r="R65" s="38" t="inlineStr">
        <is>
          <t>M4</t>
        </is>
      </c>
      <c r="S65" s="24" t="inlineStr">
        <is>
          <t>M6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11198</v>
      </c>
      <c r="AM65" s="153">
        <v>18095</v>
      </c>
      <c r="AN65" s="153">
        <v>18440</v>
      </c>
      <c r="AO65" s="153">
        <v>18818</v>
      </c>
      <c r="AP65" s="153">
        <v>17049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J</t>
        </is>
      </c>
      <c r="N66" s="38" t="inlineStr">
        <is>
          <t>K</t>
        </is>
      </c>
      <c r="O66" s="38" t="inlineStr">
        <is>
          <t>M3</t>
        </is>
      </c>
      <c r="P66" s="38" t="inlineStr">
        <is>
          <t>J</t>
        </is>
      </c>
      <c r="Q66" s="38" t="inlineStr">
        <is>
          <t>GT</t>
        </is>
      </c>
      <c r="R66" s="38" t="inlineStr">
        <is>
          <t>M4</t>
        </is>
      </c>
      <c r="S66" s="24" t="inlineStr">
        <is>
          <t>J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50952</v>
      </c>
      <c r="AM66" s="153">
        <v>37052</v>
      </c>
      <c r="AN66" s="153">
        <v>62411</v>
      </c>
      <c r="AO66" s="153">
        <v>26882</v>
      </c>
      <c r="AP66" s="153">
        <v>22732</v>
      </c>
      <c r="AQ66" s="153">
        <v>15847</v>
      </c>
      <c r="AR66" s="153">
        <v>15873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inlineStr">
        <is>
          <t>Q</t>
        </is>
      </c>
      <c r="N67" s="155" t="inlineStr">
        <is>
          <t>A</t>
        </is>
      </c>
      <c r="O67" s="155" t="inlineStr">
        <is>
          <t>J</t>
        </is>
      </c>
      <c r="P67" s="155" t="inlineStr">
        <is>
          <t>G5</t>
        </is>
      </c>
      <c r="Q67" s="155" t="inlineStr">
        <is>
          <t>M4</t>
        </is>
      </c>
      <c r="R67" s="155" t="inlineStr">
        <is>
          <t>M4</t>
        </is>
      </c>
      <c r="S67" s="156" t="inlineStr">
        <is>
          <t>K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33035</v>
      </c>
      <c r="AM67" s="153">
        <v>145624</v>
      </c>
      <c r="AN67" s="153">
        <v>29078</v>
      </c>
      <c r="AO67" s="153">
        <v>34946</v>
      </c>
      <c r="AP67" s="153">
        <v>142072</v>
      </c>
      <c r="AQ67" s="153">
        <v>31694</v>
      </c>
      <c r="AR67" s="153">
        <v>31746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inlineStr">
        <is>
          <t>J</t>
        </is>
      </c>
      <c r="N68" s="38" t="inlineStr">
        <is>
          <t>M1</t>
        </is>
      </c>
      <c r="O68" s="38" t="inlineStr">
        <is>
          <t>M6</t>
        </is>
      </c>
      <c r="P68" s="38" t="inlineStr">
        <is>
          <t>M5</t>
        </is>
      </c>
      <c r="Q68" s="38" t="inlineStr">
        <is>
          <t>M6</t>
        </is>
      </c>
      <c r="R68" s="38" t="inlineStr">
        <is>
          <t>TE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147256</v>
      </c>
      <c r="AM68" s="153">
        <v>31883</v>
      </c>
      <c r="AN68" s="153">
        <v>121987</v>
      </c>
      <c r="AO68" s="153">
        <v>201612</v>
      </c>
      <c r="AP68" s="153">
        <v>11366</v>
      </c>
      <c r="AQ68" s="153">
        <v>158469</v>
      </c>
      <c r="AR68" s="153">
        <v>158730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inlineStr">
        <is>
          <t>J</t>
        </is>
      </c>
      <c r="N69" s="38" t="inlineStr">
        <is>
          <t>A</t>
        </is>
      </c>
      <c r="O69" s="38" t="inlineStr">
        <is>
          <t>K</t>
        </is>
      </c>
      <c r="P69" s="38" t="inlineStr">
        <is>
          <t>M5</t>
        </is>
      </c>
      <c r="Q69" s="38" t="inlineStr">
        <is>
          <t>M6</t>
        </is>
      </c>
      <c r="R69" s="38" t="inlineStr">
        <is>
          <t>J</t>
        </is>
      </c>
      <c r="S69" s="24" t="inlineStr">
        <is>
          <t>M6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95745</v>
      </c>
      <c r="AM69" s="153">
        <v>157688</v>
      </c>
      <c r="AN69" s="153">
        <v>75177</v>
      </c>
      <c r="AO69" s="153">
        <v>18818</v>
      </c>
      <c r="AP69" s="153">
        <v>250048</v>
      </c>
      <c r="AQ69" s="153">
        <v>47541</v>
      </c>
      <c r="AR69" s="153">
        <v>47619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inlineStr">
        <is>
          <t>J</t>
        </is>
      </c>
      <c r="N70" s="38" t="inlineStr">
        <is>
          <t>A</t>
        </is>
      </c>
      <c r="O70" s="38" t="inlineStr">
        <is>
          <t>A</t>
        </is>
      </c>
      <c r="P70" s="38" t="inlineStr">
        <is>
          <t>M1</t>
        </is>
      </c>
      <c r="Q70" s="38" t="inlineStr">
        <is>
          <t>M5</t>
        </is>
      </c>
      <c r="R70" s="38" t="inlineStr">
        <is>
          <t>A</t>
        </is>
      </c>
      <c r="S70" s="24" t="inlineStr">
        <is>
          <t>J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64626</v>
      </c>
      <c r="AN70" s="37">
        <v>183689</v>
      </c>
      <c r="AO70" s="37">
        <v>198923</v>
      </c>
      <c r="AP70" s="37">
        <v>28414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inlineStr">
        <is>
          <t>J</t>
        </is>
      </c>
      <c r="N71" s="38" t="inlineStr">
        <is>
          <t>Q</t>
        </is>
      </c>
      <c r="O71" s="38" t="inlineStr">
        <is>
          <t>M1</t>
        </is>
      </c>
      <c r="P71" s="38" t="inlineStr">
        <is>
          <t>TE</t>
        </is>
      </c>
      <c r="Q71" s="38" t="inlineStr">
        <is>
          <t>A</t>
        </is>
      </c>
      <c r="R71" s="38" t="inlineStr">
        <is>
          <t>M6</t>
        </is>
      </c>
      <c r="S71" s="24" t="inlineStr">
        <is>
          <t>M6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109433</v>
      </c>
      <c r="AN71" s="37">
        <v>38297</v>
      </c>
      <c r="AO71" s="37">
        <v>48387</v>
      </c>
      <c r="AP71" s="37">
        <v>176169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inlineStr">
        <is>
          <t>M4</t>
        </is>
      </c>
      <c r="N72" s="38" t="inlineStr">
        <is>
          <t>J</t>
        </is>
      </c>
      <c r="O72" s="38" t="inlineStr">
        <is>
          <t>GJ</t>
        </is>
      </c>
      <c r="P72" s="38" t="inlineStr">
        <is>
          <t>M4</t>
        </is>
      </c>
      <c r="Q72" s="38" t="inlineStr">
        <is>
          <t>M1</t>
        </is>
      </c>
      <c r="R72" s="38" t="inlineStr">
        <is>
          <t>J</t>
        </is>
      </c>
      <c r="S72" s="24" t="inlineStr">
        <is>
          <t>K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118050</v>
      </c>
      <c r="AN72" s="37">
        <v>151065</v>
      </c>
      <c r="AO72" s="37">
        <v>158601</v>
      </c>
      <c r="AP72" s="37">
        <v>28414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J</t>
        </is>
      </c>
      <c r="N73" s="38" t="inlineStr">
        <is>
          <t>Q</t>
        </is>
      </c>
      <c r="O73" s="38" t="inlineStr">
        <is>
          <t>K</t>
        </is>
      </c>
      <c r="P73" s="38" t="inlineStr">
        <is>
          <t>M5</t>
        </is>
      </c>
      <c r="Q73" s="38" t="inlineStr">
        <is>
          <t>K</t>
        </is>
      </c>
      <c r="R73" s="38" t="inlineStr">
        <is>
          <t>J</t>
        </is>
      </c>
      <c r="S73" s="24" t="inlineStr">
        <is>
          <t>A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130114</v>
      </c>
      <c r="AN73" s="37">
        <v>112766</v>
      </c>
      <c r="AO73" s="37">
        <v>43010</v>
      </c>
      <c r="AP73" s="37">
        <v>204583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K</t>
        </is>
      </c>
      <c r="N74" s="38" t="inlineStr">
        <is>
          <t>K</t>
        </is>
      </c>
      <c r="O74" s="38" t="inlineStr">
        <is>
          <t>G4</t>
        </is>
      </c>
      <c r="P74" s="38" t="inlineStr">
        <is>
          <t>J</t>
        </is>
      </c>
      <c r="Q74" s="38" t="inlineStr">
        <is>
          <t>J</t>
        </is>
      </c>
      <c r="R74" s="38" t="inlineStr">
        <is>
          <t>G6</t>
        </is>
      </c>
      <c r="S74" s="24" t="inlineStr">
        <is>
          <t>J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144763</v>
      </c>
      <c r="AN74" s="37">
        <v>159575</v>
      </c>
      <c r="AO74" s="37">
        <v>161289</v>
      </c>
      <c r="AP74" s="37">
        <v>34098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GA</t>
        </is>
      </c>
      <c r="O75" s="38" t="inlineStr">
        <is>
          <t>K</t>
        </is>
      </c>
      <c r="P75" s="38" t="inlineStr">
        <is>
          <t>M4</t>
        </is>
      </c>
      <c r="Q75" s="38" t="inlineStr">
        <is>
          <t>Q</t>
        </is>
      </c>
      <c r="R75" s="38" t="inlineStr">
        <is>
          <t>A</t>
        </is>
      </c>
      <c r="S75" s="24" t="inlineStr">
        <is>
          <t>M6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K</t>
        </is>
      </c>
      <c r="N76" s="155" t="inlineStr">
        <is>
          <t>Q</t>
        </is>
      </c>
      <c r="O76" s="155" t="inlineStr">
        <is>
          <t>TE</t>
        </is>
      </c>
      <c r="P76" s="155" t="inlineStr">
        <is>
          <t>TE</t>
        </is>
      </c>
      <c r="Q76" s="155" t="inlineStr">
        <is>
          <t>A</t>
        </is>
      </c>
      <c r="R76" s="155" t="inlineStr">
        <is>
          <t>Q</t>
        </is>
      </c>
      <c r="S76" s="156" t="inlineStr">
        <is>
          <t>K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310</v>
      </c>
      <c r="AN76" s="153">
        <v>333</v>
      </c>
      <c r="AO76" s="153">
        <v>204</v>
      </c>
      <c r="AP76" s="153">
        <v>94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M6</t>
        </is>
      </c>
      <c r="N77" s="38" t="inlineStr">
        <is>
          <t>TE</t>
        </is>
      </c>
      <c r="O77" s="38" t="inlineStr">
        <is>
          <t>M2</t>
        </is>
      </c>
      <c r="P77" s="38" t="inlineStr">
        <is>
          <t>TE</t>
        </is>
      </c>
      <c r="Q77" s="38" t="inlineStr">
        <is>
          <t>K</t>
        </is>
      </c>
      <c r="R77" s="38" t="inlineStr">
        <is>
          <t>A</t>
        </is>
      </c>
      <c r="S77" s="24" t="inlineStr">
        <is>
          <t>K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634</v>
      </c>
      <c r="AN77" s="153">
        <v>1126</v>
      </c>
      <c r="AO77" s="153">
        <v>292</v>
      </c>
      <c r="AP77" s="153">
        <v>125</v>
      </c>
      <c r="AQ77" s="153">
        <v>26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K</t>
        </is>
      </c>
      <c r="N78" s="38" t="inlineStr">
        <is>
          <t>M4</t>
        </is>
      </c>
      <c r="O78" s="38" t="inlineStr">
        <is>
          <t>M4</t>
        </is>
      </c>
      <c r="P78" s="38" t="inlineStr">
        <is>
          <t>M4</t>
        </is>
      </c>
      <c r="Q78" s="38" t="inlineStr">
        <is>
          <t>M4</t>
        </is>
      </c>
      <c r="R78" s="38" t="inlineStr">
        <is>
          <t>M4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2492</v>
      </c>
      <c r="AN78" s="153">
        <v>525</v>
      </c>
      <c r="AO78" s="153">
        <v>380</v>
      </c>
      <c r="AP78" s="153">
        <v>785</v>
      </c>
      <c r="AQ78" s="153">
        <v>52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Q</t>
        </is>
      </c>
      <c r="N79" s="38" t="inlineStr">
        <is>
          <t>M1</t>
        </is>
      </c>
      <c r="O79" s="38" t="inlineStr">
        <is>
          <t>M4</t>
        </is>
      </c>
      <c r="P79" s="38" t="inlineStr">
        <is>
          <t>M5</t>
        </is>
      </c>
      <c r="Q79" s="38" t="inlineStr">
        <is>
          <t>TE</t>
        </is>
      </c>
      <c r="R79" s="38" t="inlineStr">
        <is>
          <t>Q</t>
        </is>
      </c>
      <c r="S79" s="24" t="inlineStr">
        <is>
          <t>K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545</v>
      </c>
      <c r="AN79" s="153">
        <v>2201</v>
      </c>
      <c r="AO79" s="153">
        <v>2192</v>
      </c>
      <c r="AP79" s="153">
        <v>63</v>
      </c>
      <c r="AQ79" s="153">
        <v>261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K</t>
        </is>
      </c>
      <c r="N80" s="38" t="inlineStr">
        <is>
          <t>M5</t>
        </is>
      </c>
      <c r="O80" s="38" t="inlineStr">
        <is>
          <t>A</t>
        </is>
      </c>
      <c r="P80" s="38" t="inlineStr">
        <is>
          <t>A</t>
        </is>
      </c>
      <c r="Q80" s="38" t="inlineStr">
        <is>
          <t>A</t>
        </is>
      </c>
      <c r="R80" s="38" t="inlineStr">
        <is>
          <t>TE</t>
        </is>
      </c>
      <c r="S80" s="24" t="inlineStr">
        <is>
          <t>J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2698</v>
      </c>
      <c r="AN80" s="153">
        <v>1357</v>
      </c>
      <c r="AO80" s="153">
        <v>204</v>
      </c>
      <c r="AP80" s="153">
        <v>1381</v>
      </c>
      <c r="AQ80" s="153">
        <v>78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M6</t>
        </is>
      </c>
      <c r="N81" s="38" t="inlineStr">
        <is>
          <t>M6</t>
        </is>
      </c>
      <c r="O81" s="38" t="inlineStr">
        <is>
          <t>M5</t>
        </is>
      </c>
      <c r="P81" s="38" t="inlineStr">
        <is>
          <t>TE</t>
        </is>
      </c>
      <c r="Q81" s="38" t="inlineStr">
        <is>
          <t>A</t>
        </is>
      </c>
      <c r="R81" s="38" t="inlineStr">
        <is>
          <t>M4</t>
        </is>
      </c>
      <c r="S81" s="24" t="inlineStr">
        <is>
          <t>M4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1106</v>
      </c>
      <c r="AN81" s="37">
        <v>3315</v>
      </c>
      <c r="AO81" s="37">
        <v>2164</v>
      </c>
      <c r="AP81" s="37">
        <v>157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M3</t>
        </is>
      </c>
      <c r="O82" s="38" t="inlineStr">
        <is>
          <t>Q</t>
        </is>
      </c>
      <c r="P82" s="38" t="inlineStr">
        <is>
          <t>M3</t>
        </is>
      </c>
      <c r="Q82" s="38" t="inlineStr">
        <is>
          <t>TE</t>
        </is>
      </c>
      <c r="R82" s="38" t="inlineStr">
        <is>
          <t>TE</t>
        </is>
      </c>
      <c r="S82" s="24" t="inlineStr">
        <is>
          <t>M6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1873</v>
      </c>
      <c r="AN82" s="37">
        <v>692</v>
      </c>
      <c r="AO82" s="37">
        <v>526</v>
      </c>
      <c r="AP82" s="37">
        <v>974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A</t>
        </is>
      </c>
      <c r="O83" s="38" t="inlineStr">
        <is>
          <t>J</t>
        </is>
      </c>
      <c r="P83" s="38" t="inlineStr">
        <is>
          <t>M6</t>
        </is>
      </c>
      <c r="Q83" s="38" t="inlineStr">
        <is>
          <t>J</t>
        </is>
      </c>
      <c r="R83" s="38" t="inlineStr">
        <is>
          <t>M6</t>
        </is>
      </c>
      <c r="S83" s="24" t="inlineStr">
        <is>
          <t>M5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2020</v>
      </c>
      <c r="AN83" s="37">
        <v>2726</v>
      </c>
      <c r="AO83" s="37">
        <v>1725</v>
      </c>
      <c r="AP83" s="37">
        <v>157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M1</t>
        </is>
      </c>
      <c r="P84" s="38" t="inlineStr">
        <is>
          <t>M1</t>
        </is>
      </c>
      <c r="Q84" s="38" t="inlineStr">
        <is>
          <t>TE</t>
        </is>
      </c>
      <c r="R84" s="38" t="inlineStr">
        <is>
          <t>M4</t>
        </is>
      </c>
      <c r="S84" s="24" t="inlineStr">
        <is>
          <t>A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2226</v>
      </c>
      <c r="AN84" s="37">
        <v>2035</v>
      </c>
      <c r="AO84" s="37">
        <v>468</v>
      </c>
      <c r="AP84" s="37">
        <v>1131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K</t>
        </is>
      </c>
      <c r="N85" s="155" t="inlineStr">
        <is>
          <t>M5</t>
        </is>
      </c>
      <c r="O85" s="155" t="inlineStr">
        <is>
          <t>Q</t>
        </is>
      </c>
      <c r="P85" s="155" t="inlineStr">
        <is>
          <t>K</t>
        </is>
      </c>
      <c r="Q85" s="155" t="inlineStr">
        <is>
          <t>M1</t>
        </is>
      </c>
      <c r="R85" s="155" t="inlineStr">
        <is>
          <t>M1</t>
        </is>
      </c>
      <c r="S85" s="156" t="inlineStr">
        <is>
          <t>Q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2476</v>
      </c>
      <c r="AN85" s="37">
        <v>2880</v>
      </c>
      <c r="AO85" s="37">
        <v>1754</v>
      </c>
      <c r="AP85" s="37">
        <v>188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M4</t>
        </is>
      </c>
      <c r="N86" s="38" t="inlineStr">
        <is>
          <t>M6</t>
        </is>
      </c>
      <c r="O86" s="38" t="inlineStr">
        <is>
          <t>A</t>
        </is>
      </c>
      <c r="P86" s="38" t="inlineStr">
        <is>
          <t>M5</t>
        </is>
      </c>
      <c r="Q86" s="38" t="inlineStr">
        <is>
          <t>K</t>
        </is>
      </c>
      <c r="R86" s="38" t="inlineStr">
        <is>
          <t>M6</t>
        </is>
      </c>
      <c r="S86" s="24" t="inlineStr">
        <is>
          <t>M4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M6</t>
        </is>
      </c>
      <c r="N87" s="38" t="inlineStr">
        <is>
          <t>M1</t>
        </is>
      </c>
      <c r="O87" s="38" t="inlineStr">
        <is>
          <t>M5</t>
        </is>
      </c>
      <c r="P87" s="38" t="inlineStr">
        <is>
          <t>Q</t>
        </is>
      </c>
      <c r="Q87" s="38" t="inlineStr">
        <is>
          <t>Q</t>
        </is>
      </c>
      <c r="R87" s="38" t="inlineStr">
        <is>
          <t>TE</t>
        </is>
      </c>
      <c r="S87" s="24" t="inlineStr">
        <is>
          <t>M6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M5</t>
        </is>
      </c>
      <c r="N88" s="38" t="inlineStr">
        <is>
          <t>M5</t>
        </is>
      </c>
      <c r="O88" s="38" t="inlineStr">
        <is>
          <t>G4</t>
        </is>
      </c>
      <c r="P88" s="38" t="inlineStr">
        <is>
          <t>A</t>
        </is>
      </c>
      <c r="Q88" s="38" t="inlineStr">
        <is>
          <t>Q</t>
        </is>
      </c>
      <c r="R88" s="38" t="inlineStr">
        <is>
          <t>M6</t>
        </is>
      </c>
      <c r="S88" s="24" t="inlineStr">
        <is>
          <t>K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GT</t>
        </is>
      </c>
      <c r="O89" s="38" t="inlineStr">
        <is>
          <t>TE</t>
        </is>
      </c>
      <c r="P89" s="38" t="inlineStr">
        <is>
          <t>M4</t>
        </is>
      </c>
      <c r="Q89" s="38" t="inlineStr">
        <is>
          <t>GA</t>
        </is>
      </c>
      <c r="R89" s="38" t="inlineStr">
        <is>
          <t>M5</t>
        </is>
      </c>
      <c r="S89" s="24" t="inlineStr">
        <is>
          <t>J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K</t>
        </is>
      </c>
      <c r="N90" s="38" t="inlineStr">
        <is>
          <t>A</t>
        </is>
      </c>
      <c r="O90" s="38" t="inlineStr">
        <is>
          <t>J</t>
        </is>
      </c>
      <c r="P90" s="38" t="inlineStr">
        <is>
          <t>A</t>
        </is>
      </c>
      <c r="Q90" s="38" t="inlineStr">
        <is>
          <t>GJ</t>
        </is>
      </c>
      <c r="R90" s="38" t="inlineStr">
        <is>
          <t>K</t>
        </is>
      </c>
      <c r="S90" s="24" t="inlineStr">
        <is>
          <t>M5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M6</t>
        </is>
      </c>
      <c r="N91" s="38" t="inlineStr">
        <is>
          <t>TE</t>
        </is>
      </c>
      <c r="O91" s="38" t="inlineStr">
        <is>
          <t>J</t>
        </is>
      </c>
      <c r="P91" s="38" t="inlineStr">
        <is>
          <t>G4</t>
        </is>
      </c>
      <c r="Q91" s="38" t="inlineStr">
        <is>
          <t>TE</t>
        </is>
      </c>
      <c r="R91" s="38" t="inlineStr">
        <is>
          <t>G5</t>
        </is>
      </c>
      <c r="S91" s="24" t="inlineStr">
        <is>
          <t>M5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K</t>
        </is>
      </c>
      <c r="N92" s="38" t="inlineStr">
        <is>
          <t>M2</t>
        </is>
      </c>
      <c r="O92" s="38" t="inlineStr">
        <is>
          <t>A</t>
        </is>
      </c>
      <c r="P92" s="38" t="inlineStr">
        <is>
          <t>Q</t>
        </is>
      </c>
      <c r="Q92" s="38" t="inlineStr">
        <is>
          <t>M5</t>
        </is>
      </c>
      <c r="R92" s="38" t="inlineStr">
        <is>
          <t>K</t>
        </is>
      </c>
      <c r="S92" s="24" t="inlineStr">
        <is>
          <t>M5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inlineStr">
        <is>
          <t>K</t>
        </is>
      </c>
      <c r="N93" s="38" t="inlineStr">
        <is>
          <t>K</t>
        </is>
      </c>
      <c r="O93" s="38" t="inlineStr">
        <is>
          <t>J</t>
        </is>
      </c>
      <c r="P93" s="38" t="inlineStr">
        <is>
          <t>M2</t>
        </is>
      </c>
      <c r="Q93" s="38" t="inlineStr">
        <is>
          <t>M5</t>
        </is>
      </c>
      <c r="R93" s="38" t="inlineStr">
        <is>
          <t>K</t>
        </is>
      </c>
      <c r="S93" s="24" t="inlineStr">
        <is>
          <t>M5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TE</t>
        </is>
      </c>
      <c r="Q94" s="155" t="inlineStr">
        <is>
          <t>M4</t>
        </is>
      </c>
      <c r="R94" s="155" t="inlineStr">
        <is>
          <t>Q</t>
        </is>
      </c>
      <c r="S94" s="156" t="inlineStr">
        <is>
          <t>K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11198</v>
      </c>
      <c r="AM94" s="153">
        <v>18095</v>
      </c>
      <c r="AN94" s="153">
        <v>18440</v>
      </c>
      <c r="AO94" s="153">
        <v>18818</v>
      </c>
      <c r="AP94" s="153">
        <v>17049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inlineStr">
        <is>
          <t>J</t>
        </is>
      </c>
      <c r="N95" s="38" t="inlineStr">
        <is>
          <t>A</t>
        </is>
      </c>
      <c r="O95" s="38" t="inlineStr">
        <is>
          <t>TE</t>
        </is>
      </c>
      <c r="P95" s="38" t="inlineStr">
        <is>
          <t>K</t>
        </is>
      </c>
      <c r="Q95" s="38" t="inlineStr">
        <is>
          <t>K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50952</v>
      </c>
      <c r="AM95" s="153">
        <v>37052</v>
      </c>
      <c r="AN95" s="153">
        <v>62411</v>
      </c>
      <c r="AO95" s="153">
        <v>26882</v>
      </c>
      <c r="AP95" s="153">
        <v>22732</v>
      </c>
      <c r="AQ95" s="153">
        <v>15847</v>
      </c>
      <c r="AR95" s="153">
        <v>15873</v>
      </c>
      <c r="AS95" s="150">
        <v>4</v>
      </c>
    </row>
    <row r="96" spans="12:45" x14ac:dyDescent="0.3">
      <c r="L96" s="15">
        <v>93</v>
      </c>
      <c r="M96" s="38" t="inlineStr">
        <is>
          <t>K</t>
        </is>
      </c>
      <c r="N96" s="38" t="inlineStr">
        <is>
          <t>M1</t>
        </is>
      </c>
      <c r="O96" s="38" t="inlineStr">
        <is>
          <t>G3</t>
        </is>
      </c>
      <c r="P96" s="38" t="inlineStr">
        <is>
          <t>K</t>
        </is>
      </c>
      <c r="Q96" s="38" t="inlineStr">
        <is>
          <t>M4</t>
        </is>
      </c>
      <c r="R96" s="38" t="inlineStr">
        <is>
          <t>M6</t>
        </is>
      </c>
      <c r="S96" s="24" t="inlineStr">
        <is>
          <t>Q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33035</v>
      </c>
      <c r="AM96" s="153">
        <v>145624</v>
      </c>
      <c r="AN96" s="153">
        <v>29078</v>
      </c>
      <c r="AO96" s="153">
        <v>34946</v>
      </c>
      <c r="AP96" s="153">
        <v>142072</v>
      </c>
      <c r="AQ96" s="153">
        <v>31694</v>
      </c>
      <c r="AR96" s="153">
        <v>31746</v>
      </c>
      <c r="AS96" s="150">
        <v>5</v>
      </c>
    </row>
    <row r="97" spans="12:45" x14ac:dyDescent="0.3">
      <c r="L97" s="14">
        <v>94</v>
      </c>
      <c r="M97" s="38" t="inlineStr">
        <is>
          <t>J</t>
        </is>
      </c>
      <c r="N97" s="38" t="inlineStr">
        <is>
          <t>M5</t>
        </is>
      </c>
      <c r="O97" s="38" t="inlineStr">
        <is>
          <t>M1</t>
        </is>
      </c>
      <c r="P97" s="38" t="inlineStr">
        <is>
          <t>M4</t>
        </is>
      </c>
      <c r="Q97" s="38" t="inlineStr">
        <is>
          <t>J</t>
        </is>
      </c>
      <c r="R97" s="38" t="inlineStr">
        <is>
          <t>M5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147256</v>
      </c>
      <c r="AM97" s="153">
        <v>31883</v>
      </c>
      <c r="AN97" s="153">
        <v>121987</v>
      </c>
      <c r="AO97" s="153">
        <v>201612</v>
      </c>
      <c r="AP97" s="153">
        <v>11366</v>
      </c>
      <c r="AQ97" s="153">
        <v>158469</v>
      </c>
      <c r="AR97" s="153">
        <v>158730</v>
      </c>
      <c r="AS97" s="150">
        <v>6</v>
      </c>
    </row>
    <row r="98" spans="12:45" x14ac:dyDescent="0.3">
      <c r="L98" s="15">
        <v>95</v>
      </c>
      <c r="M98" s="38" t="inlineStr">
        <is>
          <t>M6</t>
        </is>
      </c>
      <c r="N98" s="38" t="inlineStr">
        <is>
          <t>A</t>
        </is>
      </c>
      <c r="O98" s="38" t="inlineStr">
        <is>
          <t>J</t>
        </is>
      </c>
      <c r="P98" s="38" t="inlineStr">
        <is>
          <t>M2</t>
        </is>
      </c>
      <c r="Q98" s="38" t="inlineStr">
        <is>
          <t>Q</t>
        </is>
      </c>
      <c r="R98" s="38" t="inlineStr">
        <is>
          <t>A</t>
        </is>
      </c>
      <c r="S98" s="24" t="inlineStr">
        <is>
          <t>M5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95745</v>
      </c>
      <c r="AM98" s="153">
        <v>157688</v>
      </c>
      <c r="AN98" s="153">
        <v>75177</v>
      </c>
      <c r="AO98" s="153">
        <v>18818</v>
      </c>
      <c r="AP98" s="153">
        <v>250048</v>
      </c>
      <c r="AQ98" s="153">
        <v>47541</v>
      </c>
      <c r="AR98" s="153">
        <v>47619</v>
      </c>
      <c r="AS98" s="150">
        <v>7</v>
      </c>
    </row>
    <row r="99" spans="12:45" x14ac:dyDescent="0.3">
      <c r="L99" s="14">
        <v>96</v>
      </c>
      <c r="M99" s="38" t="inlineStr">
        <is>
          <t>M6</t>
        </is>
      </c>
      <c r="N99" s="38" t="inlineStr">
        <is>
          <t>J</t>
        </is>
      </c>
      <c r="O99" s="38" t="inlineStr">
        <is>
          <t>J</t>
        </is>
      </c>
      <c r="P99" s="38" t="inlineStr">
        <is>
          <t>GT</t>
        </is>
      </c>
      <c r="Q99" s="38" t="inlineStr">
        <is>
          <t>A</t>
        </is>
      </c>
      <c r="R99" s="38" t="inlineStr">
        <is>
          <t>M6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64626</v>
      </c>
      <c r="AN99" s="37">
        <v>183689</v>
      </c>
      <c r="AO99" s="37">
        <v>198923</v>
      </c>
      <c r="AP99" s="37">
        <v>28414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inlineStr">
        <is>
          <t>M6</t>
        </is>
      </c>
      <c r="N100" s="38" t="inlineStr">
        <is>
          <t>M5</t>
        </is>
      </c>
      <c r="O100" s="38" t="inlineStr">
        <is>
          <t>M6</t>
        </is>
      </c>
      <c r="P100" s="38" t="inlineStr">
        <is>
          <t>M4</t>
        </is>
      </c>
      <c r="Q100" s="38" t="inlineStr">
        <is>
          <t>J</t>
        </is>
      </c>
      <c r="R100" s="38" t="inlineStr">
        <is>
          <t>GA</t>
        </is>
      </c>
      <c r="S100" s="24" t="inlineStr">
        <is>
          <t>A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109433</v>
      </c>
      <c r="AN100" s="37">
        <v>38297</v>
      </c>
      <c r="AO100" s="37">
        <v>48387</v>
      </c>
      <c r="AP100" s="37">
        <v>176169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inlineStr">
        <is>
          <t>M6</t>
        </is>
      </c>
      <c r="N101" s="38" t="inlineStr">
        <is>
          <t>M2</t>
        </is>
      </c>
      <c r="O101" s="38" t="inlineStr">
        <is>
          <t>K</t>
        </is>
      </c>
      <c r="P101" s="38" t="inlineStr">
        <is>
          <t>Q</t>
        </is>
      </c>
      <c r="Q101" s="38" t="inlineStr">
        <is>
          <t>Q</t>
        </is>
      </c>
      <c r="R101" s="38" t="inlineStr">
        <is>
          <t>A</t>
        </is>
      </c>
      <c r="S101" s="24" t="inlineStr">
        <is>
          <t>A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118050</v>
      </c>
      <c r="AN101" s="37">
        <v>151065</v>
      </c>
      <c r="AO101" s="37">
        <v>158601</v>
      </c>
      <c r="AP101" s="37">
        <v>28414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inlineStr">
        <is>
          <t>M6</t>
        </is>
      </c>
      <c r="N102" s="38" t="inlineStr">
        <is>
          <t>M5</t>
        </is>
      </c>
      <c r="O102" s="38" t="inlineStr">
        <is>
          <t>J</t>
        </is>
      </c>
      <c r="P102" s="38" t="inlineStr">
        <is>
          <t>J</t>
        </is>
      </c>
      <c r="Q102" s="38" t="inlineStr">
        <is>
          <t>M1</t>
        </is>
      </c>
      <c r="R102" s="38" t="inlineStr">
        <is>
          <t>GJ</t>
        </is>
      </c>
      <c r="S102" s="24" t="inlineStr">
        <is>
          <t>A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130114</v>
      </c>
      <c r="AN102" s="37">
        <v>112766</v>
      </c>
      <c r="AO102" s="37">
        <v>43010</v>
      </c>
      <c r="AP102" s="37">
        <v>204583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5" t="inlineStr">
        <is>
          <t>J</t>
        </is>
      </c>
      <c r="N103" s="155" t="inlineStr">
        <is>
          <t>A</t>
        </is>
      </c>
      <c r="O103" s="155" t="inlineStr">
        <is>
          <t>J</t>
        </is>
      </c>
      <c r="P103" s="155" t="inlineStr">
        <is>
          <t>TE</t>
        </is>
      </c>
      <c r="Q103" s="155" t="inlineStr">
        <is>
          <t>M6</t>
        </is>
      </c>
      <c r="R103" s="155" t="inlineStr">
        <is>
          <t>A</t>
        </is>
      </c>
      <c r="S103" s="156" t="inlineStr">
        <is>
          <t>A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144763</v>
      </c>
      <c r="AN103" s="37">
        <v>159575</v>
      </c>
      <c r="AO103" s="37">
        <v>161289</v>
      </c>
      <c r="AP103" s="37">
        <v>34098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inlineStr">
        <is>
          <t>J</t>
        </is>
      </c>
      <c r="N104" s="38" t="inlineStr">
        <is>
          <t>G4</t>
        </is>
      </c>
      <c r="O104" s="38" t="inlineStr">
        <is>
          <t>K</t>
        </is>
      </c>
      <c r="P104" s="38" t="inlineStr">
        <is>
          <t>M2</t>
        </is>
      </c>
      <c r="Q104" s="38" t="inlineStr">
        <is>
          <t>M5</t>
        </is>
      </c>
      <c r="R104" s="38" t="inlineStr">
        <is>
          <t>Q</t>
        </is>
      </c>
      <c r="S104" s="24" t="inlineStr">
        <is>
          <t>Q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J</t>
        </is>
      </c>
      <c r="N105" s="38" t="inlineStr">
        <is>
          <t>M1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Q</t>
        </is>
      </c>
      <c r="R105" s="38" t="inlineStr">
        <is>
          <t>WW</t>
        </is>
      </c>
      <c r="S105" s="24" t="inlineStr">
        <is>
          <t>K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310</v>
      </c>
      <c r="AN105" s="153">
        <v>333</v>
      </c>
      <c r="AO105" s="153">
        <v>204</v>
      </c>
      <c r="AP105" s="153">
        <v>94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M6</t>
        </is>
      </c>
      <c r="N106" s="38" t="inlineStr">
        <is>
          <t>Q</t>
        </is>
      </c>
      <c r="O106" s="38" t="inlineStr">
        <is>
          <t>G5</t>
        </is>
      </c>
      <c r="P106" s="38" t="inlineStr">
        <is>
          <t>GQ</t>
        </is>
      </c>
      <c r="Q106" s="38" t="inlineStr">
        <is>
          <t>M5</t>
        </is>
      </c>
      <c r="R106" s="38" t="inlineStr">
        <is>
          <t>M4</t>
        </is>
      </c>
      <c r="S106" s="24" t="inlineStr">
        <is>
          <t>M5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634</v>
      </c>
      <c r="AN106" s="153">
        <v>1126</v>
      </c>
      <c r="AO106" s="153">
        <v>292</v>
      </c>
      <c r="AP106" s="153">
        <v>125</v>
      </c>
      <c r="AQ106" s="153">
        <v>26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K</t>
        </is>
      </c>
      <c r="N107" s="38" t="inlineStr">
        <is>
          <t>M5</t>
        </is>
      </c>
      <c r="O107" s="38" t="inlineStr">
        <is>
          <t>M5</t>
        </is>
      </c>
      <c r="P107" s="38" t="inlineStr">
        <is>
          <t>TE</t>
        </is>
      </c>
      <c r="Q107" s="38" t="inlineStr">
        <is>
          <t>J</t>
        </is>
      </c>
      <c r="R107" s="38" t="inlineStr">
        <is>
          <t>M6</t>
        </is>
      </c>
      <c r="S107" s="24" t="inlineStr">
        <is>
          <t>TE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2492</v>
      </c>
      <c r="AN107" s="153">
        <v>525</v>
      </c>
      <c r="AO107" s="153">
        <v>380</v>
      </c>
      <c r="AP107" s="153">
        <v>785</v>
      </c>
      <c r="AQ107" s="153">
        <v>52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K</t>
        </is>
      </c>
      <c r="N108" s="38" t="inlineStr">
        <is>
          <t>Q</t>
        </is>
      </c>
      <c r="O108" s="38" t="inlineStr">
        <is>
          <t>A</t>
        </is>
      </c>
      <c r="P108" s="38" t="inlineStr">
        <is>
          <t>J</t>
        </is>
      </c>
      <c r="Q108" s="38" t="inlineStr">
        <is>
          <t>M4</t>
        </is>
      </c>
      <c r="R108" s="38" t="inlineStr">
        <is>
          <t>A</t>
        </is>
      </c>
      <c r="S108" s="24" t="inlineStr">
        <is>
          <t>TE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545</v>
      </c>
      <c r="AN108" s="153">
        <v>2201</v>
      </c>
      <c r="AO108" s="153">
        <v>2192</v>
      </c>
      <c r="AP108" s="153">
        <v>63</v>
      </c>
      <c r="AQ108" s="153">
        <v>261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M6</t>
        </is>
      </c>
      <c r="N109" s="38" t="inlineStr">
        <is>
          <t>TE</t>
        </is>
      </c>
      <c r="O109" s="38" t="inlineStr">
        <is>
          <t>G6</t>
        </is>
      </c>
      <c r="P109" s="38" t="inlineStr">
        <is>
          <t>K</t>
        </is>
      </c>
      <c r="Q109" s="38" t="inlineStr">
        <is>
          <t>M5</t>
        </is>
      </c>
      <c r="R109" s="38" t="inlineStr">
        <is>
          <t>J</t>
        </is>
      </c>
      <c r="S109" s="24" t="inlineStr">
        <is>
          <t>TE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2698</v>
      </c>
      <c r="AN109" s="153">
        <v>1357</v>
      </c>
      <c r="AO109" s="153">
        <v>204</v>
      </c>
      <c r="AP109" s="153">
        <v>1381</v>
      </c>
      <c r="AQ109" s="153">
        <v>78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J</t>
        </is>
      </c>
      <c r="N110" s="38" t="inlineStr">
        <is>
          <t>TE</t>
        </is>
      </c>
      <c r="O110" s="38" t="inlineStr">
        <is>
          <t>M1</t>
        </is>
      </c>
      <c r="P110" s="38" t="inlineStr">
        <is>
          <t>M5</t>
        </is>
      </c>
      <c r="Q110" s="38" t="inlineStr">
        <is>
          <t>G4</t>
        </is>
      </c>
      <c r="R110" s="38" t="inlineStr">
        <is>
          <t>Q</t>
        </is>
      </c>
      <c r="S110" s="24" t="inlineStr">
        <is>
          <t>TE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1106</v>
      </c>
      <c r="AN110" s="37">
        <v>3315</v>
      </c>
      <c r="AO110" s="37">
        <v>2164</v>
      </c>
      <c r="AP110" s="37">
        <v>157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J</t>
        </is>
      </c>
      <c r="N111" s="38" t="inlineStr">
        <is>
          <t>J</t>
        </is>
      </c>
      <c r="O111" s="38" t="inlineStr">
        <is>
          <t>M5</t>
        </is>
      </c>
      <c r="P111" s="38" t="inlineStr">
        <is>
          <t>M1</t>
        </is>
      </c>
      <c r="Q111" s="38" t="inlineStr">
        <is>
          <t>M3</t>
        </is>
      </c>
      <c r="R111" s="38" t="inlineStr">
        <is>
          <t>K</t>
        </is>
      </c>
      <c r="S111" s="24" t="inlineStr">
        <is>
          <t>M4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1873</v>
      </c>
      <c r="AN111" s="37">
        <v>692</v>
      </c>
      <c r="AO111" s="37">
        <v>526</v>
      </c>
      <c r="AP111" s="37">
        <v>974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M4</t>
        </is>
      </c>
      <c r="N112" s="155" t="inlineStr">
        <is>
          <t>M5</t>
        </is>
      </c>
      <c r="O112" s="155" t="inlineStr">
        <is>
          <t>M4</t>
        </is>
      </c>
      <c r="P112" s="155" t="inlineStr">
        <is>
          <t>TE</t>
        </is>
      </c>
      <c r="Q112" s="155" t="inlineStr">
        <is>
          <t>A</t>
        </is>
      </c>
      <c r="R112" s="155" t="inlineStr">
        <is>
          <t>M5</t>
        </is>
      </c>
      <c r="S112" s="156" t="inlineStr">
        <is>
          <t>A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2020</v>
      </c>
      <c r="AN112" s="37">
        <v>2726</v>
      </c>
      <c r="AO112" s="37">
        <v>1725</v>
      </c>
      <c r="AP112" s="37">
        <v>157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K</t>
        </is>
      </c>
      <c r="N113" s="38" t="inlineStr">
        <is>
          <t>M1</t>
        </is>
      </c>
      <c r="O113" s="38" t="inlineStr">
        <is>
          <t>M4</t>
        </is>
      </c>
      <c r="P113" s="38" t="inlineStr">
        <is>
          <t>Q</t>
        </is>
      </c>
      <c r="Q113" s="38" t="inlineStr">
        <is>
          <t>G6</t>
        </is>
      </c>
      <c r="R113" s="38" t="inlineStr">
        <is>
          <t>M5</t>
        </is>
      </c>
      <c r="S113" s="24" t="inlineStr">
        <is>
          <t>J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2226</v>
      </c>
      <c r="AN113" s="37">
        <v>2035</v>
      </c>
      <c r="AO113" s="37">
        <v>468</v>
      </c>
      <c r="AP113" s="37">
        <v>1131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M4</t>
        </is>
      </c>
      <c r="N114" s="38" t="inlineStr">
        <is>
          <t>M3</t>
        </is>
      </c>
      <c r="O114" s="38" t="inlineStr">
        <is>
          <t>M6</t>
        </is>
      </c>
      <c r="P114" s="38" t="inlineStr">
        <is>
          <t>A</t>
        </is>
      </c>
      <c r="Q114" s="38" t="inlineStr">
        <is>
          <t>M4</t>
        </is>
      </c>
      <c r="R114" s="38" t="inlineStr">
        <is>
          <t>M5</t>
        </is>
      </c>
      <c r="S114" s="24" t="inlineStr">
        <is>
          <t>WW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2476</v>
      </c>
      <c r="AN114" s="37">
        <v>2880</v>
      </c>
      <c r="AO114" s="37">
        <v>1754</v>
      </c>
      <c r="AP114" s="37">
        <v>188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K</t>
        </is>
      </c>
      <c r="N115" s="38" t="inlineStr">
        <is>
          <t>TE</t>
        </is>
      </c>
      <c r="O115" s="38" t="inlineStr">
        <is>
          <t>K</t>
        </is>
      </c>
      <c r="P115" s="38" t="inlineStr">
        <is>
          <t>Q</t>
        </is>
      </c>
      <c r="Q115" s="38" t="inlineStr">
        <is>
          <t>TE</t>
        </is>
      </c>
      <c r="R115" s="38" t="inlineStr">
        <is>
          <t>M5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J</t>
        </is>
      </c>
      <c r="O116" s="38" t="inlineStr">
        <is>
          <t>M6</t>
        </is>
      </c>
      <c r="P116" s="38" t="inlineStr">
        <is>
          <t>K</t>
        </is>
      </c>
      <c r="Q116" s="38" t="inlineStr">
        <is>
          <t>GA</t>
        </is>
      </c>
      <c r="R116" s="38" t="inlineStr">
        <is>
          <t>TE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M6</t>
        </is>
      </c>
      <c r="N117" s="38" t="inlineStr">
        <is>
          <t>TE</t>
        </is>
      </c>
      <c r="O117" s="38" t="inlineStr">
        <is>
          <t>K</t>
        </is>
      </c>
      <c r="P117" s="38" t="inlineStr">
        <is>
          <t>A</t>
        </is>
      </c>
      <c r="Q117" s="38" t="inlineStr">
        <is>
          <t>M3</t>
        </is>
      </c>
      <c r="R117" s="38" t="inlineStr">
        <is>
          <t>Q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A</t>
        </is>
      </c>
      <c r="N118" s="38" t="inlineStr">
        <is>
          <t>M5</t>
        </is>
      </c>
      <c r="O118" s="38" t="inlineStr">
        <is>
          <t>J</t>
        </is>
      </c>
      <c r="P118" s="38" t="inlineStr">
        <is>
          <t>M6</t>
        </is>
      </c>
      <c r="Q118" s="38" t="inlineStr">
        <is>
          <t>A</t>
        </is>
      </c>
      <c r="R118" s="38" t="inlineStr">
        <is>
          <t>M5</t>
        </is>
      </c>
      <c r="S118" s="24" t="inlineStr">
        <is>
          <t>M3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inlineStr">
        <is>
          <t>K</t>
        </is>
      </c>
      <c r="N119" s="38" t="inlineStr">
        <is>
          <t>M4</t>
        </is>
      </c>
      <c r="O119" s="38" t="inlineStr">
        <is>
          <t>A</t>
        </is>
      </c>
      <c r="P119" s="38" t="inlineStr">
        <is>
          <t>TE</t>
        </is>
      </c>
      <c r="Q119" s="38" t="inlineStr">
        <is>
          <t>M1</t>
        </is>
      </c>
      <c r="R119" s="38" t="inlineStr">
        <is>
          <t>M5</t>
        </is>
      </c>
      <c r="S119" s="24" t="inlineStr">
        <is>
          <t>M4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J</t>
        </is>
      </c>
      <c r="N120" s="38" t="inlineStr">
        <is>
          <t>GQ</t>
        </is>
      </c>
      <c r="O120" s="38" t="inlineStr">
        <is>
          <t>J</t>
        </is>
      </c>
      <c r="P120" s="38" t="inlineStr">
        <is>
          <t>M6</t>
        </is>
      </c>
      <c r="Q120" s="38" t="inlineStr">
        <is>
          <t>TE</t>
        </is>
      </c>
      <c r="R120" s="38" t="inlineStr">
        <is>
          <t>M3</t>
        </is>
      </c>
      <c r="S120" s="24" t="inlineStr">
        <is>
          <t>J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M3</t>
        </is>
      </c>
      <c r="N121" s="155" t="inlineStr">
        <is>
          <t>M1</t>
        </is>
      </c>
      <c r="O121" s="155" t="inlineStr">
        <is>
          <t>M6</t>
        </is>
      </c>
      <c r="P121" s="155" t="inlineStr">
        <is>
          <t>K</t>
        </is>
      </c>
      <c r="Q121" s="155" t="inlineStr">
        <is>
          <t>K</t>
        </is>
      </c>
      <c r="R121" s="155" t="inlineStr">
        <is>
          <t>GJ</t>
        </is>
      </c>
      <c r="S121" s="156" t="inlineStr">
        <is>
          <t>M3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inlineStr">
        <is>
          <t>A</t>
        </is>
      </c>
      <c r="N122" s="38" t="inlineStr">
        <is>
          <t>M6</t>
        </is>
      </c>
      <c r="O122" s="38" t="inlineStr">
        <is>
          <t>J</t>
        </is>
      </c>
      <c r="P122" s="38" t="inlineStr">
        <is>
          <t>A</t>
        </is>
      </c>
      <c r="Q122" s="38" t="inlineStr">
        <is>
          <t>M5</t>
        </is>
      </c>
      <c r="R122" s="38" t="inlineStr">
        <is>
          <t>TE</t>
        </is>
      </c>
      <c r="S122" s="24" t="inlineStr">
        <is>
          <t>TE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inlineStr">
        <is>
          <t>M6</t>
        </is>
      </c>
      <c r="N123" s="38" t="inlineStr">
        <is>
          <t>TE</t>
        </is>
      </c>
      <c r="O123" s="38" t="inlineStr">
        <is>
          <t>M1</t>
        </is>
      </c>
      <c r="P123" s="38" t="inlineStr">
        <is>
          <t>GT</t>
        </is>
      </c>
      <c r="Q123" s="38" t="inlineStr">
        <is>
          <t>M5</t>
        </is>
      </c>
      <c r="R123" s="38" t="inlineStr">
        <is>
          <t>M6</t>
        </is>
      </c>
      <c r="S123" s="24" t="inlineStr">
        <is>
          <t>TE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11198</v>
      </c>
      <c r="AM123" s="153">
        <v>18095</v>
      </c>
      <c r="AN123" s="153">
        <v>18440</v>
      </c>
      <c r="AO123" s="153">
        <v>18818</v>
      </c>
      <c r="AP123" s="153">
        <v>17049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inlineStr">
        <is>
          <t>K</t>
        </is>
      </c>
      <c r="N124" s="38" t="inlineStr">
        <is>
          <t>K</t>
        </is>
      </c>
      <c r="O124" s="38" t="inlineStr">
        <is>
          <t>J</t>
        </is>
      </c>
      <c r="P124" s="38" t="inlineStr">
        <is>
          <t>GK</t>
        </is>
      </c>
      <c r="Q124" s="38" t="inlineStr">
        <is>
          <t>J</t>
        </is>
      </c>
      <c r="R124" s="38" t="inlineStr">
        <is>
          <t>M6</t>
        </is>
      </c>
      <c r="S124" s="24" t="inlineStr">
        <is>
          <t>TE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50952</v>
      </c>
      <c r="AM124" s="153">
        <v>37052</v>
      </c>
      <c r="AN124" s="153">
        <v>62411</v>
      </c>
      <c r="AO124" s="153">
        <v>26882</v>
      </c>
      <c r="AP124" s="153">
        <v>22732</v>
      </c>
      <c r="AQ124" s="153">
        <v>15847</v>
      </c>
      <c r="AR124" s="153">
        <v>15873</v>
      </c>
      <c r="AS124" s="150">
        <v>4</v>
      </c>
    </row>
    <row r="125" spans="12:46" x14ac:dyDescent="0.3">
      <c r="L125" s="15">
        <v>122</v>
      </c>
      <c r="M125" s="38" t="inlineStr">
        <is>
          <t>J</t>
        </is>
      </c>
      <c r="N125" s="38" t="inlineStr">
        <is>
          <t>A</t>
        </is>
      </c>
      <c r="O125" s="38" t="inlineStr">
        <is>
          <t>A</t>
        </is>
      </c>
      <c r="P125" s="38" t="inlineStr">
        <is>
          <t>M1</t>
        </is>
      </c>
      <c r="Q125" s="38" t="inlineStr">
        <is>
          <t>J</t>
        </is>
      </c>
      <c r="R125" s="38" t="inlineStr">
        <is>
          <t>TE</t>
        </is>
      </c>
      <c r="S125" s="24" t="inlineStr">
        <is>
          <t>TE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33035</v>
      </c>
      <c r="AM125" s="153">
        <v>145624</v>
      </c>
      <c r="AN125" s="153">
        <v>29078</v>
      </c>
      <c r="AO125" s="153">
        <v>34946</v>
      </c>
      <c r="AP125" s="153">
        <v>142072</v>
      </c>
      <c r="AQ125" s="153">
        <v>31694</v>
      </c>
      <c r="AR125" s="153">
        <v>31746</v>
      </c>
      <c r="AS125" s="150">
        <v>5</v>
      </c>
    </row>
    <row r="126" spans="12:46" x14ac:dyDescent="0.3">
      <c r="L126" s="14">
        <v>123</v>
      </c>
      <c r="M126" s="38" t="inlineStr">
        <is>
          <t>K</t>
        </is>
      </c>
      <c r="N126" s="38" t="inlineStr">
        <is>
          <t>G5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TE</t>
        </is>
      </c>
      <c r="R126" s="38" t="inlineStr">
        <is>
          <t>A</t>
        </is>
      </c>
      <c r="S126" s="24" t="inlineStr">
        <is>
          <t>K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147256</v>
      </c>
      <c r="AM126" s="153">
        <v>31883</v>
      </c>
      <c r="AN126" s="153">
        <v>121987</v>
      </c>
      <c r="AO126" s="153">
        <v>201612</v>
      </c>
      <c r="AP126" s="153">
        <v>11366</v>
      </c>
      <c r="AQ126" s="153">
        <v>158469</v>
      </c>
      <c r="AR126" s="153">
        <v>158730</v>
      </c>
      <c r="AS126" s="150">
        <v>6</v>
      </c>
    </row>
    <row r="127" spans="12:46" x14ac:dyDescent="0.3">
      <c r="L127" s="15">
        <v>124</v>
      </c>
      <c r="M127" s="38" t="inlineStr">
        <is>
          <t>J</t>
        </is>
      </c>
      <c r="N127" s="38" t="inlineStr">
        <is>
          <t>GK</t>
        </is>
      </c>
      <c r="O127" s="38" t="inlineStr">
        <is>
          <t>M6</t>
        </is>
      </c>
      <c r="P127" s="38" t="inlineStr">
        <is>
          <t>M3</t>
        </is>
      </c>
      <c r="Q127" s="38" t="inlineStr">
        <is>
          <t>GA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95745</v>
      </c>
      <c r="AM127" s="153">
        <v>157688</v>
      </c>
      <c r="AN127" s="153">
        <v>75177</v>
      </c>
      <c r="AO127" s="153">
        <v>18818</v>
      </c>
      <c r="AP127" s="153">
        <v>250048</v>
      </c>
      <c r="AQ127" s="153">
        <v>47541</v>
      </c>
      <c r="AR127" s="153">
        <v>47619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Q</t>
        </is>
      </c>
      <c r="O128" s="38" t="inlineStr">
        <is>
          <t>M6</t>
        </is>
      </c>
      <c r="P128" s="38" t="inlineStr">
        <is>
          <t>A</t>
        </is>
      </c>
      <c r="Q128" s="38" t="inlineStr">
        <is>
          <t>M6</t>
        </is>
      </c>
      <c r="R128" s="38" t="inlineStr">
        <is>
          <t>J</t>
        </is>
      </c>
      <c r="S128" s="24" t="inlineStr">
        <is>
          <t>M5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64626</v>
      </c>
      <c r="AN128" s="37">
        <v>183689</v>
      </c>
      <c r="AO128" s="37">
        <v>198923</v>
      </c>
      <c r="AP128" s="37">
        <v>28414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M4</t>
        </is>
      </c>
      <c r="N129" s="38" t="inlineStr">
        <is>
          <t>GT</t>
        </is>
      </c>
      <c r="O129" s="38" t="inlineStr">
        <is>
          <t>GQ</t>
        </is>
      </c>
      <c r="P129" s="38" t="inlineStr">
        <is>
          <t>M2</t>
        </is>
      </c>
      <c r="Q129" s="38" t="inlineStr">
        <is>
          <t>M5</t>
        </is>
      </c>
      <c r="R129" s="38" t="inlineStr">
        <is>
          <t>TE</t>
        </is>
      </c>
      <c r="S129" s="24" t="inlineStr">
        <is>
          <t>M5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109433</v>
      </c>
      <c r="AN129" s="37">
        <v>38297</v>
      </c>
      <c r="AO129" s="37">
        <v>48387</v>
      </c>
      <c r="AP129" s="37">
        <v>176169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J</t>
        </is>
      </c>
      <c r="N130" s="155" t="inlineStr">
        <is>
          <t>M1</t>
        </is>
      </c>
      <c r="O130" s="155" t="inlineStr">
        <is>
          <t>M1</t>
        </is>
      </c>
      <c r="P130" s="155" t="inlineStr">
        <is>
          <t>A</t>
        </is>
      </c>
      <c r="Q130" s="155" t="inlineStr">
        <is>
          <t>GK</t>
        </is>
      </c>
      <c r="R130" s="155" t="inlineStr">
        <is>
          <t>J</t>
        </is>
      </c>
      <c r="S130" s="156" t="inlineStr">
        <is>
          <t>M5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118050</v>
      </c>
      <c r="AN130" s="37">
        <v>151065</v>
      </c>
      <c r="AO130" s="37">
        <v>158601</v>
      </c>
      <c r="AP130" s="37">
        <v>28414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M3</t>
        </is>
      </c>
      <c r="N131" s="38" t="inlineStr">
        <is>
          <t>TE</t>
        </is>
      </c>
      <c r="O131" s="38" t="inlineStr">
        <is>
          <t>M4</t>
        </is>
      </c>
      <c r="P131" s="38" t="inlineStr">
        <is>
          <t>J</t>
        </is>
      </c>
      <c r="Q131" s="38" t="inlineStr">
        <is>
          <t>M1</t>
        </is>
      </c>
      <c r="R131" s="38" t="inlineStr">
        <is>
          <t>J</t>
        </is>
      </c>
      <c r="S131" s="24" t="inlineStr">
        <is>
          <t>M5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130114</v>
      </c>
      <c r="AN131" s="37">
        <v>112766</v>
      </c>
      <c r="AO131" s="37">
        <v>43010</v>
      </c>
      <c r="AP131" s="37">
        <v>204583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M6</t>
        </is>
      </c>
      <c r="N132" s="38" t="inlineStr">
        <is>
          <t>GQ</t>
        </is>
      </c>
      <c r="O132" s="38" t="inlineStr">
        <is>
          <t>J</t>
        </is>
      </c>
      <c r="P132" s="38" t="inlineStr">
        <is>
          <t>Q</t>
        </is>
      </c>
      <c r="Q132" s="38" t="inlineStr">
        <is>
          <t>K</t>
        </is>
      </c>
      <c r="R132" s="38" t="inlineStr">
        <is>
          <t>J</t>
        </is>
      </c>
      <c r="S132" s="24" t="inlineStr">
        <is>
          <t>K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144763</v>
      </c>
      <c r="AN132" s="37">
        <v>159575</v>
      </c>
      <c r="AO132" s="37">
        <v>161289</v>
      </c>
      <c r="AP132" s="37">
        <v>34098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M4</t>
        </is>
      </c>
      <c r="N133" s="38" t="inlineStr">
        <is>
          <t>TE</t>
        </is>
      </c>
      <c r="O133" s="38" t="inlineStr">
        <is>
          <t>K</t>
        </is>
      </c>
      <c r="P133" s="38" t="inlineStr">
        <is>
          <t>Q</t>
        </is>
      </c>
      <c r="Q133" s="38" t="inlineStr">
        <is>
          <t>M6</t>
        </is>
      </c>
      <c r="R133" s="38" t="inlineStr">
        <is>
          <t>M6</t>
        </is>
      </c>
      <c r="S133" s="24" t="inlineStr">
        <is>
          <t>J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M6</t>
        </is>
      </c>
      <c r="O134" s="38" t="inlineStr">
        <is>
          <t>K</t>
        </is>
      </c>
      <c r="P134" s="38" t="inlineStr">
        <is>
          <t>GA</t>
        </is>
      </c>
      <c r="Q134" s="38" t="inlineStr">
        <is>
          <t>M6</t>
        </is>
      </c>
      <c r="R134" s="38" t="inlineStr">
        <is>
          <t>TE</t>
        </is>
      </c>
      <c r="S134" s="24" t="inlineStr">
        <is>
          <t>A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310</v>
      </c>
      <c r="AN134" s="153">
        <v>333</v>
      </c>
      <c r="AO134" s="153">
        <v>204</v>
      </c>
      <c r="AP134" s="153">
        <v>94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A</t>
        </is>
      </c>
      <c r="N135" s="38" t="inlineStr">
        <is>
          <t>Q</t>
        </is>
      </c>
      <c r="O135" s="38" t="inlineStr">
        <is>
          <t>J</t>
        </is>
      </c>
      <c r="P135" s="38" t="inlineStr">
        <is>
          <t>Q</t>
        </is>
      </c>
      <c r="Q135" s="38" t="inlineStr">
        <is>
          <t>K</t>
        </is>
      </c>
      <c r="R135" s="38" t="inlineStr">
        <is>
          <t>Q</t>
        </is>
      </c>
      <c r="S135" s="24" t="inlineStr">
        <is>
          <t>Q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634</v>
      </c>
      <c r="AN135" s="153">
        <v>1126</v>
      </c>
      <c r="AO135" s="153">
        <v>292</v>
      </c>
      <c r="AP135" s="153">
        <v>125</v>
      </c>
      <c r="AQ135" s="153">
        <v>26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J</t>
        </is>
      </c>
      <c r="N136" s="38" t="inlineStr">
        <is>
          <t>A</t>
        </is>
      </c>
      <c r="O136" s="38" t="inlineStr">
        <is>
          <t>A</t>
        </is>
      </c>
      <c r="P136" s="38" t="inlineStr">
        <is>
          <t>A</t>
        </is>
      </c>
      <c r="Q136" s="38" t="inlineStr">
        <is>
          <t>M3</t>
        </is>
      </c>
      <c r="R136" s="38" t="inlineStr">
        <is>
          <t>TE</t>
        </is>
      </c>
      <c r="S136" s="24" t="inlineStr">
        <is>
          <t>M4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2492</v>
      </c>
      <c r="AN136" s="153">
        <v>525</v>
      </c>
      <c r="AO136" s="153">
        <v>380</v>
      </c>
      <c r="AP136" s="153">
        <v>785</v>
      </c>
      <c r="AQ136" s="153">
        <v>52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J</t>
        </is>
      </c>
      <c r="N137" s="38" t="inlineStr">
        <is>
          <t>M5</t>
        </is>
      </c>
      <c r="O137" s="38" t="inlineStr">
        <is>
          <t>M1</t>
        </is>
      </c>
      <c r="P137" s="38" t="inlineStr">
        <is>
          <t>M5</t>
        </is>
      </c>
      <c r="Q137" s="38" t="inlineStr">
        <is>
          <t>M5</t>
        </is>
      </c>
      <c r="R137" s="38" t="inlineStr">
        <is>
          <t>M2</t>
        </is>
      </c>
      <c r="S137" s="24" t="inlineStr">
        <is>
          <t>M6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545</v>
      </c>
      <c r="AN137" s="153">
        <v>2201</v>
      </c>
      <c r="AO137" s="153">
        <v>2192</v>
      </c>
      <c r="AP137" s="153">
        <v>63</v>
      </c>
      <c r="AQ137" s="153">
        <v>261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J</t>
        </is>
      </c>
      <c r="N138" s="38" t="inlineStr">
        <is>
          <t>G5</t>
        </is>
      </c>
      <c r="O138" s="38" t="inlineStr">
        <is>
          <t>M6</t>
        </is>
      </c>
      <c r="P138" s="38" t="inlineStr">
        <is>
          <t>M5</t>
        </is>
      </c>
      <c r="Q138" s="38" t="inlineStr">
        <is>
          <t>M6</t>
        </is>
      </c>
      <c r="R138" s="38" t="inlineStr">
        <is>
          <t>Q</t>
        </is>
      </c>
      <c r="S138" s="24" t="inlineStr">
        <is>
          <t>A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2698</v>
      </c>
      <c r="AN138" s="153">
        <v>1357</v>
      </c>
      <c r="AO138" s="153">
        <v>204</v>
      </c>
      <c r="AP138" s="153">
        <v>1381</v>
      </c>
      <c r="AQ138" s="153">
        <v>78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K</t>
        </is>
      </c>
      <c r="N139" s="155" t="inlineStr">
        <is>
          <t>M1</t>
        </is>
      </c>
      <c r="O139" s="155" t="inlineStr">
        <is>
          <t>GJ</t>
        </is>
      </c>
      <c r="P139" s="155" t="inlineStr">
        <is>
          <t>M1</t>
        </is>
      </c>
      <c r="Q139" s="155" t="inlineStr">
        <is>
          <t>TE</t>
        </is>
      </c>
      <c r="R139" s="155" t="inlineStr">
        <is>
          <t>M6</t>
        </is>
      </c>
      <c r="S139" s="156" t="inlineStr">
        <is>
          <t>J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1106</v>
      </c>
      <c r="AN139" s="37">
        <v>3315</v>
      </c>
      <c r="AO139" s="37">
        <v>2164</v>
      </c>
      <c r="AP139" s="37">
        <v>157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A</t>
        </is>
      </c>
      <c r="O140" s="38" t="inlineStr">
        <is>
          <t>K</t>
        </is>
      </c>
      <c r="P140" s="38" t="inlineStr">
        <is>
          <t>A</t>
        </is>
      </c>
      <c r="Q140" s="38" t="inlineStr">
        <is>
          <t>M5</t>
        </is>
      </c>
      <c r="R140" s="38" t="inlineStr">
        <is>
          <t>Q</t>
        </is>
      </c>
      <c r="S140" s="24" t="inlineStr">
        <is>
          <t>M4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1873</v>
      </c>
      <c r="AN140" s="37">
        <v>692</v>
      </c>
      <c r="AO140" s="37">
        <v>526</v>
      </c>
      <c r="AP140" s="37">
        <v>974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M6</t>
        </is>
      </c>
      <c r="N141" s="38" t="inlineStr">
        <is>
          <t>J</t>
        </is>
      </c>
      <c r="O141" s="38" t="inlineStr">
        <is>
          <t>A</t>
        </is>
      </c>
      <c r="P141" s="38" t="inlineStr">
        <is>
          <t>M4</t>
        </is>
      </c>
      <c r="Q141" s="38" t="inlineStr">
        <is>
          <t>A</t>
        </is>
      </c>
      <c r="R141" s="38" t="inlineStr">
        <is>
          <t>Q</t>
        </is>
      </c>
      <c r="S141" s="24" t="inlineStr">
        <is>
          <t>M4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2020</v>
      </c>
      <c r="AN141" s="37">
        <v>2726</v>
      </c>
      <c r="AO141" s="37">
        <v>1725</v>
      </c>
      <c r="AP141" s="37">
        <v>157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M6</t>
        </is>
      </c>
      <c r="N142" s="38" t="inlineStr">
        <is>
          <t>M4</t>
        </is>
      </c>
      <c r="O142" s="38" t="inlineStr">
        <is>
          <t>TE</t>
        </is>
      </c>
      <c r="P142" s="38" t="inlineStr">
        <is>
          <t>M2</t>
        </is>
      </c>
      <c r="Q142" s="38" t="inlineStr">
        <is>
          <t>M4</t>
        </is>
      </c>
      <c r="R142" s="38" t="inlineStr">
        <is>
          <t>M5</t>
        </is>
      </c>
      <c r="S142" s="24" t="inlineStr">
        <is>
          <t>M4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2226</v>
      </c>
      <c r="AN142" s="37">
        <v>2035</v>
      </c>
      <c r="AO142" s="37">
        <v>468</v>
      </c>
      <c r="AP142" s="37">
        <v>1131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M6</t>
        </is>
      </c>
      <c r="N143" s="38" t="inlineStr">
        <is>
          <t>A</t>
        </is>
      </c>
      <c r="O143" s="38" t="inlineStr">
        <is>
          <t>GK</t>
        </is>
      </c>
      <c r="P143" s="38" t="inlineStr">
        <is>
          <t>A</t>
        </is>
      </c>
      <c r="Q143" s="38" t="inlineStr">
        <is>
          <t>M1</t>
        </is>
      </c>
      <c r="R143" s="38" t="inlineStr">
        <is>
          <t>K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2476</v>
      </c>
      <c r="AN143" s="37">
        <v>2880</v>
      </c>
      <c r="AO143" s="37">
        <v>1754</v>
      </c>
      <c r="AP143" s="37">
        <v>188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J</t>
        </is>
      </c>
      <c r="N144" s="38" t="inlineStr">
        <is>
          <t>Q</t>
        </is>
      </c>
      <c r="O144" s="38" t="inlineStr">
        <is>
          <t>M1</t>
        </is>
      </c>
      <c r="P144" s="38" t="inlineStr">
        <is>
          <t>TE</t>
        </is>
      </c>
      <c r="Q144" s="38" t="inlineStr">
        <is>
          <t>M5</t>
        </is>
      </c>
      <c r="R144" s="38" t="inlineStr">
        <is>
          <t>M5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M1</t>
        </is>
      </c>
      <c r="N145" s="38" t="inlineStr">
        <is>
          <t>Q</t>
        </is>
      </c>
      <c r="O145" s="38" t="inlineStr">
        <is>
          <t>K</t>
        </is>
      </c>
      <c r="P145" s="38" t="inlineStr">
        <is>
          <t>A</t>
        </is>
      </c>
      <c r="Q145" s="38" t="inlineStr">
        <is>
          <t>M4</t>
        </is>
      </c>
      <c r="R145" s="38" t="inlineStr">
        <is>
          <t>K</t>
        </is>
      </c>
      <c r="S145" s="24" t="inlineStr">
        <is>
          <t>M5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J</t>
        </is>
      </c>
      <c r="N146" s="38" t="inlineStr">
        <is>
          <t>M6</t>
        </is>
      </c>
      <c r="O146" s="38" t="inlineStr">
        <is>
          <t>TE</t>
        </is>
      </c>
      <c r="P146" s="38" t="inlineStr">
        <is>
          <t>TE</t>
        </is>
      </c>
      <c r="Q146" s="38" t="inlineStr">
        <is>
          <t>M6</t>
        </is>
      </c>
      <c r="R146" s="38" t="inlineStr">
        <is>
          <t>Q</t>
        </is>
      </c>
      <c r="S146" s="24" t="inlineStr">
        <is>
          <t>M5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M6</t>
        </is>
      </c>
      <c r="N147" s="38" t="inlineStr">
        <is>
          <t>A</t>
        </is>
      </c>
      <c r="O147" s="38" t="inlineStr">
        <is>
          <t>M6</t>
        </is>
      </c>
      <c r="P147" s="38" t="inlineStr">
        <is>
          <t>TE</t>
        </is>
      </c>
      <c r="Q147" s="38" t="inlineStr">
        <is>
          <t>A</t>
        </is>
      </c>
      <c r="R147" s="38" t="inlineStr">
        <is>
          <t>K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K</t>
        </is>
      </c>
      <c r="N148" s="155" t="inlineStr">
        <is>
          <t>M1</t>
        </is>
      </c>
      <c r="O148" s="155" t="inlineStr">
        <is>
          <t>M4</t>
        </is>
      </c>
      <c r="P148" s="155" t="inlineStr">
        <is>
          <t>GA</t>
        </is>
      </c>
      <c r="Q148" s="155" t="inlineStr">
        <is>
          <t>GT</t>
        </is>
      </c>
      <c r="R148" s="155" t="inlineStr">
        <is>
          <t>M4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K</t>
        </is>
      </c>
      <c r="N149" s="38" t="inlineStr">
        <is>
          <t>K</t>
        </is>
      </c>
      <c r="O149" s="38" t="inlineStr">
        <is>
          <t>G6</t>
        </is>
      </c>
      <c r="P149" s="38" t="inlineStr">
        <is>
          <t>G6</t>
        </is>
      </c>
      <c r="Q149" s="38" t="inlineStr">
        <is>
          <t>K</t>
        </is>
      </c>
      <c r="R149" s="38" t="inlineStr">
        <is>
          <t>J</t>
        </is>
      </c>
      <c r="S149" s="24" t="inlineStr">
        <is>
          <t>TE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M4</t>
        </is>
      </c>
      <c r="N150" s="38" t="inlineStr">
        <is>
          <t>Q</t>
        </is>
      </c>
      <c r="O150" s="38" t="inlineStr">
        <is>
          <t>TE</t>
        </is>
      </c>
      <c r="P150" s="38" t="inlineStr">
        <is>
          <t>TE</t>
        </is>
      </c>
      <c r="Q150" s="38" t="inlineStr">
        <is>
          <t>J</t>
        </is>
      </c>
      <c r="R150" s="38" t="inlineStr">
        <is>
          <t>Q</t>
        </is>
      </c>
      <c r="S150" s="24" t="inlineStr">
        <is>
          <t>M6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M4</t>
        </is>
      </c>
      <c r="N151" s="38" t="inlineStr">
        <is>
          <t>TE</t>
        </is>
      </c>
      <c r="O151" s="38" t="inlineStr">
        <is>
          <t>M1</t>
        </is>
      </c>
      <c r="P151" s="38" t="inlineStr">
        <is>
          <t>M6</t>
        </is>
      </c>
      <c r="Q151" s="38" t="inlineStr">
        <is>
          <t>K</t>
        </is>
      </c>
      <c r="R151" s="38" t="inlineStr">
        <is>
          <t>Q</t>
        </is>
      </c>
      <c r="S151" s="24" t="inlineStr">
        <is>
          <t>J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GJ</t>
        </is>
      </c>
      <c r="O152" s="38" t="inlineStr">
        <is>
          <t>WW</t>
        </is>
      </c>
      <c r="P152" s="38" t="inlineStr">
        <is>
          <t>WW</t>
        </is>
      </c>
      <c r="Q152" s="38" t="inlineStr">
        <is>
          <t>J</t>
        </is>
      </c>
      <c r="R152" s="38" t="inlineStr">
        <is>
          <t>K</t>
        </is>
      </c>
      <c r="S152" s="24" t="inlineStr">
        <is>
          <t>A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M1</t>
        </is>
      </c>
      <c r="O153" s="38" t="inlineStr">
        <is>
          <t>GK</t>
        </is>
      </c>
      <c r="P153" s="38" t="inlineStr">
        <is>
          <t>M1</t>
        </is>
      </c>
      <c r="Q153" s="38" t="inlineStr">
        <is>
          <t>A</t>
        </is>
      </c>
      <c r="R153" s="38" t="inlineStr">
        <is>
          <t>TE</t>
        </is>
      </c>
      <c r="S153" s="24" t="inlineStr">
        <is>
          <t>K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M4</t>
        </is>
      </c>
      <c r="N154" s="38" t="inlineStr">
        <is>
          <t>Q</t>
        </is>
      </c>
      <c r="O154" s="38" t="inlineStr">
        <is>
          <t>M6</t>
        </is>
      </c>
      <c r="P154" s="38" t="inlineStr">
        <is>
          <t>K</t>
        </is>
      </c>
      <c r="Q154" s="38" t="inlineStr">
        <is>
          <t>K</t>
        </is>
      </c>
      <c r="R154" s="38" t="inlineStr">
        <is>
          <t>J</t>
        </is>
      </c>
      <c r="S154" s="24" t="inlineStr">
        <is>
          <t>M6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M4</t>
        </is>
      </c>
      <c r="N155" s="38" t="inlineStr">
        <is>
          <t>K</t>
        </is>
      </c>
      <c r="O155" s="38" t="inlineStr">
        <is>
          <t>TE</t>
        </is>
      </c>
      <c r="P155" s="38" t="inlineStr">
        <is>
          <t>G4</t>
        </is>
      </c>
      <c r="Q155" s="38" t="inlineStr">
        <is>
          <t>M6</t>
        </is>
      </c>
      <c r="R155" s="38" t="inlineStr">
        <is>
          <t>M6</t>
        </is>
      </c>
      <c r="S155" s="24" t="inlineStr">
        <is>
          <t>J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M6</t>
        </is>
      </c>
      <c r="N156" s="38" t="inlineStr">
        <is>
          <t>G2</t>
        </is>
      </c>
      <c r="O156" s="38" t="inlineStr">
        <is>
          <t>Q</t>
        </is>
      </c>
      <c r="P156" s="38" t="inlineStr">
        <is>
          <t>A</t>
        </is>
      </c>
      <c r="Q156" s="38" t="inlineStr">
        <is>
          <t>M4</t>
        </is>
      </c>
      <c r="R156" s="38" t="inlineStr">
        <is>
          <t>M6</t>
        </is>
      </c>
      <c r="S156" s="24" t="inlineStr">
        <is>
          <t>M5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M5</t>
        </is>
      </c>
      <c r="O157" s="155" t="inlineStr">
        <is>
          <t>M4</t>
        </is>
      </c>
      <c r="P157" s="155" t="inlineStr">
        <is>
          <t>A</t>
        </is>
      </c>
      <c r="Q157" s="155" t="inlineStr">
        <is>
          <t>K</t>
        </is>
      </c>
      <c r="R157" s="155" t="inlineStr">
        <is>
          <t>M1</t>
        </is>
      </c>
      <c r="S157" s="156" t="inlineStr">
        <is>
          <t>K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J</t>
        </is>
      </c>
      <c r="N158" s="38" t="inlineStr">
        <is>
          <t>TE</t>
        </is>
      </c>
      <c r="O158" s="38" t="inlineStr">
        <is>
          <t>M1</t>
        </is>
      </c>
      <c r="P158" s="38" t="inlineStr">
        <is>
          <t>GT</t>
        </is>
      </c>
      <c r="Q158" s="38" t="inlineStr">
        <is>
          <t>Q</t>
        </is>
      </c>
      <c r="R158" s="38" t="inlineStr">
        <is>
          <t>J</t>
        </is>
      </c>
      <c r="S158" s="24" t="inlineStr">
        <is>
          <t>A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M5</t>
        </is>
      </c>
      <c r="N159" s="38" t="inlineStr">
        <is>
          <t>M5</t>
        </is>
      </c>
      <c r="O159" s="38" t="inlineStr">
        <is>
          <t>M2</t>
        </is>
      </c>
      <c r="P159" s="38" t="inlineStr">
        <is>
          <t>M6</t>
        </is>
      </c>
      <c r="Q159" s="38" t="inlineStr">
        <is>
          <t>G5</t>
        </is>
      </c>
      <c r="R159" s="38" t="inlineStr">
        <is>
          <t>M1</t>
        </is>
      </c>
      <c r="S159" s="24" t="inlineStr">
        <is>
          <t>TE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M4</t>
        </is>
      </c>
      <c r="O160" s="38" t="inlineStr">
        <is>
          <t>J</t>
        </is>
      </c>
      <c r="P160" s="38" t="inlineStr">
        <is>
          <t>M6</t>
        </is>
      </c>
      <c r="Q160" s="38" t="inlineStr">
        <is>
          <t>M2</t>
        </is>
      </c>
      <c r="R160" s="38" t="inlineStr">
        <is>
          <t>GT</t>
        </is>
      </c>
      <c r="S160" s="24" t="inlineStr">
        <is>
          <t>TE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J</t>
        </is>
      </c>
      <c r="N161" s="38" t="inlineStr">
        <is>
          <t>A</t>
        </is>
      </c>
      <c r="O161" s="38" t="inlineStr">
        <is>
          <t>J</t>
        </is>
      </c>
      <c r="P161" s="38" t="inlineStr">
        <is>
          <t>M3</t>
        </is>
      </c>
      <c r="Q161" s="38" t="inlineStr">
        <is>
          <t>TE</t>
        </is>
      </c>
      <c r="R161" s="38" t="inlineStr">
        <is>
          <t>M4</t>
        </is>
      </c>
      <c r="S161" s="24" t="inlineStr">
        <is>
          <t>TE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M4</t>
        </is>
      </c>
      <c r="N162" s="38" t="inlineStr">
        <is>
          <t>A</t>
        </is>
      </c>
      <c r="O162" s="38" t="inlineStr">
        <is>
          <t>M6</t>
        </is>
      </c>
      <c r="P162" s="38" t="inlineStr">
        <is>
          <t>J</t>
        </is>
      </c>
      <c r="Q162" s="38" t="inlineStr">
        <is>
          <t>G4</t>
        </is>
      </c>
      <c r="R162" s="38" t="inlineStr">
        <is>
          <t>M4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J</t>
        </is>
      </c>
      <c r="N163" s="38" t="inlineStr">
        <is>
          <t>GT</t>
        </is>
      </c>
      <c r="O163" s="38" t="inlineStr">
        <is>
          <t>A</t>
        </is>
      </c>
      <c r="P163" s="38" t="inlineStr">
        <is>
          <t>TE</t>
        </is>
      </c>
      <c r="Q163" s="38" t="inlineStr">
        <is>
          <t>A</t>
        </is>
      </c>
      <c r="R163" s="38" t="inlineStr">
        <is>
          <t>M5</t>
        </is>
      </c>
      <c r="S163" s="24" t="inlineStr">
        <is>
          <t>M6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J</t>
        </is>
      </c>
      <c r="N164" s="38" t="inlineStr">
        <is>
          <t>TE</t>
        </is>
      </c>
      <c r="O164" s="38" t="inlineStr">
        <is>
          <t>M4</t>
        </is>
      </c>
      <c r="P164" s="38" t="inlineStr">
        <is>
          <t>M2</t>
        </is>
      </c>
      <c r="Q164" s="38" t="inlineStr">
        <is>
          <t>J</t>
        </is>
      </c>
      <c r="R164" s="38" t="inlineStr">
        <is>
          <t>K</t>
        </is>
      </c>
      <c r="S164" s="24" t="inlineStr">
        <is>
          <t>M4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M6</t>
        </is>
      </c>
      <c r="N165" s="38" t="inlineStr">
        <is>
          <t>M5</t>
        </is>
      </c>
      <c r="O165" s="38" t="inlineStr">
        <is>
          <t>M1</t>
        </is>
      </c>
      <c r="P165" s="38" t="inlineStr">
        <is>
          <t>K</t>
        </is>
      </c>
      <c r="Q165" s="38" t="inlineStr">
        <is>
          <t>G5</t>
        </is>
      </c>
      <c r="R165" s="38" t="inlineStr">
        <is>
          <t>A</t>
        </is>
      </c>
      <c r="S165" s="24" t="inlineStr">
        <is>
          <t>K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M2</t>
        </is>
      </c>
      <c r="O166" s="155" t="inlineStr">
        <is>
          <t>M6</t>
        </is>
      </c>
      <c r="P166" s="155" t="inlineStr">
        <is>
          <t>K</t>
        </is>
      </c>
      <c r="Q166" s="155" t="inlineStr">
        <is>
          <t>M1</t>
        </is>
      </c>
      <c r="R166" s="155" t="inlineStr">
        <is>
          <t>A</t>
        </is>
      </c>
      <c r="S166" s="156" t="inlineStr">
        <is>
          <t>M5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J</t>
        </is>
      </c>
      <c r="N167" s="38" t="inlineStr">
        <is>
          <t>G6</t>
        </is>
      </c>
      <c r="O167" s="38" t="inlineStr">
        <is>
          <t>M3</t>
        </is>
      </c>
      <c r="P167" s="38" t="inlineStr">
        <is>
          <t>M1</t>
        </is>
      </c>
      <c r="Q167" s="38" t="inlineStr">
        <is>
          <t>K</t>
        </is>
      </c>
      <c r="R167" s="38" t="inlineStr">
        <is>
          <t>M6</t>
        </is>
      </c>
      <c r="S167" s="24" t="inlineStr">
        <is>
          <t>M6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K</t>
        </is>
      </c>
      <c r="N168" s="38" t="inlineStr">
        <is>
          <t>M1</t>
        </is>
      </c>
      <c r="O168" s="38" t="inlineStr">
        <is>
          <t>K</t>
        </is>
      </c>
      <c r="P168" s="38" t="inlineStr">
        <is>
          <t>A</t>
        </is>
      </c>
      <c r="Q168" s="38" t="inlineStr">
        <is>
          <t>Q</t>
        </is>
      </c>
      <c r="R168" s="38" t="inlineStr">
        <is>
          <t>K</t>
        </is>
      </c>
      <c r="S168" s="24" t="inlineStr">
        <is>
          <t>M4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J</t>
        </is>
      </c>
      <c r="N169" s="38" t="inlineStr">
        <is>
          <t>Q</t>
        </is>
      </c>
      <c r="O169" s="38" t="inlineStr">
        <is>
          <t>A</t>
        </is>
      </c>
      <c r="P169" s="38" t="inlineStr">
        <is>
          <t>J</t>
        </is>
      </c>
      <c r="Q169" s="38" t="inlineStr">
        <is>
          <t>A</t>
        </is>
      </c>
      <c r="R169" s="38" t="inlineStr">
        <is>
          <t>M5</t>
        </is>
      </c>
      <c r="S169" s="24" t="inlineStr">
        <is>
          <t>A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M2</t>
        </is>
      </c>
      <c r="N170" s="38" t="inlineStr">
        <is>
          <t>A</t>
        </is>
      </c>
      <c r="O170" s="38" t="inlineStr">
        <is>
          <t>M4</t>
        </is>
      </c>
      <c r="P170" s="38" t="inlineStr">
        <is>
          <t>M6</t>
        </is>
      </c>
      <c r="Q170" s="38" t="inlineStr">
        <is>
          <t>M5</t>
        </is>
      </c>
      <c r="R170" s="38" t="inlineStr">
        <is>
          <t>J</t>
        </is>
      </c>
      <c r="S170" s="24" t="inlineStr">
        <is>
          <t>J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M6</t>
        </is>
      </c>
      <c r="N171" s="38" t="inlineStr">
        <is>
          <t>Q</t>
        </is>
      </c>
      <c r="O171" s="38" t="inlineStr">
        <is>
          <t>K</t>
        </is>
      </c>
      <c r="P171" s="38" t="inlineStr">
        <is>
          <t>GQ</t>
        </is>
      </c>
      <c r="Q171" s="38" t="inlineStr">
        <is>
          <t>J</t>
        </is>
      </c>
      <c r="R171" s="38" t="inlineStr">
        <is>
          <t>J</t>
        </is>
      </c>
      <c r="S171" s="24" t="inlineStr">
        <is>
          <t>K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M2</t>
        </is>
      </c>
      <c r="N172" s="38" t="inlineStr">
        <is>
          <t>TE</t>
        </is>
      </c>
      <c r="O172" s="38" t="inlineStr">
        <is>
          <t>M4</t>
        </is>
      </c>
      <c r="P172" s="38" t="inlineStr">
        <is>
          <t>TE</t>
        </is>
      </c>
      <c r="Q172" s="38" t="inlineStr">
        <is>
          <t>Q</t>
        </is>
      </c>
      <c r="R172" s="38" t="inlineStr">
        <is>
          <t>M5</t>
        </is>
      </c>
      <c r="S172" s="24" t="inlineStr">
        <is>
          <t>M4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J</t>
        </is>
      </c>
      <c r="N173" s="38" t="inlineStr">
        <is>
          <t>Q</t>
        </is>
      </c>
      <c r="O173" s="38" t="inlineStr">
        <is>
          <t>M1</t>
        </is>
      </c>
      <c r="P173" s="38" t="inlineStr">
        <is>
          <t>M5</t>
        </is>
      </c>
      <c r="Q173" s="38" t="inlineStr">
        <is>
          <t>M4</t>
        </is>
      </c>
      <c r="R173" s="38" t="inlineStr">
        <is>
          <t>J</t>
        </is>
      </c>
      <c r="S173" s="24" t="inlineStr">
        <is>
          <t>TE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J</t>
        </is>
      </c>
      <c r="O174" s="38" t="inlineStr">
        <is>
          <t>M6</t>
        </is>
      </c>
      <c r="P174" s="38" t="inlineStr">
        <is>
          <t>Q</t>
        </is>
      </c>
      <c r="Q174" s="38" t="inlineStr">
        <is>
          <t>A</t>
        </is>
      </c>
      <c r="R174" s="38" t="inlineStr">
        <is>
          <t>K</t>
        </is>
      </c>
      <c r="S174" s="24" t="inlineStr">
        <is>
          <t>TE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J</t>
        </is>
      </c>
      <c r="O175" s="155" t="inlineStr">
        <is>
          <t>J</t>
        </is>
      </c>
      <c r="P175" s="155" t="inlineStr">
        <is>
          <t>TE</t>
        </is>
      </c>
      <c r="Q175" s="155" t="inlineStr">
        <is>
          <t>M4</t>
        </is>
      </c>
      <c r="R175" s="155" t="inlineStr">
        <is>
          <t>Q</t>
        </is>
      </c>
      <c r="S175" s="156" t="inlineStr">
        <is>
          <t>TE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J</t>
        </is>
      </c>
      <c r="N176" s="38" t="inlineStr">
        <is>
          <t>J</t>
        </is>
      </c>
      <c r="O176" s="38" t="inlineStr">
        <is>
          <t>A</t>
        </is>
      </c>
      <c r="P176" s="38" t="inlineStr">
        <is>
          <t>GJ</t>
        </is>
      </c>
      <c r="Q176" s="38" t="inlineStr">
        <is>
          <t>A</t>
        </is>
      </c>
      <c r="R176" s="38" t="inlineStr">
        <is>
          <t>M4</t>
        </is>
      </c>
      <c r="S176" s="24" t="inlineStr">
        <is>
          <t>TE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J</t>
        </is>
      </c>
      <c r="N177" s="38" t="inlineStr">
        <is>
          <t>M5</t>
        </is>
      </c>
      <c r="O177" s="38" t="inlineStr">
        <is>
          <t>M4</t>
        </is>
      </c>
      <c r="P177" s="38" t="inlineStr">
        <is>
          <t>J</t>
        </is>
      </c>
      <c r="Q177" s="38" t="inlineStr">
        <is>
          <t>GQ</t>
        </is>
      </c>
      <c r="R177" s="38" t="inlineStr">
        <is>
          <t>K</t>
        </is>
      </c>
      <c r="S177" s="24" t="inlineStr">
        <is>
          <t>Q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M1</t>
        </is>
      </c>
      <c r="N178" s="38" t="inlineStr">
        <is>
          <t>G2</t>
        </is>
      </c>
      <c r="O178" s="38" t="inlineStr">
        <is>
          <t>M5</t>
        </is>
      </c>
      <c r="P178" s="38" t="inlineStr">
        <is>
          <t>A</t>
        </is>
      </c>
      <c r="Q178" s="38" t="inlineStr">
        <is>
          <t>Q</t>
        </is>
      </c>
      <c r="R178" s="38" t="inlineStr">
        <is>
          <t>M6</t>
        </is>
      </c>
      <c r="S178" s="24" t="inlineStr">
        <is>
          <t>M5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K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Q</t>
        </is>
      </c>
      <c r="Q179" s="38" t="inlineStr">
        <is>
          <t>TE</t>
        </is>
      </c>
      <c r="R179" s="38" t="inlineStr">
        <is>
          <t>K</t>
        </is>
      </c>
      <c r="S179" s="24" t="inlineStr">
        <is>
          <t>M4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M6</t>
        </is>
      </c>
      <c r="N180" s="38" t="inlineStr">
        <is>
          <t>TE</t>
        </is>
      </c>
      <c r="O180" s="38" t="inlineStr">
        <is>
          <t>M1</t>
        </is>
      </c>
      <c r="P180" s="38" t="inlineStr">
        <is>
          <t>M6</t>
        </is>
      </c>
      <c r="Q180" s="38" t="inlineStr">
        <is>
          <t>J</t>
        </is>
      </c>
      <c r="R180" s="38" t="inlineStr">
        <is>
          <t>K</t>
        </is>
      </c>
      <c r="S180" s="24" t="inlineStr">
        <is>
          <t>M4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M3</t>
        </is>
      </c>
      <c r="N181" s="38" t="inlineStr">
        <is>
          <t>Q</t>
        </is>
      </c>
      <c r="O181" s="38" t="inlineStr">
        <is>
          <t>GJ</t>
        </is>
      </c>
      <c r="P181" s="38" t="inlineStr">
        <is>
          <t>M5</t>
        </is>
      </c>
      <c r="Q181" s="38" t="inlineStr">
        <is>
          <t>M4</t>
        </is>
      </c>
      <c r="R181" s="38" t="inlineStr">
        <is>
          <t>M6</t>
        </is>
      </c>
      <c r="S181" s="24" t="inlineStr">
        <is>
          <t>M4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K</t>
        </is>
      </c>
      <c r="N182" s="38" t="inlineStr">
        <is>
          <t>Q</t>
        </is>
      </c>
      <c r="O182" s="38" t="inlineStr">
        <is>
          <t>M4</t>
        </is>
      </c>
      <c r="P182" s="38" t="inlineStr">
        <is>
          <t>J</t>
        </is>
      </c>
      <c r="Q182" s="38" t="inlineStr">
        <is>
          <t>M5</t>
        </is>
      </c>
      <c r="R182" s="38" t="inlineStr">
        <is>
          <t>M5</t>
        </is>
      </c>
      <c r="S182" s="24" t="inlineStr">
        <is>
          <t>M4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K</t>
        </is>
      </c>
      <c r="N183" s="38" t="inlineStr">
        <is>
          <t>K</t>
        </is>
      </c>
      <c r="O183" s="38" t="inlineStr">
        <is>
          <t>M5</t>
        </is>
      </c>
      <c r="P183" s="38" t="inlineStr">
        <is>
          <t>M1</t>
        </is>
      </c>
      <c r="Q183" s="38" t="inlineStr">
        <is>
          <t>M4</t>
        </is>
      </c>
      <c r="R183" s="38" t="inlineStr">
        <is>
          <t>M4</t>
        </is>
      </c>
      <c r="S183" s="24" t="inlineStr">
        <is>
          <t>K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M1</t>
        </is>
      </c>
      <c r="O184" s="155" t="inlineStr">
        <is>
          <t>M3</t>
        </is>
      </c>
      <c r="P184" s="155" t="inlineStr">
        <is>
          <t>J</t>
        </is>
      </c>
      <c r="Q184" s="155" t="inlineStr">
        <is>
          <t>Q</t>
        </is>
      </c>
      <c r="R184" s="155" t="inlineStr">
        <is>
          <t>K</t>
        </is>
      </c>
      <c r="S184" s="156" t="inlineStr">
        <is>
          <t>M5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J</t>
        </is>
      </c>
      <c r="N185" s="38" t="inlineStr">
        <is>
          <t>M5</t>
        </is>
      </c>
      <c r="O185" s="38" t="inlineStr">
        <is>
          <t>M4</t>
        </is>
      </c>
      <c r="P185" s="38" t="inlineStr">
        <is>
          <t>Q</t>
        </is>
      </c>
      <c r="Q185" s="38" t="inlineStr">
        <is>
          <t>GJ</t>
        </is>
      </c>
      <c r="R185" s="38" t="inlineStr">
        <is>
          <t>M4</t>
        </is>
      </c>
      <c r="S185" s="24" t="inlineStr">
        <is>
          <t>J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M4</t>
        </is>
      </c>
      <c r="N186" s="38" t="inlineStr">
        <is>
          <t>A</t>
        </is>
      </c>
      <c r="O186" s="38" t="inlineStr">
        <is>
          <t>M1</t>
        </is>
      </c>
      <c r="P186" s="38" t="inlineStr">
        <is>
          <t>A</t>
        </is>
      </c>
      <c r="Q186" s="38" t="inlineStr">
        <is>
          <t>M6</t>
        </is>
      </c>
      <c r="R186" s="38" t="inlineStr">
        <is>
          <t>Q</t>
        </is>
      </c>
      <c r="S186" s="24" t="inlineStr">
        <is>
          <t>A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M6</t>
        </is>
      </c>
      <c r="N187" s="38" t="inlineStr">
        <is>
          <t>A</t>
        </is>
      </c>
      <c r="O187" s="38" t="inlineStr">
        <is>
          <t>J</t>
        </is>
      </c>
      <c r="P187" s="38" t="inlineStr">
        <is>
          <t>Q</t>
        </is>
      </c>
      <c r="Q187" s="38" t="inlineStr">
        <is>
          <t>M6</t>
        </is>
      </c>
      <c r="R187" s="38" t="inlineStr">
        <is>
          <t>K</t>
        </is>
      </c>
      <c r="S187" s="24" t="inlineStr">
        <is>
          <t>Q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M3</t>
        </is>
      </c>
      <c r="N188" s="38" t="inlineStr">
        <is>
          <t>Q</t>
        </is>
      </c>
      <c r="O188" s="38" t="inlineStr">
        <is>
          <t>K</t>
        </is>
      </c>
      <c r="P188" s="38" t="inlineStr">
        <is>
          <t>GT</t>
        </is>
      </c>
      <c r="Q188" s="38" t="inlineStr">
        <is>
          <t>K</t>
        </is>
      </c>
      <c r="R188" s="38" t="inlineStr">
        <is>
          <t>M6</t>
        </is>
      </c>
      <c r="S188" s="24" t="inlineStr">
        <is>
          <t>M6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M6</t>
        </is>
      </c>
      <c r="N189" s="38" t="inlineStr">
        <is>
          <t>GA</t>
        </is>
      </c>
      <c r="O189" s="38" t="inlineStr">
        <is>
          <t>M6</t>
        </is>
      </c>
      <c r="P189" s="38" t="inlineStr">
        <is>
          <t>TE</t>
        </is>
      </c>
      <c r="Q189" s="38" t="inlineStr">
        <is>
          <t>M1</t>
        </is>
      </c>
      <c r="R189" s="38" t="inlineStr">
        <is>
          <t>M2</t>
        </is>
      </c>
      <c r="S189" s="24" t="inlineStr">
        <is>
          <t>K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K</t>
        </is>
      </c>
      <c r="N190" s="38" t="inlineStr">
        <is>
          <t>TE</t>
        </is>
      </c>
      <c r="O190" s="38" t="inlineStr">
        <is>
          <t>M4</t>
        </is>
      </c>
      <c r="P190" s="38" t="inlineStr">
        <is>
          <t>TE</t>
        </is>
      </c>
      <c r="Q190" s="38" t="inlineStr">
        <is>
          <t>M5</t>
        </is>
      </c>
      <c r="R190" s="38" t="inlineStr">
        <is>
          <t>GQ</t>
        </is>
      </c>
      <c r="S190" s="24" t="inlineStr">
        <is>
          <t>J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M6</t>
        </is>
      </c>
      <c r="N191" s="38" t="inlineStr">
        <is>
          <t>TE</t>
        </is>
      </c>
      <c r="O191" s="38" t="inlineStr">
        <is>
          <t>TE</t>
        </is>
      </c>
      <c r="P191" s="38" t="inlineStr">
        <is>
          <t>M6</t>
        </is>
      </c>
      <c r="Q191" s="38" t="inlineStr">
        <is>
          <t>GT</t>
        </is>
      </c>
      <c r="R191" s="38" t="inlineStr">
        <is>
          <t>J</t>
        </is>
      </c>
      <c r="S191" s="24" t="inlineStr">
        <is>
          <t>A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M6</t>
        </is>
      </c>
      <c r="N192" s="38" t="inlineStr">
        <is>
          <t>M5</t>
        </is>
      </c>
      <c r="O192" s="38" t="inlineStr">
        <is>
          <t>M3</t>
        </is>
      </c>
      <c r="P192" s="38" t="inlineStr">
        <is>
          <t>M5</t>
        </is>
      </c>
      <c r="Q192" s="38" t="inlineStr">
        <is>
          <t>K</t>
        </is>
      </c>
      <c r="R192" s="38" t="inlineStr">
        <is>
          <t>M6</t>
        </is>
      </c>
      <c r="S192" s="24" t="inlineStr">
        <is>
          <t>Q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J</t>
        </is>
      </c>
      <c r="N193" s="155" t="inlineStr">
        <is>
          <t>TE</t>
        </is>
      </c>
      <c r="O193" s="155" t="inlineStr">
        <is>
          <t>M6</t>
        </is>
      </c>
      <c r="P193" s="155" t="inlineStr">
        <is>
          <t>TE</t>
        </is>
      </c>
      <c r="Q193" s="155" t="inlineStr">
        <is>
          <t>M5</t>
        </is>
      </c>
      <c r="R193" s="155" t="inlineStr">
        <is>
          <t>M4</t>
        </is>
      </c>
      <c r="S193" s="156" t="inlineStr">
        <is>
          <t>K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M5</t>
        </is>
      </c>
      <c r="N194" s="38" t="inlineStr">
        <is>
          <t>TE</t>
        </is>
      </c>
      <c r="O194" s="38" t="inlineStr">
        <is>
          <t>K</t>
        </is>
      </c>
      <c r="P194" s="38" t="inlineStr">
        <is>
          <t>M5</t>
        </is>
      </c>
      <c r="Q194" s="38" t="inlineStr">
        <is>
          <t>Q</t>
        </is>
      </c>
      <c r="R194" s="38" t="inlineStr">
        <is>
          <t>TE</t>
        </is>
      </c>
      <c r="S194" s="24" t="inlineStr">
        <is>
          <t>J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M6</t>
        </is>
      </c>
      <c r="N195" s="38" t="inlineStr">
        <is>
          <t>M1</t>
        </is>
      </c>
      <c r="O195" s="38" t="inlineStr">
        <is>
          <t>K</t>
        </is>
      </c>
      <c r="P195" s="38" t="inlineStr">
        <is>
          <t>M5</t>
        </is>
      </c>
      <c r="Q195" s="38" t="inlineStr">
        <is>
          <t>TE</t>
        </is>
      </c>
      <c r="R195" s="38" t="inlineStr">
        <is>
          <t>J</t>
        </is>
      </c>
      <c r="S195" s="24" t="inlineStr">
        <is>
          <t>M6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J</t>
        </is>
      </c>
      <c r="N196" s="38" t="inlineStr">
        <is>
          <t>Q</t>
        </is>
      </c>
      <c r="O196" s="38" t="inlineStr">
        <is>
          <t>M1</t>
        </is>
      </c>
      <c r="P196" s="38" t="inlineStr">
        <is>
          <t>J</t>
        </is>
      </c>
      <c r="Q196" s="38" t="inlineStr">
        <is>
          <t>J</t>
        </is>
      </c>
      <c r="R196" s="38" t="inlineStr">
        <is>
          <t>A</t>
        </is>
      </c>
      <c r="S196" s="24" t="inlineStr">
        <is>
          <t>M4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J</t>
        </is>
      </c>
      <c r="N197" s="38" t="inlineStr">
        <is>
          <t>TE</t>
        </is>
      </c>
      <c r="O197" s="38" t="inlineStr">
        <is>
          <t>M4</t>
        </is>
      </c>
      <c r="P197" s="38" t="inlineStr">
        <is>
          <t>A</t>
        </is>
      </c>
      <c r="Q197" s="38" t="inlineStr">
        <is>
          <t>M6</t>
        </is>
      </c>
      <c r="R197" s="38" t="inlineStr">
        <is>
          <t>K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M6</t>
        </is>
      </c>
      <c r="N198" s="38" t="inlineStr">
        <is>
          <t>TE</t>
        </is>
      </c>
      <c r="O198" s="38" t="inlineStr">
        <is>
          <t>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M5</t>
        </is>
      </c>
      <c r="S198" s="24" t="inlineStr">
        <is>
          <t>TE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A</t>
        </is>
      </c>
      <c r="O199" s="38" t="inlineStr">
        <is>
          <t>J</t>
        </is>
      </c>
      <c r="P199" s="38" t="inlineStr">
        <is>
          <t>M1</t>
        </is>
      </c>
      <c r="Q199" s="38" t="inlineStr">
        <is>
          <t>Q</t>
        </is>
      </c>
      <c r="R199" s="38" t="inlineStr">
        <is>
          <t>M4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GT</t>
        </is>
      </c>
      <c r="O200" s="38" t="inlineStr">
        <is>
          <t>J</t>
        </is>
      </c>
      <c r="P200" s="38" t="inlineStr">
        <is>
          <t>J</t>
        </is>
      </c>
      <c r="Q200" s="38" t="inlineStr">
        <is>
          <t>J</t>
        </is>
      </c>
      <c r="R200" s="38" t="inlineStr">
        <is>
          <t>J</t>
        </is>
      </c>
      <c r="S200" s="24" t="inlineStr">
        <is>
          <t>M4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M6</t>
        </is>
      </c>
      <c r="N201" s="38" t="inlineStr">
        <is>
          <t>M6</t>
        </is>
      </c>
      <c r="O201" s="38" t="inlineStr">
        <is>
          <t>J</t>
        </is>
      </c>
      <c r="P201" s="38" t="inlineStr">
        <is>
          <t>M5</t>
        </is>
      </c>
      <c r="Q201" s="38" t="inlineStr">
        <is>
          <t>M1</t>
        </is>
      </c>
      <c r="R201" s="38" t="inlineStr">
        <is>
          <t>M4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M4</t>
        </is>
      </c>
      <c r="N202" s="155" t="inlineStr">
        <is>
          <t>Q</t>
        </is>
      </c>
      <c r="O202" s="155" t="inlineStr">
        <is>
          <t>M6</t>
        </is>
      </c>
      <c r="P202" s="155" t="inlineStr">
        <is>
          <t>M5</t>
        </is>
      </c>
      <c r="Q202" s="155" t="inlineStr">
        <is>
          <t>G5</t>
        </is>
      </c>
      <c r="R202" s="155" t="inlineStr">
        <is>
          <t>Q</t>
        </is>
      </c>
      <c r="S202" s="156" t="inlineStr">
        <is>
          <t>Q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M6</t>
        </is>
      </c>
      <c r="N203" s="38" t="inlineStr">
        <is>
          <t>TE</t>
        </is>
      </c>
      <c r="O203" s="38" t="inlineStr">
        <is>
          <t>K</t>
        </is>
      </c>
      <c r="P203" s="38" t="inlineStr">
        <is>
          <t>M3</t>
        </is>
      </c>
      <c r="Q203" s="38" t="inlineStr">
        <is>
          <t>J</t>
        </is>
      </c>
      <c r="R203" s="38" t="inlineStr">
        <is>
          <t>M3</t>
        </is>
      </c>
      <c r="S203" s="24" t="inlineStr">
        <is>
          <t>M6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inlineStr">
        <is>
          <t>M4</t>
        </is>
      </c>
      <c r="N4" s="155" t="inlineStr">
        <is>
          <t>TE</t>
        </is>
      </c>
      <c r="O4" s="155" t="inlineStr">
        <is>
          <t>J</t>
        </is>
      </c>
      <c r="P4" s="155" t="inlineStr">
        <is>
          <t>M4</t>
        </is>
      </c>
      <c r="Q4" s="155" t="inlineStr">
        <is>
          <t>G2</t>
        </is>
      </c>
      <c r="R4" s="155" t="inlineStr">
        <is>
          <t>M4</t>
        </is>
      </c>
      <c r="S4" s="156" t="inlineStr">
        <is>
          <t>M6</t>
        </is>
      </c>
      <c r="U4" s="157">
        <f>VLOOKUP(M4, $A$4:$J$29, 9, 0)</f>
      </c>
      <c r="V4" s="157">
        <f>VLOOKUP(N4, $A$4:$J$29, 9, 0)</f>
      </c>
      <c r="W4" s="157">
        <f>VLOOKUP(O4, $A$4:$J$29, 9, 0)</f>
      </c>
      <c r="X4" s="157">
        <f>VLOOKUP(P4, $A$4:$J$29, 9, 0)</f>
      </c>
      <c r="Y4" s="157">
        <f>VLOOKUP(Q4, $A$4:$J$29, 9, 0)</f>
      </c>
      <c r="Z4" s="157">
        <f>VLOOKUP(R4, $A$4:$J$29, 9, 0)</f>
      </c>
      <c r="AA4" s="157">
        <f>VLOOKUP(S4, $A$4:$J$29, 9, 0)</f>
      </c>
      <c r="AC4" s="17">
        <v>0</v>
      </c>
      <c r="AD4" s="17">
        <v>0</v>
      </c>
      <c r="AE4" s="17">
        <v>1</v>
      </c>
      <c r="AF4" s="17">
        <v>1</v>
      </c>
      <c r="AG4" s="17">
        <v>1</v>
      </c>
      <c r="AH4" s="17">
        <v>1</v>
      </c>
      <c r="AI4" s="174">
        <v>0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inlineStr">
        <is>
          <t>A</t>
        </is>
      </c>
      <c r="N5" s="38" t="inlineStr">
        <is>
          <t>Q</t>
        </is>
      </c>
      <c r="O5" s="38" t="inlineStr">
        <is>
          <t>Q</t>
        </is>
      </c>
      <c r="P5" s="38" t="inlineStr">
        <is>
          <t>M3</t>
        </is>
      </c>
      <c r="Q5" s="38" t="inlineStr">
        <is>
          <t>M5</t>
        </is>
      </c>
      <c r="R5" s="38" t="inlineStr">
        <is>
          <t>J</t>
        </is>
      </c>
      <c r="S5" s="24" t="inlineStr">
        <is>
          <t>K</t>
        </is>
      </c>
      <c r="U5" s="157">
        <f>VLOOKUP(M5, $A$4:$J$29, 9, 0)</f>
      </c>
      <c r="V5" s="157">
        <f>VLOOKUP(N5, $A$4:$J$29, 9, 0)</f>
      </c>
      <c r="W5" s="157">
        <f>VLOOKUP(O5, $A$4:$J$29, 9, 0)</f>
      </c>
      <c r="X5" s="157">
        <f>VLOOKUP(P5, $A$4:$J$29, 9, 0)</f>
      </c>
      <c r="Y5" s="157">
        <f>VLOOKUP(Q5, $A$4:$J$29, 9, 0)</f>
      </c>
      <c r="Z5" s="157">
        <f>VLOOKUP(R5, $A$4:$J$29, 9, 0)</f>
      </c>
      <c r="AA5" s="157">
        <f>VLOOKUP(S5, $A$4:$J$29, 9, 0)</f>
      </c>
      <c r="AC5" s="18">
        <v>0</v>
      </c>
      <c r="AD5" s="18">
        <v>0</v>
      </c>
      <c r="AE5" s="18">
        <v>1</v>
      </c>
      <c r="AF5" s="18">
        <v>1</v>
      </c>
      <c r="AG5" s="18">
        <v>1</v>
      </c>
      <c r="AH5" s="18">
        <v>1</v>
      </c>
      <c r="AI5" s="4">
        <v>0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2</v>
      </c>
      <c r="D6" s="152">
        <f t="shared" si="1"/>
        <v>1</v>
      </c>
      <c r="E6" s="152">
        <f t="shared" si="1"/>
        <v>1</v>
      </c>
      <c r="F6" s="152">
        <f t="shared" si="1"/>
        <v>2</v>
      </c>
      <c r="G6" s="152">
        <f t="shared" si="1"/>
        <v>2</v>
      </c>
      <c r="H6" s="152">
        <f t="shared" si="1"/>
        <v>2</v>
      </c>
      <c r="I6" s="152">
        <f t="shared" si="1"/>
        <v>2</v>
      </c>
      <c r="J6" s="150">
        <v>2</v>
      </c>
      <c r="L6" s="15">
        <v>3</v>
      </c>
      <c r="M6" s="38" t="inlineStr">
        <is>
          <t>TE</t>
        </is>
      </c>
      <c r="N6" s="38" t="inlineStr">
        <is>
          <t>M5</t>
        </is>
      </c>
      <c r="O6" s="38" t="inlineStr">
        <is>
          <t>A</t>
        </is>
      </c>
      <c r="P6" s="38" t="inlineStr">
        <is>
          <t>M2</t>
        </is>
      </c>
      <c r="Q6" s="38" t="inlineStr">
        <is>
          <t>M2</t>
        </is>
      </c>
      <c r="R6" s="38" t="inlineStr">
        <is>
          <t>TE</t>
        </is>
      </c>
      <c r="S6" s="24" t="inlineStr">
        <is>
          <t>M5</t>
        </is>
      </c>
      <c r="U6" s="157">
        <f>VLOOKUP(M6, $A$4:$J$29, 9, 0)</f>
      </c>
      <c r="V6" s="157">
        <f>VLOOKUP(N6, $A$4:$J$29, 9, 0)</f>
      </c>
      <c r="W6" s="157">
        <f>VLOOKUP(O6, $A$4:$J$29, 9, 0)</f>
      </c>
      <c r="X6" s="157">
        <f>VLOOKUP(P6, $A$4:$J$29, 9, 0)</f>
      </c>
      <c r="Y6" s="157">
        <f>VLOOKUP(Q6, $A$4:$J$29, 9, 0)</f>
      </c>
      <c r="Z6" s="157">
        <f>VLOOKUP(R6, $A$4:$J$29, 9, 0)</f>
      </c>
      <c r="AA6" s="157">
        <f>VLOOKUP(S6, $A$4:$J$29, 9, 0)</f>
      </c>
      <c r="AC6" s="18">
        <v>0</v>
      </c>
      <c r="AD6" s="18">
        <v>0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16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inlineStr">
        <is>
          <t>M5</t>
        </is>
      </c>
      <c r="N7" s="38" t="inlineStr">
        <is>
          <t>Q</t>
        </is>
      </c>
      <c r="O7" s="38" t="inlineStr">
        <is>
          <t>GQ</t>
        </is>
      </c>
      <c r="P7" s="38" t="inlineStr">
        <is>
          <t>G3</t>
        </is>
      </c>
      <c r="Q7" s="38" t="inlineStr">
        <is>
          <t>M2</t>
        </is>
      </c>
      <c r="R7" s="38" t="inlineStr">
        <is>
          <t>K</t>
        </is>
      </c>
      <c r="S7" s="24" t="inlineStr">
        <is>
          <t>M5</t>
        </is>
      </c>
      <c r="U7" s="157">
        <f>VLOOKUP(M7, $A$4:$J$29, 9, 0)</f>
      </c>
      <c r="V7" s="157">
        <f>VLOOKUP(N7, $A$4:$J$29, 9, 0)</f>
      </c>
      <c r="W7" s="157">
        <f>VLOOKUP(O7, $A$4:$J$29, 9, 0)</f>
      </c>
      <c r="X7" s="157">
        <f>VLOOKUP(P7, $A$4:$J$29, 9, 0)</f>
      </c>
      <c r="Y7" s="157">
        <f>VLOOKUP(Q7, $A$4:$J$29, 9, 0)</f>
      </c>
      <c r="Z7" s="157">
        <f>VLOOKUP(R7, $A$4:$J$29, 9, 0)</f>
      </c>
      <c r="AA7" s="157">
        <f>VLOOKUP(S7, $A$4:$J$29, 9, 0)</f>
      </c>
      <c r="AC7" s="18">
        <v>0</v>
      </c>
      <c r="AD7" s="18">
        <v>0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inlineStr">
        <is>
          <t>K</t>
        </is>
      </c>
      <c r="N8" s="38" t="inlineStr">
        <is>
          <t>A</t>
        </is>
      </c>
      <c r="O8" s="38" t="inlineStr">
        <is>
          <t>G2</t>
        </is>
      </c>
      <c r="P8" s="38" t="inlineStr">
        <is>
          <t>G6</t>
        </is>
      </c>
      <c r="Q8" s="38" t="inlineStr">
        <is>
          <t>A</t>
        </is>
      </c>
      <c r="R8" s="38" t="inlineStr">
        <is>
          <t>K</t>
        </is>
      </c>
      <c r="S8" s="24" t="inlineStr">
        <is>
          <t>M5</t>
        </is>
      </c>
      <c r="U8" s="157">
        <f>VLOOKUP(M8, $A$4:$J$29, 9, 0)</f>
      </c>
      <c r="V8" s="157">
        <f>VLOOKUP(N8, $A$4:$J$29, 9, 0)</f>
      </c>
      <c r="W8" s="157">
        <f>VLOOKUP(O8, $A$4:$J$29, 9, 0)</f>
      </c>
      <c r="X8" s="157">
        <f>VLOOKUP(P8, $A$4:$J$29, 9, 0)</f>
      </c>
      <c r="Y8" s="157">
        <f>VLOOKUP(Q8, $A$4:$J$29, 9, 0)</f>
      </c>
      <c r="Z8" s="157">
        <f>VLOOKUP(R8, $A$4:$J$29, 9, 0)</f>
      </c>
      <c r="AA8" s="157">
        <f>VLOOKUP(S8, $A$4:$J$29, 9, 0)</f>
      </c>
      <c r="AC8" s="18">
        <v>0</v>
      </c>
      <c r="AD8" s="18">
        <v>0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16</v>
      </c>
      <c r="F9" s="152">
        <f t="shared" si="1"/>
        <v>22</v>
      </c>
      <c r="G9" s="152">
        <f t="shared" si="1"/>
        <v>11</v>
      </c>
      <c r="H9" s="152">
        <f t="shared" si="1"/>
        <v>18</v>
      </c>
      <c r="I9" s="152">
        <f t="shared" si="1"/>
        <v>22</v>
      </c>
      <c r="J9" s="150">
        <v>5</v>
      </c>
      <c r="L9" s="14">
        <v>6</v>
      </c>
      <c r="M9" s="38" t="inlineStr">
        <is>
          <t>J</t>
        </is>
      </c>
      <c r="N9" s="38" t="inlineStr">
        <is>
          <t>M6</t>
        </is>
      </c>
      <c r="O9" s="38" t="inlineStr">
        <is>
          <t>J</t>
        </is>
      </c>
      <c r="P9" s="38" t="inlineStr">
        <is>
          <t>TE</t>
        </is>
      </c>
      <c r="Q9" s="38" t="inlineStr">
        <is>
          <t>A</t>
        </is>
      </c>
      <c r="R9" s="38" t="inlineStr">
        <is>
          <t>J</t>
        </is>
      </c>
      <c r="S9" s="24" t="inlineStr">
        <is>
          <t>M5</t>
        </is>
      </c>
      <c r="U9" s="157">
        <f>VLOOKUP(M9, $A$4:$J$29, 9, 0)</f>
      </c>
      <c r="V9" s="157">
        <f>VLOOKUP(N9, $A$4:$J$29, 9, 0)</f>
      </c>
      <c r="W9" s="157">
        <f>VLOOKUP(O9, $A$4:$J$29, 9, 0)</f>
      </c>
      <c r="X9" s="157">
        <f>VLOOKUP(P9, $A$4:$J$29, 9, 0)</f>
      </c>
      <c r="Y9" s="157">
        <f>VLOOKUP(Q9, $A$4:$J$29, 9, 0)</f>
      </c>
      <c r="Z9" s="157">
        <f>VLOOKUP(R9, $A$4:$J$29, 9, 0)</f>
      </c>
      <c r="AA9" s="157">
        <f>VLOOKUP(S9, $A$4:$J$29, 9, 0)</f>
      </c>
      <c r="AC9" s="18">
        <v>0</v>
      </c>
      <c r="AD9" s="18">
        <v>0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21</v>
      </c>
      <c r="E10" s="152">
        <f t="shared" si="1"/>
        <v>14</v>
      </c>
      <c r="F10" s="152">
        <f t="shared" si="1"/>
        <v>13</v>
      </c>
      <c r="G10" s="152">
        <f t="shared" si="1"/>
        <v>21</v>
      </c>
      <c r="H10" s="152">
        <f t="shared" si="1"/>
        <v>14</v>
      </c>
      <c r="I10" s="152">
        <f t="shared" si="1"/>
        <v>17</v>
      </c>
      <c r="J10" s="150">
        <v>6</v>
      </c>
      <c r="L10" s="15">
        <v>7</v>
      </c>
      <c r="M10" s="38" t="inlineStr">
        <is>
          <t>J</t>
        </is>
      </c>
      <c r="N10" s="38" t="inlineStr">
        <is>
          <t>GT</t>
        </is>
      </c>
      <c r="O10" s="38" t="inlineStr">
        <is>
          <t>GA</t>
        </is>
      </c>
      <c r="P10" s="38" t="inlineStr">
        <is>
          <t>M3</t>
        </is>
      </c>
      <c r="Q10" s="38" t="inlineStr">
        <is>
          <t>TE</t>
        </is>
      </c>
      <c r="R10" s="38" t="inlineStr">
        <is>
          <t>GA</t>
        </is>
      </c>
      <c r="S10" s="24" t="inlineStr">
        <is>
          <t>K</t>
        </is>
      </c>
      <c r="U10" s="157">
        <f>VLOOKUP(M10, $A$4:$J$29, 9, 0)</f>
      </c>
      <c r="V10" s="157">
        <f>VLOOKUP(N10, $A$4:$J$29, 9, 0)</f>
      </c>
      <c r="W10" s="157">
        <f>VLOOKUP(O10, $A$4:$J$29, 9, 0)</f>
      </c>
      <c r="X10" s="157">
        <f>VLOOKUP(P10, $A$4:$J$29, 9, 0)</f>
      </c>
      <c r="Y10" s="157">
        <f>VLOOKUP(Q10, $A$4:$J$29, 9, 0)</f>
      </c>
      <c r="Z10" s="157">
        <f>VLOOKUP(R10, $A$4:$J$29, 9, 0)</f>
      </c>
      <c r="AA10" s="157">
        <f>VLOOKUP(S10, $A$4:$J$29, 9, 0)</f>
      </c>
      <c r="AC10" s="18">
        <v>0</v>
      </c>
      <c r="AD10" s="18">
        <v>0</v>
      </c>
      <c r="AE10" s="18">
        <v>1</v>
      </c>
      <c r="AF10" s="18">
        <v>1</v>
      </c>
      <c r="AG10" s="18">
        <v>1</v>
      </c>
      <c r="AH10" s="18">
        <v>1</v>
      </c>
      <c r="AI10" s="4">
        <v>0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24</v>
      </c>
      <c r="D11" s="152">
        <f t="shared" si="1"/>
        <v>6</v>
      </c>
      <c r="E11" s="152">
        <f t="shared" si="1"/>
        <v>16</v>
      </c>
      <c r="F11" s="152">
        <f t="shared" si="1"/>
        <v>20</v>
      </c>
      <c r="G11" s="152">
        <f t="shared" si="1"/>
        <v>12</v>
      </c>
      <c r="H11" s="152">
        <f t="shared" si="1"/>
        <v>22</v>
      </c>
      <c r="I11" s="152">
        <f t="shared" si="1"/>
        <v>26</v>
      </c>
      <c r="J11" s="150">
        <v>7</v>
      </c>
      <c r="L11" s="14">
        <v>8</v>
      </c>
      <c r="M11" s="38" t="inlineStr">
        <is>
          <t>K</t>
        </is>
      </c>
      <c r="N11" s="38" t="inlineStr">
        <is>
          <t>M5</t>
        </is>
      </c>
      <c r="O11" s="38" t="inlineStr">
        <is>
          <t>G3</t>
        </is>
      </c>
      <c r="P11" s="38" t="inlineStr">
        <is>
          <t>M6</t>
        </is>
      </c>
      <c r="Q11" s="38" t="inlineStr">
        <is>
          <t>M3</t>
        </is>
      </c>
      <c r="R11" s="38" t="inlineStr">
        <is>
          <t>GJ</t>
        </is>
      </c>
      <c r="S11" s="24" t="inlineStr">
        <is>
          <t>M2</t>
        </is>
      </c>
      <c r="U11" s="157">
        <f>VLOOKUP(M11, $A$4:$J$29, 9, 0)</f>
      </c>
      <c r="V11" s="157">
        <f>VLOOKUP(N11, $A$4:$J$29, 9, 0)</f>
      </c>
      <c r="W11" s="157">
        <f>VLOOKUP(O11, $A$4:$J$29, 9, 0)</f>
      </c>
      <c r="X11" s="157">
        <f>VLOOKUP(P11, $A$4:$J$29, 9, 0)</f>
      </c>
      <c r="Y11" s="157">
        <f>VLOOKUP(Q11, $A$4:$J$29, 9, 0)</f>
      </c>
      <c r="Z11" s="157">
        <f>VLOOKUP(R11, $A$4:$J$29, 9, 0)</f>
      </c>
      <c r="AA11" s="157">
        <f>VLOOKUP(S11, $A$4:$J$29, 9, 0)</f>
      </c>
      <c r="AC11" s="18">
        <v>0</v>
      </c>
      <c r="AD11" s="18">
        <v>0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132943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5">
        <v>9</v>
      </c>
      <c r="M12" s="38" t="inlineStr">
        <is>
          <t>M5</t>
        </is>
      </c>
      <c r="N12" s="38" t="inlineStr">
        <is>
          <t>M3</t>
        </is>
      </c>
      <c r="O12" s="38" t="inlineStr">
        <is>
          <t>GT</t>
        </is>
      </c>
      <c r="P12" s="38" t="inlineStr">
        <is>
          <t>M4</t>
        </is>
      </c>
      <c r="Q12" s="38" t="inlineStr">
        <is>
          <t>K</t>
        </is>
      </c>
      <c r="R12" s="38" t="inlineStr">
        <is>
          <t>J</t>
        </is>
      </c>
      <c r="S12" s="24" t="inlineStr">
        <is>
          <t>M6</t>
        </is>
      </c>
      <c r="U12" s="157">
        <f>VLOOKUP(M12, $A$4:$J$29, 9, 0)</f>
      </c>
      <c r="V12" s="157">
        <f>VLOOKUP(N12, $A$4:$J$29, 9, 0)</f>
      </c>
      <c r="W12" s="157">
        <f>VLOOKUP(O12, $A$4:$J$29, 9, 0)</f>
      </c>
      <c r="X12" s="157">
        <f>VLOOKUP(P12, $A$4:$J$29, 9, 0)</f>
      </c>
      <c r="Y12" s="157">
        <f>VLOOKUP(Q12, $A$4:$J$29, 9, 0)</f>
      </c>
      <c r="Z12" s="157">
        <f>VLOOKUP(R12, $A$4:$J$29, 9, 0)</f>
      </c>
      <c r="AA12" s="157">
        <f>VLOOKUP(S12, $A$4:$J$29, 9, 0)</f>
      </c>
      <c r="AC12" s="18">
        <v>0</v>
      </c>
      <c r="AD12" s="18">
        <v>0</v>
      </c>
      <c r="AE12" s="18">
        <v>1</v>
      </c>
      <c r="AF12" s="18">
        <v>1</v>
      </c>
      <c r="AG12" s="18">
        <v>1</v>
      </c>
      <c r="AH12" s="18">
        <v>1</v>
      </c>
      <c r="AI12" s="4">
        <v>0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5">
        <v>10</v>
      </c>
      <c r="M13" s="155" t="inlineStr">
        <is>
          <t>A</t>
        </is>
      </c>
      <c r="N13" s="155" t="inlineStr">
        <is>
          <t>J</t>
        </is>
      </c>
      <c r="O13" s="155" t="inlineStr">
        <is>
          <t>K</t>
        </is>
      </c>
      <c r="P13" s="155" t="inlineStr">
        <is>
          <t>Q</t>
        </is>
      </c>
      <c r="Q13" s="155" t="inlineStr">
        <is>
          <t>M5</t>
        </is>
      </c>
      <c r="R13" s="155" t="inlineStr">
        <is>
          <t>M4</t>
        </is>
      </c>
      <c r="S13" s="156" t="inlineStr">
        <is>
          <t>J</t>
        </is>
      </c>
      <c r="U13" s="157">
        <f>VLOOKUP(M13, $A$4:$J$29, 9, 0)</f>
      </c>
      <c r="V13" s="157">
        <f>VLOOKUP(N13, $A$4:$J$29, 9, 0)</f>
      </c>
      <c r="W13" s="157">
        <f>VLOOKUP(O13, $A$4:$J$29, 9, 0)</f>
      </c>
      <c r="X13" s="157">
        <f>VLOOKUP(P13, $A$4:$J$29, 9, 0)</f>
      </c>
      <c r="Y13" s="157">
        <f>VLOOKUP(Q13, $A$4:$J$29, 9, 0)</f>
      </c>
      <c r="Z13" s="157">
        <f>VLOOKUP(R13, $A$4:$J$29, 9, 0)</f>
      </c>
      <c r="AA13" s="157">
        <f>VLOOKUP(S13, $A$4:$J$29, 9, 0)</f>
      </c>
      <c r="AC13" s="18">
        <v>0</v>
      </c>
      <c r="AD13" s="18">
        <v>0</v>
      </c>
      <c r="AE13" s="18">
        <v>1</v>
      </c>
      <c r="AF13" s="18">
        <v>1</v>
      </c>
      <c r="AG13" s="18">
        <v>1</v>
      </c>
      <c r="AH13" s="18">
        <v>1</v>
      </c>
      <c r="AI13" s="4">
        <v>0</v>
      </c>
      <c r="AK13" s="37" t="s">
        <v>26</v>
      </c>
      <c r="AL13" s="37">
        <v>57584</v>
      </c>
      <c r="AM13" s="37">
        <v>113791</v>
      </c>
      <c r="AN13" s="37">
        <v>60030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inlineStr">
        <is>
          <t>TE</t>
        </is>
      </c>
      <c r="N14" s="38" t="inlineStr">
        <is>
          <t>GQ</t>
        </is>
      </c>
      <c r="O14" s="38" t="inlineStr">
        <is>
          <t>K</t>
        </is>
      </c>
      <c r="P14" s="38" t="inlineStr">
        <is>
          <t>M4</t>
        </is>
      </c>
      <c r="Q14" s="38" t="inlineStr">
        <is>
          <t>Q</t>
        </is>
      </c>
      <c r="R14" s="38" t="inlineStr">
        <is>
          <t>M2</t>
        </is>
      </c>
      <c r="S14" s="24" t="inlineStr">
        <is>
          <t>M4</t>
        </is>
      </c>
      <c r="U14" s="157">
        <f>VLOOKUP(M14, $A$4:$J$29, 9, 0)</f>
      </c>
      <c r="V14" s="157">
        <f>VLOOKUP(N14, $A$4:$J$29, 9, 0)</f>
      </c>
      <c r="W14" s="157">
        <f>VLOOKUP(O14, $A$4:$J$29, 9, 0)</f>
      </c>
      <c r="X14" s="157">
        <f>VLOOKUP(P14, $A$4:$J$29, 9, 0)</f>
      </c>
      <c r="Y14" s="157">
        <f>VLOOKUP(Q14, $A$4:$J$29, 9, 0)</f>
      </c>
      <c r="Z14" s="157">
        <f>VLOOKUP(R14, $A$4:$J$29, 9, 0)</f>
      </c>
      <c r="AA14" s="157">
        <f>VLOOKUP(S14, $A$4:$J$29, 9, 0)</f>
      </c>
      <c r="AC14" s="18">
        <v>0</v>
      </c>
      <c r="AD14" s="18">
        <v>0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160079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5">
        <v>12</v>
      </c>
      <c r="M15" s="38" t="inlineStr">
        <is>
          <t>J</t>
        </is>
      </c>
      <c r="N15" s="38" t="inlineStr">
        <is>
          <t>GT</t>
        </is>
      </c>
      <c r="O15" s="38" t="inlineStr">
        <is>
          <t>Q</t>
        </is>
      </c>
      <c r="P15" s="38" t="inlineStr">
        <is>
          <t>GJ</t>
        </is>
      </c>
      <c r="Q15" s="38" t="inlineStr">
        <is>
          <t>G6</t>
        </is>
      </c>
      <c r="R15" s="38" t="inlineStr">
        <is>
          <t>Q</t>
        </is>
      </c>
      <c r="S15" s="24" t="inlineStr">
        <is>
          <t>TE</t>
        </is>
      </c>
      <c r="U15" s="157">
        <f>VLOOKUP(M15, $A$4:$J$29, 9, 0)</f>
      </c>
      <c r="V15" s="157">
        <f>VLOOKUP(N15, $A$4:$J$29, 9, 0)</f>
      </c>
      <c r="W15" s="157">
        <f>VLOOKUP(O15, $A$4:$J$29, 9, 0)</f>
      </c>
      <c r="X15" s="157">
        <f>VLOOKUP(P15, $A$4:$J$29, 9, 0)</f>
      </c>
      <c r="Y15" s="157">
        <f>VLOOKUP(Q15, $A$4:$J$29, 9, 0)</f>
      </c>
      <c r="Z15" s="157">
        <f>VLOOKUP(R15, $A$4:$J$29, 9, 0)</f>
      </c>
      <c r="AA15" s="157">
        <f>VLOOKUP(S15, $A$4:$J$29, 9, 0)</f>
      </c>
      <c r="AC15" s="18">
        <v>0</v>
      </c>
      <c r="AD15" s="18">
        <v>0</v>
      </c>
      <c r="AE15" s="18">
        <v>1</v>
      </c>
      <c r="AF15" s="18">
        <v>1</v>
      </c>
      <c r="AG15" s="18">
        <v>1</v>
      </c>
      <c r="AH15" s="18">
        <v>1</v>
      </c>
      <c r="AI15" s="4">
        <v>0</v>
      </c>
      <c r="AK15" s="37" t="s">
        <v>28</v>
      </c>
      <c r="AL15" s="37">
        <v>103801</v>
      </c>
      <c r="AM15" s="37">
        <v>142992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inlineStr">
        <is>
          <t>Q</t>
        </is>
      </c>
      <c r="N16" s="38" t="inlineStr">
        <is>
          <t>K</t>
        </is>
      </c>
      <c r="O16" s="38" t="inlineStr">
        <is>
          <t>M6</t>
        </is>
      </c>
      <c r="P16" s="38" t="inlineStr">
        <is>
          <t>M4</t>
        </is>
      </c>
      <c r="Q16" s="38" t="inlineStr">
        <is>
          <t>TE</t>
        </is>
      </c>
      <c r="R16" s="38" t="inlineStr">
        <is>
          <t>G2</t>
        </is>
      </c>
      <c r="S16" s="24" t="inlineStr">
        <is>
          <t>M5</t>
        </is>
      </c>
      <c r="U16" s="157">
        <f>VLOOKUP(M16, $A$4:$J$29, 9, 0)</f>
      </c>
      <c r="V16" s="157">
        <f>VLOOKUP(N16, $A$4:$J$29, 9, 0)</f>
      </c>
      <c r="W16" s="157">
        <f>VLOOKUP(O16, $A$4:$J$29, 9, 0)</f>
      </c>
      <c r="X16" s="157">
        <f>VLOOKUP(P16, $A$4:$J$29, 9, 0)</f>
      </c>
      <c r="Y16" s="157">
        <f>VLOOKUP(Q16, $A$4:$J$29, 9, 0)</f>
      </c>
      <c r="Z16" s="157">
        <f>VLOOKUP(R16, $A$4:$J$29, 9, 0)</f>
      </c>
      <c r="AA16" s="157">
        <f>VLOOKUP(S16, $A$4:$J$29, 9, 0)</f>
      </c>
      <c r="AC16" s="18">
        <v>0</v>
      </c>
      <c r="AD16" s="18">
        <v>0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inlineStr">
        <is>
          <t>J</t>
        </is>
      </c>
      <c r="N17" s="38" t="inlineStr">
        <is>
          <t>K</t>
        </is>
      </c>
      <c r="O17" s="38" t="inlineStr">
        <is>
          <t>M5</t>
        </is>
      </c>
      <c r="P17" s="38" t="inlineStr">
        <is>
          <t>G2</t>
        </is>
      </c>
      <c r="Q17" s="38" t="inlineStr">
        <is>
          <t>Q</t>
        </is>
      </c>
      <c r="R17" s="38" t="inlineStr">
        <is>
          <t>M6</t>
        </is>
      </c>
      <c r="S17" s="24" t="inlineStr">
        <is>
          <t>M2</t>
        </is>
      </c>
      <c r="U17" s="157">
        <f>VLOOKUP(M17, $A$4:$J$29, 9, 0)</f>
      </c>
      <c r="V17" s="157">
        <f>VLOOKUP(N17, $A$4:$J$29, 9, 0)</f>
      </c>
      <c r="W17" s="157">
        <f>VLOOKUP(O17, $A$4:$J$29, 9, 0)</f>
      </c>
      <c r="X17" s="157">
        <f>VLOOKUP(P17, $A$4:$J$29, 9, 0)</f>
      </c>
      <c r="Y17" s="157">
        <f>VLOOKUP(Q17, $A$4:$J$29, 9, 0)</f>
      </c>
      <c r="Z17" s="157">
        <f>VLOOKUP(R17, $A$4:$J$29, 9, 0)</f>
      </c>
      <c r="AA17" s="157">
        <f>VLOOKUP(S17, $A$4:$J$29, 9, 0)</f>
      </c>
      <c r="AC17" s="18">
        <v>1</v>
      </c>
      <c r="AD17" s="18">
        <v>0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inlineStr">
        <is>
          <t>K</t>
        </is>
      </c>
      <c r="N18" s="38" t="inlineStr">
        <is>
          <t>GA</t>
        </is>
      </c>
      <c r="O18" s="38" t="inlineStr">
        <is>
          <t>K</t>
        </is>
      </c>
      <c r="P18" s="38" t="inlineStr">
        <is>
          <t>J</t>
        </is>
      </c>
      <c r="Q18" s="38" t="inlineStr">
        <is>
          <t>M5</t>
        </is>
      </c>
      <c r="R18" s="38" t="inlineStr">
        <is>
          <t>J</t>
        </is>
      </c>
      <c r="S18" s="24" t="inlineStr">
        <is>
          <t>M6</t>
        </is>
      </c>
      <c r="T18" s="1"/>
      <c r="U18" s="157">
        <f>VLOOKUP(M18, $A$4:$J$29, 9, 0)</f>
      </c>
      <c r="V18" s="157">
        <f>VLOOKUP(N18, $A$4:$J$29, 9, 0)</f>
      </c>
      <c r="W18" s="157">
        <f>VLOOKUP(O18, $A$4:$J$29, 9, 0)</f>
      </c>
      <c r="X18" s="157">
        <f>VLOOKUP(P18, $A$4:$J$29, 9, 0)</f>
      </c>
      <c r="Y18" s="157">
        <f>VLOOKUP(Q18, $A$4:$J$29, 9, 0)</f>
      </c>
      <c r="Z18" s="157">
        <f>VLOOKUP(R18, $A$4:$J$29, 9, 0)</f>
      </c>
      <c r="AA18" s="157">
        <f>VLOOKUP(S18, $A$4:$J$29, 9, 0)</f>
      </c>
      <c r="AC18" s="18">
        <v>1</v>
      </c>
      <c r="AD18" s="18">
        <v>0</v>
      </c>
      <c r="AE18" s="18">
        <v>1</v>
      </c>
      <c r="AF18" s="18">
        <v>1</v>
      </c>
      <c r="AG18" s="18">
        <v>1</v>
      </c>
      <c r="AH18" s="18">
        <v>1</v>
      </c>
      <c r="AI18" s="4">
        <v>0</v>
      </c>
      <c r="AK18" s="153" t="s">
        <v>224</v>
      </c>
      <c r="AL18" s="153">
        <v>0</v>
      </c>
      <c r="AM18" s="153">
        <v>323</v>
      </c>
      <c r="AN18" s="153">
        <v>274</v>
      </c>
      <c r="AO18" s="153">
        <v>272</v>
      </c>
      <c r="AP18" s="153">
        <v>104</v>
      </c>
      <c r="AQ18" s="153">
        <v>78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inlineStr">
        <is>
          <t>M6</t>
        </is>
      </c>
      <c r="N19" s="38" t="inlineStr">
        <is>
          <t>Q</t>
        </is>
      </c>
      <c r="O19" s="38" t="inlineStr">
        <is>
          <t>M6</t>
        </is>
      </c>
      <c r="P19" s="38" t="inlineStr">
        <is>
          <t>K</t>
        </is>
      </c>
      <c r="Q19" s="38" t="inlineStr">
        <is>
          <t>TE</t>
        </is>
      </c>
      <c r="R19" s="38" t="inlineStr">
        <is>
          <t>M2</t>
        </is>
      </c>
      <c r="S19" s="24" t="inlineStr">
        <is>
          <t>J</t>
        </is>
      </c>
      <c r="U19" s="157">
        <f>VLOOKUP(M19, $A$4:$J$29, 9, 0)</f>
      </c>
      <c r="V19" s="157">
        <f>VLOOKUP(N19, $A$4:$J$29, 9, 0)</f>
      </c>
      <c r="W19" s="157">
        <f>VLOOKUP(O19, $A$4:$J$29, 9, 0)</f>
      </c>
      <c r="X19" s="157">
        <f>VLOOKUP(P19, $A$4:$J$29, 9, 0)</f>
      </c>
      <c r="Y19" s="157">
        <f>VLOOKUP(Q19, $A$4:$J$29, 9, 0)</f>
      </c>
      <c r="Z19" s="157">
        <f>VLOOKUP(R19, $A$4:$J$29, 9, 0)</f>
      </c>
      <c r="AA19" s="157">
        <f>VLOOKUP(S19, $A$4:$J$29, 9, 0)</f>
      </c>
      <c r="AC19" s="18">
        <v>1</v>
      </c>
      <c r="AD19" s="18">
        <v>0</v>
      </c>
      <c r="AE19" s="18">
        <v>1</v>
      </c>
      <c r="AF19" s="18">
        <v>1</v>
      </c>
      <c r="AG19" s="18">
        <v>1</v>
      </c>
      <c r="AH19" s="18">
        <v>1</v>
      </c>
      <c r="AI19" s="4">
        <v>0</v>
      </c>
      <c r="AK19" s="153" t="s">
        <v>226</v>
      </c>
      <c r="AL19" s="153">
        <v>0</v>
      </c>
      <c r="AM19" s="153">
        <v>1302</v>
      </c>
      <c r="AN19" s="153">
        <v>796</v>
      </c>
      <c r="AO19" s="153">
        <v>1226</v>
      </c>
      <c r="AP19" s="153">
        <v>50</v>
      </c>
      <c r="AQ19" s="153">
        <v>86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inlineStr">
        <is>
          <t>K</t>
        </is>
      </c>
      <c r="N20" s="38" t="inlineStr">
        <is>
          <t>Q</t>
        </is>
      </c>
      <c r="O20" s="38" t="inlineStr">
        <is>
          <t>TE</t>
        </is>
      </c>
      <c r="P20" s="38" t="inlineStr">
        <is>
          <t>J</t>
        </is>
      </c>
      <c r="Q20" s="38" t="inlineStr">
        <is>
          <t>M5</t>
        </is>
      </c>
      <c r="R20" s="38" t="inlineStr">
        <is>
          <t>G4</t>
        </is>
      </c>
      <c r="S20" s="24" t="inlineStr">
        <is>
          <t>K</t>
        </is>
      </c>
      <c r="U20" s="157">
        <f>VLOOKUP(M20, $A$4:$J$29, 9, 0)</f>
      </c>
      <c r="V20" s="157">
        <f>VLOOKUP(N20, $A$4:$J$29, 9, 0)</f>
      </c>
      <c r="W20" s="157">
        <f>VLOOKUP(O20, $A$4:$J$29, 9, 0)</f>
      </c>
      <c r="X20" s="157">
        <f>VLOOKUP(P20, $A$4:$J$29, 9, 0)</f>
      </c>
      <c r="Y20" s="157">
        <f>VLOOKUP(Q20, $A$4:$J$29, 9, 0)</f>
      </c>
      <c r="Z20" s="157">
        <f>VLOOKUP(R20, $A$4:$J$29, 9, 0)</f>
      </c>
      <c r="AA20" s="157">
        <f>VLOOKUP(S20, $A$4:$J$29, 9, 0)</f>
      </c>
      <c r="AC20" s="18">
        <v>1</v>
      </c>
      <c r="AD20" s="18">
        <v>0</v>
      </c>
      <c r="AE20" s="18">
        <v>1</v>
      </c>
      <c r="AF20" s="18">
        <v>1</v>
      </c>
      <c r="AG20" s="18">
        <v>1</v>
      </c>
      <c r="AH20" s="18">
        <v>1</v>
      </c>
      <c r="AI20" s="4">
        <v>0</v>
      </c>
      <c r="AK20" s="153" t="s">
        <v>228</v>
      </c>
      <c r="AL20" s="153">
        <v>0</v>
      </c>
      <c r="AM20" s="153">
        <v>3315</v>
      </c>
      <c r="AN20" s="153">
        <v>2581</v>
      </c>
      <c r="AO20" s="153">
        <v>3161</v>
      </c>
      <c r="AP20" s="153">
        <v>1287</v>
      </c>
      <c r="AQ20" s="153">
        <v>627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inlineStr">
        <is>
          <t>TE</t>
        </is>
      </c>
      <c r="N21" s="38" t="inlineStr">
        <is>
          <t>GK</t>
        </is>
      </c>
      <c r="O21" s="38" t="inlineStr">
        <is>
          <t>Q</t>
        </is>
      </c>
      <c r="P21" s="38" t="inlineStr">
        <is>
          <t>J</t>
        </is>
      </c>
      <c r="Q21" s="38" t="inlineStr">
        <is>
          <t>M2</t>
        </is>
      </c>
      <c r="R21" s="38" t="inlineStr">
        <is>
          <t>TE</t>
        </is>
      </c>
      <c r="S21" s="24" t="inlineStr">
        <is>
          <t>Q</t>
        </is>
      </c>
      <c r="U21" s="157">
        <f>VLOOKUP(M21, $A$4:$J$29, 9, 0)</f>
      </c>
      <c r="V21" s="157">
        <f>VLOOKUP(N21, $A$4:$J$29, 9, 0)</f>
      </c>
      <c r="W21" s="157">
        <f>VLOOKUP(O21, $A$4:$J$29, 9, 0)</f>
      </c>
      <c r="X21" s="157">
        <f>VLOOKUP(P21, $A$4:$J$29, 9, 0)</f>
      </c>
      <c r="Y21" s="157">
        <f>VLOOKUP(Q21, $A$4:$J$29, 9, 0)</f>
      </c>
      <c r="Z21" s="157">
        <f>VLOOKUP(R21, $A$4:$J$29, 9, 0)</f>
      </c>
      <c r="AA21" s="157">
        <f>VLOOKUP(S21, $A$4:$J$29, 9, 0)</f>
      </c>
      <c r="AC21" s="18">
        <v>1</v>
      </c>
      <c r="AD21" s="18">
        <v>0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849</v>
      </c>
      <c r="AN21" s="153">
        <v>3370</v>
      </c>
      <c r="AO21" s="153">
        <v>896</v>
      </c>
      <c r="AP21" s="153">
        <v>527</v>
      </c>
      <c r="AQ21" s="153">
        <v>217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inlineStr">
        <is>
          <t>J</t>
        </is>
      </c>
      <c r="N22" s="155" t="inlineStr">
        <is>
          <t>Q</t>
        </is>
      </c>
      <c r="O22" s="155" t="inlineStr">
        <is>
          <t>GT</t>
        </is>
      </c>
      <c r="P22" s="155" t="inlineStr">
        <is>
          <t>TE</t>
        </is>
      </c>
      <c r="Q22" s="155" t="inlineStr">
        <is>
          <t>M6</t>
        </is>
      </c>
      <c r="R22" s="155" t="inlineStr">
        <is>
          <t>A</t>
        </is>
      </c>
      <c r="S22" s="156" t="inlineStr">
        <is>
          <t>M6</t>
        </is>
      </c>
      <c r="U22" s="157">
        <f>VLOOKUP(M22, $A$4:$J$29, 9, 0)</f>
      </c>
      <c r="V22" s="157">
        <f>VLOOKUP(N22, $A$4:$J$29, 9, 0)</f>
      </c>
      <c r="W22" s="157">
        <f>VLOOKUP(O22, $A$4:$J$29, 9, 0)</f>
      </c>
      <c r="X22" s="157">
        <f>VLOOKUP(P22, $A$4:$J$29, 9, 0)</f>
      </c>
      <c r="Y22" s="157">
        <f>VLOOKUP(Q22, $A$4:$J$29, 9, 0)</f>
      </c>
      <c r="Z22" s="157">
        <f>VLOOKUP(R22, $A$4:$J$29, 9, 0)</f>
      </c>
      <c r="AA22" s="157">
        <f>VLOOKUP(S22, $A$4:$J$29, 9, 0)</f>
      </c>
      <c r="AC22" s="18">
        <v>1</v>
      </c>
      <c r="AD22" s="18">
        <v>0</v>
      </c>
      <c r="AE22" s="18">
        <v>1</v>
      </c>
      <c r="AF22" s="18">
        <v>1</v>
      </c>
      <c r="AG22" s="18">
        <v>1</v>
      </c>
      <c r="AH22" s="18">
        <v>1</v>
      </c>
      <c r="AI22" s="4">
        <v>0</v>
      </c>
      <c r="AK22" s="153" t="s">
        <v>232</v>
      </c>
      <c r="AL22" s="153">
        <v>0</v>
      </c>
      <c r="AM22" s="153">
        <v>3193</v>
      </c>
      <c r="AN22" s="153">
        <v>786</v>
      </c>
      <c r="AO22" s="153">
        <v>3555</v>
      </c>
      <c r="AP22" s="153">
        <v>1555</v>
      </c>
      <c r="AQ22" s="153">
        <v>905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inlineStr">
        <is>
          <t>TE</t>
        </is>
      </c>
      <c r="N23" s="38" t="inlineStr">
        <is>
          <t>G6</t>
        </is>
      </c>
      <c r="O23" s="38" t="inlineStr">
        <is>
          <t>M6</t>
        </is>
      </c>
      <c r="P23" s="38" t="inlineStr">
        <is>
          <t>M3</t>
        </is>
      </c>
      <c r="Q23" s="38" t="inlineStr">
        <is>
          <t>M2</t>
        </is>
      </c>
      <c r="R23" s="38" t="inlineStr">
        <is>
          <t>M2</t>
        </is>
      </c>
      <c r="S23" s="24" t="inlineStr">
        <is>
          <t>M2</t>
        </is>
      </c>
      <c r="U23" s="157">
        <f>VLOOKUP(M23, $A$4:$J$29, 9, 0)</f>
      </c>
      <c r="V23" s="157">
        <f>VLOOKUP(N23, $A$4:$J$29, 9, 0)</f>
      </c>
      <c r="W23" s="157">
        <f>VLOOKUP(O23, $A$4:$J$29, 9, 0)</f>
      </c>
      <c r="X23" s="157">
        <f>VLOOKUP(P23, $A$4:$J$29, 9, 0)</f>
      </c>
      <c r="Y23" s="157">
        <f>VLOOKUP(Q23, $A$4:$J$29, 9, 0)</f>
      </c>
      <c r="Z23" s="157">
        <f>VLOOKUP(R23, $A$4:$J$29, 9, 0)</f>
      </c>
      <c r="AA23" s="157">
        <f>VLOOKUP(S23, $A$4:$J$29, 9, 0)</f>
      </c>
      <c r="AC23" s="18">
        <v>1</v>
      </c>
      <c r="AD23" s="18">
        <v>0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1739</v>
      </c>
      <c r="AN23" s="37">
        <v>4391</v>
      </c>
      <c r="AO23" s="37">
        <v>1854</v>
      </c>
      <c r="AP23" s="37">
        <v>664</v>
      </c>
      <c r="AQ23" s="37">
        <v>327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inlineStr">
        <is>
          <t>K</t>
        </is>
      </c>
      <c r="N24" s="38" t="inlineStr">
        <is>
          <t>Q</t>
        </is>
      </c>
      <c r="O24" s="38" t="inlineStr">
        <is>
          <t>A</t>
        </is>
      </c>
      <c r="P24" s="38" t="inlineStr">
        <is>
          <t>J</t>
        </is>
      </c>
      <c r="Q24" s="38" t="inlineStr">
        <is>
          <t>A</t>
        </is>
      </c>
      <c r="R24" s="38" t="inlineStr">
        <is>
          <t>GQ</t>
        </is>
      </c>
      <c r="S24" s="24" t="inlineStr">
        <is>
          <t>M4</t>
        </is>
      </c>
      <c r="U24" s="157">
        <f>VLOOKUP(M24, $A$4:$J$29, 9, 0)</f>
      </c>
      <c r="V24" s="157">
        <f>VLOOKUP(N24, $A$4:$J$29, 9, 0)</f>
      </c>
      <c r="W24" s="157">
        <f>VLOOKUP(O24, $A$4:$J$29, 9, 0)</f>
      </c>
      <c r="X24" s="157">
        <f>VLOOKUP(P24, $A$4:$J$29, 9, 0)</f>
      </c>
      <c r="Y24" s="157">
        <f>VLOOKUP(Q24, $A$4:$J$29, 9, 0)</f>
      </c>
      <c r="Z24" s="157">
        <f>VLOOKUP(R24, $A$4:$J$29, 9, 0)</f>
      </c>
      <c r="AA24" s="157">
        <f>VLOOKUP(S24, $A$4:$J$29, 9, 0)</f>
      </c>
      <c r="AC24" s="18">
        <v>1</v>
      </c>
      <c r="AD24" s="18">
        <v>0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2733</v>
      </c>
      <c r="AN24" s="37">
        <v>1560</v>
      </c>
      <c r="AO24" s="37">
        <v>2896</v>
      </c>
      <c r="AP24" s="37">
        <v>1878</v>
      </c>
      <c r="AQ24" s="37">
        <v>789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inlineStr">
        <is>
          <t>M6</t>
        </is>
      </c>
      <c r="N25" s="38" t="inlineStr">
        <is>
          <t>M4</t>
        </is>
      </c>
      <c r="O25" s="38" t="inlineStr">
        <is>
          <t>M2</t>
        </is>
      </c>
      <c r="P25" s="38" t="inlineStr">
        <is>
          <t>M5</t>
        </is>
      </c>
      <c r="Q25" s="38" t="inlineStr">
        <is>
          <t>M5</t>
        </is>
      </c>
      <c r="R25" s="38" t="inlineStr">
        <is>
          <t>Q</t>
        </is>
      </c>
      <c r="S25" s="24" t="inlineStr">
        <is>
          <t>J</t>
        </is>
      </c>
      <c r="U25" s="157">
        <f>VLOOKUP(M25, $A$4:$J$29, 9, 0)</f>
      </c>
      <c r="V25" s="157">
        <f>VLOOKUP(N25, $A$4:$J$29, 9, 0)</f>
      </c>
      <c r="W25" s="157">
        <f>VLOOKUP(O25, $A$4:$J$29, 9, 0)</f>
      </c>
      <c r="X25" s="157">
        <f>VLOOKUP(P25, $A$4:$J$29, 9, 0)</f>
      </c>
      <c r="Y25" s="157">
        <f>VLOOKUP(Q25, $A$4:$J$29, 9, 0)</f>
      </c>
      <c r="Z25" s="157">
        <f>VLOOKUP(R25, $A$4:$J$29, 9, 0)</f>
      </c>
      <c r="AA25" s="157">
        <f>VLOOKUP(S25, $A$4:$J$29, 9, 0)</f>
      </c>
      <c r="AC25" s="18">
        <v>1</v>
      </c>
      <c r="AD25" s="18">
        <v>0</v>
      </c>
      <c r="AE25" s="18">
        <v>1</v>
      </c>
      <c r="AF25" s="18">
        <v>1</v>
      </c>
      <c r="AG25" s="18">
        <v>1</v>
      </c>
      <c r="AH25" s="18">
        <v>1</v>
      </c>
      <c r="AI25" s="4">
        <v>0</v>
      </c>
      <c r="AK25" s="37" t="s">
        <v>238</v>
      </c>
      <c r="AL25" s="37">
        <v>0</v>
      </c>
      <c r="AM25" s="37">
        <v>2204</v>
      </c>
      <c r="AN25" s="37">
        <v>4162</v>
      </c>
      <c r="AO25" s="37">
        <v>2655</v>
      </c>
      <c r="AP25" s="37">
        <v>1001</v>
      </c>
      <c r="AQ25" s="37">
        <v>478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inlineStr">
        <is>
          <t>J</t>
        </is>
      </c>
      <c r="N26" s="38" t="inlineStr">
        <is>
          <t>M4</t>
        </is>
      </c>
      <c r="O26" s="38" t="inlineStr">
        <is>
          <t>G6</t>
        </is>
      </c>
      <c r="P26" s="38" t="inlineStr">
        <is>
          <t>Q</t>
        </is>
      </c>
      <c r="Q26" s="38" t="inlineStr">
        <is>
          <t>Q</t>
        </is>
      </c>
      <c r="R26" s="38" t="inlineStr">
        <is>
          <t>M4</t>
        </is>
      </c>
      <c r="S26" s="24" t="inlineStr">
        <is>
          <t>M5</t>
        </is>
      </c>
      <c r="U26" s="157">
        <f>VLOOKUP(M26, $A$4:$J$29, 9, 0)</f>
      </c>
      <c r="V26" s="157">
        <f>VLOOKUP(N26, $A$4:$J$29, 9, 0)</f>
      </c>
      <c r="W26" s="157">
        <f>VLOOKUP(O26, $A$4:$J$29, 9, 0)</f>
      </c>
      <c r="X26" s="157">
        <f>VLOOKUP(P26, $A$4:$J$29, 9, 0)</f>
      </c>
      <c r="Y26" s="157">
        <f>VLOOKUP(Q26, $A$4:$J$29, 9, 0)</f>
      </c>
      <c r="Z26" s="157">
        <f>VLOOKUP(R26, $A$4:$J$29, 9, 0)</f>
      </c>
      <c r="AA26" s="157">
        <f>VLOOKUP(S26, $A$4:$J$29, 9, 0)</f>
      </c>
      <c r="AC26" s="18">
        <v>0</v>
      </c>
      <c r="AD26" s="18">
        <v>0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3434</v>
      </c>
      <c r="AN26" s="37">
        <v>2529</v>
      </c>
      <c r="AO26" s="37">
        <v>3797</v>
      </c>
      <c r="AP26" s="37">
        <v>2065</v>
      </c>
      <c r="AQ26" s="37">
        <v>1092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inlineStr">
        <is>
          <t>K</t>
        </is>
      </c>
      <c r="N27" s="38" t="inlineStr">
        <is>
          <t>M5</t>
        </is>
      </c>
      <c r="O27" s="38" t="inlineStr">
        <is>
          <t>A</t>
        </is>
      </c>
      <c r="P27" s="38" t="inlineStr">
        <is>
          <t>M2</t>
        </is>
      </c>
      <c r="Q27" s="38" t="inlineStr">
        <is>
          <t>Q</t>
        </is>
      </c>
      <c r="R27" s="38" t="inlineStr">
        <is>
          <t>M4</t>
        </is>
      </c>
      <c r="S27" s="24" t="inlineStr">
        <is>
          <t>M5</t>
        </is>
      </c>
      <c r="U27" s="157">
        <f>VLOOKUP(M27, $A$4:$J$29, 9, 0)</f>
      </c>
      <c r="V27" s="157">
        <f>VLOOKUP(N27, $A$4:$J$29, 9, 0)</f>
      </c>
      <c r="W27" s="157">
        <f>VLOOKUP(O27, $A$4:$J$29, 9, 0)</f>
      </c>
      <c r="X27" s="157">
        <f>VLOOKUP(P27, $A$4:$J$29, 9, 0)</f>
      </c>
      <c r="Y27" s="157">
        <f>VLOOKUP(Q27, $A$4:$J$29, 9, 0)</f>
      </c>
      <c r="Z27" s="157">
        <f>VLOOKUP(R27, $A$4:$J$29, 9, 0)</f>
      </c>
      <c r="AA27" s="157">
        <f>VLOOKUP(S27, $A$4:$J$29, 9, 0)</f>
      </c>
      <c r="AC27" s="18">
        <v>0</v>
      </c>
      <c r="AD27" s="18">
        <v>0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2846</v>
      </c>
      <c r="AN27" s="37">
        <v>3047</v>
      </c>
      <c r="AO27" s="37">
        <v>3092</v>
      </c>
      <c r="AP27" s="37">
        <v>1442</v>
      </c>
      <c r="AQ27" s="37">
        <v>801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inlineStr">
        <is>
          <t>M6</t>
        </is>
      </c>
      <c r="N28" s="38" t="inlineStr">
        <is>
          <t>TE</t>
        </is>
      </c>
      <c r="O28" s="38" t="inlineStr">
        <is>
          <t>M4</t>
        </is>
      </c>
      <c r="P28" s="38" t="inlineStr">
        <is>
          <t>K</t>
        </is>
      </c>
      <c r="Q28" s="38" t="inlineStr">
        <is>
          <t>G3</t>
        </is>
      </c>
      <c r="R28" s="38" t="inlineStr">
        <is>
          <t>M5</t>
        </is>
      </c>
      <c r="S28" s="24" t="inlineStr">
        <is>
          <t>M5</t>
        </is>
      </c>
      <c r="U28" s="157">
        <f>VLOOKUP(M28, $A$4:$J$29, 9, 0)</f>
      </c>
      <c r="V28" s="157">
        <f>VLOOKUP(N28, $A$4:$J$29, 9, 0)</f>
      </c>
      <c r="W28" s="157">
        <f>VLOOKUP(O28, $A$4:$J$29, 9, 0)</f>
      </c>
      <c r="X28" s="157">
        <f>VLOOKUP(P28, $A$4:$J$29, 9, 0)</f>
      </c>
      <c r="Y28" s="157">
        <f>VLOOKUP(Q28, $A$4:$J$29, 9, 0)</f>
      </c>
      <c r="Z28" s="157">
        <f>VLOOKUP(R28, $A$4:$J$29, 9, 0)</f>
      </c>
      <c r="AA28" s="157">
        <f>VLOOKUP(S28, $A$4:$J$29, 9, 0)</f>
      </c>
      <c r="AC28" s="18">
        <v>0</v>
      </c>
      <c r="AD28" s="18">
        <v>0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inlineStr">
        <is>
          <t>J</t>
        </is>
      </c>
      <c r="N29" s="38" t="inlineStr">
        <is>
          <t>G5</t>
        </is>
      </c>
      <c r="O29" s="38" t="inlineStr">
        <is>
          <t>WW</t>
        </is>
      </c>
      <c r="P29" s="38" t="inlineStr">
        <is>
          <t>K</t>
        </is>
      </c>
      <c r="Q29" s="38" t="inlineStr">
        <is>
          <t>A</t>
        </is>
      </c>
      <c r="R29" s="38" t="inlineStr">
        <is>
          <t>J</t>
        </is>
      </c>
      <c r="S29" s="24" t="inlineStr">
        <is>
          <t>M5</t>
        </is>
      </c>
      <c r="U29" s="157">
        <f>VLOOKUP(M29, $A$4:$J$29, 9, 0)</f>
      </c>
      <c r="V29" s="157">
        <f>VLOOKUP(N29, $A$4:$J$29, 9, 0)</f>
      </c>
      <c r="W29" s="157">
        <f>VLOOKUP(O29, $A$4:$J$29, 9, 0)</f>
      </c>
      <c r="X29" s="157">
        <f>VLOOKUP(P29, $A$4:$J$29, 9, 0)</f>
      </c>
      <c r="Y29" s="157">
        <f>VLOOKUP(Q29, $A$4:$J$29, 9, 0)</f>
      </c>
      <c r="Z29" s="157">
        <f>VLOOKUP(R29, $A$4:$J$29, 9, 0)</f>
      </c>
      <c r="AA29" s="157">
        <f>VLOOKUP(S29, $A$4:$J$29, 9, 0)</f>
      </c>
      <c r="AC29" s="18">
        <v>0</v>
      </c>
      <c r="AD29" s="18">
        <v>0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inlineStr">
        <is>
          <t>Q</t>
        </is>
      </c>
      <c r="N30" s="38" t="inlineStr">
        <is>
          <t>M5</t>
        </is>
      </c>
      <c r="O30" s="38" t="inlineStr">
        <is>
          <t>M5</t>
        </is>
      </c>
      <c r="P30" s="38" t="inlineStr">
        <is>
          <t>GT</t>
        </is>
      </c>
      <c r="Q30" s="38" t="inlineStr">
        <is>
          <t>GQ</t>
        </is>
      </c>
      <c r="R30" s="38" t="inlineStr">
        <is>
          <t>GK</t>
        </is>
      </c>
      <c r="S30" s="24" t="inlineStr">
        <is>
          <t>K</t>
        </is>
      </c>
      <c r="U30" s="157">
        <f>VLOOKUP(M30, $A$4:$J$29, 9, 0)</f>
      </c>
      <c r="V30" s="157">
        <f>VLOOKUP(N30, $A$4:$J$29, 9, 0)</f>
      </c>
      <c r="W30" s="157">
        <f>VLOOKUP(O30, $A$4:$J$29, 9, 0)</f>
      </c>
      <c r="X30" s="157">
        <f>VLOOKUP(P30, $A$4:$J$29, 9, 0)</f>
      </c>
      <c r="Y30" s="157">
        <f>VLOOKUP(Q30, $A$4:$J$29, 9, 0)</f>
      </c>
      <c r="Z30" s="157">
        <f>VLOOKUP(R30, $A$4:$J$29, 9, 0)</f>
      </c>
      <c r="AA30" s="157">
        <f>VLOOKUP(S30, $A$4:$J$29, 9, 0)</f>
      </c>
      <c r="AC30" s="18">
        <v>0</v>
      </c>
      <c r="AD30" s="18">
        <v>0</v>
      </c>
      <c r="AE30" s="18">
        <v>1</v>
      </c>
      <c r="AF30" s="18">
        <v>1</v>
      </c>
      <c r="AG30" s="18">
        <v>1</v>
      </c>
      <c r="AH30" s="18">
        <v>1</v>
      </c>
      <c r="AI30" s="4">
        <v>0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inlineStr">
        <is>
          <t>M6</t>
        </is>
      </c>
      <c r="N31" s="155" t="inlineStr">
        <is>
          <t>M2</t>
        </is>
      </c>
      <c r="O31" s="155" t="inlineStr">
        <is>
          <t>TE</t>
        </is>
      </c>
      <c r="P31" s="155" t="inlineStr">
        <is>
          <t>TE</t>
        </is>
      </c>
      <c r="Q31" s="155" t="inlineStr">
        <is>
          <t>M4</t>
        </is>
      </c>
      <c r="R31" s="155" t="inlineStr">
        <is>
          <t>G3</t>
        </is>
      </c>
      <c r="S31" s="156" t="inlineStr">
        <is>
          <t>Q</t>
        </is>
      </c>
      <c r="U31" s="157">
        <f>VLOOKUP(M31, $A$4:$J$29, 9, 0)</f>
      </c>
      <c r="V31" s="157">
        <f>VLOOKUP(N31, $A$4:$J$29, 9, 0)</f>
      </c>
      <c r="W31" s="157">
        <f>VLOOKUP(O31, $A$4:$J$29, 9, 0)</f>
      </c>
      <c r="X31" s="157">
        <f>VLOOKUP(P31, $A$4:$J$29, 9, 0)</f>
      </c>
      <c r="Y31" s="157">
        <f>VLOOKUP(Q31, $A$4:$J$29, 9, 0)</f>
      </c>
      <c r="Z31" s="157">
        <f>VLOOKUP(R31, $A$4:$J$29, 9, 0)</f>
      </c>
      <c r="AA31" s="157">
        <f>VLOOKUP(S31, $A$4:$J$29, 9, 0)</f>
      </c>
      <c r="AC31" s="18">
        <v>0</v>
      </c>
      <c r="AD31" s="18">
        <v>0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inlineStr">
        <is>
          <t>M6</t>
        </is>
      </c>
      <c r="N32" s="38" t="inlineStr">
        <is>
          <t>GT</t>
        </is>
      </c>
      <c r="O32" s="38" t="inlineStr">
        <is>
          <t>GQ</t>
        </is>
      </c>
      <c r="P32" s="38" t="inlineStr">
        <is>
          <t>J</t>
        </is>
      </c>
      <c r="Q32" s="38" t="inlineStr">
        <is>
          <t>A</t>
        </is>
      </c>
      <c r="R32" s="38" t="inlineStr">
        <is>
          <t>J</t>
        </is>
      </c>
      <c r="S32" s="24" t="inlineStr">
        <is>
          <t>A</t>
        </is>
      </c>
      <c r="U32" s="157">
        <f>VLOOKUP(M32, $A$4:$J$29, 9, 0)</f>
      </c>
      <c r="V32" s="157">
        <f>VLOOKUP(N32, $A$4:$J$29, 9, 0)</f>
      </c>
      <c r="W32" s="157">
        <f>VLOOKUP(O32, $A$4:$J$29, 9, 0)</f>
      </c>
      <c r="X32" s="157">
        <f>VLOOKUP(P32, $A$4:$J$29, 9, 0)</f>
      </c>
      <c r="Y32" s="157">
        <f>VLOOKUP(Q32, $A$4:$J$29, 9, 0)</f>
      </c>
      <c r="Z32" s="157">
        <f>VLOOKUP(R32, $A$4:$J$29, 9, 0)</f>
      </c>
      <c r="AA32" s="157">
        <f>VLOOKUP(S32, $A$4:$J$29, 9, 0)</f>
      </c>
      <c r="AC32" s="18">
        <v>0</v>
      </c>
      <c r="AD32" s="18">
        <v>0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inlineStr">
        <is>
          <t>K</t>
        </is>
      </c>
      <c r="N33" s="38" t="inlineStr">
        <is>
          <t>A</t>
        </is>
      </c>
      <c r="O33" s="38" t="inlineStr">
        <is>
          <t>WW</t>
        </is>
      </c>
      <c r="P33" s="38" t="inlineStr">
        <is>
          <t>A</t>
        </is>
      </c>
      <c r="Q33" s="38" t="inlineStr">
        <is>
          <t>GK</t>
        </is>
      </c>
      <c r="R33" s="38" t="inlineStr">
        <is>
          <t>G6</t>
        </is>
      </c>
      <c r="S33" s="24" t="inlineStr">
        <is>
          <t>A</t>
        </is>
      </c>
      <c r="U33" s="157">
        <f>VLOOKUP(M33, $A$4:$J$29, 9, 0)</f>
      </c>
      <c r="V33" s="157">
        <f>VLOOKUP(N33, $A$4:$J$29, 9, 0)</f>
      </c>
      <c r="W33" s="157">
        <f>VLOOKUP(O33, $A$4:$J$29, 9, 0)</f>
      </c>
      <c r="X33" s="157">
        <f>VLOOKUP(P33, $A$4:$J$29, 9, 0)</f>
      </c>
      <c r="Y33" s="157">
        <f>VLOOKUP(Q33, $A$4:$J$29, 9, 0)</f>
      </c>
      <c r="Z33" s="157">
        <f>VLOOKUP(R33, $A$4:$J$29, 9, 0)</f>
      </c>
      <c r="AA33" s="157">
        <f>VLOOKUP(S33, $A$4:$J$29, 9, 0)</f>
      </c>
      <c r="AC33" s="18">
        <v>0</v>
      </c>
      <c r="AD33" s="18">
        <v>0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inlineStr">
        <is>
          <t>K</t>
        </is>
      </c>
      <c r="N34" s="38" t="inlineStr">
        <is>
          <t>GJ</t>
        </is>
      </c>
      <c r="O34" s="38" t="inlineStr">
        <is>
          <t>M5</t>
        </is>
      </c>
      <c r="P34" s="38" t="inlineStr">
        <is>
          <t>G6</t>
        </is>
      </c>
      <c r="Q34" s="38" t="inlineStr">
        <is>
          <t>J</t>
        </is>
      </c>
      <c r="R34" s="38" t="inlineStr">
        <is>
          <t>M4</t>
        </is>
      </c>
      <c r="S34" s="24" t="inlineStr">
        <is>
          <t>A</t>
        </is>
      </c>
      <c r="U34" s="157">
        <f>VLOOKUP(M34, $A$4:$J$29, 9, 0)</f>
      </c>
      <c r="V34" s="157">
        <f>VLOOKUP(N34, $A$4:$J$29, 9, 0)</f>
      </c>
      <c r="W34" s="157">
        <f>VLOOKUP(O34, $A$4:$J$29, 9, 0)</f>
      </c>
      <c r="X34" s="157">
        <f>VLOOKUP(P34, $A$4:$J$29, 9, 0)</f>
      </c>
      <c r="Y34" s="157">
        <f>VLOOKUP(Q34, $A$4:$J$29, 9, 0)</f>
      </c>
      <c r="Z34" s="157">
        <f>VLOOKUP(R34, $A$4:$J$29, 9, 0)</f>
      </c>
      <c r="AA34" s="157">
        <f>VLOOKUP(S34, $A$4:$J$29, 9, 0)</f>
      </c>
      <c r="AC34" s="18">
        <v>0</v>
      </c>
      <c r="AD34" s="18">
        <v>0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inlineStr">
        <is>
          <t>M2</t>
        </is>
      </c>
      <c r="N35" s="38" t="inlineStr">
        <is>
          <t>M5</t>
        </is>
      </c>
      <c r="O35" s="38" t="inlineStr">
        <is>
          <t>G4</t>
        </is>
      </c>
      <c r="P35" s="38" t="inlineStr">
        <is>
          <t>M3</t>
        </is>
      </c>
      <c r="Q35" s="38" t="inlineStr">
        <is>
          <t>M2</t>
        </is>
      </c>
      <c r="R35" s="38" t="inlineStr">
        <is>
          <t>TE</t>
        </is>
      </c>
      <c r="S35" s="24" t="inlineStr">
        <is>
          <t>A</t>
        </is>
      </c>
      <c r="U35" s="157">
        <f>VLOOKUP(M35, $A$4:$J$29, 9, 0)</f>
      </c>
      <c r="V35" s="157">
        <f>VLOOKUP(N35, $A$4:$J$29, 9, 0)</f>
      </c>
      <c r="W35" s="157">
        <f>VLOOKUP(O35, $A$4:$J$29, 9, 0)</f>
      </c>
      <c r="X35" s="157">
        <f>VLOOKUP(P35, $A$4:$J$29, 9, 0)</f>
      </c>
      <c r="Y35" s="157">
        <f>VLOOKUP(Q35, $A$4:$J$29, 9, 0)</f>
      </c>
      <c r="Z35" s="157">
        <f>VLOOKUP(R35, $A$4:$J$29, 9, 0)</f>
      </c>
      <c r="AA35" s="157">
        <f>VLOOKUP(S35, $A$4:$J$29, 9, 0)</f>
      </c>
      <c r="AC35" s="18">
        <v>0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inlineStr">
        <is>
          <t>Q</t>
        </is>
      </c>
      <c r="N36" s="38" t="inlineStr">
        <is>
          <t>A</t>
        </is>
      </c>
      <c r="O36" s="38" t="inlineStr">
        <is>
          <t>TE</t>
        </is>
      </c>
      <c r="P36" s="38" t="inlineStr">
        <is>
          <t>K</t>
        </is>
      </c>
      <c r="Q36" s="38" t="inlineStr">
        <is>
          <t>GT</t>
        </is>
      </c>
      <c r="R36" s="38" t="inlineStr">
        <is>
          <t>M5</t>
        </is>
      </c>
      <c r="S36" s="24" t="inlineStr">
        <is>
          <t>M6</t>
        </is>
      </c>
      <c r="U36" s="157">
        <f>VLOOKUP(M36, $A$4:$J$29, 9, 0)</f>
      </c>
      <c r="V36" s="157">
        <f>VLOOKUP(N36, $A$4:$J$29, 9, 0)</f>
      </c>
      <c r="W36" s="157">
        <f>VLOOKUP(O36, $A$4:$J$29, 9, 0)</f>
      </c>
      <c r="X36" s="157">
        <f>VLOOKUP(P36, $A$4:$J$29, 9, 0)</f>
      </c>
      <c r="Y36" s="157">
        <f>VLOOKUP(Q36, $A$4:$J$29, 9, 0)</f>
      </c>
      <c r="Z36" s="157">
        <f>VLOOKUP(R36, $A$4:$J$29, 9, 0)</f>
      </c>
      <c r="AA36" s="157">
        <f>VLOOKUP(S36, $A$4:$J$29, 9, 0)</f>
      </c>
      <c r="AC36" s="18">
        <v>0</v>
      </c>
      <c r="AD36" s="18">
        <v>0</v>
      </c>
      <c r="AE36" s="18">
        <v>1</v>
      </c>
      <c r="AF36" s="18">
        <v>1</v>
      </c>
      <c r="AG36" s="18">
        <v>1</v>
      </c>
      <c r="AH36" s="18">
        <v>1</v>
      </c>
      <c r="AI36" s="4">
        <v>0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inlineStr">
        <is>
          <t>M3</t>
        </is>
      </c>
      <c r="N37" s="38" t="inlineStr">
        <is>
          <t>Q</t>
        </is>
      </c>
      <c r="O37" s="38" t="inlineStr">
        <is>
          <t>M4</t>
        </is>
      </c>
      <c r="P37" s="38" t="inlineStr">
        <is>
          <t>J</t>
        </is>
      </c>
      <c r="Q37" s="38" t="inlineStr">
        <is>
          <t>A</t>
        </is>
      </c>
      <c r="R37" s="38" t="inlineStr">
        <is>
          <t>K</t>
        </is>
      </c>
      <c r="S37" s="24" t="inlineStr">
        <is>
          <t>J</t>
        </is>
      </c>
      <c r="U37" s="157">
        <f>VLOOKUP(M37, $A$4:$J$29, 9, 0)</f>
      </c>
      <c r="V37" s="157">
        <f>VLOOKUP(N37, $A$4:$J$29, 9, 0)</f>
      </c>
      <c r="W37" s="157">
        <f>VLOOKUP(O37, $A$4:$J$29, 9, 0)</f>
      </c>
      <c r="X37" s="157">
        <f>VLOOKUP(P37, $A$4:$J$29, 9, 0)</f>
      </c>
      <c r="Y37" s="157">
        <f>VLOOKUP(Q37, $A$4:$J$29, 9, 0)</f>
      </c>
      <c r="Z37" s="157">
        <f>VLOOKUP(R37, $A$4:$J$29, 9, 0)</f>
      </c>
      <c r="AA37" s="157">
        <f>VLOOKUP(S37, $A$4:$J$29, 9, 0)</f>
      </c>
      <c r="AC37" s="18">
        <v>0</v>
      </c>
      <c r="AD37" s="18">
        <v>0</v>
      </c>
      <c r="AE37" s="18">
        <v>1</v>
      </c>
      <c r="AF37" s="18">
        <v>1</v>
      </c>
      <c r="AG37" s="18">
        <v>1</v>
      </c>
      <c r="AH37" s="18">
        <v>1</v>
      </c>
      <c r="AI37" s="4">
        <v>0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inlineStr">
        <is>
          <t>K</t>
        </is>
      </c>
      <c r="N38" s="38" t="inlineStr">
        <is>
          <t>M3</t>
        </is>
      </c>
      <c r="O38" s="38" t="inlineStr">
        <is>
          <t>J</t>
        </is>
      </c>
      <c r="P38" s="38" t="inlineStr">
        <is>
          <t>G5</t>
        </is>
      </c>
      <c r="Q38" s="38" t="inlineStr">
        <is>
          <t>Q</t>
        </is>
      </c>
      <c r="R38" s="38" t="inlineStr">
        <is>
          <t>Q</t>
        </is>
      </c>
      <c r="S38" s="24" t="inlineStr">
        <is>
          <t>K</t>
        </is>
      </c>
      <c r="U38" s="157">
        <f>VLOOKUP(M38, $A$4:$J$29, 9, 0)</f>
      </c>
      <c r="V38" s="157">
        <f>VLOOKUP(N38, $A$4:$J$29, 9, 0)</f>
      </c>
      <c r="W38" s="157">
        <f>VLOOKUP(O38, $A$4:$J$29, 9, 0)</f>
      </c>
      <c r="X38" s="157">
        <f>VLOOKUP(P38, $A$4:$J$29, 9, 0)</f>
      </c>
      <c r="Y38" s="157">
        <f>VLOOKUP(Q38, $A$4:$J$29, 9, 0)</f>
      </c>
      <c r="Z38" s="157">
        <f>VLOOKUP(R38, $A$4:$J$29, 9, 0)</f>
      </c>
      <c r="AA38" s="157">
        <f>VLOOKUP(S38, $A$4:$J$29, 9, 0)</f>
      </c>
      <c r="AC38" s="18">
        <v>1</v>
      </c>
      <c r="AD38" s="18">
        <v>0</v>
      </c>
      <c r="AE38" s="18">
        <v>1</v>
      </c>
      <c r="AF38" s="18">
        <v>1</v>
      </c>
      <c r="AG38" s="18">
        <v>1</v>
      </c>
      <c r="AH38" s="18">
        <v>1</v>
      </c>
      <c r="AI38" s="4">
        <v>0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inlineStr">
        <is>
          <t>K</t>
        </is>
      </c>
      <c r="N39" s="38" t="inlineStr">
        <is>
          <t>GQ</t>
        </is>
      </c>
      <c r="O39" s="38" t="inlineStr">
        <is>
          <t>GK</t>
        </is>
      </c>
      <c r="P39" s="38" t="inlineStr">
        <is>
          <t>J</t>
        </is>
      </c>
      <c r="Q39" s="38" t="inlineStr">
        <is>
          <t>M4</t>
        </is>
      </c>
      <c r="R39" s="38" t="inlineStr">
        <is>
          <t>J</t>
        </is>
      </c>
      <c r="S39" s="24" t="inlineStr">
        <is>
          <t>M5</t>
        </is>
      </c>
      <c r="U39" s="157">
        <f>VLOOKUP(M39, $A$4:$J$29, 9, 0)</f>
      </c>
      <c r="V39" s="157">
        <f>VLOOKUP(N39, $A$4:$J$29, 9, 0)</f>
      </c>
      <c r="W39" s="157">
        <f>VLOOKUP(O39, $A$4:$J$29, 9, 0)</f>
      </c>
      <c r="X39" s="157">
        <f>VLOOKUP(P39, $A$4:$J$29, 9, 0)</f>
      </c>
      <c r="Y39" s="157">
        <f>VLOOKUP(Q39, $A$4:$J$29, 9, 0)</f>
      </c>
      <c r="Z39" s="157">
        <f>VLOOKUP(R39, $A$4:$J$29, 9, 0)</f>
      </c>
      <c r="AA39" s="157">
        <f>VLOOKUP(S39, $A$4:$J$29, 9, 0)</f>
      </c>
      <c r="AC39" s="18">
        <v>1</v>
      </c>
      <c r="AD39" s="18">
        <v>0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inlineStr">
        <is>
          <t>K</t>
        </is>
      </c>
      <c r="N40" s="155" t="inlineStr">
        <is>
          <t>TE</t>
        </is>
      </c>
      <c r="O40" s="155" t="inlineStr">
        <is>
          <t>M5</t>
        </is>
      </c>
      <c r="P40" s="155" t="inlineStr">
        <is>
          <t>GQ</t>
        </is>
      </c>
      <c r="Q40" s="155" t="inlineStr">
        <is>
          <t>A</t>
        </is>
      </c>
      <c r="R40" s="155" t="inlineStr">
        <is>
          <t>A</t>
        </is>
      </c>
      <c r="S40" s="156" t="inlineStr">
        <is>
          <t>A</t>
        </is>
      </c>
      <c r="U40" s="157">
        <f>VLOOKUP(M40, $A$4:$J$29, 9, 0)</f>
      </c>
      <c r="V40" s="157">
        <f>VLOOKUP(N40, $A$4:$J$29, 9, 0)</f>
      </c>
      <c r="W40" s="157">
        <f>VLOOKUP(O40, $A$4:$J$29, 9, 0)</f>
      </c>
      <c r="X40" s="157">
        <f>VLOOKUP(P40, $A$4:$J$29, 9, 0)</f>
      </c>
      <c r="Y40" s="157">
        <f>VLOOKUP(Q40, $A$4:$J$29, 9, 0)</f>
      </c>
      <c r="Z40" s="157">
        <f>VLOOKUP(R40, $A$4:$J$29, 9, 0)</f>
      </c>
      <c r="AA40" s="157">
        <f>VLOOKUP(S40, $A$4:$J$29, 9, 0)</f>
      </c>
      <c r="AC40" s="18">
        <v>1</v>
      </c>
      <c r="AD40" s="18">
        <v>0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132943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inlineStr">
        <is>
          <t>TE</t>
        </is>
      </c>
      <c r="N41" s="38" t="inlineStr">
        <is>
          <t>Q</t>
        </is>
      </c>
      <c r="O41" s="38" t="inlineStr">
        <is>
          <t>TE</t>
        </is>
      </c>
      <c r="P41" s="38" t="inlineStr">
        <is>
          <t>TE</t>
        </is>
      </c>
      <c r="Q41" s="38" t="inlineStr">
        <is>
          <t>Q</t>
        </is>
      </c>
      <c r="R41" s="38" t="inlineStr">
        <is>
          <t>Q</t>
        </is>
      </c>
      <c r="S41" s="24" t="inlineStr">
        <is>
          <t>TE</t>
        </is>
      </c>
      <c r="U41" s="157">
        <f>VLOOKUP(M41, $A$4:$J$29, 9, 0)</f>
      </c>
      <c r="V41" s="157">
        <f>VLOOKUP(N41, $A$4:$J$29, 9, 0)</f>
      </c>
      <c r="W41" s="157">
        <f>VLOOKUP(O41, $A$4:$J$29, 9, 0)</f>
      </c>
      <c r="X41" s="157">
        <f>VLOOKUP(P41, $A$4:$J$29, 9, 0)</f>
      </c>
      <c r="Y41" s="157">
        <f>VLOOKUP(Q41, $A$4:$J$29, 9, 0)</f>
      </c>
      <c r="Z41" s="157">
        <f>VLOOKUP(R41, $A$4:$J$29, 9, 0)</f>
      </c>
      <c r="AA41" s="157">
        <f>VLOOKUP(S41, $A$4:$J$29, 9, 0)</f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0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inlineStr">
        <is>
          <t>K</t>
        </is>
      </c>
      <c r="N42" s="38" t="inlineStr">
        <is>
          <t>Q</t>
        </is>
      </c>
      <c r="O42" s="38" t="inlineStr">
        <is>
          <t>GJ</t>
        </is>
      </c>
      <c r="P42" s="38" t="inlineStr">
        <is>
          <t>GJ</t>
        </is>
      </c>
      <c r="Q42" s="38" t="inlineStr">
        <is>
          <t>GA</t>
        </is>
      </c>
      <c r="R42" s="38" t="inlineStr">
        <is>
          <t>M6</t>
        </is>
      </c>
      <c r="S42" s="24" t="inlineStr">
        <is>
          <t>M1</t>
        </is>
      </c>
      <c r="U42" s="157">
        <f>VLOOKUP(M42, $A$4:$J$29, 9, 0)</f>
      </c>
      <c r="V42" s="157">
        <f>VLOOKUP(N42, $A$4:$J$29, 9, 0)</f>
      </c>
      <c r="W42" s="157">
        <f>VLOOKUP(O42, $A$4:$J$29, 9, 0)</f>
      </c>
      <c r="X42" s="157">
        <f>VLOOKUP(P42, $A$4:$J$29, 9, 0)</f>
      </c>
      <c r="Y42" s="157">
        <f>VLOOKUP(Q42, $A$4:$J$29, 9, 0)</f>
      </c>
      <c r="Z42" s="157">
        <f>VLOOKUP(R42, $A$4:$J$29, 9, 0)</f>
      </c>
      <c r="AA42" s="157">
        <f>VLOOKUP(S42, $A$4:$J$29, 9, 0)</f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60030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inlineStr">
        <is>
          <t>J</t>
        </is>
      </c>
      <c r="N43" s="38" t="inlineStr">
        <is>
          <t>Q</t>
        </is>
      </c>
      <c r="O43" s="38" t="inlineStr">
        <is>
          <t>J</t>
        </is>
      </c>
      <c r="P43" s="38" t="inlineStr">
        <is>
          <t>A</t>
        </is>
      </c>
      <c r="Q43" s="38" t="inlineStr">
        <is>
          <t>A</t>
        </is>
      </c>
      <c r="R43" s="38" t="inlineStr">
        <is>
          <t>K</t>
        </is>
      </c>
      <c r="S43" s="24" t="inlineStr">
        <is>
          <t>M4</t>
        </is>
      </c>
      <c r="U43" s="157">
        <f>VLOOKUP(M43, $A$4:$J$29, 9, 0)</f>
      </c>
      <c r="V43" s="157">
        <f>VLOOKUP(N43, $A$4:$J$29, 9, 0)</f>
      </c>
      <c r="W43" s="157">
        <f>VLOOKUP(O43, $A$4:$J$29, 9, 0)</f>
      </c>
      <c r="X43" s="157">
        <f>VLOOKUP(P43, $A$4:$J$29, 9, 0)</f>
      </c>
      <c r="Y43" s="157">
        <f>VLOOKUP(Q43, $A$4:$J$29, 9, 0)</f>
      </c>
      <c r="Z43" s="157">
        <f>VLOOKUP(R43, $A$4:$J$29, 9, 0)</f>
      </c>
      <c r="AA43" s="157">
        <f>VLOOKUP(S43, $A$4:$J$29, 9, 0)</f>
      </c>
      <c r="AC43" s="18">
        <v>1</v>
      </c>
      <c r="AD43" s="18">
        <v>0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160079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inlineStr">
        <is>
          <t>M6</t>
        </is>
      </c>
      <c r="N44" s="38" t="inlineStr">
        <is>
          <t>Q</t>
        </is>
      </c>
      <c r="O44" s="38" t="inlineStr">
        <is>
          <t>M2</t>
        </is>
      </c>
      <c r="P44" s="38" t="inlineStr">
        <is>
          <t>M4</t>
        </is>
      </c>
      <c r="Q44" s="38" t="inlineStr">
        <is>
          <t>M4</t>
        </is>
      </c>
      <c r="R44" s="38" t="inlineStr">
        <is>
          <t>M6</t>
        </is>
      </c>
      <c r="S44" s="24" t="inlineStr">
        <is>
          <t>M2</t>
        </is>
      </c>
      <c r="U44" s="157">
        <f>VLOOKUP(M44, $A$4:$J$29, 9, 0)</f>
      </c>
      <c r="V44" s="157">
        <f>VLOOKUP(N44, $A$4:$J$29, 9, 0)</f>
      </c>
      <c r="W44" s="157">
        <f>VLOOKUP(O44, $A$4:$J$29, 9, 0)</f>
      </c>
      <c r="X44" s="157">
        <f>VLOOKUP(P44, $A$4:$J$29, 9, 0)</f>
      </c>
      <c r="Y44" s="157">
        <f>VLOOKUP(Q44, $A$4:$J$29, 9, 0)</f>
      </c>
      <c r="Z44" s="157">
        <f>VLOOKUP(R44, $A$4:$J$29, 9, 0)</f>
      </c>
      <c r="AA44" s="157">
        <f>VLOOKUP(S44, $A$4:$J$29, 9, 0)</f>
      </c>
      <c r="AC44" s="18">
        <v>1</v>
      </c>
      <c r="AD44" s="18">
        <v>0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142992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inlineStr">
        <is>
          <t>M6</t>
        </is>
      </c>
      <c r="N45" s="38" t="inlineStr">
        <is>
          <t>M1</t>
        </is>
      </c>
      <c r="O45" s="38" t="inlineStr">
        <is>
          <t>K</t>
        </is>
      </c>
      <c r="P45" s="38" t="inlineStr">
        <is>
          <t>K</t>
        </is>
      </c>
      <c r="Q45" s="38" t="inlineStr">
        <is>
          <t>Q</t>
        </is>
      </c>
      <c r="R45" s="38" t="inlineStr">
        <is>
          <t>M6</t>
        </is>
      </c>
      <c r="S45" s="24" t="inlineStr">
        <is>
          <t>Q</t>
        </is>
      </c>
      <c r="U45" s="157">
        <f>VLOOKUP(M45, $A$4:$J$29, 9, 0)</f>
      </c>
      <c r="V45" s="157">
        <f>VLOOKUP(N45, $A$4:$J$29, 9, 0)</f>
      </c>
      <c r="W45" s="157">
        <f>VLOOKUP(O45, $A$4:$J$29, 9, 0)</f>
      </c>
      <c r="X45" s="157">
        <f>VLOOKUP(P45, $A$4:$J$29, 9, 0)</f>
      </c>
      <c r="Y45" s="157">
        <f>VLOOKUP(Q45, $A$4:$J$29, 9, 0)</f>
      </c>
      <c r="Z45" s="157">
        <f>VLOOKUP(R45, $A$4:$J$29, 9, 0)</f>
      </c>
      <c r="AA45" s="157">
        <f>VLOOKUP(S45, $A$4:$J$29, 9, 0)</f>
      </c>
      <c r="AC45" s="18">
        <v>1</v>
      </c>
      <c r="AD45" s="18">
        <v>0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inlineStr">
        <is>
          <t>K</t>
        </is>
      </c>
      <c r="N46" s="38" t="inlineStr">
        <is>
          <t>A</t>
        </is>
      </c>
      <c r="O46" s="38" t="inlineStr">
        <is>
          <t>G4</t>
        </is>
      </c>
      <c r="P46" s="38" t="inlineStr">
        <is>
          <t>G4</t>
        </is>
      </c>
      <c r="Q46" s="38" t="inlineStr">
        <is>
          <t>A</t>
        </is>
      </c>
      <c r="R46" s="38" t="inlineStr">
        <is>
          <t>GJ</t>
        </is>
      </c>
      <c r="S46" s="24" t="inlineStr">
        <is>
          <t>K</t>
        </is>
      </c>
      <c r="U46" s="157">
        <f>VLOOKUP(M46, $A$4:$J$29, 9, 0)</f>
      </c>
      <c r="V46" s="157">
        <f>VLOOKUP(N46, $A$4:$J$29, 9, 0)</f>
      </c>
      <c r="W46" s="157">
        <f>VLOOKUP(O46, $A$4:$J$29, 9, 0)</f>
      </c>
      <c r="X46" s="157">
        <f>VLOOKUP(P46, $A$4:$J$29, 9, 0)</f>
      </c>
      <c r="Y46" s="157">
        <f>VLOOKUP(Q46, $A$4:$J$29, 9, 0)</f>
      </c>
      <c r="Z46" s="157">
        <f>VLOOKUP(R46, $A$4:$J$29, 9, 0)</f>
      </c>
      <c r="AA46" s="157">
        <f>VLOOKUP(S46, $A$4:$J$29, 9, 0)</f>
      </c>
      <c r="AC46" s="18">
        <v>0</v>
      </c>
      <c r="AD46" s="18">
        <v>0</v>
      </c>
      <c r="AE46" s="18">
        <v>1</v>
      </c>
      <c r="AF46" s="18">
        <v>1</v>
      </c>
      <c r="AG46" s="18">
        <v>1</v>
      </c>
      <c r="AH46" s="18">
        <v>1</v>
      </c>
      <c r="AI46" s="4">
        <v>0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inlineStr">
        <is>
          <t>TE</t>
        </is>
      </c>
      <c r="N47" s="38" t="inlineStr">
        <is>
          <t>M6</t>
        </is>
      </c>
      <c r="O47" s="38" t="inlineStr">
        <is>
          <t>G2</t>
        </is>
      </c>
      <c r="P47" s="38" t="inlineStr">
        <is>
          <t>M3</t>
        </is>
      </c>
      <c r="Q47" s="38" t="inlineStr">
        <is>
          <t>M3</t>
        </is>
      </c>
      <c r="R47" s="38" t="inlineStr">
        <is>
          <t>A</t>
        </is>
      </c>
      <c r="S47" s="24" t="inlineStr">
        <is>
          <t>M5</t>
        </is>
      </c>
      <c r="U47" s="157">
        <f>VLOOKUP(M47, $A$4:$J$29, 9, 0)</f>
      </c>
      <c r="V47" s="157">
        <f>VLOOKUP(N47, $A$4:$J$29, 9, 0)</f>
      </c>
      <c r="W47" s="157">
        <f>VLOOKUP(O47, $A$4:$J$29, 9, 0)</f>
      </c>
      <c r="X47" s="157">
        <f>VLOOKUP(P47, $A$4:$J$29, 9, 0)</f>
      </c>
      <c r="Y47" s="157">
        <f>VLOOKUP(Q47, $A$4:$J$29, 9, 0)</f>
      </c>
      <c r="Z47" s="157">
        <f>VLOOKUP(R47, $A$4:$J$29, 9, 0)</f>
      </c>
      <c r="AA47" s="157">
        <f>VLOOKUP(S47, $A$4:$J$29, 9, 0)</f>
      </c>
      <c r="AC47" s="18">
        <v>0</v>
      </c>
      <c r="AD47" s="18">
        <v>0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323</v>
      </c>
      <c r="AN47" s="153">
        <v>274</v>
      </c>
      <c r="AO47" s="153">
        <v>272</v>
      </c>
      <c r="AP47" s="153">
        <v>104</v>
      </c>
      <c r="AQ47" s="153">
        <v>78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inlineStr">
        <is>
          <t>J</t>
        </is>
      </c>
      <c r="N48" s="38" t="inlineStr">
        <is>
          <t>M4</t>
        </is>
      </c>
      <c r="O48" s="38" t="inlineStr">
        <is>
          <t>Q</t>
        </is>
      </c>
      <c r="P48" s="38" t="inlineStr">
        <is>
          <t>J</t>
        </is>
      </c>
      <c r="Q48" s="38" t="inlineStr">
        <is>
          <t>M2</t>
        </is>
      </c>
      <c r="R48" s="38" t="inlineStr">
        <is>
          <t>M6</t>
        </is>
      </c>
      <c r="S48" s="24" t="inlineStr">
        <is>
          <t>M2</t>
        </is>
      </c>
      <c r="U48" s="157">
        <f>VLOOKUP(M48, $A$4:$J$29, 9, 0)</f>
      </c>
      <c r="V48" s="157">
        <f>VLOOKUP(N48, $A$4:$J$29, 9, 0)</f>
      </c>
      <c r="W48" s="157">
        <f>VLOOKUP(O48, $A$4:$J$29, 9, 0)</f>
      </c>
      <c r="X48" s="157">
        <f>VLOOKUP(P48, $A$4:$J$29, 9, 0)</f>
      </c>
      <c r="Y48" s="157">
        <f>VLOOKUP(Q48, $A$4:$J$29, 9, 0)</f>
      </c>
      <c r="Z48" s="157">
        <f>VLOOKUP(R48, $A$4:$J$29, 9, 0)</f>
      </c>
      <c r="AA48" s="157">
        <f>VLOOKUP(S48, $A$4:$J$29, 9, 0)</f>
      </c>
      <c r="AC48" s="18">
        <v>0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1302</v>
      </c>
      <c r="AN48" s="153">
        <v>796</v>
      </c>
      <c r="AO48" s="153">
        <v>1226</v>
      </c>
      <c r="AP48" s="153">
        <v>50</v>
      </c>
      <c r="AQ48" s="153">
        <v>86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inlineStr">
        <is>
          <t>TE</t>
        </is>
      </c>
      <c r="N49" s="155" t="inlineStr">
        <is>
          <t>M2</t>
        </is>
      </c>
      <c r="O49" s="155" t="inlineStr">
        <is>
          <t>G4</t>
        </is>
      </c>
      <c r="P49" s="155" t="inlineStr">
        <is>
          <t>M4</t>
        </is>
      </c>
      <c r="Q49" s="155" t="inlineStr">
        <is>
          <t>A</t>
        </is>
      </c>
      <c r="R49" s="155" t="inlineStr">
        <is>
          <t>J</t>
        </is>
      </c>
      <c r="S49" s="156" t="inlineStr">
        <is>
          <t>J</t>
        </is>
      </c>
      <c r="U49" s="157">
        <f>VLOOKUP(M49, $A$4:$J$29, 9, 0)</f>
      </c>
      <c r="V49" s="157">
        <f>VLOOKUP(N49, $A$4:$J$29, 9, 0)</f>
      </c>
      <c r="W49" s="157">
        <f>VLOOKUP(O49, $A$4:$J$29, 9, 0)</f>
      </c>
      <c r="X49" s="157">
        <f>VLOOKUP(P49, $A$4:$J$29, 9, 0)</f>
      </c>
      <c r="Y49" s="157">
        <f>VLOOKUP(Q49, $A$4:$J$29, 9, 0)</f>
      </c>
      <c r="Z49" s="157">
        <f>VLOOKUP(R49, $A$4:$J$29, 9, 0)</f>
      </c>
      <c r="AA49" s="157">
        <f>VLOOKUP(S49, $A$4:$J$29, 9, 0)</f>
      </c>
      <c r="AC49" s="18">
        <v>0</v>
      </c>
      <c r="AD49" s="18">
        <v>0</v>
      </c>
      <c r="AE49" s="18">
        <v>1</v>
      </c>
      <c r="AF49" s="18">
        <v>1</v>
      </c>
      <c r="AG49" s="18">
        <v>1</v>
      </c>
      <c r="AH49" s="18">
        <v>1</v>
      </c>
      <c r="AI49" s="4">
        <v>0</v>
      </c>
      <c r="AK49" s="153" t="s">
        <v>228</v>
      </c>
      <c r="AL49" s="153">
        <v>0</v>
      </c>
      <c r="AM49" s="153">
        <v>3315</v>
      </c>
      <c r="AN49" s="153">
        <v>2581</v>
      </c>
      <c r="AO49" s="153">
        <v>3161</v>
      </c>
      <c r="AP49" s="153">
        <v>1287</v>
      </c>
      <c r="AQ49" s="153">
        <v>627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inlineStr">
        <is>
          <t>A</t>
        </is>
      </c>
      <c r="N50" s="38" t="inlineStr">
        <is>
          <t>A</t>
        </is>
      </c>
      <c r="O50" s="38" t="inlineStr">
        <is>
          <t>G3</t>
        </is>
      </c>
      <c r="P50" s="38" t="inlineStr">
        <is>
          <t>M5</t>
        </is>
      </c>
      <c r="Q50" s="38" t="inlineStr">
        <is>
          <t>A</t>
        </is>
      </c>
      <c r="R50" s="38" t="inlineStr">
        <is>
          <t>M2</t>
        </is>
      </c>
      <c r="S50" s="24" t="inlineStr">
        <is>
          <t>A</t>
        </is>
      </c>
      <c r="U50" s="157">
        <f>VLOOKUP(M50, $A$4:$J$29, 9, 0)</f>
      </c>
      <c r="V50" s="157">
        <f>VLOOKUP(N50, $A$4:$J$29, 9, 0)</f>
      </c>
      <c r="W50" s="157">
        <f>VLOOKUP(O50, $A$4:$J$29, 9, 0)</f>
      </c>
      <c r="X50" s="157">
        <f>VLOOKUP(P50, $A$4:$J$29, 9, 0)</f>
      </c>
      <c r="Y50" s="157">
        <f>VLOOKUP(Q50, $A$4:$J$29, 9, 0)</f>
      </c>
      <c r="Z50" s="157">
        <f>VLOOKUP(R50, $A$4:$J$29, 9, 0)</f>
      </c>
      <c r="AA50" s="157">
        <f>VLOOKUP(S50, $A$4:$J$29, 9, 0)</f>
      </c>
      <c r="AC50" s="18">
        <v>0</v>
      </c>
      <c r="AD50" s="18">
        <v>0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849</v>
      </c>
      <c r="AN50" s="153">
        <v>3370</v>
      </c>
      <c r="AO50" s="153">
        <v>896</v>
      </c>
      <c r="AP50" s="153">
        <v>527</v>
      </c>
      <c r="AQ50" s="153">
        <v>217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inlineStr">
        <is>
          <t>J</t>
        </is>
      </c>
      <c r="N51" s="38" t="inlineStr">
        <is>
          <t>M3</t>
        </is>
      </c>
      <c r="O51" s="38" t="inlineStr">
        <is>
          <t>M5</t>
        </is>
      </c>
      <c r="P51" s="38" t="inlineStr">
        <is>
          <t>M4</t>
        </is>
      </c>
      <c r="Q51" s="38" t="inlineStr">
        <is>
          <t>Q</t>
        </is>
      </c>
      <c r="R51" s="38" t="inlineStr">
        <is>
          <t>Q</t>
        </is>
      </c>
      <c r="S51" s="24" t="inlineStr">
        <is>
          <t>M4</t>
        </is>
      </c>
      <c r="U51" s="157">
        <f>VLOOKUP(M51, $A$4:$J$29, 9, 0)</f>
      </c>
      <c r="V51" s="157">
        <f>VLOOKUP(N51, $A$4:$J$29, 9, 0)</f>
      </c>
      <c r="W51" s="157">
        <f>VLOOKUP(O51, $A$4:$J$29, 9, 0)</f>
      </c>
      <c r="X51" s="157">
        <f>VLOOKUP(P51, $A$4:$J$29, 9, 0)</f>
      </c>
      <c r="Y51" s="157">
        <f>VLOOKUP(Q51, $A$4:$J$29, 9, 0)</f>
      </c>
      <c r="Z51" s="157">
        <f>VLOOKUP(R51, $A$4:$J$29, 9, 0)</f>
      </c>
      <c r="AA51" s="157">
        <f>VLOOKUP(S51, $A$4:$J$29, 9, 0)</f>
      </c>
      <c r="AC51" s="18">
        <v>0</v>
      </c>
      <c r="AD51" s="18">
        <v>0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3193</v>
      </c>
      <c r="AN51" s="153">
        <v>786</v>
      </c>
      <c r="AO51" s="153">
        <v>3555</v>
      </c>
      <c r="AP51" s="153">
        <v>1555</v>
      </c>
      <c r="AQ51" s="153">
        <v>905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inlineStr">
        <is>
          <t>M6</t>
        </is>
      </c>
      <c r="N52" s="38" t="inlineStr">
        <is>
          <t>Q</t>
        </is>
      </c>
      <c r="O52" s="38" t="inlineStr">
        <is>
          <t>Q</t>
        </is>
      </c>
      <c r="P52" s="38" t="inlineStr">
        <is>
          <t>TE</t>
        </is>
      </c>
      <c r="Q52" s="38" t="inlineStr">
        <is>
          <t>GQ</t>
        </is>
      </c>
      <c r="R52" s="38" t="inlineStr">
        <is>
          <t>A</t>
        </is>
      </c>
      <c r="S52" s="24" t="inlineStr">
        <is>
          <t>Q</t>
        </is>
      </c>
      <c r="U52" s="157">
        <f>VLOOKUP(M52, $A$4:$J$29, 9, 0)</f>
      </c>
      <c r="V52" s="157">
        <f>VLOOKUP(N52, $A$4:$J$29, 9, 0)</f>
      </c>
      <c r="W52" s="157">
        <f>VLOOKUP(O52, $A$4:$J$29, 9, 0)</f>
      </c>
      <c r="X52" s="157">
        <f>VLOOKUP(P52, $A$4:$J$29, 9, 0)</f>
      </c>
      <c r="Y52" s="157">
        <f>VLOOKUP(Q52, $A$4:$J$29, 9, 0)</f>
      </c>
      <c r="Z52" s="157">
        <f>VLOOKUP(R52, $A$4:$J$29, 9, 0)</f>
      </c>
      <c r="AA52" s="157">
        <f>VLOOKUP(S52, $A$4:$J$29, 9, 0)</f>
      </c>
      <c r="AC52" s="18">
        <v>0</v>
      </c>
      <c r="AD52" s="18">
        <v>0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1739</v>
      </c>
      <c r="AN52" s="37">
        <v>4391</v>
      </c>
      <c r="AO52" s="37">
        <v>1854</v>
      </c>
      <c r="AP52" s="37">
        <v>664</v>
      </c>
      <c r="AQ52" s="37">
        <v>327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inlineStr">
        <is>
          <t>K</t>
        </is>
      </c>
      <c r="N53" s="38" t="inlineStr">
        <is>
          <t>K</t>
        </is>
      </c>
      <c r="O53" s="38" t="inlineStr">
        <is>
          <t>Q</t>
        </is>
      </c>
      <c r="P53" s="38" t="inlineStr">
        <is>
          <t>K</t>
        </is>
      </c>
      <c r="Q53" s="38" t="inlineStr">
        <is>
          <t>GJ</t>
        </is>
      </c>
      <c r="R53" s="38" t="inlineStr">
        <is>
          <t>J</t>
        </is>
      </c>
      <c r="S53" s="24" t="inlineStr">
        <is>
          <t>K</t>
        </is>
      </c>
      <c r="U53" s="157">
        <f>VLOOKUP(M53, $A$4:$J$29, 9, 0)</f>
      </c>
      <c r="V53" s="157">
        <f>VLOOKUP(N53, $A$4:$J$29, 9, 0)</f>
      </c>
      <c r="W53" s="157">
        <f>VLOOKUP(O53, $A$4:$J$29, 9, 0)</f>
      </c>
      <c r="X53" s="157">
        <f>VLOOKUP(P53, $A$4:$J$29, 9, 0)</f>
      </c>
      <c r="Y53" s="157">
        <f>VLOOKUP(Q53, $A$4:$J$29, 9, 0)</f>
      </c>
      <c r="Z53" s="157">
        <f>VLOOKUP(R53, $A$4:$J$29, 9, 0)</f>
      </c>
      <c r="AA53" s="157">
        <f>VLOOKUP(S53, $A$4:$J$29, 9, 0)</f>
      </c>
      <c r="AC53" s="18">
        <v>0</v>
      </c>
      <c r="AD53" s="18">
        <v>0</v>
      </c>
      <c r="AE53" s="18">
        <v>1</v>
      </c>
      <c r="AF53" s="18">
        <v>1</v>
      </c>
      <c r="AG53" s="18">
        <v>1</v>
      </c>
      <c r="AH53" s="18">
        <v>1</v>
      </c>
      <c r="AI53" s="4">
        <v>0</v>
      </c>
      <c r="AK53" s="37" t="s">
        <v>236</v>
      </c>
      <c r="AL53" s="37">
        <v>0</v>
      </c>
      <c r="AM53" s="37">
        <v>2733</v>
      </c>
      <c r="AN53" s="37">
        <v>1560</v>
      </c>
      <c r="AO53" s="37">
        <v>2896</v>
      </c>
      <c r="AP53" s="37">
        <v>1878</v>
      </c>
      <c r="AQ53" s="37">
        <v>789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inlineStr">
        <is>
          <t>J</t>
        </is>
      </c>
      <c r="N54" s="38" t="inlineStr">
        <is>
          <t>GA</t>
        </is>
      </c>
      <c r="O54" s="38" t="inlineStr">
        <is>
          <t>J</t>
        </is>
      </c>
      <c r="P54" s="38" t="inlineStr">
        <is>
          <t>Q</t>
        </is>
      </c>
      <c r="Q54" s="38" t="inlineStr">
        <is>
          <t>TE</t>
        </is>
      </c>
      <c r="R54" s="38" t="inlineStr">
        <is>
          <t>TE</t>
        </is>
      </c>
      <c r="S54" s="24" t="inlineStr">
        <is>
          <t>J</t>
        </is>
      </c>
      <c r="U54" s="157">
        <f>VLOOKUP(M54, $A$4:$J$29, 9, 0)</f>
      </c>
      <c r="V54" s="157">
        <f>VLOOKUP(N54, $A$4:$J$29, 9, 0)</f>
      </c>
      <c r="W54" s="157">
        <f>VLOOKUP(O54, $A$4:$J$29, 9, 0)</f>
      </c>
      <c r="X54" s="157">
        <f>VLOOKUP(P54, $A$4:$J$29, 9, 0)</f>
      </c>
      <c r="Y54" s="157">
        <f>VLOOKUP(Q54, $A$4:$J$29, 9, 0)</f>
      </c>
      <c r="Z54" s="157">
        <f>VLOOKUP(R54, $A$4:$J$29, 9, 0)</f>
      </c>
      <c r="AA54" s="157">
        <f>VLOOKUP(S54, $A$4:$J$29, 9, 0)</f>
      </c>
      <c r="AC54" s="18">
        <v>0</v>
      </c>
      <c r="AD54" s="18">
        <v>0</v>
      </c>
      <c r="AE54" s="18">
        <v>1</v>
      </c>
      <c r="AF54" s="18">
        <v>1</v>
      </c>
      <c r="AG54" s="18">
        <v>1</v>
      </c>
      <c r="AH54" s="18">
        <v>1</v>
      </c>
      <c r="AI54" s="4">
        <v>0</v>
      </c>
      <c r="AK54" s="37" t="s">
        <v>238</v>
      </c>
      <c r="AL54" s="37">
        <v>0</v>
      </c>
      <c r="AM54" s="37">
        <v>2204</v>
      </c>
      <c r="AN54" s="37">
        <v>4162</v>
      </c>
      <c r="AO54" s="37">
        <v>2655</v>
      </c>
      <c r="AP54" s="37">
        <v>1001</v>
      </c>
      <c r="AQ54" s="37">
        <v>478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inlineStr">
        <is>
          <t>M5</t>
        </is>
      </c>
      <c r="N55" s="38" t="inlineStr">
        <is>
          <t>TE</t>
        </is>
      </c>
      <c r="O55" s="38" t="inlineStr">
        <is>
          <t>G5</t>
        </is>
      </c>
      <c r="P55" s="38" t="inlineStr">
        <is>
          <t>M1</t>
        </is>
      </c>
      <c r="Q55" s="38" t="inlineStr">
        <is>
          <t>G5</t>
        </is>
      </c>
      <c r="R55" s="38" t="inlineStr">
        <is>
          <t>M1</t>
        </is>
      </c>
      <c r="S55" s="24" t="inlineStr">
        <is>
          <t>M4</t>
        </is>
      </c>
      <c r="U55" s="157">
        <f>VLOOKUP(M55, $A$4:$J$29, 9, 0)</f>
      </c>
      <c r="V55" s="157">
        <f>VLOOKUP(N55, $A$4:$J$29, 9, 0)</f>
      </c>
      <c r="W55" s="157">
        <f>VLOOKUP(O55, $A$4:$J$29, 9, 0)</f>
      </c>
      <c r="X55" s="157">
        <f>VLOOKUP(P55, $A$4:$J$29, 9, 0)</f>
      </c>
      <c r="Y55" s="157">
        <f>VLOOKUP(Q55, $A$4:$J$29, 9, 0)</f>
      </c>
      <c r="Z55" s="157">
        <f>VLOOKUP(R55, $A$4:$J$29, 9, 0)</f>
      </c>
      <c r="AA55" s="157">
        <f>VLOOKUP(S55, $A$4:$J$29, 9, 0)</f>
      </c>
      <c r="AC55" s="18">
        <v>0</v>
      </c>
      <c r="AD55" s="18">
        <v>0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3434</v>
      </c>
      <c r="AN55" s="37">
        <v>2529</v>
      </c>
      <c r="AO55" s="37">
        <v>3797</v>
      </c>
      <c r="AP55" s="37">
        <v>2065</v>
      </c>
      <c r="AQ55" s="37">
        <v>1092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inlineStr">
        <is>
          <t>M3</t>
        </is>
      </c>
      <c r="N56" s="38" t="inlineStr">
        <is>
          <t>M5</t>
        </is>
      </c>
      <c r="O56" s="38" t="inlineStr">
        <is>
          <t>K</t>
        </is>
      </c>
      <c r="P56" s="38" t="inlineStr">
        <is>
          <t>Q</t>
        </is>
      </c>
      <c r="Q56" s="38" t="inlineStr">
        <is>
          <t>M6</t>
        </is>
      </c>
      <c r="R56" s="38" t="inlineStr">
        <is>
          <t>M5</t>
        </is>
      </c>
      <c r="S56" s="24" t="inlineStr">
        <is>
          <t>M4</t>
        </is>
      </c>
      <c r="U56" s="157">
        <f>VLOOKUP(M56, $A$4:$J$29, 9, 0)</f>
      </c>
      <c r="V56" s="157">
        <f>VLOOKUP(N56, $A$4:$J$29, 9, 0)</f>
      </c>
      <c r="W56" s="157">
        <f>VLOOKUP(O56, $A$4:$J$29, 9, 0)</f>
      </c>
      <c r="X56" s="157">
        <f>VLOOKUP(P56, $A$4:$J$29, 9, 0)</f>
      </c>
      <c r="Y56" s="157">
        <f>VLOOKUP(Q56, $A$4:$J$29, 9, 0)</f>
      </c>
      <c r="Z56" s="157">
        <f>VLOOKUP(R56, $A$4:$J$29, 9, 0)</f>
      </c>
      <c r="AA56" s="157">
        <f>VLOOKUP(S56, $A$4:$J$29, 9, 0)</f>
      </c>
      <c r="AC56" s="18">
        <v>0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2846</v>
      </c>
      <c r="AN56" s="37">
        <v>3047</v>
      </c>
      <c r="AO56" s="37">
        <v>3092</v>
      </c>
      <c r="AP56" s="37">
        <v>1442</v>
      </c>
      <c r="AQ56" s="37">
        <v>801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inlineStr">
        <is>
          <t>J</t>
        </is>
      </c>
      <c r="N57" s="38" t="inlineStr">
        <is>
          <t>G5</t>
        </is>
      </c>
      <c r="O57" s="38" t="inlineStr">
        <is>
          <t>Q</t>
        </is>
      </c>
      <c r="P57" s="38" t="inlineStr">
        <is>
          <t>Q</t>
        </is>
      </c>
      <c r="Q57" s="38" t="inlineStr">
        <is>
          <t>K</t>
        </is>
      </c>
      <c r="R57" s="38" t="inlineStr">
        <is>
          <t>M4</t>
        </is>
      </c>
      <c r="S57" s="24" t="inlineStr">
        <is>
          <t>M4</t>
        </is>
      </c>
      <c r="U57" s="157">
        <f>VLOOKUP(M57, $A$4:$J$29, 9, 0)</f>
      </c>
      <c r="V57" s="157">
        <f>VLOOKUP(N57, $A$4:$J$29, 9, 0)</f>
      </c>
      <c r="W57" s="157">
        <f>VLOOKUP(O57, $A$4:$J$29, 9, 0)</f>
      </c>
      <c r="X57" s="157">
        <f>VLOOKUP(P57, $A$4:$J$29, 9, 0)</f>
      </c>
      <c r="Y57" s="157">
        <f>VLOOKUP(Q57, $A$4:$J$29, 9, 0)</f>
      </c>
      <c r="Z57" s="157">
        <f>VLOOKUP(R57, $A$4:$J$29, 9, 0)</f>
      </c>
      <c r="AA57" s="157">
        <f>VLOOKUP(S57, $A$4:$J$29, 9, 0)</f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inlineStr">
        <is>
          <t>K</t>
        </is>
      </c>
      <c r="N58" s="155" t="inlineStr">
        <is>
          <t>M2</t>
        </is>
      </c>
      <c r="O58" s="155" t="inlineStr">
        <is>
          <t>M6</t>
        </is>
      </c>
      <c r="P58" s="155" t="inlineStr">
        <is>
          <t>M2</t>
        </is>
      </c>
      <c r="Q58" s="155" t="inlineStr">
        <is>
          <t>GT</t>
        </is>
      </c>
      <c r="R58" s="155" t="inlineStr">
        <is>
          <t>A</t>
        </is>
      </c>
      <c r="S58" s="156" t="inlineStr">
        <is>
          <t>M4</t>
        </is>
      </c>
      <c r="U58" s="157">
        <f>VLOOKUP(M58, $A$4:$J$29, 9, 0)</f>
      </c>
      <c r="V58" s="157">
        <f>VLOOKUP(N58, $A$4:$J$29, 9, 0)</f>
      </c>
      <c r="W58" s="157">
        <f>VLOOKUP(O58, $A$4:$J$29, 9, 0)</f>
      </c>
      <c r="X58" s="157">
        <f>VLOOKUP(P58, $A$4:$J$29, 9, 0)</f>
      </c>
      <c r="Y58" s="157">
        <f>VLOOKUP(Q58, $A$4:$J$29, 9, 0)</f>
      </c>
      <c r="Z58" s="157">
        <f>VLOOKUP(R58, $A$4:$J$29, 9, 0)</f>
      </c>
      <c r="AA58" s="157">
        <f>VLOOKUP(S58, $A$4:$J$29, 9, 0)</f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inlineStr">
        <is>
          <t>J</t>
        </is>
      </c>
      <c r="N59" s="38" t="inlineStr">
        <is>
          <t>Q</t>
        </is>
      </c>
      <c r="O59" s="38" t="inlineStr">
        <is>
          <t>M6</t>
        </is>
      </c>
      <c r="P59" s="38" t="inlineStr">
        <is>
          <t>M6</t>
        </is>
      </c>
      <c r="Q59" s="38" t="inlineStr">
        <is>
          <t>M2</t>
        </is>
      </c>
      <c r="R59" s="38" t="inlineStr">
        <is>
          <t>M4</t>
        </is>
      </c>
      <c r="S59" s="24" t="inlineStr">
        <is>
          <t>TE</t>
        </is>
      </c>
      <c r="U59" s="157">
        <f>VLOOKUP(M59, $A$4:$J$29, 9, 0)</f>
      </c>
      <c r="V59" s="157">
        <f>VLOOKUP(N59, $A$4:$J$29, 9, 0)</f>
      </c>
      <c r="W59" s="157">
        <f>VLOOKUP(O59, $A$4:$J$29, 9, 0)</f>
      </c>
      <c r="X59" s="157">
        <f>VLOOKUP(P59, $A$4:$J$29, 9, 0)</f>
      </c>
      <c r="Y59" s="157">
        <f>VLOOKUP(Q59, $A$4:$J$29, 9, 0)</f>
      </c>
      <c r="Z59" s="157">
        <f>VLOOKUP(R59, $A$4:$J$29, 9, 0)</f>
      </c>
      <c r="AA59" s="157">
        <f>VLOOKUP(S59, $A$4:$J$29, 9, 0)</f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0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inlineStr">
        <is>
          <t>TE</t>
        </is>
      </c>
      <c r="N60" s="38" t="inlineStr">
        <is>
          <t>M5</t>
        </is>
      </c>
      <c r="O60" s="38" t="inlineStr">
        <is>
          <t>G4</t>
        </is>
      </c>
      <c r="P60" s="38" t="inlineStr">
        <is>
          <t>TE</t>
        </is>
      </c>
      <c r="Q60" s="38" t="inlineStr">
        <is>
          <t>GA</t>
        </is>
      </c>
      <c r="R60" s="38" t="inlineStr">
        <is>
          <t>K</t>
        </is>
      </c>
      <c r="S60" s="24" t="inlineStr">
        <is>
          <t>M6</t>
        </is>
      </c>
      <c r="U60" s="157">
        <f>VLOOKUP(M60, $A$4:$J$29, 9, 0)</f>
      </c>
      <c r="V60" s="157">
        <f>VLOOKUP(N60, $A$4:$J$29, 9, 0)</f>
      </c>
      <c r="W60" s="157">
        <f>VLOOKUP(O60, $A$4:$J$29, 9, 0)</f>
      </c>
      <c r="X60" s="157">
        <f>VLOOKUP(P60, $A$4:$J$29, 9, 0)</f>
      </c>
      <c r="Y60" s="157">
        <f>VLOOKUP(Q60, $A$4:$J$29, 9, 0)</f>
      </c>
      <c r="Z60" s="157">
        <f>VLOOKUP(R60, $A$4:$J$29, 9, 0)</f>
      </c>
      <c r="AA60" s="157">
        <f>VLOOKUP(S60, $A$4:$J$29, 9, 0)</f>
      </c>
      <c r="AC60" s="18">
        <v>1</v>
      </c>
      <c r="AD60" s="18">
        <v>0</v>
      </c>
      <c r="AE60" s="18">
        <v>1</v>
      </c>
      <c r="AF60" s="18">
        <v>1</v>
      </c>
      <c r="AG60" s="18">
        <v>1</v>
      </c>
      <c r="AH60" s="18">
        <v>1</v>
      </c>
      <c r="AI60" s="4">
        <v>0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inlineStr">
        <is>
          <t>K</t>
        </is>
      </c>
      <c r="N61" s="38" t="inlineStr">
        <is>
          <t>G3</t>
        </is>
      </c>
      <c r="O61" s="38" t="inlineStr">
        <is>
          <t>G6</t>
        </is>
      </c>
      <c r="P61" s="38" t="inlineStr">
        <is>
          <t>M4</t>
        </is>
      </c>
      <c r="Q61" s="38" t="inlineStr">
        <is>
          <t>Q</t>
        </is>
      </c>
      <c r="R61" s="38" t="inlineStr">
        <is>
          <t>M4</t>
        </is>
      </c>
      <c r="S61" s="24" t="inlineStr">
        <is>
          <t>J</t>
        </is>
      </c>
      <c r="U61" s="157">
        <f>VLOOKUP(M61, $A$4:$J$29, 9, 0)</f>
      </c>
      <c r="V61" s="157">
        <f>VLOOKUP(N61, $A$4:$J$29, 9, 0)</f>
      </c>
      <c r="W61" s="157">
        <f>VLOOKUP(O61, $A$4:$J$29, 9, 0)</f>
      </c>
      <c r="X61" s="157">
        <f>VLOOKUP(P61, $A$4:$J$29, 9, 0)</f>
      </c>
      <c r="Y61" s="157">
        <f>VLOOKUP(Q61, $A$4:$J$29, 9, 0)</f>
      </c>
      <c r="Z61" s="157">
        <f>VLOOKUP(R61, $A$4:$J$29, 9, 0)</f>
      </c>
      <c r="AA61" s="157">
        <f>VLOOKUP(S61, $A$4:$J$29, 9, 0)</f>
      </c>
      <c r="AC61" s="18">
        <v>1</v>
      </c>
      <c r="AD61" s="18">
        <v>0</v>
      </c>
      <c r="AE61" s="18">
        <v>1</v>
      </c>
      <c r="AF61" s="18">
        <v>1</v>
      </c>
      <c r="AG61" s="18">
        <v>1</v>
      </c>
      <c r="AH61" s="18">
        <v>1</v>
      </c>
      <c r="AI61" s="4">
        <v>0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inlineStr">
        <is>
          <t>TE</t>
        </is>
      </c>
      <c r="N62" s="38" t="inlineStr">
        <is>
          <t>A</t>
        </is>
      </c>
      <c r="O62" s="38" t="inlineStr">
        <is>
          <t>GA</t>
        </is>
      </c>
      <c r="P62" s="38" t="inlineStr">
        <is>
          <t>J</t>
        </is>
      </c>
      <c r="Q62" s="38" t="inlineStr">
        <is>
          <t>Q</t>
        </is>
      </c>
      <c r="R62" s="38" t="inlineStr">
        <is>
          <t>M1</t>
        </is>
      </c>
      <c r="S62" s="24" t="inlineStr">
        <is>
          <t>J</t>
        </is>
      </c>
      <c r="U62" s="157">
        <f>VLOOKUP(M62, $A$4:$J$29, 9, 0)</f>
      </c>
      <c r="V62" s="157">
        <f>VLOOKUP(N62, $A$4:$J$29, 9, 0)</f>
      </c>
      <c r="W62" s="157">
        <f>VLOOKUP(O62, $A$4:$J$29, 9, 0)</f>
      </c>
      <c r="X62" s="157">
        <f>VLOOKUP(P62, $A$4:$J$29, 9, 0)</f>
      </c>
      <c r="Y62" s="157">
        <f>VLOOKUP(Q62, $A$4:$J$29, 9, 0)</f>
      </c>
      <c r="Z62" s="157">
        <f>VLOOKUP(R62, $A$4:$J$29, 9, 0)</f>
      </c>
      <c r="AA62" s="157">
        <f>VLOOKUP(S62, $A$4:$J$29, 9, 0)</f>
      </c>
      <c r="AC62" s="18">
        <v>0</v>
      </c>
      <c r="AD62" s="18">
        <v>0</v>
      </c>
      <c r="AE62" s="18">
        <v>1</v>
      </c>
      <c r="AF62" s="18">
        <v>1</v>
      </c>
      <c r="AG62" s="18">
        <v>1</v>
      </c>
      <c r="AH62" s="18">
        <v>1</v>
      </c>
      <c r="AI62" s="4">
        <v>0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inlineStr">
        <is>
          <t>J</t>
        </is>
      </c>
      <c r="N63" s="38" t="inlineStr">
        <is>
          <t>A</t>
        </is>
      </c>
      <c r="O63" s="38" t="inlineStr">
        <is>
          <t>Q</t>
        </is>
      </c>
      <c r="P63" s="38" t="inlineStr">
        <is>
          <t>M4</t>
        </is>
      </c>
      <c r="Q63" s="38" t="inlineStr">
        <is>
          <t>G2</t>
        </is>
      </c>
      <c r="R63" s="38" t="inlineStr">
        <is>
          <t>A</t>
        </is>
      </c>
      <c r="S63" s="24" t="inlineStr">
        <is>
          <t>J</t>
        </is>
      </c>
      <c r="U63" s="157">
        <f>VLOOKUP(M63, $A$4:$J$29, 9, 0)</f>
      </c>
      <c r="V63" s="157">
        <f>VLOOKUP(N63, $A$4:$J$29, 9, 0)</f>
      </c>
      <c r="W63" s="157">
        <f>VLOOKUP(O63, $A$4:$J$29, 9, 0)</f>
      </c>
      <c r="X63" s="157">
        <f>VLOOKUP(P63, $A$4:$J$29, 9, 0)</f>
      </c>
      <c r="Y63" s="157">
        <f>VLOOKUP(Q63, $A$4:$J$29, 9, 0)</f>
      </c>
      <c r="Z63" s="157">
        <f>VLOOKUP(R63, $A$4:$J$29, 9, 0)</f>
      </c>
      <c r="AA63" s="157">
        <f>VLOOKUP(S63, $A$4:$J$29, 9, 0)</f>
      </c>
      <c r="AC63" s="18">
        <v>0</v>
      </c>
      <c r="AD63" s="18">
        <v>0</v>
      </c>
      <c r="AE63" s="18">
        <v>1</v>
      </c>
      <c r="AF63" s="18">
        <v>1</v>
      </c>
      <c r="AG63" s="18">
        <v>1</v>
      </c>
      <c r="AH63" s="18">
        <v>1</v>
      </c>
      <c r="AI63" s="4">
        <v>0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inlineStr">
        <is>
          <t>TE</t>
        </is>
      </c>
      <c r="N64" s="38" t="inlineStr">
        <is>
          <t>GT</t>
        </is>
      </c>
      <c r="O64" s="38" t="inlineStr">
        <is>
          <t>K</t>
        </is>
      </c>
      <c r="P64" s="38" t="inlineStr">
        <is>
          <t>A</t>
        </is>
      </c>
      <c r="Q64" s="38" t="inlineStr">
        <is>
          <t>M5</t>
        </is>
      </c>
      <c r="R64" s="38" t="inlineStr">
        <is>
          <t>A</t>
        </is>
      </c>
      <c r="S64" s="24" t="inlineStr">
        <is>
          <t>J</t>
        </is>
      </c>
      <c r="U64" s="157">
        <f>VLOOKUP(M64, $A$4:$J$29, 9, 0)</f>
      </c>
      <c r="V64" s="157">
        <f>VLOOKUP(N64, $A$4:$J$29, 9, 0)</f>
      </c>
      <c r="W64" s="157">
        <f>VLOOKUP(O64, $A$4:$J$29, 9, 0)</f>
      </c>
      <c r="X64" s="157">
        <f>VLOOKUP(P64, $A$4:$J$29, 9, 0)</f>
      </c>
      <c r="Y64" s="157">
        <f>VLOOKUP(Q64, $A$4:$J$29, 9, 0)</f>
      </c>
      <c r="Z64" s="157">
        <f>VLOOKUP(R64, $A$4:$J$29, 9, 0)</f>
      </c>
      <c r="AA64" s="157">
        <f>VLOOKUP(S64, $A$4:$J$29, 9, 0)</f>
      </c>
      <c r="AC64" s="18">
        <v>0</v>
      </c>
      <c r="AD64" s="18">
        <v>0</v>
      </c>
      <c r="AE64" s="18">
        <v>1</v>
      </c>
      <c r="AF64" s="18">
        <v>1</v>
      </c>
      <c r="AG64" s="18">
        <v>1</v>
      </c>
      <c r="AH64" s="18">
        <v>1</v>
      </c>
      <c r="AI64" s="4">
        <v>0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inlineStr">
        <is>
          <t>TE</t>
        </is>
      </c>
      <c r="N65" s="38" t="inlineStr">
        <is>
          <t>Q</t>
        </is>
      </c>
      <c r="O65" s="38" t="inlineStr">
        <is>
          <t>K</t>
        </is>
      </c>
      <c r="P65" s="38" t="inlineStr">
        <is>
          <t>J</t>
        </is>
      </c>
      <c r="Q65" s="38" t="inlineStr">
        <is>
          <t>M2</t>
        </is>
      </c>
      <c r="R65" s="38" t="inlineStr">
        <is>
          <t>M5</t>
        </is>
      </c>
      <c r="S65" s="24" t="inlineStr">
        <is>
          <t>TE</t>
        </is>
      </c>
      <c r="U65" s="157">
        <f>VLOOKUP(M65, $A$4:$J$29, 9, 0)</f>
      </c>
      <c r="V65" s="157">
        <f>VLOOKUP(N65, $A$4:$J$29, 9, 0)</f>
      </c>
      <c r="W65" s="157">
        <f>VLOOKUP(O65, $A$4:$J$29, 9, 0)</f>
      </c>
      <c r="X65" s="157">
        <f>VLOOKUP(P65, $A$4:$J$29, 9, 0)</f>
      </c>
      <c r="Y65" s="157">
        <f>VLOOKUP(Q65, $A$4:$J$29, 9, 0)</f>
      </c>
      <c r="Z65" s="157">
        <f>VLOOKUP(R65, $A$4:$J$29, 9, 0)</f>
      </c>
      <c r="AA65" s="157">
        <f>VLOOKUP(S65, $A$4:$J$29, 9, 0)</f>
      </c>
      <c r="AC65" s="18">
        <v>0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0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inlineStr">
        <is>
          <t>M5</t>
        </is>
      </c>
      <c r="N66" s="38" t="inlineStr">
        <is>
          <t>Q</t>
        </is>
      </c>
      <c r="O66" s="38" t="inlineStr">
        <is>
          <t>J</t>
        </is>
      </c>
      <c r="P66" s="38" t="inlineStr">
        <is>
          <t>J</t>
        </is>
      </c>
      <c r="Q66" s="38" t="inlineStr">
        <is>
          <t>A</t>
        </is>
      </c>
      <c r="R66" s="38" t="inlineStr">
        <is>
          <t>M6</t>
        </is>
      </c>
      <c r="S66" s="24" t="inlineStr">
        <is>
          <t>M2</t>
        </is>
      </c>
      <c r="U66" s="157">
        <f>VLOOKUP(M66, $A$4:$J$29, 9, 0)</f>
      </c>
      <c r="V66" s="157">
        <f>VLOOKUP(N66, $A$4:$J$29, 9, 0)</f>
      </c>
      <c r="W66" s="157">
        <f>VLOOKUP(O66, $A$4:$J$29, 9, 0)</f>
      </c>
      <c r="X66" s="157">
        <f>VLOOKUP(P66, $A$4:$J$29, 9, 0)</f>
      </c>
      <c r="Y66" s="157">
        <f>VLOOKUP(Q66, $A$4:$J$29, 9, 0)</f>
      </c>
      <c r="Z66" s="157">
        <f>VLOOKUP(R66, $A$4:$J$29, 9, 0)</f>
      </c>
      <c r="AA66" s="157">
        <f>VLOOKUP(S66, $A$4:$J$29, 9, 0)</f>
      </c>
      <c r="AC66" s="18">
        <v>0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inlineStr">
        <is>
          <t>M3</t>
        </is>
      </c>
      <c r="N67" s="155" t="inlineStr">
        <is>
          <t>Q</t>
        </is>
      </c>
      <c r="O67" s="155" t="inlineStr">
        <is>
          <t>J</t>
        </is>
      </c>
      <c r="P67" s="155" t="inlineStr">
        <is>
          <t>A</t>
        </is>
      </c>
      <c r="Q67" s="155" t="inlineStr">
        <is>
          <t>Q</t>
        </is>
      </c>
      <c r="R67" s="155" t="inlineStr">
        <is>
          <t>M2</t>
        </is>
      </c>
      <c r="S67" s="156" t="inlineStr">
        <is>
          <t>A</t>
        </is>
      </c>
      <c r="U67" s="157">
        <f>VLOOKUP(M67, $A$4:$J$29, 9, 0)</f>
      </c>
      <c r="V67" s="157">
        <f>VLOOKUP(N67, $A$4:$J$29, 9, 0)</f>
      </c>
      <c r="W67" s="157">
        <f>VLOOKUP(O67, $A$4:$J$29, 9, 0)</f>
      </c>
      <c r="X67" s="157">
        <f>VLOOKUP(P67, $A$4:$J$29, 9, 0)</f>
      </c>
      <c r="Y67" s="157">
        <f>VLOOKUP(Q67, $A$4:$J$29, 9, 0)</f>
      </c>
      <c r="Z67" s="157">
        <f>VLOOKUP(R67, $A$4:$J$29, 9, 0)</f>
      </c>
      <c r="AA67" s="157">
        <f>VLOOKUP(S67, $A$4:$J$29, 9, 0)</f>
      </c>
      <c r="AC67" s="18">
        <v>0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inlineStr">
        <is>
          <t>J</t>
        </is>
      </c>
      <c r="N68" s="38" t="inlineStr">
        <is>
          <t>M2</t>
        </is>
      </c>
      <c r="O68" s="38" t="inlineStr">
        <is>
          <t>M2</t>
        </is>
      </c>
      <c r="P68" s="38" t="inlineStr">
        <is>
          <t>K</t>
        </is>
      </c>
      <c r="Q68" s="38" t="inlineStr">
        <is>
          <t>GQ</t>
        </is>
      </c>
      <c r="R68" s="38" t="inlineStr">
        <is>
          <t>M6</t>
        </is>
      </c>
      <c r="S68" s="24" t="inlineStr">
        <is>
          <t>Q</t>
        </is>
      </c>
      <c r="U68" s="157">
        <f>VLOOKUP(M68, $A$4:$J$29, 9, 0)</f>
      </c>
      <c r="V68" s="157">
        <f>VLOOKUP(N68, $A$4:$J$29, 9, 0)</f>
      </c>
      <c r="W68" s="157">
        <f>VLOOKUP(O68, $A$4:$J$29, 9, 0)</f>
      </c>
      <c r="X68" s="157">
        <f>VLOOKUP(P68, $A$4:$J$29, 9, 0)</f>
      </c>
      <c r="Y68" s="157">
        <f>VLOOKUP(Q68, $A$4:$J$29, 9, 0)</f>
      </c>
      <c r="Z68" s="157">
        <f>VLOOKUP(R68, $A$4:$J$29, 9, 0)</f>
      </c>
      <c r="AA68" s="157">
        <f>VLOOKUP(S68, $A$4:$J$29, 9, 0)</f>
      </c>
      <c r="AC68" s="18">
        <v>0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inlineStr">
        <is>
          <t>M5</t>
        </is>
      </c>
      <c r="N69" s="38" t="inlineStr">
        <is>
          <t>A</t>
        </is>
      </c>
      <c r="O69" s="38" t="inlineStr">
        <is>
          <t>M6</t>
        </is>
      </c>
      <c r="P69" s="38" t="inlineStr">
        <is>
          <t>A</t>
        </is>
      </c>
      <c r="Q69" s="38" t="inlineStr">
        <is>
          <t>M6</t>
        </is>
      </c>
      <c r="R69" s="38" t="inlineStr">
        <is>
          <t>M3</t>
        </is>
      </c>
      <c r="S69" s="24" t="inlineStr">
        <is>
          <t>Q</t>
        </is>
      </c>
      <c r="U69" s="157">
        <f>VLOOKUP(M69, $A$4:$J$29, 9, 0)</f>
      </c>
      <c r="V69" s="157">
        <f>VLOOKUP(N69, $A$4:$J$29, 9, 0)</f>
      </c>
      <c r="W69" s="157">
        <f>VLOOKUP(O69, $A$4:$J$29, 9, 0)</f>
      </c>
      <c r="X69" s="157">
        <f>VLOOKUP(P69, $A$4:$J$29, 9, 0)</f>
      </c>
      <c r="Y69" s="157">
        <f>VLOOKUP(Q69, $A$4:$J$29, 9, 0)</f>
      </c>
      <c r="Z69" s="157">
        <f>VLOOKUP(R69, $A$4:$J$29, 9, 0)</f>
      </c>
      <c r="AA69" s="157">
        <f>VLOOKUP(S69, $A$4:$J$29, 9, 0)</f>
      </c>
      <c r="AC69" s="18">
        <v>0</v>
      </c>
      <c r="AD69" s="18">
        <v>0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132943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inlineStr">
        <is>
          <t>K</t>
        </is>
      </c>
      <c r="N70" s="38" t="inlineStr">
        <is>
          <t>A</t>
        </is>
      </c>
      <c r="O70" s="38" t="inlineStr">
        <is>
          <t>G6</t>
        </is>
      </c>
      <c r="P70" s="38" t="inlineStr">
        <is>
          <t>M3</t>
        </is>
      </c>
      <c r="Q70" s="38" t="inlineStr">
        <is>
          <t>TE</t>
        </is>
      </c>
      <c r="R70" s="38" t="inlineStr">
        <is>
          <t>J</t>
        </is>
      </c>
      <c r="S70" s="24" t="inlineStr">
        <is>
          <t>Q</t>
        </is>
      </c>
      <c r="U70" s="157">
        <f>VLOOKUP(M70, $A$4:$J$29, 9, 0)</f>
      </c>
      <c r="V70" s="157">
        <f>VLOOKUP(N70, $A$4:$J$29, 9, 0)</f>
      </c>
      <c r="W70" s="157">
        <f>VLOOKUP(O70, $A$4:$J$29, 9, 0)</f>
      </c>
      <c r="X70" s="157">
        <f>VLOOKUP(P70, $A$4:$J$29, 9, 0)</f>
      </c>
      <c r="Y70" s="157">
        <f>VLOOKUP(Q70, $A$4:$J$29, 9, 0)</f>
      </c>
      <c r="Z70" s="157">
        <f>VLOOKUP(R70, $A$4:$J$29, 9, 0)</f>
      </c>
      <c r="AA70" s="157">
        <f>VLOOKUP(S70, $A$4:$J$29, 9, 0)</f>
      </c>
      <c r="AC70" s="18">
        <v>0</v>
      </c>
      <c r="AD70" s="18">
        <v>0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inlineStr">
        <is>
          <t>M5</t>
        </is>
      </c>
      <c r="N71" s="38" t="inlineStr">
        <is>
          <t>Q</t>
        </is>
      </c>
      <c r="O71" s="38" t="inlineStr">
        <is>
          <t>A</t>
        </is>
      </c>
      <c r="P71" s="38" t="inlineStr">
        <is>
          <t>M6</t>
        </is>
      </c>
      <c r="Q71" s="38" t="inlineStr">
        <is>
          <t>M4</t>
        </is>
      </c>
      <c r="R71" s="38" t="inlineStr">
        <is>
          <t>M6</t>
        </is>
      </c>
      <c r="S71" s="24" t="inlineStr">
        <is>
          <t>Q</t>
        </is>
      </c>
      <c r="U71" s="157">
        <f>VLOOKUP(M71, $A$4:$J$29, 9, 0)</f>
      </c>
      <c r="V71" s="157">
        <f>VLOOKUP(N71, $A$4:$J$29, 9, 0)</f>
      </c>
      <c r="W71" s="157">
        <f>VLOOKUP(O71, $A$4:$J$29, 9, 0)</f>
      </c>
      <c r="X71" s="157">
        <f>VLOOKUP(P71, $A$4:$J$29, 9, 0)</f>
      </c>
      <c r="Y71" s="157">
        <f>VLOOKUP(Q71, $A$4:$J$29, 9, 0)</f>
      </c>
      <c r="Z71" s="157">
        <f>VLOOKUP(R71, $A$4:$J$29, 9, 0)</f>
      </c>
      <c r="AA71" s="157">
        <f>VLOOKUP(S71, $A$4:$J$29, 9, 0)</f>
      </c>
      <c r="AC71" s="18">
        <v>0</v>
      </c>
      <c r="AD71" s="18">
        <v>0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60030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inlineStr">
        <is>
          <t>K</t>
        </is>
      </c>
      <c r="N72" s="38" t="inlineStr">
        <is>
          <t>A</t>
        </is>
      </c>
      <c r="O72" s="38" t="inlineStr">
        <is>
          <t>Q</t>
        </is>
      </c>
      <c r="P72" s="38" t="inlineStr">
        <is>
          <t>K</t>
        </is>
      </c>
      <c r="Q72" s="38" t="inlineStr">
        <is>
          <t>M3</t>
        </is>
      </c>
      <c r="R72" s="38" t="inlineStr">
        <is>
          <t>TE</t>
        </is>
      </c>
      <c r="S72" s="24" t="inlineStr">
        <is>
          <t>J</t>
        </is>
      </c>
      <c r="U72" s="157">
        <f>VLOOKUP(M72, $A$4:$J$29, 9, 0)</f>
      </c>
      <c r="V72" s="157">
        <f>VLOOKUP(N72, $A$4:$J$29, 9, 0)</f>
      </c>
      <c r="W72" s="157">
        <f>VLOOKUP(O72, $A$4:$J$29, 9, 0)</f>
      </c>
      <c r="X72" s="157">
        <f>VLOOKUP(P72, $A$4:$J$29, 9, 0)</f>
      </c>
      <c r="Y72" s="157">
        <f>VLOOKUP(Q72, $A$4:$J$29, 9, 0)</f>
      </c>
      <c r="Z72" s="157">
        <f>VLOOKUP(R72, $A$4:$J$29, 9, 0)</f>
      </c>
      <c r="AA72" s="157">
        <f>VLOOKUP(S72, $A$4:$J$29, 9, 0)</f>
      </c>
      <c r="AC72" s="18">
        <v>0</v>
      </c>
      <c r="AD72" s="18">
        <v>0</v>
      </c>
      <c r="AE72" s="18">
        <v>1</v>
      </c>
      <c r="AF72" s="18">
        <v>1</v>
      </c>
      <c r="AG72" s="18">
        <v>1</v>
      </c>
      <c r="AH72" s="18">
        <v>1</v>
      </c>
      <c r="AI72" s="4">
        <v>0</v>
      </c>
      <c r="AK72" s="37" t="s">
        <v>27</v>
      </c>
      <c r="AL72" s="37">
        <v>178172</v>
      </c>
      <c r="AM72" s="37">
        <v>91802</v>
      </c>
      <c r="AN72" s="37">
        <v>160079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inlineStr">
        <is>
          <t>M6</t>
        </is>
      </c>
      <c r="N73" s="38" t="inlineStr">
        <is>
          <t>TE</t>
        </is>
      </c>
      <c r="O73" s="38" t="inlineStr">
        <is>
          <t>M4</t>
        </is>
      </c>
      <c r="P73" s="38" t="inlineStr">
        <is>
          <t>J</t>
        </is>
      </c>
      <c r="Q73" s="38" t="inlineStr">
        <is>
          <t>M2</t>
        </is>
      </c>
      <c r="R73" s="38" t="inlineStr">
        <is>
          <t>M6</t>
        </is>
      </c>
      <c r="S73" s="24" t="inlineStr">
        <is>
          <t>M6</t>
        </is>
      </c>
      <c r="U73" s="157">
        <f>VLOOKUP(M73, $A$4:$J$29, 9, 0)</f>
      </c>
      <c r="V73" s="157">
        <f>VLOOKUP(N73, $A$4:$J$29, 9, 0)</f>
      </c>
      <c r="W73" s="157">
        <f>VLOOKUP(O73, $A$4:$J$29, 9, 0)</f>
      </c>
      <c r="X73" s="157">
        <f>VLOOKUP(P73, $A$4:$J$29, 9, 0)</f>
      </c>
      <c r="Y73" s="157">
        <f>VLOOKUP(Q73, $A$4:$J$29, 9, 0)</f>
      </c>
      <c r="Z73" s="157">
        <f>VLOOKUP(R73, $A$4:$J$29, 9, 0)</f>
      </c>
      <c r="AA73" s="157">
        <f>VLOOKUP(S73, $A$4:$J$29, 9, 0)</f>
      </c>
      <c r="AC73" s="18">
        <v>0</v>
      </c>
      <c r="AD73" s="18">
        <v>0</v>
      </c>
      <c r="AE73" s="18">
        <v>1</v>
      </c>
      <c r="AF73" s="18">
        <v>1</v>
      </c>
      <c r="AG73" s="18">
        <v>1</v>
      </c>
      <c r="AH73" s="18">
        <v>1</v>
      </c>
      <c r="AI73" s="4">
        <v>0</v>
      </c>
      <c r="AK73" s="37" t="s">
        <v>28</v>
      </c>
      <c r="AL73" s="37">
        <v>103801</v>
      </c>
      <c r="AM73" s="37">
        <v>142992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inlineStr">
        <is>
          <t>M3</t>
        </is>
      </c>
      <c r="N74" s="38" t="inlineStr">
        <is>
          <t>GJ</t>
        </is>
      </c>
      <c r="O74" s="38" t="inlineStr">
        <is>
          <t>M4</t>
        </is>
      </c>
      <c r="P74" s="38" t="inlineStr">
        <is>
          <t>M6</t>
        </is>
      </c>
      <c r="Q74" s="38" t="inlineStr">
        <is>
          <t>J</t>
        </is>
      </c>
      <c r="R74" s="38" t="inlineStr">
        <is>
          <t>G2</t>
        </is>
      </c>
      <c r="S74" s="24" t="inlineStr">
        <is>
          <t>K</t>
        </is>
      </c>
      <c r="U74" s="157">
        <f>VLOOKUP(M74, $A$4:$J$29, 9, 0)</f>
      </c>
      <c r="V74" s="157">
        <f>VLOOKUP(N74, $A$4:$J$29, 9, 0)</f>
      </c>
      <c r="W74" s="157">
        <f>VLOOKUP(O74, $A$4:$J$29, 9, 0)</f>
      </c>
      <c r="X74" s="157">
        <f>VLOOKUP(P74, $A$4:$J$29, 9, 0)</f>
      </c>
      <c r="Y74" s="157">
        <f>VLOOKUP(Q74, $A$4:$J$29, 9, 0)</f>
      </c>
      <c r="Z74" s="157">
        <f>VLOOKUP(R74, $A$4:$J$29, 9, 0)</f>
      </c>
      <c r="AA74" s="157">
        <f>VLOOKUP(S74, $A$4:$J$29, 9, 0)</f>
      </c>
      <c r="AC74" s="18">
        <v>0</v>
      </c>
      <c r="AD74" s="18">
        <v>0</v>
      </c>
      <c r="AE74" s="18">
        <v>1</v>
      </c>
      <c r="AF74" s="18">
        <v>1</v>
      </c>
      <c r="AG74" s="18">
        <v>1</v>
      </c>
      <c r="AH74" s="18">
        <v>1</v>
      </c>
      <c r="AI74" s="4">
        <v>0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inlineStr">
        <is>
          <t>M6</t>
        </is>
      </c>
      <c r="N75" s="38" t="inlineStr">
        <is>
          <t>M2</t>
        </is>
      </c>
      <c r="O75" s="38" t="inlineStr">
        <is>
          <t>M4</t>
        </is>
      </c>
      <c r="P75" s="38" t="inlineStr">
        <is>
          <t>K</t>
        </is>
      </c>
      <c r="Q75" s="38" t="inlineStr">
        <is>
          <t>Q</t>
        </is>
      </c>
      <c r="R75" s="38" t="inlineStr">
        <is>
          <t>GJ</t>
        </is>
      </c>
      <c r="S75" s="24" t="inlineStr">
        <is>
          <t>TE</t>
        </is>
      </c>
      <c r="U75" s="157">
        <f>VLOOKUP(M75, $A$4:$J$29, 9, 0)</f>
      </c>
      <c r="V75" s="157">
        <f>VLOOKUP(N75, $A$4:$J$29, 9, 0)</f>
      </c>
      <c r="W75" s="157">
        <f>VLOOKUP(O75, $A$4:$J$29, 9, 0)</f>
      </c>
      <c r="X75" s="157">
        <f>VLOOKUP(P75, $A$4:$J$29, 9, 0)</f>
      </c>
      <c r="Y75" s="157">
        <f>VLOOKUP(Q75, $A$4:$J$29, 9, 0)</f>
      </c>
      <c r="Z75" s="157">
        <f>VLOOKUP(R75, $A$4:$J$29, 9, 0)</f>
      </c>
      <c r="AA75" s="157">
        <f>VLOOKUP(S75, $A$4:$J$29, 9, 0)</f>
      </c>
      <c r="AC75" s="18">
        <v>0</v>
      </c>
      <c r="AD75" s="18">
        <v>0</v>
      </c>
      <c r="AE75" s="18">
        <v>1</v>
      </c>
      <c r="AF75" s="18">
        <v>1</v>
      </c>
      <c r="AG75" s="18">
        <v>1</v>
      </c>
      <c r="AH75" s="18">
        <v>1</v>
      </c>
      <c r="AI75" s="4">
        <v>0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inlineStr">
        <is>
          <t>M3</t>
        </is>
      </c>
      <c r="N76" s="155" t="inlineStr">
        <is>
          <t>M6</t>
        </is>
      </c>
      <c r="O76" s="155" t="inlineStr">
        <is>
          <t>M5</t>
        </is>
      </c>
      <c r="P76" s="155" t="inlineStr">
        <is>
          <t>M5</t>
        </is>
      </c>
      <c r="Q76" s="155" t="inlineStr">
        <is>
          <t>A</t>
        </is>
      </c>
      <c r="R76" s="155" t="inlineStr">
        <is>
          <t>TE</t>
        </is>
      </c>
      <c r="S76" s="156" t="inlineStr">
        <is>
          <t>J</t>
        </is>
      </c>
      <c r="U76" s="157">
        <f>VLOOKUP(M76, $A$4:$J$29, 9, 0)</f>
      </c>
      <c r="V76" s="157">
        <f>VLOOKUP(N76, $A$4:$J$29, 9, 0)</f>
      </c>
      <c r="W76" s="157">
        <f>VLOOKUP(O76, $A$4:$J$29, 9, 0)</f>
      </c>
      <c r="X76" s="157">
        <f>VLOOKUP(P76, $A$4:$J$29, 9, 0)</f>
      </c>
      <c r="Y76" s="157">
        <f>VLOOKUP(Q76, $A$4:$J$29, 9, 0)</f>
      </c>
      <c r="Z76" s="157">
        <f>VLOOKUP(R76, $A$4:$J$29, 9, 0)</f>
      </c>
      <c r="AA76" s="157">
        <f>VLOOKUP(S76, $A$4:$J$29, 9, 0)</f>
      </c>
      <c r="AC76" s="18">
        <v>0</v>
      </c>
      <c r="AD76" s="18">
        <v>0</v>
      </c>
      <c r="AE76" s="18">
        <v>1</v>
      </c>
      <c r="AF76" s="18">
        <v>1</v>
      </c>
      <c r="AG76" s="18">
        <v>1</v>
      </c>
      <c r="AH76" s="18">
        <v>1</v>
      </c>
      <c r="AI76" s="4">
        <v>0</v>
      </c>
      <c r="AK76" s="153" t="s">
        <v>224</v>
      </c>
      <c r="AL76" s="153">
        <v>0</v>
      </c>
      <c r="AM76" s="153">
        <v>323</v>
      </c>
      <c r="AN76" s="153">
        <v>274</v>
      </c>
      <c r="AO76" s="153">
        <v>272</v>
      </c>
      <c r="AP76" s="153">
        <v>104</v>
      </c>
      <c r="AQ76" s="153">
        <v>78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inlineStr">
        <is>
          <t>K</t>
        </is>
      </c>
      <c r="N77" s="38" t="inlineStr">
        <is>
          <t>GA</t>
        </is>
      </c>
      <c r="O77" s="38" t="inlineStr">
        <is>
          <t>M1</t>
        </is>
      </c>
      <c r="P77" s="38" t="inlineStr">
        <is>
          <t>Q</t>
        </is>
      </c>
      <c r="Q77" s="38" t="inlineStr">
        <is>
          <t>M2</t>
        </is>
      </c>
      <c r="R77" s="38" t="inlineStr">
        <is>
          <t>K</t>
        </is>
      </c>
      <c r="S77" s="24" t="inlineStr">
        <is>
          <t>M4</t>
        </is>
      </c>
      <c r="U77" s="157">
        <f>VLOOKUP(M77, $A$4:$J$29, 9, 0)</f>
      </c>
      <c r="V77" s="157">
        <f>VLOOKUP(N77, $A$4:$J$29, 9, 0)</f>
      </c>
      <c r="W77" s="157">
        <f>VLOOKUP(O77, $A$4:$J$29, 9, 0)</f>
      </c>
      <c r="X77" s="157">
        <f>VLOOKUP(P77, $A$4:$J$29, 9, 0)</f>
      </c>
      <c r="Y77" s="157">
        <f>VLOOKUP(Q77, $A$4:$J$29, 9, 0)</f>
      </c>
      <c r="Z77" s="157">
        <f>VLOOKUP(R77, $A$4:$J$29, 9, 0)</f>
      </c>
      <c r="AA77" s="157">
        <f>VLOOKUP(S77, $A$4:$J$29, 9, 0)</f>
      </c>
      <c r="AC77" s="18">
        <v>0</v>
      </c>
      <c r="AD77" s="18">
        <v>0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1302</v>
      </c>
      <c r="AN77" s="153">
        <v>796</v>
      </c>
      <c r="AO77" s="153">
        <v>1226</v>
      </c>
      <c r="AP77" s="153">
        <v>50</v>
      </c>
      <c r="AQ77" s="153">
        <v>86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inlineStr">
        <is>
          <t>M3</t>
        </is>
      </c>
      <c r="N78" s="38" t="inlineStr">
        <is>
          <t>M5</t>
        </is>
      </c>
      <c r="O78" s="38" t="inlineStr">
        <is>
          <t>M4</t>
        </is>
      </c>
      <c r="P78" s="38" t="inlineStr">
        <is>
          <t>M5</t>
        </is>
      </c>
      <c r="Q78" s="38" t="inlineStr">
        <is>
          <t>K</t>
        </is>
      </c>
      <c r="R78" s="38" t="inlineStr">
        <is>
          <t>M3</t>
        </is>
      </c>
      <c r="S78" s="24" t="inlineStr">
        <is>
          <t>K</t>
        </is>
      </c>
      <c r="U78" s="157">
        <f>VLOOKUP(M78, $A$4:$J$29, 9, 0)</f>
      </c>
      <c r="V78" s="157">
        <f>VLOOKUP(N78, $A$4:$J$29, 9, 0)</f>
      </c>
      <c r="W78" s="157">
        <f>VLOOKUP(O78, $A$4:$J$29, 9, 0)</f>
      </c>
      <c r="X78" s="157">
        <f>VLOOKUP(P78, $A$4:$J$29, 9, 0)</f>
      </c>
      <c r="Y78" s="157">
        <f>VLOOKUP(Q78, $A$4:$J$29, 9, 0)</f>
      </c>
      <c r="Z78" s="157">
        <f>VLOOKUP(R78, $A$4:$J$29, 9, 0)</f>
      </c>
      <c r="AA78" s="157">
        <f>VLOOKUP(S78, $A$4:$J$29, 9, 0)</f>
      </c>
      <c r="AC78" s="18">
        <v>0</v>
      </c>
      <c r="AD78" s="18">
        <v>0</v>
      </c>
      <c r="AE78" s="18">
        <v>1</v>
      </c>
      <c r="AF78" s="18">
        <v>1</v>
      </c>
      <c r="AG78" s="18">
        <v>1</v>
      </c>
      <c r="AH78" s="18">
        <v>1</v>
      </c>
      <c r="AI78" s="4">
        <v>0</v>
      </c>
      <c r="AK78" s="153" t="s">
        <v>228</v>
      </c>
      <c r="AL78" s="153">
        <v>0</v>
      </c>
      <c r="AM78" s="153">
        <v>3315</v>
      </c>
      <c r="AN78" s="153">
        <v>2581</v>
      </c>
      <c r="AO78" s="153">
        <v>3161</v>
      </c>
      <c r="AP78" s="153">
        <v>1287</v>
      </c>
      <c r="AQ78" s="153">
        <v>627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inlineStr">
        <is>
          <t>A</t>
        </is>
      </c>
      <c r="N79" s="38" t="inlineStr">
        <is>
          <t>G6</t>
        </is>
      </c>
      <c r="O79" s="38" t="inlineStr">
        <is>
          <t>TE</t>
        </is>
      </c>
      <c r="P79" s="38" t="inlineStr">
        <is>
          <t>M5</t>
        </is>
      </c>
      <c r="Q79" s="38" t="inlineStr">
        <is>
          <t>G5</t>
        </is>
      </c>
      <c r="R79" s="38" t="inlineStr">
        <is>
          <t>TE</t>
        </is>
      </c>
      <c r="S79" s="24" t="inlineStr">
        <is>
          <t>M2</t>
        </is>
      </c>
      <c r="U79" s="157">
        <f>VLOOKUP(M79, $A$4:$J$29, 9, 0)</f>
      </c>
      <c r="V79" s="157">
        <f>VLOOKUP(N79, $A$4:$J$29, 9, 0)</f>
      </c>
      <c r="W79" s="157">
        <f>VLOOKUP(O79, $A$4:$J$29, 9, 0)</f>
      </c>
      <c r="X79" s="157">
        <f>VLOOKUP(P79, $A$4:$J$29, 9, 0)</f>
      </c>
      <c r="Y79" s="157">
        <f>VLOOKUP(Q79, $A$4:$J$29, 9, 0)</f>
      </c>
      <c r="Z79" s="157">
        <f>VLOOKUP(R79, $A$4:$J$29, 9, 0)</f>
      </c>
      <c r="AA79" s="157">
        <f>VLOOKUP(S79, $A$4:$J$29, 9, 0)</f>
      </c>
      <c r="AC79" s="18">
        <v>0</v>
      </c>
      <c r="AD79" s="18">
        <v>0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849</v>
      </c>
      <c r="AN79" s="153">
        <v>3370</v>
      </c>
      <c r="AO79" s="153">
        <v>896</v>
      </c>
      <c r="AP79" s="153">
        <v>527</v>
      </c>
      <c r="AQ79" s="153">
        <v>217</v>
      </c>
      <c r="AR79" s="153">
        <v>0</v>
      </c>
      <c r="AS79" s="150">
        <v>17</v>
      </c>
    </row>
    <row r="80" spans="2:45" x14ac:dyDescent="0.3">
      <c r="L80" s="15">
        <v>77</v>
      </c>
      <c r="M80" s="38" t="inlineStr">
        <is>
          <t>J</t>
        </is>
      </c>
      <c r="N80" s="38" t="inlineStr">
        <is>
          <t>GT</t>
        </is>
      </c>
      <c r="O80" s="38" t="inlineStr">
        <is>
          <t>G3</t>
        </is>
      </c>
      <c r="P80" s="38" t="inlineStr">
        <is>
          <t>M6</t>
        </is>
      </c>
      <c r="Q80" s="38" t="inlineStr">
        <is>
          <t>M2</t>
        </is>
      </c>
      <c r="R80" s="38" t="inlineStr">
        <is>
          <t>M6</t>
        </is>
      </c>
      <c r="S80" s="24" t="inlineStr">
        <is>
          <t>M6</t>
        </is>
      </c>
      <c r="U80" s="157">
        <f>VLOOKUP(M80, $A$4:$J$29, 9, 0)</f>
      </c>
      <c r="V80" s="157">
        <f>VLOOKUP(N80, $A$4:$J$29, 9, 0)</f>
      </c>
      <c r="W80" s="157">
        <f>VLOOKUP(O80, $A$4:$J$29, 9, 0)</f>
      </c>
      <c r="X80" s="157">
        <f>VLOOKUP(P80, $A$4:$J$29, 9, 0)</f>
      </c>
      <c r="Y80" s="157">
        <f>VLOOKUP(Q80, $A$4:$J$29, 9, 0)</f>
      </c>
      <c r="Z80" s="157">
        <f>VLOOKUP(R80, $A$4:$J$29, 9, 0)</f>
      </c>
      <c r="AA80" s="157">
        <f>VLOOKUP(S80, $A$4:$J$29, 9, 0)</f>
      </c>
      <c r="AC80" s="18">
        <v>1</v>
      </c>
      <c r="AD80" s="18">
        <v>0</v>
      </c>
      <c r="AE80" s="18">
        <v>1</v>
      </c>
      <c r="AF80" s="18">
        <v>1</v>
      </c>
      <c r="AG80" s="18">
        <v>1</v>
      </c>
      <c r="AH80" s="18">
        <v>1</v>
      </c>
      <c r="AI80" s="4">
        <v>0</v>
      </c>
      <c r="AK80" s="153" t="s">
        <v>232</v>
      </c>
      <c r="AL80" s="153">
        <v>0</v>
      </c>
      <c r="AM80" s="153">
        <v>3193</v>
      </c>
      <c r="AN80" s="153">
        <v>786</v>
      </c>
      <c r="AO80" s="153">
        <v>3555</v>
      </c>
      <c r="AP80" s="153">
        <v>1555</v>
      </c>
      <c r="AQ80" s="153">
        <v>905</v>
      </c>
      <c r="AR80" s="153">
        <v>0</v>
      </c>
      <c r="AS80" s="150">
        <v>18</v>
      </c>
    </row>
    <row r="81" spans="12:45" x14ac:dyDescent="0.3">
      <c r="L81" s="14">
        <v>78</v>
      </c>
      <c r="M81" s="38" t="inlineStr">
        <is>
          <t>J</t>
        </is>
      </c>
      <c r="N81" s="38" t="inlineStr">
        <is>
          <t>J</t>
        </is>
      </c>
      <c r="O81" s="38" t="inlineStr">
        <is>
          <t>GK</t>
        </is>
      </c>
      <c r="P81" s="38" t="inlineStr">
        <is>
          <t>J</t>
        </is>
      </c>
      <c r="Q81" s="38" t="inlineStr">
        <is>
          <t>TE</t>
        </is>
      </c>
      <c r="R81" s="38" t="inlineStr">
        <is>
          <t>M5</t>
        </is>
      </c>
      <c r="S81" s="24" t="inlineStr">
        <is>
          <t>Q</t>
        </is>
      </c>
      <c r="U81" s="157">
        <f>VLOOKUP(M81, $A$4:$J$29, 9, 0)</f>
      </c>
      <c r="V81" s="157">
        <f>VLOOKUP(N81, $A$4:$J$29, 9, 0)</f>
      </c>
      <c r="W81" s="157">
        <f>VLOOKUP(O81, $A$4:$J$29, 9, 0)</f>
      </c>
      <c r="X81" s="157">
        <f>VLOOKUP(P81, $A$4:$J$29, 9, 0)</f>
      </c>
      <c r="Y81" s="157">
        <f>VLOOKUP(Q81, $A$4:$J$29, 9, 0)</f>
      </c>
      <c r="Z81" s="157">
        <f>VLOOKUP(R81, $A$4:$J$29, 9, 0)</f>
      </c>
      <c r="AA81" s="157">
        <f>VLOOKUP(S81, $A$4:$J$29, 9, 0)</f>
      </c>
      <c r="AC81" s="18">
        <v>1</v>
      </c>
      <c r="AD81" s="18">
        <v>0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1739</v>
      </c>
      <c r="AN81" s="37">
        <v>4391</v>
      </c>
      <c r="AO81" s="37">
        <v>1854</v>
      </c>
      <c r="AP81" s="37">
        <v>664</v>
      </c>
      <c r="AQ81" s="37">
        <v>327</v>
      </c>
      <c r="AR81" s="37">
        <v>0</v>
      </c>
      <c r="AS81" s="4">
        <v>19</v>
      </c>
    </row>
    <row r="82" spans="12:45" x14ac:dyDescent="0.3">
      <c r="L82" s="15">
        <v>79</v>
      </c>
      <c r="M82" s="38" t="inlineStr">
        <is>
          <t>K</t>
        </is>
      </c>
      <c r="N82" s="38" t="inlineStr">
        <is>
          <t>GQ</t>
        </is>
      </c>
      <c r="O82" s="38" t="inlineStr">
        <is>
          <t>J</t>
        </is>
      </c>
      <c r="P82" s="38" t="inlineStr">
        <is>
          <t>M6</t>
        </is>
      </c>
      <c r="Q82" s="38" t="inlineStr">
        <is>
          <t>M2</t>
        </is>
      </c>
      <c r="R82" s="38" t="inlineStr">
        <is>
          <t>M5</t>
        </is>
      </c>
      <c r="S82" s="24" t="inlineStr">
        <is>
          <t>M4</t>
        </is>
      </c>
      <c r="U82" s="157">
        <f>VLOOKUP(M82, $A$4:$J$29, 9, 0)</f>
      </c>
      <c r="V82" s="157">
        <f>VLOOKUP(N82, $A$4:$J$29, 9, 0)</f>
      </c>
      <c r="W82" s="157">
        <f>VLOOKUP(O82, $A$4:$J$29, 9, 0)</f>
      </c>
      <c r="X82" s="157">
        <f>VLOOKUP(P82, $A$4:$J$29, 9, 0)</f>
      </c>
      <c r="Y82" s="157">
        <f>VLOOKUP(Q82, $A$4:$J$29, 9, 0)</f>
      </c>
      <c r="Z82" s="157">
        <f>VLOOKUP(R82, $A$4:$J$29, 9, 0)</f>
      </c>
      <c r="AA82" s="157">
        <f>VLOOKUP(S82, $A$4:$J$29, 9, 0)</f>
      </c>
      <c r="AC82" s="18">
        <v>1</v>
      </c>
      <c r="AD82" s="18">
        <v>0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2733</v>
      </c>
      <c r="AN82" s="37">
        <v>1560</v>
      </c>
      <c r="AO82" s="37">
        <v>2896</v>
      </c>
      <c r="AP82" s="37">
        <v>1878</v>
      </c>
      <c r="AQ82" s="37">
        <v>789</v>
      </c>
      <c r="AR82" s="37">
        <v>0</v>
      </c>
      <c r="AS82" s="4">
        <v>20</v>
      </c>
    </row>
    <row r="83" spans="12:45" x14ac:dyDescent="0.3">
      <c r="L83" s="14">
        <v>80</v>
      </c>
      <c r="M83" s="38" t="inlineStr">
        <is>
          <t>J</t>
        </is>
      </c>
      <c r="N83" s="38" t="inlineStr">
        <is>
          <t>M5</t>
        </is>
      </c>
      <c r="O83" s="38" t="inlineStr">
        <is>
          <t>J</t>
        </is>
      </c>
      <c r="P83" s="38" t="inlineStr">
        <is>
          <t>K</t>
        </is>
      </c>
      <c r="Q83" s="38" t="inlineStr">
        <is>
          <t>Q</t>
        </is>
      </c>
      <c r="R83" s="38" t="inlineStr">
        <is>
          <t>M4</t>
        </is>
      </c>
      <c r="S83" s="24" t="inlineStr">
        <is>
          <t>M4</t>
        </is>
      </c>
      <c r="U83" s="157">
        <f>VLOOKUP(M83, $A$4:$J$29, 9, 0)</f>
      </c>
      <c r="V83" s="157">
        <f>VLOOKUP(N83, $A$4:$J$29, 9, 0)</f>
      </c>
      <c r="W83" s="157">
        <f>VLOOKUP(O83, $A$4:$J$29, 9, 0)</f>
      </c>
      <c r="X83" s="157">
        <f>VLOOKUP(P83, $A$4:$J$29, 9, 0)</f>
      </c>
      <c r="Y83" s="157">
        <f>VLOOKUP(Q83, $A$4:$J$29, 9, 0)</f>
      </c>
      <c r="Z83" s="157">
        <f>VLOOKUP(R83, $A$4:$J$29, 9, 0)</f>
      </c>
      <c r="AA83" s="157">
        <f>VLOOKUP(S83, $A$4:$J$29, 9, 0)</f>
      </c>
      <c r="AC83" s="18">
        <v>1</v>
      </c>
      <c r="AD83" s="18">
        <v>0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2204</v>
      </c>
      <c r="AN83" s="37">
        <v>4162</v>
      </c>
      <c r="AO83" s="37">
        <v>2655</v>
      </c>
      <c r="AP83" s="37">
        <v>1001</v>
      </c>
      <c r="AQ83" s="37">
        <v>478</v>
      </c>
      <c r="AR83" s="37">
        <v>0</v>
      </c>
      <c r="AS83" s="4">
        <v>21</v>
      </c>
    </row>
    <row r="84" spans="12:45" x14ac:dyDescent="0.3">
      <c r="L84" s="15">
        <v>81</v>
      </c>
      <c r="M84" s="38" t="inlineStr">
        <is>
          <t>J</t>
        </is>
      </c>
      <c r="N84" s="38" t="inlineStr">
        <is>
          <t>Q</t>
        </is>
      </c>
      <c r="O84" s="38" t="inlineStr">
        <is>
          <t>M3</t>
        </is>
      </c>
      <c r="P84" s="38" t="inlineStr">
        <is>
          <t>TE</t>
        </is>
      </c>
      <c r="Q84" s="38" t="inlineStr">
        <is>
          <t>A</t>
        </is>
      </c>
      <c r="R84" s="38" t="inlineStr">
        <is>
          <t>M5</t>
        </is>
      </c>
      <c r="S84" s="24" t="inlineStr">
        <is>
          <t>M4</t>
        </is>
      </c>
      <c r="U84" s="157">
        <f>VLOOKUP(M84, $A$4:$J$29, 9, 0)</f>
      </c>
      <c r="V84" s="157">
        <f>VLOOKUP(N84, $A$4:$J$29, 9, 0)</f>
      </c>
      <c r="W84" s="157">
        <f>VLOOKUP(O84, $A$4:$J$29, 9, 0)</f>
      </c>
      <c r="X84" s="157">
        <f>VLOOKUP(P84, $A$4:$J$29, 9, 0)</f>
      </c>
      <c r="Y84" s="157">
        <f>VLOOKUP(Q84, $A$4:$J$29, 9, 0)</f>
      </c>
      <c r="Z84" s="157">
        <f>VLOOKUP(R84, $A$4:$J$29, 9, 0)</f>
      </c>
      <c r="AA84" s="157">
        <f>VLOOKUP(S84, $A$4:$J$29, 9, 0)</f>
      </c>
      <c r="AC84" s="18">
        <v>1</v>
      </c>
      <c r="AD84" s="18">
        <v>0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3434</v>
      </c>
      <c r="AN84" s="37">
        <v>2529</v>
      </c>
      <c r="AO84" s="37">
        <v>3797</v>
      </c>
      <c r="AP84" s="37">
        <v>2065</v>
      </c>
      <c r="AQ84" s="37">
        <v>1092</v>
      </c>
      <c r="AR84" s="37">
        <v>0</v>
      </c>
      <c r="AS84" s="4">
        <v>22</v>
      </c>
    </row>
    <row r="85" spans="12:45" x14ac:dyDescent="0.3">
      <c r="L85" s="15">
        <v>82</v>
      </c>
      <c r="M85" s="155" t="inlineStr">
        <is>
          <t>TE</t>
        </is>
      </c>
      <c r="N85" s="155" t="inlineStr">
        <is>
          <t>GQ</t>
        </is>
      </c>
      <c r="O85" s="155" t="inlineStr">
        <is>
          <t>A</t>
        </is>
      </c>
      <c r="P85" s="155" t="inlineStr">
        <is>
          <t>M2</t>
        </is>
      </c>
      <c r="Q85" s="155" t="inlineStr">
        <is>
          <t>M6</t>
        </is>
      </c>
      <c r="R85" s="155" t="inlineStr">
        <is>
          <t>M6</t>
        </is>
      </c>
      <c r="S85" s="156" t="inlineStr">
        <is>
          <t>M4</t>
        </is>
      </c>
      <c r="U85" s="157">
        <f>VLOOKUP(M85, $A$4:$J$29, 9, 0)</f>
      </c>
      <c r="V85" s="157">
        <f>VLOOKUP(N85, $A$4:$J$29, 9, 0)</f>
      </c>
      <c r="W85" s="157">
        <f>VLOOKUP(O85, $A$4:$J$29, 9, 0)</f>
      </c>
      <c r="X85" s="157">
        <f>VLOOKUP(P85, $A$4:$J$29, 9, 0)</f>
      </c>
      <c r="Y85" s="157">
        <f>VLOOKUP(Q85, $A$4:$J$29, 9, 0)</f>
      </c>
      <c r="Z85" s="157">
        <f>VLOOKUP(R85, $A$4:$J$29, 9, 0)</f>
      </c>
      <c r="AA85" s="157">
        <f>VLOOKUP(S85, $A$4:$J$29, 9, 0)</f>
      </c>
      <c r="AC85" s="18">
        <v>1</v>
      </c>
      <c r="AD85" s="18">
        <v>0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2846</v>
      </c>
      <c r="AN85" s="37">
        <v>3047</v>
      </c>
      <c r="AO85" s="37">
        <v>3092</v>
      </c>
      <c r="AP85" s="37">
        <v>1442</v>
      </c>
      <c r="AQ85" s="37">
        <v>801</v>
      </c>
      <c r="AR85" s="37">
        <v>0</v>
      </c>
      <c r="AS85" s="4">
        <v>23</v>
      </c>
    </row>
    <row r="86" spans="12:45" x14ac:dyDescent="0.3">
      <c r="L86" s="14">
        <v>83</v>
      </c>
      <c r="M86" s="38" t="inlineStr">
        <is>
          <t>M6</t>
        </is>
      </c>
      <c r="N86" s="38" t="inlineStr">
        <is>
          <t>TE</t>
        </is>
      </c>
      <c r="O86" s="38" t="inlineStr">
        <is>
          <t>GJ</t>
        </is>
      </c>
      <c r="P86" s="38" t="inlineStr">
        <is>
          <t>M3</t>
        </is>
      </c>
      <c r="Q86" s="38" t="inlineStr">
        <is>
          <t>A</t>
        </is>
      </c>
      <c r="R86" s="38" t="inlineStr">
        <is>
          <t>J</t>
        </is>
      </c>
      <c r="S86" s="24" t="inlineStr">
        <is>
          <t>K</t>
        </is>
      </c>
      <c r="U86" s="157">
        <f>VLOOKUP(M86, $A$4:$J$29, 9, 0)</f>
      </c>
      <c r="V86" s="157">
        <f>VLOOKUP(N86, $A$4:$J$29, 9, 0)</f>
      </c>
      <c r="W86" s="157">
        <f>VLOOKUP(O86, $A$4:$J$29, 9, 0)</f>
      </c>
      <c r="X86" s="157">
        <f>VLOOKUP(P86, $A$4:$J$29, 9, 0)</f>
      </c>
      <c r="Y86" s="157">
        <f>VLOOKUP(Q86, $A$4:$J$29, 9, 0)</f>
      </c>
      <c r="Z86" s="157">
        <f>VLOOKUP(R86, $A$4:$J$29, 9, 0)</f>
      </c>
      <c r="AA86" s="157">
        <f>VLOOKUP(S86, $A$4:$J$29, 9, 0)</f>
      </c>
      <c r="AC86" s="18">
        <v>1</v>
      </c>
      <c r="AD86" s="18">
        <v>0</v>
      </c>
      <c r="AE86" s="18">
        <v>1</v>
      </c>
      <c r="AF86" s="18">
        <v>1</v>
      </c>
      <c r="AG86" s="18">
        <v>1</v>
      </c>
      <c r="AH86" s="18">
        <v>1</v>
      </c>
      <c r="AI86" s="4">
        <v>0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inlineStr">
        <is>
          <t>J</t>
        </is>
      </c>
      <c r="N87" s="38" t="inlineStr">
        <is>
          <t>GA</t>
        </is>
      </c>
      <c r="O87" s="38" t="inlineStr">
        <is>
          <t>M4</t>
        </is>
      </c>
      <c r="P87" s="38" t="inlineStr">
        <is>
          <t>M6</t>
        </is>
      </c>
      <c r="Q87" s="38" t="inlineStr">
        <is>
          <t>M2</t>
        </is>
      </c>
      <c r="R87" s="38" t="inlineStr">
        <is>
          <t>Q</t>
        </is>
      </c>
      <c r="S87" s="24" t="inlineStr">
        <is>
          <t>M2</t>
        </is>
      </c>
      <c r="U87" s="157">
        <f>VLOOKUP(M87, $A$4:$J$29, 9, 0)</f>
      </c>
      <c r="V87" s="157">
        <f>VLOOKUP(N87, $A$4:$J$29, 9, 0)</f>
      </c>
      <c r="W87" s="157">
        <f>VLOOKUP(O87, $A$4:$J$29, 9, 0)</f>
      </c>
      <c r="X87" s="157">
        <f>VLOOKUP(P87, $A$4:$J$29, 9, 0)</f>
      </c>
      <c r="Y87" s="157">
        <f>VLOOKUP(Q87, $A$4:$J$29, 9, 0)</f>
      </c>
      <c r="Z87" s="157">
        <f>VLOOKUP(R87, $A$4:$J$29, 9, 0)</f>
      </c>
      <c r="AA87" s="157">
        <f>VLOOKUP(S87, $A$4:$J$29, 9, 0)</f>
      </c>
      <c r="AC87" s="18">
        <v>1</v>
      </c>
      <c r="AD87" s="18">
        <v>0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inlineStr">
        <is>
          <t>J</t>
        </is>
      </c>
      <c r="N88" s="38" t="inlineStr">
        <is>
          <t>M5</t>
        </is>
      </c>
      <c r="O88" s="38" t="inlineStr">
        <is>
          <t>TE</t>
        </is>
      </c>
      <c r="P88" s="38" t="inlineStr">
        <is>
          <t>J</t>
        </is>
      </c>
      <c r="Q88" s="38" t="inlineStr">
        <is>
          <t>M1</t>
        </is>
      </c>
      <c r="R88" s="38" t="inlineStr">
        <is>
          <t>GK</t>
        </is>
      </c>
      <c r="S88" s="24" t="inlineStr">
        <is>
          <t>TE</t>
        </is>
      </c>
      <c r="U88" s="157">
        <f>VLOOKUP(M88, $A$4:$J$29, 9, 0)</f>
      </c>
      <c r="V88" s="157">
        <f>VLOOKUP(N88, $A$4:$J$29, 9, 0)</f>
      </c>
      <c r="W88" s="157">
        <f>VLOOKUP(O88, $A$4:$J$29, 9, 0)</f>
      </c>
      <c r="X88" s="157">
        <f>VLOOKUP(P88, $A$4:$J$29, 9, 0)</f>
      </c>
      <c r="Y88" s="157">
        <f>VLOOKUP(Q88, $A$4:$J$29, 9, 0)</f>
      </c>
      <c r="Z88" s="157">
        <f>VLOOKUP(R88, $A$4:$J$29, 9, 0)</f>
      </c>
      <c r="AA88" s="157">
        <f>VLOOKUP(S88, $A$4:$J$29, 9, 0)</f>
      </c>
      <c r="AC88" s="18">
        <v>1</v>
      </c>
      <c r="AD88" s="18">
        <v>0</v>
      </c>
      <c r="AE88" s="18">
        <v>1</v>
      </c>
      <c r="AF88" s="18">
        <v>1</v>
      </c>
      <c r="AG88" s="18">
        <v>1</v>
      </c>
      <c r="AH88" s="18">
        <v>1</v>
      </c>
      <c r="AI88" s="4">
        <v>0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inlineStr">
        <is>
          <t>M6</t>
        </is>
      </c>
      <c r="N89" s="38" t="inlineStr">
        <is>
          <t>M5</t>
        </is>
      </c>
      <c r="O89" s="38" t="inlineStr">
        <is>
          <t>M5</t>
        </is>
      </c>
      <c r="P89" s="38" t="inlineStr">
        <is>
          <t>M6</t>
        </is>
      </c>
      <c r="Q89" s="38" t="inlineStr">
        <is>
          <t>TE</t>
        </is>
      </c>
      <c r="R89" s="38" t="inlineStr">
        <is>
          <t>G4</t>
        </is>
      </c>
      <c r="S89" s="24" t="inlineStr">
        <is>
          <t>A</t>
        </is>
      </c>
      <c r="U89" s="157">
        <f>VLOOKUP(M89, $A$4:$J$29, 9, 0)</f>
      </c>
      <c r="V89" s="157">
        <f>VLOOKUP(N89, $A$4:$J$29, 9, 0)</f>
      </c>
      <c r="W89" s="157">
        <f>VLOOKUP(O89, $A$4:$J$29, 9, 0)</f>
      </c>
      <c r="X89" s="157">
        <f>VLOOKUP(P89, $A$4:$J$29, 9, 0)</f>
      </c>
      <c r="Y89" s="157">
        <f>VLOOKUP(Q89, $A$4:$J$29, 9, 0)</f>
      </c>
      <c r="Z89" s="157">
        <f>VLOOKUP(R89, $A$4:$J$29, 9, 0)</f>
      </c>
      <c r="AA89" s="157">
        <f>VLOOKUP(S89, $A$4:$J$29, 9, 0)</f>
      </c>
      <c r="AC89" s="18">
        <v>1</v>
      </c>
      <c r="AD89" s="18">
        <v>0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inlineStr">
        <is>
          <t>J</t>
        </is>
      </c>
      <c r="N90" s="38" t="inlineStr">
        <is>
          <t>J</t>
        </is>
      </c>
      <c r="O90" s="38" t="inlineStr">
        <is>
          <t>M6</t>
        </is>
      </c>
      <c r="P90" s="38" t="inlineStr">
        <is>
          <t>M3</t>
        </is>
      </c>
      <c r="Q90" s="38" t="inlineStr">
        <is>
          <t>J</t>
        </is>
      </c>
      <c r="R90" s="38" t="inlineStr">
        <is>
          <t>Q</t>
        </is>
      </c>
      <c r="S90" s="24" t="inlineStr">
        <is>
          <t>K</t>
        </is>
      </c>
      <c r="U90" s="157">
        <f>VLOOKUP(M90, $A$4:$J$29, 9, 0)</f>
      </c>
      <c r="V90" s="157">
        <f>VLOOKUP(N90, $A$4:$J$29, 9, 0)</f>
      </c>
      <c r="W90" s="157">
        <f>VLOOKUP(O90, $A$4:$J$29, 9, 0)</f>
      </c>
      <c r="X90" s="157">
        <f>VLOOKUP(P90, $A$4:$J$29, 9, 0)</f>
      </c>
      <c r="Y90" s="157">
        <f>VLOOKUP(Q90, $A$4:$J$29, 9, 0)</f>
      </c>
      <c r="Z90" s="157">
        <f>VLOOKUP(R90, $A$4:$J$29, 9, 0)</f>
      </c>
      <c r="AA90" s="157">
        <f>VLOOKUP(S90, $A$4:$J$29, 9, 0)</f>
      </c>
      <c r="AC90" s="18">
        <v>1</v>
      </c>
      <c r="AD90" s="18">
        <v>0</v>
      </c>
      <c r="AE90" s="18">
        <v>1</v>
      </c>
      <c r="AF90" s="18">
        <v>1</v>
      </c>
      <c r="AG90" s="18">
        <v>1</v>
      </c>
      <c r="AH90" s="18">
        <v>1</v>
      </c>
      <c r="AI90" s="4">
        <v>0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inlineStr">
        <is>
          <t>K</t>
        </is>
      </c>
      <c r="N91" s="38" t="inlineStr">
        <is>
          <t>G4</t>
        </is>
      </c>
      <c r="O91" s="38" t="inlineStr">
        <is>
          <t>GQ</t>
        </is>
      </c>
      <c r="P91" s="38" t="inlineStr">
        <is>
          <t>M4</t>
        </is>
      </c>
      <c r="Q91" s="38" t="inlineStr">
        <is>
          <t>M1</t>
        </is>
      </c>
      <c r="R91" s="38" t="inlineStr">
        <is>
          <t>G4</t>
        </is>
      </c>
      <c r="S91" s="24" t="inlineStr">
        <is>
          <t>Q</t>
        </is>
      </c>
      <c r="U91" s="157">
        <f>VLOOKUP(M91, $A$4:$J$29, 9, 0)</f>
      </c>
      <c r="V91" s="157">
        <f>VLOOKUP(N91, $A$4:$J$29, 9, 0)</f>
      </c>
      <c r="W91" s="157">
        <f>VLOOKUP(O91, $A$4:$J$29, 9, 0)</f>
      </c>
      <c r="X91" s="157">
        <f>VLOOKUP(P91, $A$4:$J$29, 9, 0)</f>
      </c>
      <c r="Y91" s="157">
        <f>VLOOKUP(Q91, $A$4:$J$29, 9, 0)</f>
      </c>
      <c r="Z91" s="157">
        <f>VLOOKUP(R91, $A$4:$J$29, 9, 0)</f>
      </c>
      <c r="AA91" s="157">
        <f>VLOOKUP(S91, $A$4:$J$29, 9, 0)</f>
      </c>
      <c r="AC91" s="18">
        <v>1</v>
      </c>
      <c r="AD91" s="18">
        <v>0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inlineStr">
        <is>
          <t>TE</t>
        </is>
      </c>
      <c r="N92" s="38" t="inlineStr">
        <is>
          <t>TE</t>
        </is>
      </c>
      <c r="O92" s="38" t="inlineStr">
        <is>
          <t>J</t>
        </is>
      </c>
      <c r="P92" s="38" t="inlineStr">
        <is>
          <t>K</t>
        </is>
      </c>
      <c r="Q92" s="38" t="inlineStr">
        <is>
          <t>M4</t>
        </is>
      </c>
      <c r="R92" s="38" t="inlineStr">
        <is>
          <t>M3</t>
        </is>
      </c>
      <c r="S92" s="24" t="inlineStr">
        <is>
          <t>M6</t>
        </is>
      </c>
      <c r="U92" s="157">
        <f>VLOOKUP(M92, $A$4:$J$29, 9, 0)</f>
      </c>
      <c r="V92" s="157">
        <f>VLOOKUP(N92, $A$4:$J$29, 9, 0)</f>
      </c>
      <c r="W92" s="157">
        <f>VLOOKUP(O92, $A$4:$J$29, 9, 0)</f>
      </c>
      <c r="X92" s="157">
        <f>VLOOKUP(P92, $A$4:$J$29, 9, 0)</f>
      </c>
      <c r="Y92" s="157">
        <f>VLOOKUP(Q92, $A$4:$J$29, 9, 0)</f>
      </c>
      <c r="Z92" s="157">
        <f>VLOOKUP(R92, $A$4:$J$29, 9, 0)</f>
      </c>
      <c r="AA92" s="157">
        <f>VLOOKUP(S92, $A$4:$J$29, 9, 0)</f>
      </c>
      <c r="AC92" s="18">
        <v>1</v>
      </c>
      <c r="AD92" s="18">
        <v>0</v>
      </c>
      <c r="AE92" s="18">
        <v>1</v>
      </c>
      <c r="AF92" s="18">
        <v>1</v>
      </c>
      <c r="AG92" s="18">
        <v>1</v>
      </c>
      <c r="AH92" s="18">
        <v>1</v>
      </c>
      <c r="AI92" s="4">
        <v>0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inlineStr">
        <is>
          <t>TE</t>
        </is>
      </c>
      <c r="N93" s="38" t="inlineStr">
        <is>
          <t>M5</t>
        </is>
      </c>
      <c r="O93" s="38" t="inlineStr">
        <is>
          <t>M6</t>
        </is>
      </c>
      <c r="P93" s="38" t="inlineStr">
        <is>
          <t>GJ</t>
        </is>
      </c>
      <c r="Q93" s="38" t="inlineStr">
        <is>
          <t>G5</t>
        </is>
      </c>
      <c r="R93" s="38" t="inlineStr">
        <is>
          <t>M5</t>
        </is>
      </c>
      <c r="S93" s="24" t="inlineStr">
        <is>
          <t>A</t>
        </is>
      </c>
      <c r="U93" s="157">
        <f>VLOOKUP(M93, $A$4:$J$29, 9, 0)</f>
      </c>
      <c r="V93" s="157">
        <f>VLOOKUP(N93, $A$4:$J$29, 9, 0)</f>
      </c>
      <c r="W93" s="157">
        <f>VLOOKUP(O93, $A$4:$J$29, 9, 0)</f>
      </c>
      <c r="X93" s="157">
        <f>VLOOKUP(P93, $A$4:$J$29, 9, 0)</f>
      </c>
      <c r="Y93" s="157">
        <f>VLOOKUP(Q93, $A$4:$J$29, 9, 0)</f>
      </c>
      <c r="Z93" s="157">
        <f>VLOOKUP(R93, $A$4:$J$29, 9, 0)</f>
      </c>
      <c r="AA93" s="157">
        <f>VLOOKUP(S93, $A$4:$J$29, 9, 0)</f>
      </c>
      <c r="AC93" s="18">
        <v>1</v>
      </c>
      <c r="AD93" s="18">
        <v>0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inlineStr">
        <is>
          <t>M6</t>
        </is>
      </c>
      <c r="N94" s="155" t="inlineStr">
        <is>
          <t>TE</t>
        </is>
      </c>
      <c r="O94" s="155" t="inlineStr">
        <is>
          <t>TE</t>
        </is>
      </c>
      <c r="P94" s="155" t="inlineStr">
        <is>
          <t>G3</t>
        </is>
      </c>
      <c r="Q94" s="155" t="inlineStr">
        <is>
          <t>M5</t>
        </is>
      </c>
      <c r="R94" s="155" t="inlineStr">
        <is>
          <t>M6</t>
        </is>
      </c>
      <c r="S94" s="156" t="inlineStr">
        <is>
          <t>J</t>
        </is>
      </c>
      <c r="U94" s="157">
        <f>VLOOKUP(M94, $A$4:$J$29, 9, 0)</f>
      </c>
      <c r="V94" s="157">
        <f>VLOOKUP(N94, $A$4:$J$29, 9, 0)</f>
      </c>
      <c r="W94" s="157">
        <f>VLOOKUP(O94, $A$4:$J$29, 9, 0)</f>
      </c>
      <c r="X94" s="157">
        <f>VLOOKUP(P94, $A$4:$J$29, 9, 0)</f>
      </c>
      <c r="Y94" s="157">
        <f>VLOOKUP(Q94, $A$4:$J$29, 9, 0)</f>
      </c>
      <c r="Z94" s="157">
        <f>VLOOKUP(R94, $A$4:$J$29, 9, 0)</f>
      </c>
      <c r="AA94" s="157">
        <f>VLOOKUP(S94, $A$4:$J$29, 9, 0)</f>
      </c>
      <c r="AC94" s="18">
        <v>1</v>
      </c>
      <c r="AD94" s="18">
        <v>0</v>
      </c>
      <c r="AE94" s="18">
        <v>1</v>
      </c>
      <c r="AF94" s="18">
        <v>1</v>
      </c>
      <c r="AG94" s="18">
        <v>1</v>
      </c>
      <c r="AH94" s="18">
        <v>1</v>
      </c>
      <c r="AI94" s="4">
        <v>0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inlineStr">
        <is>
          <t>TE</t>
        </is>
      </c>
      <c r="N95" s="38" t="inlineStr">
        <is>
          <t>M3</t>
        </is>
      </c>
      <c r="O95" s="38" t="inlineStr">
        <is>
          <t>M6</t>
        </is>
      </c>
      <c r="P95" s="38" t="inlineStr">
        <is>
          <t>M4</t>
        </is>
      </c>
      <c r="Q95" s="38" t="inlineStr">
        <is>
          <t>M5</t>
        </is>
      </c>
      <c r="R95" s="38" t="inlineStr">
        <is>
          <t>M4</t>
        </is>
      </c>
      <c r="S95" s="24" t="inlineStr">
        <is>
          <t>M4</t>
        </is>
      </c>
      <c r="U95" s="157">
        <f>VLOOKUP(M95, $A$4:$J$29, 9, 0)</f>
      </c>
      <c r="V95" s="157">
        <f>VLOOKUP(N95, $A$4:$J$29, 9, 0)</f>
      </c>
      <c r="W95" s="157">
        <f>VLOOKUP(O95, $A$4:$J$29, 9, 0)</f>
      </c>
      <c r="X95" s="157">
        <f>VLOOKUP(P95, $A$4:$J$29, 9, 0)</f>
      </c>
      <c r="Y95" s="157">
        <f>VLOOKUP(Q95, $A$4:$J$29, 9, 0)</f>
      </c>
      <c r="Z95" s="157">
        <f>VLOOKUP(R95, $A$4:$J$29, 9, 0)</f>
      </c>
      <c r="AA95" s="157">
        <f>VLOOKUP(S95, $A$4:$J$29, 9, 0)</f>
      </c>
      <c r="AC95" s="18">
        <v>1</v>
      </c>
      <c r="AD95" s="18">
        <v>0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inlineStr">
        <is>
          <t>M6</t>
        </is>
      </c>
      <c r="N96" s="38" t="inlineStr">
        <is>
          <t>TE</t>
        </is>
      </c>
      <c r="O96" s="38" t="inlineStr">
        <is>
          <t>K</t>
        </is>
      </c>
      <c r="P96" s="38" t="inlineStr">
        <is>
          <t>G2</t>
        </is>
      </c>
      <c r="Q96" s="38" t="inlineStr">
        <is>
          <t>A</t>
        </is>
      </c>
      <c r="R96" s="38" t="inlineStr">
        <is>
          <t>J</t>
        </is>
      </c>
      <c r="S96" s="24" t="inlineStr">
        <is>
          <t>K</t>
        </is>
      </c>
      <c r="U96" s="157">
        <f>VLOOKUP(M96, $A$4:$J$29, 9, 0)</f>
      </c>
      <c r="V96" s="157">
        <f>VLOOKUP(N96, $A$4:$J$29, 9, 0)</f>
      </c>
      <c r="W96" s="157">
        <f>VLOOKUP(O96, $A$4:$J$29, 9, 0)</f>
      </c>
      <c r="X96" s="157">
        <f>VLOOKUP(P96, $A$4:$J$29, 9, 0)</f>
      </c>
      <c r="Y96" s="157">
        <f>VLOOKUP(Q96, $A$4:$J$29, 9, 0)</f>
      </c>
      <c r="Z96" s="157">
        <f>VLOOKUP(R96, $A$4:$J$29, 9, 0)</f>
      </c>
      <c r="AA96" s="157">
        <f>VLOOKUP(S96, $A$4:$J$29, 9, 0)</f>
      </c>
      <c r="AC96" s="18">
        <v>0</v>
      </c>
      <c r="AD96" s="18">
        <v>0</v>
      </c>
      <c r="AE96" s="18">
        <v>1</v>
      </c>
      <c r="AF96" s="18">
        <v>1</v>
      </c>
      <c r="AG96" s="18">
        <v>1</v>
      </c>
      <c r="AH96" s="18">
        <v>1</v>
      </c>
      <c r="AI96" s="4">
        <v>0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inlineStr">
        <is>
          <t>TE</t>
        </is>
      </c>
      <c r="N97" s="38" t="inlineStr">
        <is>
          <t>M2</t>
        </is>
      </c>
      <c r="O97" s="38" t="inlineStr">
        <is>
          <t>A</t>
        </is>
      </c>
      <c r="P97" s="38" t="inlineStr">
        <is>
          <t>M5</t>
        </is>
      </c>
      <c r="Q97" s="38" t="inlineStr">
        <is>
          <t>GQ</t>
        </is>
      </c>
      <c r="R97" s="38" t="inlineStr">
        <is>
          <t>M2</t>
        </is>
      </c>
      <c r="S97" s="24" t="inlineStr">
        <is>
          <t>M6</t>
        </is>
      </c>
      <c r="U97" s="157">
        <f>VLOOKUP(M97, $A$4:$J$29, 9, 0)</f>
      </c>
      <c r="V97" s="157">
        <f>VLOOKUP(N97, $A$4:$J$29, 9, 0)</f>
      </c>
      <c r="W97" s="157">
        <f>VLOOKUP(O97, $A$4:$J$29, 9, 0)</f>
      </c>
      <c r="X97" s="157">
        <f>VLOOKUP(P97, $A$4:$J$29, 9, 0)</f>
      </c>
      <c r="Y97" s="157">
        <f>VLOOKUP(Q97, $A$4:$J$29, 9, 0)</f>
      </c>
      <c r="Z97" s="157">
        <f>VLOOKUP(R97, $A$4:$J$29, 9, 0)</f>
      </c>
      <c r="AA97" s="157">
        <f>VLOOKUP(S97, $A$4:$J$29, 9, 0)</f>
      </c>
      <c r="AC97" s="18">
        <v>0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0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inlineStr">
        <is>
          <t>J</t>
        </is>
      </c>
      <c r="N98" s="38" t="inlineStr">
        <is>
          <t>M3</t>
        </is>
      </c>
      <c r="O98" s="38" t="inlineStr">
        <is>
          <t>G2</t>
        </is>
      </c>
      <c r="P98" s="38" t="inlineStr">
        <is>
          <t>M3</t>
        </is>
      </c>
      <c r="Q98" s="38" t="inlineStr">
        <is>
          <t>M6</t>
        </is>
      </c>
      <c r="R98" s="38" t="inlineStr">
        <is>
          <t>GQ</t>
        </is>
      </c>
      <c r="S98" s="24" t="inlineStr">
        <is>
          <t>TE</t>
        </is>
      </c>
      <c r="U98" s="157">
        <f>VLOOKUP(M98, $A$4:$J$29, 9, 0)</f>
      </c>
      <c r="V98" s="157">
        <f>VLOOKUP(N98, $A$4:$J$29, 9, 0)</f>
      </c>
      <c r="W98" s="157">
        <f>VLOOKUP(O98, $A$4:$J$29, 9, 0)</f>
      </c>
      <c r="X98" s="157">
        <f>VLOOKUP(P98, $A$4:$J$29, 9, 0)</f>
      </c>
      <c r="Y98" s="157">
        <f>VLOOKUP(Q98, $A$4:$J$29, 9, 0)</f>
      </c>
      <c r="Z98" s="157">
        <f>VLOOKUP(R98, $A$4:$J$29, 9, 0)</f>
      </c>
      <c r="AA98" s="157">
        <f>VLOOKUP(S98, $A$4:$J$29, 9, 0)</f>
      </c>
      <c r="AC98" s="18">
        <v>0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0</v>
      </c>
      <c r="AK98" s="153" t="s">
        <v>89</v>
      </c>
      <c r="AL98" s="153">
        <v>33812</v>
      </c>
      <c r="AM98" s="153">
        <v>132943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inlineStr">
        <is>
          <t>TE</t>
        </is>
      </c>
      <c r="N99" s="38" t="inlineStr">
        <is>
          <t>M3</t>
        </is>
      </c>
      <c r="O99" s="38" t="inlineStr">
        <is>
          <t>A</t>
        </is>
      </c>
      <c r="P99" s="38" t="inlineStr">
        <is>
          <t>G3</t>
        </is>
      </c>
      <c r="Q99" s="38" t="inlineStr">
        <is>
          <t>J</t>
        </is>
      </c>
      <c r="R99" s="38" t="inlineStr">
        <is>
          <t>K</t>
        </is>
      </c>
      <c r="S99" s="24" t="inlineStr">
        <is>
          <t>J</t>
        </is>
      </c>
      <c r="U99" s="157">
        <f>VLOOKUP(M99, $A$4:$J$29, 9, 0)</f>
      </c>
      <c r="V99" s="157">
        <f>VLOOKUP(N99, $A$4:$J$29, 9, 0)</f>
      </c>
      <c r="W99" s="157">
        <f>VLOOKUP(O99, $A$4:$J$29, 9, 0)</f>
      </c>
      <c r="X99" s="157">
        <f>VLOOKUP(P99, $A$4:$J$29, 9, 0)</f>
      </c>
      <c r="Y99" s="157">
        <f>VLOOKUP(Q99, $A$4:$J$29, 9, 0)</f>
      </c>
      <c r="Z99" s="157">
        <f>VLOOKUP(R99, $A$4:$J$29, 9, 0)</f>
      </c>
      <c r="AA99" s="157">
        <f>VLOOKUP(S99, $A$4:$J$29, 9, 0)</f>
      </c>
      <c r="AC99" s="18">
        <v>0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0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inlineStr">
        <is>
          <t>A</t>
        </is>
      </c>
      <c r="N100" s="38" t="inlineStr">
        <is>
          <t>M3</t>
        </is>
      </c>
      <c r="O100" s="38" t="inlineStr">
        <is>
          <t>TE</t>
        </is>
      </c>
      <c r="P100" s="38" t="inlineStr">
        <is>
          <t>M5</t>
        </is>
      </c>
      <c r="Q100" s="38" t="inlineStr">
        <is>
          <t>A</t>
        </is>
      </c>
      <c r="R100" s="38" t="inlineStr">
        <is>
          <t>J</t>
        </is>
      </c>
      <c r="S100" s="24" t="inlineStr">
        <is>
          <t>K</t>
        </is>
      </c>
      <c r="U100" s="157">
        <f>VLOOKUP(M100, $A$4:$J$29, 9, 0)</f>
      </c>
      <c r="V100" s="157">
        <f>VLOOKUP(N100, $A$4:$J$29, 9, 0)</f>
      </c>
      <c r="W100" s="157">
        <f>VLOOKUP(O100, $A$4:$J$29, 9, 0)</f>
      </c>
      <c r="X100" s="157">
        <f>VLOOKUP(P100, $A$4:$J$29, 9, 0)</f>
      </c>
      <c r="Y100" s="157">
        <f>VLOOKUP(Q100, $A$4:$J$29, 9, 0)</f>
      </c>
      <c r="Z100" s="157">
        <f>VLOOKUP(R100, $A$4:$J$29, 9, 0)</f>
      </c>
      <c r="AA100" s="157">
        <f>VLOOKUP(S100, $A$4:$J$29, 9, 0)</f>
      </c>
      <c r="AC100" s="18">
        <v>0</v>
      </c>
      <c r="AD100" s="18">
        <v>0</v>
      </c>
      <c r="AE100" s="18">
        <v>1</v>
      </c>
      <c r="AF100" s="18">
        <v>1</v>
      </c>
      <c r="AG100" s="18">
        <v>1</v>
      </c>
      <c r="AH100" s="18">
        <v>1</v>
      </c>
      <c r="AI100" s="4">
        <v>0</v>
      </c>
      <c r="AK100" s="37" t="s">
        <v>26</v>
      </c>
      <c r="AL100" s="37">
        <v>57584</v>
      </c>
      <c r="AM100" s="37">
        <v>113791</v>
      </c>
      <c r="AN100" s="37">
        <v>60030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inlineStr">
        <is>
          <t>M5</t>
        </is>
      </c>
      <c r="N101" s="38" t="inlineStr">
        <is>
          <t>G5</t>
        </is>
      </c>
      <c r="O101" s="38" t="inlineStr">
        <is>
          <t>A</t>
        </is>
      </c>
      <c r="P101" s="38" t="inlineStr">
        <is>
          <t>J</t>
        </is>
      </c>
      <c r="Q101" s="38" t="inlineStr">
        <is>
          <t>Q</t>
        </is>
      </c>
      <c r="R101" s="38" t="inlineStr">
        <is>
          <t>Q</t>
        </is>
      </c>
      <c r="S101" s="24" t="inlineStr">
        <is>
          <t>M4</t>
        </is>
      </c>
      <c r="U101" s="157">
        <f>VLOOKUP(M101, $A$4:$J$29, 9, 0)</f>
      </c>
      <c r="V101" s="157">
        <f>VLOOKUP(N101, $A$4:$J$29, 9, 0)</f>
      </c>
      <c r="W101" s="157">
        <f>VLOOKUP(O101, $A$4:$J$29, 9, 0)</f>
      </c>
      <c r="X101" s="157">
        <f>VLOOKUP(P101, $A$4:$J$29, 9, 0)</f>
      </c>
      <c r="Y101" s="157">
        <f>VLOOKUP(Q101, $A$4:$J$29, 9, 0)</f>
      </c>
      <c r="Z101" s="157">
        <f>VLOOKUP(R101, $A$4:$J$29, 9, 0)</f>
      </c>
      <c r="AA101" s="157">
        <f>VLOOKUP(S101, $A$4:$J$29, 9, 0)</f>
      </c>
      <c r="AC101" s="18">
        <v>0</v>
      </c>
      <c r="AD101" s="18">
        <v>0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160079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inlineStr">
        <is>
          <t>M3</t>
        </is>
      </c>
      <c r="N102" s="38" t="inlineStr">
        <is>
          <t>Q</t>
        </is>
      </c>
      <c r="O102" s="38" t="inlineStr">
        <is>
          <t>GQ</t>
        </is>
      </c>
      <c r="P102" s="38" t="inlineStr">
        <is>
          <t>K</t>
        </is>
      </c>
      <c r="Q102" s="38" t="inlineStr">
        <is>
          <t>M4</t>
        </is>
      </c>
      <c r="R102" s="38" t="inlineStr">
        <is>
          <t>TE</t>
        </is>
      </c>
      <c r="S102" s="24" t="inlineStr">
        <is>
          <t>M6</t>
        </is>
      </c>
      <c r="U102" s="157">
        <f>VLOOKUP(M102, $A$4:$J$29, 9, 0)</f>
      </c>
      <c r="V102" s="157">
        <f>VLOOKUP(N102, $A$4:$J$29, 9, 0)</f>
      </c>
      <c r="W102" s="157">
        <f>VLOOKUP(O102, $A$4:$J$29, 9, 0)</f>
      </c>
      <c r="X102" s="157">
        <f>VLOOKUP(P102, $A$4:$J$29, 9, 0)</f>
      </c>
      <c r="Y102" s="157">
        <f>VLOOKUP(Q102, $A$4:$J$29, 9, 0)</f>
      </c>
      <c r="Z102" s="157">
        <f>VLOOKUP(R102, $A$4:$J$29, 9, 0)</f>
      </c>
      <c r="AA102" s="157">
        <f>VLOOKUP(S102, $A$4:$J$29, 9, 0)</f>
      </c>
      <c r="AC102" s="18">
        <v>0</v>
      </c>
      <c r="AD102" s="18">
        <v>0</v>
      </c>
      <c r="AE102" s="18">
        <v>1</v>
      </c>
      <c r="AF102" s="18">
        <v>1</v>
      </c>
      <c r="AG102" s="18">
        <v>1</v>
      </c>
      <c r="AH102" s="18">
        <v>1</v>
      </c>
      <c r="AI102" s="4">
        <v>0</v>
      </c>
      <c r="AK102" s="37" t="s">
        <v>28</v>
      </c>
      <c r="AL102" s="37">
        <v>103801</v>
      </c>
      <c r="AM102" s="37">
        <v>142992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inlineStr">
        <is>
          <t>TE</t>
        </is>
      </c>
      <c r="N103" s="155" t="inlineStr">
        <is>
          <t>M2</t>
        </is>
      </c>
      <c r="O103" s="155" t="inlineStr">
        <is>
          <t>TE</t>
        </is>
      </c>
      <c r="P103" s="155" t="inlineStr">
        <is>
          <t>M4</t>
        </is>
      </c>
      <c r="Q103" s="155" t="inlineStr">
        <is>
          <t>M3</t>
        </is>
      </c>
      <c r="R103" s="155" t="inlineStr">
        <is>
          <t>J</t>
        </is>
      </c>
      <c r="S103" s="156" t="inlineStr">
        <is>
          <t>J</t>
        </is>
      </c>
      <c r="U103" s="157">
        <f>VLOOKUP(M103, $A$4:$J$29, 9, 0)</f>
      </c>
      <c r="V103" s="157">
        <f>VLOOKUP(N103, $A$4:$J$29, 9, 0)</f>
      </c>
      <c r="W103" s="157">
        <f>VLOOKUP(O103, $A$4:$J$29, 9, 0)</f>
      </c>
      <c r="X103" s="157">
        <f>VLOOKUP(P103, $A$4:$J$29, 9, 0)</f>
      </c>
      <c r="Y103" s="157">
        <f>VLOOKUP(Q103, $A$4:$J$29, 9, 0)</f>
      </c>
      <c r="Z103" s="157">
        <f>VLOOKUP(R103, $A$4:$J$29, 9, 0)</f>
      </c>
      <c r="AA103" s="157">
        <f>VLOOKUP(S103, $A$4:$J$29, 9, 0)</f>
      </c>
      <c r="AC103" s="18">
        <v>1</v>
      </c>
      <c r="AD103" s="18">
        <v>0</v>
      </c>
      <c r="AE103" s="18">
        <v>1</v>
      </c>
      <c r="AF103" s="18">
        <v>1</v>
      </c>
      <c r="AG103" s="18">
        <v>1</v>
      </c>
      <c r="AH103" s="18">
        <v>1</v>
      </c>
      <c r="AI103" s="4">
        <v>0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inlineStr">
        <is>
          <t>K</t>
        </is>
      </c>
      <c r="N104" s="38" t="inlineStr">
        <is>
          <t>K</t>
        </is>
      </c>
      <c r="O104" s="38" t="inlineStr">
        <is>
          <t>GA</t>
        </is>
      </c>
      <c r="P104" s="38" t="inlineStr">
        <is>
          <t>J</t>
        </is>
      </c>
      <c r="Q104" s="38" t="inlineStr">
        <is>
          <t>G4</t>
        </is>
      </c>
      <c r="R104" s="38" t="inlineStr">
        <is>
          <t>K</t>
        </is>
      </c>
      <c r="S104" s="24" t="inlineStr">
        <is>
          <t>A</t>
        </is>
      </c>
      <c r="U104" s="157">
        <f>VLOOKUP(M104, $A$4:$J$29, 9, 0)</f>
      </c>
      <c r="V104" s="157">
        <f>VLOOKUP(N104, $A$4:$J$29, 9, 0)</f>
      </c>
      <c r="W104" s="157">
        <f>VLOOKUP(O104, $A$4:$J$29, 9, 0)</f>
      </c>
      <c r="X104" s="157">
        <f>VLOOKUP(P104, $A$4:$J$29, 9, 0)</f>
      </c>
      <c r="Y104" s="157">
        <f>VLOOKUP(Q104, $A$4:$J$29, 9, 0)</f>
      </c>
      <c r="Z104" s="157">
        <f>VLOOKUP(R104, $A$4:$J$29, 9, 0)</f>
      </c>
      <c r="AA104" s="157">
        <f>VLOOKUP(S104, $A$4:$J$29, 9, 0)</f>
      </c>
      <c r="AC104" s="18">
        <v>0</v>
      </c>
      <c r="AD104" s="18">
        <v>0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inlineStr">
        <is>
          <t>TE</t>
        </is>
      </c>
      <c r="N105" s="38" t="inlineStr">
        <is>
          <t>GA</t>
        </is>
      </c>
      <c r="O105" s="38" t="inlineStr">
        <is>
          <t>M5</t>
        </is>
      </c>
      <c r="P105" s="38" t="inlineStr">
        <is>
          <t>M6</t>
        </is>
      </c>
      <c r="Q105" s="38" t="inlineStr">
        <is>
          <t>K</t>
        </is>
      </c>
      <c r="R105" s="38" t="inlineStr">
        <is>
          <t>M2</t>
        </is>
      </c>
      <c r="S105" s="24" t="inlineStr">
        <is>
          <t>TE</t>
        </is>
      </c>
      <c r="U105" s="157">
        <f>VLOOKUP(M105, $A$4:$J$29, 9, 0)</f>
      </c>
      <c r="V105" s="157">
        <f>VLOOKUP(N105, $A$4:$J$29, 9, 0)</f>
      </c>
      <c r="W105" s="157">
        <f>VLOOKUP(O105, $A$4:$J$29, 9, 0)</f>
      </c>
      <c r="X105" s="157">
        <f>VLOOKUP(P105, $A$4:$J$29, 9, 0)</f>
      </c>
      <c r="Y105" s="157">
        <f>VLOOKUP(Q105, $A$4:$J$29, 9, 0)</f>
      </c>
      <c r="Z105" s="157">
        <f>VLOOKUP(R105, $A$4:$J$29, 9, 0)</f>
      </c>
      <c r="AA105" s="157">
        <f>VLOOKUP(S105, $A$4:$J$29, 9, 0)</f>
      </c>
      <c r="AC105" s="18">
        <v>0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0</v>
      </c>
      <c r="AK105" s="153" t="s">
        <v>224</v>
      </c>
      <c r="AL105" s="153">
        <v>0</v>
      </c>
      <c r="AM105" s="153">
        <v>323</v>
      </c>
      <c r="AN105" s="153">
        <v>274</v>
      </c>
      <c r="AO105" s="153">
        <v>272</v>
      </c>
      <c r="AP105" s="153">
        <v>104</v>
      </c>
      <c r="AQ105" s="153">
        <v>78</v>
      </c>
      <c r="AR105" s="153">
        <v>0</v>
      </c>
      <c r="AS105" s="150">
        <v>14</v>
      </c>
    </row>
    <row r="106" spans="12:45" x14ac:dyDescent="0.3">
      <c r="L106" s="14">
        <v>103</v>
      </c>
      <c r="M106" s="38" t="inlineStr">
        <is>
          <t>J</t>
        </is>
      </c>
      <c r="N106" s="38" t="inlineStr">
        <is>
          <t>Q</t>
        </is>
      </c>
      <c r="O106" s="38" t="inlineStr">
        <is>
          <t>M6</t>
        </is>
      </c>
      <c r="P106" s="38" t="inlineStr">
        <is>
          <t>M2</t>
        </is>
      </c>
      <c r="Q106" s="38" t="inlineStr">
        <is>
          <t>J</t>
        </is>
      </c>
      <c r="R106" s="38" t="inlineStr">
        <is>
          <t>GA</t>
        </is>
      </c>
      <c r="S106" s="24" t="inlineStr">
        <is>
          <t>K</t>
        </is>
      </c>
      <c r="U106" s="157">
        <f>VLOOKUP(M106, $A$4:$J$29, 9, 0)</f>
      </c>
      <c r="V106" s="157">
        <f>VLOOKUP(N106, $A$4:$J$29, 9, 0)</f>
      </c>
      <c r="W106" s="157">
        <f>VLOOKUP(O106, $A$4:$J$29, 9, 0)</f>
      </c>
      <c r="X106" s="157">
        <f>VLOOKUP(P106, $A$4:$J$29, 9, 0)</f>
      </c>
      <c r="Y106" s="157">
        <f>VLOOKUP(Q106, $A$4:$J$29, 9, 0)</f>
      </c>
      <c r="Z106" s="157">
        <f>VLOOKUP(R106, $A$4:$J$29, 9, 0)</f>
      </c>
      <c r="AA106" s="157">
        <f>VLOOKUP(S106, $A$4:$J$29, 9, 0)</f>
      </c>
      <c r="AC106" s="18">
        <v>0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0</v>
      </c>
      <c r="AK106" s="153" t="s">
        <v>226</v>
      </c>
      <c r="AL106" s="153">
        <v>0</v>
      </c>
      <c r="AM106" s="153">
        <v>1302</v>
      </c>
      <c r="AN106" s="153">
        <v>796</v>
      </c>
      <c r="AO106" s="153">
        <v>1226</v>
      </c>
      <c r="AP106" s="153">
        <v>50</v>
      </c>
      <c r="AQ106" s="153">
        <v>86</v>
      </c>
      <c r="AR106" s="153">
        <v>0</v>
      </c>
      <c r="AS106" s="150">
        <v>15</v>
      </c>
    </row>
    <row r="107" spans="12:45" x14ac:dyDescent="0.3">
      <c r="L107" s="15">
        <v>104</v>
      </c>
      <c r="M107" s="38" t="inlineStr">
        <is>
          <t>J</t>
        </is>
      </c>
      <c r="N107" s="38" t="inlineStr">
        <is>
          <t>M4</t>
        </is>
      </c>
      <c r="O107" s="38" t="inlineStr">
        <is>
          <t>GT</t>
        </is>
      </c>
      <c r="P107" s="38" t="inlineStr">
        <is>
          <t>K</t>
        </is>
      </c>
      <c r="Q107" s="38" t="inlineStr">
        <is>
          <t>M5</t>
        </is>
      </c>
      <c r="R107" s="38" t="inlineStr">
        <is>
          <t>M2</t>
        </is>
      </c>
      <c r="S107" s="24" t="inlineStr">
        <is>
          <t>K</t>
        </is>
      </c>
      <c r="U107" s="157">
        <f>VLOOKUP(M107, $A$4:$J$29, 9, 0)</f>
      </c>
      <c r="V107" s="157">
        <f>VLOOKUP(N107, $A$4:$J$29, 9, 0)</f>
      </c>
      <c r="W107" s="157">
        <f>VLOOKUP(O107, $A$4:$J$29, 9, 0)</f>
      </c>
      <c r="X107" s="157">
        <f>VLOOKUP(P107, $A$4:$J$29, 9, 0)</f>
      </c>
      <c r="Y107" s="157">
        <f>VLOOKUP(Q107, $A$4:$J$29, 9, 0)</f>
      </c>
      <c r="Z107" s="157">
        <f>VLOOKUP(R107, $A$4:$J$29, 9, 0)</f>
      </c>
      <c r="AA107" s="157">
        <f>VLOOKUP(S107, $A$4:$J$29, 9, 0)</f>
      </c>
      <c r="AC107" s="18">
        <v>0</v>
      </c>
      <c r="AD107" s="18">
        <v>0</v>
      </c>
      <c r="AE107" s="18">
        <v>1</v>
      </c>
      <c r="AF107" s="18">
        <v>1</v>
      </c>
      <c r="AG107" s="18">
        <v>1</v>
      </c>
      <c r="AH107" s="18">
        <v>1</v>
      </c>
      <c r="AI107" s="4">
        <v>0</v>
      </c>
      <c r="AK107" s="153" t="s">
        <v>228</v>
      </c>
      <c r="AL107" s="153">
        <v>0</v>
      </c>
      <c r="AM107" s="153">
        <v>3315</v>
      </c>
      <c r="AN107" s="153">
        <v>2581</v>
      </c>
      <c r="AO107" s="153">
        <v>3161</v>
      </c>
      <c r="AP107" s="153">
        <v>1287</v>
      </c>
      <c r="AQ107" s="153">
        <v>627</v>
      </c>
      <c r="AR107" s="153">
        <v>0</v>
      </c>
      <c r="AS107" s="150">
        <v>16</v>
      </c>
    </row>
    <row r="108" spans="12:45" x14ac:dyDescent="0.3">
      <c r="L108" s="14">
        <v>105</v>
      </c>
      <c r="M108" s="38" t="inlineStr">
        <is>
          <t>M4</t>
        </is>
      </c>
      <c r="N108" s="38" t="inlineStr">
        <is>
          <t>M3</t>
        </is>
      </c>
      <c r="O108" s="38" t="inlineStr">
        <is>
          <t>G4</t>
        </is>
      </c>
      <c r="P108" s="38" t="inlineStr">
        <is>
          <t>K</t>
        </is>
      </c>
      <c r="Q108" s="38" t="inlineStr">
        <is>
          <t>G6</t>
        </is>
      </c>
      <c r="R108" s="38" t="inlineStr">
        <is>
          <t>M4</t>
        </is>
      </c>
      <c r="S108" s="24" t="inlineStr">
        <is>
          <t>K</t>
        </is>
      </c>
      <c r="U108" s="157">
        <f>VLOOKUP(M108, $A$4:$J$29, 9, 0)</f>
      </c>
      <c r="V108" s="157">
        <f>VLOOKUP(N108, $A$4:$J$29, 9, 0)</f>
      </c>
      <c r="W108" s="157">
        <f>VLOOKUP(O108, $A$4:$J$29, 9, 0)</f>
      </c>
      <c r="X108" s="157">
        <f>VLOOKUP(P108, $A$4:$J$29, 9, 0)</f>
      </c>
      <c r="Y108" s="157">
        <f>VLOOKUP(Q108, $A$4:$J$29, 9, 0)</f>
      </c>
      <c r="Z108" s="157">
        <f>VLOOKUP(R108, $A$4:$J$29, 9, 0)</f>
      </c>
      <c r="AA108" s="157">
        <f>VLOOKUP(S108, $A$4:$J$29, 9, 0)</f>
      </c>
      <c r="AC108" s="18">
        <v>0</v>
      </c>
      <c r="AD108" s="18">
        <v>0</v>
      </c>
      <c r="AE108" s="18">
        <v>1</v>
      </c>
      <c r="AF108" s="18">
        <v>1</v>
      </c>
      <c r="AG108" s="18">
        <v>1</v>
      </c>
      <c r="AH108" s="18">
        <v>1</v>
      </c>
      <c r="AI108" s="4">
        <v>0</v>
      </c>
      <c r="AK108" s="153" t="s">
        <v>230</v>
      </c>
      <c r="AL108" s="153">
        <v>0</v>
      </c>
      <c r="AM108" s="153">
        <v>849</v>
      </c>
      <c r="AN108" s="153">
        <v>3370</v>
      </c>
      <c r="AO108" s="153">
        <v>896</v>
      </c>
      <c r="AP108" s="153">
        <v>527</v>
      </c>
      <c r="AQ108" s="153">
        <v>217</v>
      </c>
      <c r="AR108" s="153">
        <v>0</v>
      </c>
      <c r="AS108" s="150">
        <v>17</v>
      </c>
    </row>
    <row r="109" spans="12:45" x14ac:dyDescent="0.3">
      <c r="L109" s="15">
        <v>106</v>
      </c>
      <c r="M109" s="38" t="inlineStr">
        <is>
          <t>TE</t>
        </is>
      </c>
      <c r="N109" s="38" t="inlineStr">
        <is>
          <t>GQ</t>
        </is>
      </c>
      <c r="O109" s="38" t="inlineStr">
        <is>
          <t>J</t>
        </is>
      </c>
      <c r="P109" s="38" t="inlineStr">
        <is>
          <t>G4</t>
        </is>
      </c>
      <c r="Q109" s="38" t="inlineStr">
        <is>
          <t>TE</t>
        </is>
      </c>
      <c r="R109" s="38" t="inlineStr">
        <is>
          <t>A</t>
        </is>
      </c>
      <c r="S109" s="24" t="inlineStr">
        <is>
          <t>K</t>
        </is>
      </c>
      <c r="U109" s="157">
        <f>VLOOKUP(M109, $A$4:$J$29, 9, 0)</f>
      </c>
      <c r="V109" s="157">
        <f>VLOOKUP(N109, $A$4:$J$29, 9, 0)</f>
      </c>
      <c r="W109" s="157">
        <f>VLOOKUP(O109, $A$4:$J$29, 9, 0)</f>
      </c>
      <c r="X109" s="157">
        <f>VLOOKUP(P109, $A$4:$J$29, 9, 0)</f>
      </c>
      <c r="Y109" s="157">
        <f>VLOOKUP(Q109, $A$4:$J$29, 9, 0)</f>
      </c>
      <c r="Z109" s="157">
        <f>VLOOKUP(R109, $A$4:$J$29, 9, 0)</f>
      </c>
      <c r="AA109" s="157">
        <f>VLOOKUP(S109, $A$4:$J$29, 9, 0)</f>
      </c>
      <c r="AC109" s="18">
        <v>0</v>
      </c>
      <c r="AD109" s="18">
        <v>0</v>
      </c>
      <c r="AE109" s="18">
        <v>1</v>
      </c>
      <c r="AF109" s="18">
        <v>1</v>
      </c>
      <c r="AG109" s="18">
        <v>1</v>
      </c>
      <c r="AH109" s="18">
        <v>1</v>
      </c>
      <c r="AI109" s="4">
        <v>0</v>
      </c>
      <c r="AK109" s="153" t="s">
        <v>232</v>
      </c>
      <c r="AL109" s="153">
        <v>0</v>
      </c>
      <c r="AM109" s="153">
        <v>3193</v>
      </c>
      <c r="AN109" s="153">
        <v>786</v>
      </c>
      <c r="AO109" s="153">
        <v>3555</v>
      </c>
      <c r="AP109" s="153">
        <v>1555</v>
      </c>
      <c r="AQ109" s="153">
        <v>905</v>
      </c>
      <c r="AR109" s="153">
        <v>0</v>
      </c>
      <c r="AS109" s="150">
        <v>18</v>
      </c>
    </row>
    <row r="110" spans="12:45" x14ac:dyDescent="0.3">
      <c r="L110" s="14">
        <v>107</v>
      </c>
      <c r="M110" s="38" t="inlineStr">
        <is>
          <t>M1</t>
        </is>
      </c>
      <c r="N110" s="38" t="inlineStr">
        <is>
          <t>G4</t>
        </is>
      </c>
      <c r="O110" s="38" t="inlineStr">
        <is>
          <t>J</t>
        </is>
      </c>
      <c r="P110" s="38" t="inlineStr">
        <is>
          <t>GJ</t>
        </is>
      </c>
      <c r="Q110" s="38" t="inlineStr">
        <is>
          <t>G2</t>
        </is>
      </c>
      <c r="R110" s="38" t="inlineStr">
        <is>
          <t>M3</t>
        </is>
      </c>
      <c r="S110" s="24" t="inlineStr">
        <is>
          <t>J</t>
        </is>
      </c>
      <c r="U110" s="157">
        <f>VLOOKUP(M110, $A$4:$J$29, 9, 0)</f>
      </c>
      <c r="V110" s="157">
        <f>VLOOKUP(N110, $A$4:$J$29, 9, 0)</f>
      </c>
      <c r="W110" s="157">
        <f>VLOOKUP(O110, $A$4:$J$29, 9, 0)</f>
      </c>
      <c r="X110" s="157">
        <f>VLOOKUP(P110, $A$4:$J$29, 9, 0)</f>
      </c>
      <c r="Y110" s="157">
        <f>VLOOKUP(Q110, $A$4:$J$29, 9, 0)</f>
      </c>
      <c r="Z110" s="157">
        <f>VLOOKUP(R110, $A$4:$J$29, 9, 0)</f>
      </c>
      <c r="AA110" s="157">
        <f>VLOOKUP(S110, $A$4:$J$29, 9, 0)</f>
      </c>
      <c r="AC110" s="18">
        <v>0</v>
      </c>
      <c r="AD110" s="18">
        <v>0</v>
      </c>
      <c r="AE110" s="18">
        <v>1</v>
      </c>
      <c r="AF110" s="18">
        <v>1</v>
      </c>
      <c r="AG110" s="18">
        <v>1</v>
      </c>
      <c r="AH110" s="18">
        <v>1</v>
      </c>
      <c r="AI110" s="4">
        <v>0</v>
      </c>
      <c r="AK110" s="37" t="s">
        <v>234</v>
      </c>
      <c r="AL110" s="37">
        <v>0</v>
      </c>
      <c r="AM110" s="37">
        <v>1739</v>
      </c>
      <c r="AN110" s="37">
        <v>4391</v>
      </c>
      <c r="AO110" s="37">
        <v>1854</v>
      </c>
      <c r="AP110" s="37">
        <v>664</v>
      </c>
      <c r="AQ110" s="37">
        <v>327</v>
      </c>
      <c r="AR110" s="37">
        <v>0</v>
      </c>
      <c r="AS110" s="4">
        <v>19</v>
      </c>
    </row>
    <row r="111" spans="12:45" x14ac:dyDescent="0.3">
      <c r="L111" s="15">
        <v>108</v>
      </c>
      <c r="M111" s="38" t="inlineStr">
        <is>
          <t>TE</t>
        </is>
      </c>
      <c r="N111" s="38" t="inlineStr">
        <is>
          <t>K</t>
        </is>
      </c>
      <c r="O111" s="38" t="inlineStr">
        <is>
          <t>M4</t>
        </is>
      </c>
      <c r="P111" s="38" t="inlineStr">
        <is>
          <t>TE</t>
        </is>
      </c>
      <c r="Q111" s="38" t="inlineStr">
        <is>
          <t>M6</t>
        </is>
      </c>
      <c r="R111" s="38" t="inlineStr">
        <is>
          <t>M4</t>
        </is>
      </c>
      <c r="S111" s="24" t="inlineStr">
        <is>
          <t>Q</t>
        </is>
      </c>
      <c r="U111" s="157">
        <f>VLOOKUP(M111, $A$4:$J$29, 9, 0)</f>
      </c>
      <c r="V111" s="157">
        <f>VLOOKUP(N111, $A$4:$J$29, 9, 0)</f>
      </c>
      <c r="W111" s="157">
        <f>VLOOKUP(O111, $A$4:$J$29, 9, 0)</f>
      </c>
      <c r="X111" s="157">
        <f>VLOOKUP(P111, $A$4:$J$29, 9, 0)</f>
      </c>
      <c r="Y111" s="157">
        <f>VLOOKUP(Q111, $A$4:$J$29, 9, 0)</f>
      </c>
      <c r="Z111" s="157">
        <f>VLOOKUP(R111, $A$4:$J$29, 9, 0)</f>
      </c>
      <c r="AA111" s="157">
        <f>VLOOKUP(S111, $A$4:$J$29, 9, 0)</f>
      </c>
      <c r="AC111" s="18">
        <v>0</v>
      </c>
      <c r="AD111" s="18">
        <v>0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2733</v>
      </c>
      <c r="AN111" s="37">
        <v>1560</v>
      </c>
      <c r="AO111" s="37">
        <v>2896</v>
      </c>
      <c r="AP111" s="37">
        <v>1878</v>
      </c>
      <c r="AQ111" s="37">
        <v>789</v>
      </c>
      <c r="AR111" s="37">
        <v>0</v>
      </c>
      <c r="AS111" s="4">
        <v>20</v>
      </c>
    </row>
    <row r="112" spans="12:45" x14ac:dyDescent="0.3">
      <c r="L112" s="15">
        <v>109</v>
      </c>
      <c r="M112" s="155" t="inlineStr">
        <is>
          <t>K</t>
        </is>
      </c>
      <c r="N112" s="155" t="inlineStr">
        <is>
          <t>M5</t>
        </is>
      </c>
      <c r="O112" s="155" t="inlineStr">
        <is>
          <t>Q</t>
        </is>
      </c>
      <c r="P112" s="155" t="inlineStr">
        <is>
          <t>J</t>
        </is>
      </c>
      <c r="Q112" s="155" t="inlineStr">
        <is>
          <t>M5</t>
        </is>
      </c>
      <c r="R112" s="155" t="inlineStr">
        <is>
          <t>GK</t>
        </is>
      </c>
      <c r="S112" s="156" t="inlineStr">
        <is>
          <t>M2</t>
        </is>
      </c>
      <c r="U112" s="157">
        <f>VLOOKUP(M112, $A$4:$J$29, 9, 0)</f>
      </c>
      <c r="V112" s="157">
        <f>VLOOKUP(N112, $A$4:$J$29, 9, 0)</f>
      </c>
      <c r="W112" s="157">
        <f>VLOOKUP(O112, $A$4:$J$29, 9, 0)</f>
      </c>
      <c r="X112" s="157">
        <f>VLOOKUP(P112, $A$4:$J$29, 9, 0)</f>
      </c>
      <c r="Y112" s="157">
        <f>VLOOKUP(Q112, $A$4:$J$29, 9, 0)</f>
      </c>
      <c r="Z112" s="157">
        <f>VLOOKUP(R112, $A$4:$J$29, 9, 0)</f>
      </c>
      <c r="AA112" s="157">
        <f>VLOOKUP(S112, $A$4:$J$29, 9, 0)</f>
      </c>
      <c r="AC112" s="18">
        <v>0</v>
      </c>
      <c r="AD112" s="18">
        <v>0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2204</v>
      </c>
      <c r="AN112" s="37">
        <v>4162</v>
      </c>
      <c r="AO112" s="37">
        <v>2655</v>
      </c>
      <c r="AP112" s="37">
        <v>1001</v>
      </c>
      <c r="AQ112" s="37">
        <v>478</v>
      </c>
      <c r="AR112" s="37">
        <v>0</v>
      </c>
      <c r="AS112" s="4">
        <v>21</v>
      </c>
    </row>
    <row r="113" spans="12:46" x14ac:dyDescent="0.3">
      <c r="L113" s="14">
        <v>110</v>
      </c>
      <c r="M113" s="38" t="inlineStr">
        <is>
          <t>Q</t>
        </is>
      </c>
      <c r="N113" s="38" t="inlineStr">
        <is>
          <t>G2</t>
        </is>
      </c>
      <c r="O113" s="38" t="inlineStr">
        <is>
          <t>M4</t>
        </is>
      </c>
      <c r="P113" s="38" t="inlineStr">
        <is>
          <t>M6</t>
        </is>
      </c>
      <c r="Q113" s="38" t="inlineStr">
        <is>
          <t>M2</t>
        </is>
      </c>
      <c r="R113" s="38" t="inlineStr">
        <is>
          <t>J</t>
        </is>
      </c>
      <c r="S113" s="24" t="inlineStr">
        <is>
          <t>M6</t>
        </is>
      </c>
      <c r="U113" s="157">
        <f>VLOOKUP(M113, $A$4:$J$29, 9, 0)</f>
      </c>
      <c r="V113" s="157">
        <f>VLOOKUP(N113, $A$4:$J$29, 9, 0)</f>
      </c>
      <c r="W113" s="157">
        <f>VLOOKUP(O113, $A$4:$J$29, 9, 0)</f>
      </c>
      <c r="X113" s="157">
        <f>VLOOKUP(P113, $A$4:$J$29, 9, 0)</f>
      </c>
      <c r="Y113" s="157">
        <f>VLOOKUP(Q113, $A$4:$J$29, 9, 0)</f>
      </c>
      <c r="Z113" s="157">
        <f>VLOOKUP(R113, $A$4:$J$29, 9, 0)</f>
      </c>
      <c r="AA113" s="157">
        <f>VLOOKUP(S113, $A$4:$J$29, 9, 0)</f>
      </c>
      <c r="AC113" s="18">
        <v>0</v>
      </c>
      <c r="AD113" s="18">
        <v>0</v>
      </c>
      <c r="AE113" s="18">
        <v>1</v>
      </c>
      <c r="AF113" s="18">
        <v>1</v>
      </c>
      <c r="AG113" s="18">
        <v>1</v>
      </c>
      <c r="AH113" s="18">
        <v>1</v>
      </c>
      <c r="AI113" s="4">
        <v>0</v>
      </c>
      <c r="AK113" s="37" t="s">
        <v>240</v>
      </c>
      <c r="AL113" s="37">
        <v>0</v>
      </c>
      <c r="AM113" s="37">
        <v>3434</v>
      </c>
      <c r="AN113" s="37">
        <v>2529</v>
      </c>
      <c r="AO113" s="37">
        <v>3797</v>
      </c>
      <c r="AP113" s="37">
        <v>2065</v>
      </c>
      <c r="AQ113" s="37">
        <v>1092</v>
      </c>
      <c r="AR113" s="37">
        <v>0</v>
      </c>
      <c r="AS113" s="4">
        <v>22</v>
      </c>
    </row>
    <row r="114" spans="12:46" x14ac:dyDescent="0.3">
      <c r="L114" s="15">
        <v>111</v>
      </c>
      <c r="M114" s="38" t="inlineStr">
        <is>
          <t>Q</t>
        </is>
      </c>
      <c r="N114" s="38" t="inlineStr">
        <is>
          <t>K</t>
        </is>
      </c>
      <c r="O114" s="38" t="inlineStr">
        <is>
          <t>J</t>
        </is>
      </c>
      <c r="P114" s="38" t="inlineStr">
        <is>
          <t>GA</t>
        </is>
      </c>
      <c r="Q114" s="38" t="inlineStr">
        <is>
          <t>G6</t>
        </is>
      </c>
      <c r="R114" s="38" t="inlineStr">
        <is>
          <t>GJ</t>
        </is>
      </c>
      <c r="S114" s="24" t="inlineStr">
        <is>
          <t>M3</t>
        </is>
      </c>
      <c r="U114" s="157">
        <f>VLOOKUP(M114, $A$4:$J$29, 9, 0)</f>
      </c>
      <c r="V114" s="157">
        <f>VLOOKUP(N114, $A$4:$J$29, 9, 0)</f>
      </c>
      <c r="W114" s="157">
        <f>VLOOKUP(O114, $A$4:$J$29, 9, 0)</f>
      </c>
      <c r="X114" s="157">
        <f>VLOOKUP(P114, $A$4:$J$29, 9, 0)</f>
      </c>
      <c r="Y114" s="157">
        <f>VLOOKUP(Q114, $A$4:$J$29, 9, 0)</f>
      </c>
      <c r="Z114" s="157">
        <f>VLOOKUP(R114, $A$4:$J$29, 9, 0)</f>
      </c>
      <c r="AA114" s="157">
        <f>VLOOKUP(S114, $A$4:$J$29, 9, 0)</f>
      </c>
      <c r="AC114" s="18">
        <v>0</v>
      </c>
      <c r="AD114" s="18">
        <v>0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2846</v>
      </c>
      <c r="AN114" s="37">
        <v>3047</v>
      </c>
      <c r="AO114" s="37">
        <v>3092</v>
      </c>
      <c r="AP114" s="37">
        <v>1442</v>
      </c>
      <c r="AQ114" s="37">
        <v>801</v>
      </c>
      <c r="AR114" s="37">
        <v>0</v>
      </c>
      <c r="AS114" s="4">
        <v>23</v>
      </c>
    </row>
    <row r="115" spans="12:46" x14ac:dyDescent="0.3">
      <c r="L115" s="14">
        <v>112</v>
      </c>
      <c r="M115" s="38" t="inlineStr">
        <is>
          <t>M6</t>
        </is>
      </c>
      <c r="N115" s="38" t="inlineStr">
        <is>
          <t>TE</t>
        </is>
      </c>
      <c r="O115" s="38" t="inlineStr">
        <is>
          <t>M3</t>
        </is>
      </c>
      <c r="P115" s="38" t="inlineStr">
        <is>
          <t>M3</t>
        </is>
      </c>
      <c r="Q115" s="38" t="inlineStr">
        <is>
          <t>GT</t>
        </is>
      </c>
      <c r="R115" s="38" t="inlineStr">
        <is>
          <t>G6</t>
        </is>
      </c>
      <c r="S115" s="24" t="inlineStr">
        <is>
          <t>M3</t>
        </is>
      </c>
      <c r="U115" s="157">
        <f>VLOOKUP(M115, $A$4:$J$29, 9, 0)</f>
      </c>
      <c r="V115" s="157">
        <f>VLOOKUP(N115, $A$4:$J$29, 9, 0)</f>
      </c>
      <c r="W115" s="157">
        <f>VLOOKUP(O115, $A$4:$J$29, 9, 0)</f>
      </c>
      <c r="X115" s="157">
        <f>VLOOKUP(P115, $A$4:$J$29, 9, 0)</f>
      </c>
      <c r="Y115" s="157">
        <f>VLOOKUP(Q115, $A$4:$J$29, 9, 0)</f>
      </c>
      <c r="Z115" s="157">
        <f>VLOOKUP(R115, $A$4:$J$29, 9, 0)</f>
      </c>
      <c r="AA115" s="157">
        <f>VLOOKUP(S115, $A$4:$J$29, 9, 0)</f>
      </c>
      <c r="AC115" s="18">
        <v>0</v>
      </c>
      <c r="AD115" s="18">
        <v>0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inlineStr">
        <is>
          <t>TE</t>
        </is>
      </c>
      <c r="N116" s="38" t="inlineStr">
        <is>
          <t>TE</t>
        </is>
      </c>
      <c r="O116" s="38" t="inlineStr">
        <is>
          <t>Q</t>
        </is>
      </c>
      <c r="P116" s="38" t="inlineStr">
        <is>
          <t>Q</t>
        </is>
      </c>
      <c r="Q116" s="38" t="inlineStr">
        <is>
          <t>M6</t>
        </is>
      </c>
      <c r="R116" s="38" t="inlineStr">
        <is>
          <t>M5</t>
        </is>
      </c>
      <c r="S116" s="24" t="inlineStr">
        <is>
          <t>M3</t>
        </is>
      </c>
      <c r="U116" s="157">
        <f>VLOOKUP(M116, $A$4:$J$29, 9, 0)</f>
      </c>
      <c r="V116" s="157">
        <f>VLOOKUP(N116, $A$4:$J$29, 9, 0)</f>
      </c>
      <c r="W116" s="157">
        <f>VLOOKUP(O116, $A$4:$J$29, 9, 0)</f>
      </c>
      <c r="X116" s="157">
        <f>VLOOKUP(P116, $A$4:$J$29, 9, 0)</f>
      </c>
      <c r="Y116" s="157">
        <f>VLOOKUP(Q116, $A$4:$J$29, 9, 0)</f>
      </c>
      <c r="Z116" s="157">
        <f>VLOOKUP(R116, $A$4:$J$29, 9, 0)</f>
      </c>
      <c r="AA116" s="157">
        <f>VLOOKUP(S116, $A$4:$J$29, 9, 0)</f>
      </c>
      <c r="AC116" s="18">
        <v>0</v>
      </c>
      <c r="AD116" s="18">
        <v>0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inlineStr">
        <is>
          <t>K</t>
        </is>
      </c>
      <c r="N117" s="38" t="inlineStr">
        <is>
          <t>M6</t>
        </is>
      </c>
      <c r="O117" s="38" t="inlineStr">
        <is>
          <t>K</t>
        </is>
      </c>
      <c r="P117" s="38" t="inlineStr">
        <is>
          <t>M4</t>
        </is>
      </c>
      <c r="Q117" s="38" t="inlineStr">
        <is>
          <t>Q</t>
        </is>
      </c>
      <c r="R117" s="38" t="inlineStr">
        <is>
          <t>J</t>
        </is>
      </c>
      <c r="S117" s="24" t="inlineStr">
        <is>
          <t>M3</t>
        </is>
      </c>
      <c r="U117" s="157">
        <f>VLOOKUP(M117, $A$4:$J$29, 9, 0)</f>
      </c>
      <c r="V117" s="157">
        <f>VLOOKUP(N117, $A$4:$J$29, 9, 0)</f>
      </c>
      <c r="W117" s="157">
        <f>VLOOKUP(O117, $A$4:$J$29, 9, 0)</f>
      </c>
      <c r="X117" s="157">
        <f>VLOOKUP(P117, $A$4:$J$29, 9, 0)</f>
      </c>
      <c r="Y117" s="157">
        <f>VLOOKUP(Q117, $A$4:$J$29, 9, 0)</f>
      </c>
      <c r="Z117" s="157">
        <f>VLOOKUP(R117, $A$4:$J$29, 9, 0)</f>
      </c>
      <c r="AA117" s="157">
        <f>VLOOKUP(S117, $A$4:$J$29, 9, 0)</f>
      </c>
      <c r="AC117" s="18">
        <v>0</v>
      </c>
      <c r="AD117" s="18">
        <v>0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inlineStr">
        <is>
          <t>M6</t>
        </is>
      </c>
      <c r="N118" s="38" t="inlineStr">
        <is>
          <t>Q</t>
        </is>
      </c>
      <c r="O118" s="38" t="inlineStr">
        <is>
          <t>GK</t>
        </is>
      </c>
      <c r="P118" s="38" t="inlineStr">
        <is>
          <t>G6</t>
        </is>
      </c>
      <c r="Q118" s="38" t="inlineStr">
        <is>
          <t>M5</t>
        </is>
      </c>
      <c r="R118" s="38" t="inlineStr">
        <is>
          <t>M2</t>
        </is>
      </c>
      <c r="S118" s="24" t="inlineStr">
        <is>
          <t>J</t>
        </is>
      </c>
      <c r="U118" s="157">
        <f>VLOOKUP(M118, $A$4:$J$29, 9, 0)</f>
      </c>
      <c r="V118" s="157">
        <f>VLOOKUP(N118, $A$4:$J$29, 9, 0)</f>
      </c>
      <c r="W118" s="157">
        <f>VLOOKUP(O118, $A$4:$J$29, 9, 0)</f>
      </c>
      <c r="X118" s="157">
        <f>VLOOKUP(P118, $A$4:$J$29, 9, 0)</f>
      </c>
      <c r="Y118" s="157">
        <f>VLOOKUP(Q118, $A$4:$J$29, 9, 0)</f>
      </c>
      <c r="Z118" s="157">
        <f>VLOOKUP(R118, $A$4:$J$29, 9, 0)</f>
      </c>
      <c r="AA118" s="157">
        <f>VLOOKUP(S118, $A$4:$J$29, 9, 0)</f>
      </c>
      <c r="AC118" s="18">
        <v>0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0</v>
      </c>
      <c r="AK118" s="40" t="s">
        <v>262</v>
      </c>
    </row>
    <row r="119" spans="12:46" x14ac:dyDescent="0.3">
      <c r="L119" s="14">
        <v>116</v>
      </c>
      <c r="M119" s="38" t="inlineStr">
        <is>
          <t>M2</t>
        </is>
      </c>
      <c r="N119" s="38" t="inlineStr">
        <is>
          <t>GA</t>
        </is>
      </c>
      <c r="O119" s="38" t="inlineStr">
        <is>
          <t>M2</t>
        </is>
      </c>
      <c r="P119" s="38" t="inlineStr">
        <is>
          <t>M6</t>
        </is>
      </c>
      <c r="Q119" s="38" t="inlineStr">
        <is>
          <t>TE</t>
        </is>
      </c>
      <c r="R119" s="38" t="inlineStr">
        <is>
          <t>K</t>
        </is>
      </c>
      <c r="S119" s="24" t="inlineStr">
        <is>
          <t>K</t>
        </is>
      </c>
      <c r="U119" s="157">
        <f>VLOOKUP(M119, $A$4:$J$29, 9, 0)</f>
      </c>
      <c r="V119" s="157">
        <f>VLOOKUP(N119, $A$4:$J$29, 9, 0)</f>
      </c>
      <c r="W119" s="157">
        <f>VLOOKUP(O119, $A$4:$J$29, 9, 0)</f>
      </c>
      <c r="X119" s="157">
        <f>VLOOKUP(P119, $A$4:$J$29, 9, 0)</f>
      </c>
      <c r="Y119" s="157">
        <f>VLOOKUP(Q119, $A$4:$J$29, 9, 0)</f>
      </c>
      <c r="Z119" s="157">
        <f>VLOOKUP(R119, $A$4:$J$29, 9, 0)</f>
      </c>
      <c r="AA119" s="157">
        <f>VLOOKUP(S119, $A$4:$J$29, 9, 0)</f>
      </c>
      <c r="AC119" s="18">
        <v>0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0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inlineStr">
        <is>
          <t>TE</t>
        </is>
      </c>
      <c r="N120" s="38" t="inlineStr">
        <is>
          <t>M4</t>
        </is>
      </c>
      <c r="O120" s="38" t="inlineStr">
        <is>
          <t>M4</t>
        </is>
      </c>
      <c r="P120" s="38" t="inlineStr">
        <is>
          <t>TE</t>
        </is>
      </c>
      <c r="Q120" s="38" t="inlineStr">
        <is>
          <t>GK</t>
        </is>
      </c>
      <c r="R120" s="38" t="inlineStr">
        <is>
          <t>A</t>
        </is>
      </c>
      <c r="S120" s="24" t="inlineStr">
        <is>
          <t>WW</t>
        </is>
      </c>
      <c r="U120" s="157">
        <f>VLOOKUP(M120, $A$4:$J$29, 9, 0)</f>
      </c>
      <c r="V120" s="157">
        <f>VLOOKUP(N120, $A$4:$J$29, 9, 0)</f>
      </c>
      <c r="W120" s="157">
        <f>VLOOKUP(O120, $A$4:$J$29, 9, 0)</f>
      </c>
      <c r="X120" s="157">
        <f>VLOOKUP(P120, $A$4:$J$29, 9, 0)</f>
      </c>
      <c r="Y120" s="157">
        <f>VLOOKUP(Q120, $A$4:$J$29, 9, 0)</f>
      </c>
      <c r="Z120" s="157">
        <f>VLOOKUP(R120, $A$4:$J$29, 9, 0)</f>
      </c>
      <c r="AA120" s="157">
        <f>VLOOKUP(S120, $A$4:$J$29, 9, 0)</f>
      </c>
      <c r="AC120" s="18">
        <v>0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0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inlineStr">
        <is>
          <t>J</t>
        </is>
      </c>
      <c r="N121" s="155" t="inlineStr">
        <is>
          <t>M5</t>
        </is>
      </c>
      <c r="O121" s="155" t="inlineStr">
        <is>
          <t>TE</t>
        </is>
      </c>
      <c r="P121" s="155" t="inlineStr">
        <is>
          <t>J</t>
        </is>
      </c>
      <c r="Q121" s="155" t="inlineStr">
        <is>
          <t>M2</t>
        </is>
      </c>
      <c r="R121" s="155" t="inlineStr">
        <is>
          <t>K</t>
        </is>
      </c>
      <c r="S121" s="156" t="inlineStr">
        <is>
          <t>M5</t>
        </is>
      </c>
      <c r="U121" s="157">
        <f>VLOOKUP(M121, $A$4:$J$29, 9, 0)</f>
      </c>
      <c r="V121" s="157">
        <f>VLOOKUP(N121, $A$4:$J$29, 9, 0)</f>
      </c>
      <c r="W121" s="157">
        <f>VLOOKUP(O121, $A$4:$J$29, 9, 0)</f>
      </c>
      <c r="X121" s="157">
        <f>VLOOKUP(P121, $A$4:$J$29, 9, 0)</f>
      </c>
      <c r="Y121" s="157">
        <f>VLOOKUP(Q121, $A$4:$J$29, 9, 0)</f>
      </c>
      <c r="Z121" s="157">
        <f>VLOOKUP(R121, $A$4:$J$29, 9, 0)</f>
      </c>
      <c r="AA121" s="157">
        <f>VLOOKUP(S121, $A$4:$J$29, 9, 0)</f>
      </c>
      <c r="AC121" s="18">
        <v>0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inlineStr">
        <is>
          <t>J</t>
        </is>
      </c>
      <c r="N122" s="38" t="inlineStr">
        <is>
          <t>M4</t>
        </is>
      </c>
      <c r="O122" s="38" t="inlineStr">
        <is>
          <t>M6</t>
        </is>
      </c>
      <c r="P122" s="38" t="inlineStr">
        <is>
          <t>M2</t>
        </is>
      </c>
      <c r="Q122" s="38" t="inlineStr">
        <is>
          <t>TE</t>
        </is>
      </c>
      <c r="R122" s="38" t="inlineStr">
        <is>
          <t>A</t>
        </is>
      </c>
      <c r="S122" s="24" t="inlineStr">
        <is>
          <t>M6</t>
        </is>
      </c>
      <c r="U122" s="157">
        <f>VLOOKUP(M122, $A$4:$J$29, 9, 0)</f>
      </c>
      <c r="V122" s="157">
        <f>VLOOKUP(N122, $A$4:$J$29, 9, 0)</f>
      </c>
      <c r="W122" s="157">
        <f>VLOOKUP(O122, $A$4:$J$29, 9, 0)</f>
      </c>
      <c r="X122" s="157">
        <f>VLOOKUP(P122, $A$4:$J$29, 9, 0)</f>
      </c>
      <c r="Y122" s="157">
        <f>VLOOKUP(Q122, $A$4:$J$29, 9, 0)</f>
      </c>
      <c r="Z122" s="157">
        <f>VLOOKUP(R122, $A$4:$J$29, 9, 0)</f>
      </c>
      <c r="AA122" s="157">
        <f>VLOOKUP(S122, $A$4:$J$29, 9, 0)</f>
      </c>
      <c r="AC122" s="18">
        <v>0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0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inlineStr">
        <is>
          <t>A</t>
        </is>
      </c>
      <c r="N123" s="38" t="inlineStr">
        <is>
          <t>G5</t>
        </is>
      </c>
      <c r="O123" s="38" t="inlineStr">
        <is>
          <t>TE</t>
        </is>
      </c>
      <c r="P123" s="38" t="inlineStr">
        <is>
          <t>A</t>
        </is>
      </c>
      <c r="Q123" s="38" t="inlineStr">
        <is>
          <t>M5</t>
        </is>
      </c>
      <c r="R123" s="38" t="inlineStr">
        <is>
          <t>G5</t>
        </is>
      </c>
      <c r="S123" s="24" t="inlineStr">
        <is>
          <t>J</t>
        </is>
      </c>
      <c r="U123" s="157">
        <f>VLOOKUP(M123, $A$4:$J$29, 9, 0)</f>
      </c>
      <c r="V123" s="157">
        <f>VLOOKUP(N123, $A$4:$J$29, 9, 0)</f>
      </c>
      <c r="W123" s="157">
        <f>VLOOKUP(O123, $A$4:$J$29, 9, 0)</f>
      </c>
      <c r="X123" s="157">
        <f>VLOOKUP(P123, $A$4:$J$29, 9, 0)</f>
      </c>
      <c r="Y123" s="157">
        <f>VLOOKUP(Q123, $A$4:$J$29, 9, 0)</f>
      </c>
      <c r="Z123" s="157">
        <f>VLOOKUP(R123, $A$4:$J$29, 9, 0)</f>
      </c>
      <c r="AA123" s="157">
        <f>VLOOKUP(S123, $A$4:$J$29, 9, 0)</f>
      </c>
      <c r="AC123" s="18">
        <v>0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0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inlineStr">
        <is>
          <t>J</t>
        </is>
      </c>
      <c r="N124" s="38" t="inlineStr">
        <is>
          <t>G2</t>
        </is>
      </c>
      <c r="O124" s="38" t="inlineStr">
        <is>
          <t>G5</t>
        </is>
      </c>
      <c r="P124" s="38" t="inlineStr">
        <is>
          <t>Q</t>
        </is>
      </c>
      <c r="Q124" s="38" t="inlineStr">
        <is>
          <t>J</t>
        </is>
      </c>
      <c r="R124" s="38" t="inlineStr">
        <is>
          <t>K</t>
        </is>
      </c>
      <c r="S124" s="24" t="inlineStr">
        <is>
          <t>Q</t>
        </is>
      </c>
      <c r="U124" s="157">
        <f>VLOOKUP(M124, $A$4:$J$29, 9, 0)</f>
      </c>
      <c r="V124" s="157">
        <f>VLOOKUP(N124, $A$4:$J$29, 9, 0)</f>
      </c>
      <c r="W124" s="157">
        <f>VLOOKUP(O124, $A$4:$J$29, 9, 0)</f>
      </c>
      <c r="X124" s="157">
        <f>VLOOKUP(P124, $A$4:$J$29, 9, 0)</f>
      </c>
      <c r="Y124" s="157">
        <f>VLOOKUP(Q124, $A$4:$J$29, 9, 0)</f>
      </c>
      <c r="Z124" s="157">
        <f>VLOOKUP(R124, $A$4:$J$29, 9, 0)</f>
      </c>
      <c r="AA124" s="157">
        <f>VLOOKUP(S124, $A$4:$J$29, 9, 0)</f>
      </c>
      <c r="AC124" s="18">
        <v>0</v>
      </c>
      <c r="AD124" s="18">
        <v>0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inlineStr">
        <is>
          <t>M6</t>
        </is>
      </c>
      <c r="N125" s="38" t="inlineStr">
        <is>
          <t>Q</t>
        </is>
      </c>
      <c r="O125" s="38" t="inlineStr">
        <is>
          <t>M6</t>
        </is>
      </c>
      <c r="P125" s="38" t="inlineStr">
        <is>
          <t>G4</t>
        </is>
      </c>
      <c r="Q125" s="38" t="inlineStr">
        <is>
          <t>Q</t>
        </is>
      </c>
      <c r="R125" s="38" t="inlineStr">
        <is>
          <t>M6</t>
        </is>
      </c>
      <c r="S125" s="24" t="inlineStr">
        <is>
          <t>K</t>
        </is>
      </c>
      <c r="U125" s="157">
        <f>VLOOKUP(M125, $A$4:$J$29, 9, 0)</f>
      </c>
      <c r="V125" s="157">
        <f>VLOOKUP(N125, $A$4:$J$29, 9, 0)</f>
      </c>
      <c r="W125" s="157">
        <f>VLOOKUP(O125, $A$4:$J$29, 9, 0)</f>
      </c>
      <c r="X125" s="157">
        <f>VLOOKUP(P125, $A$4:$J$29, 9, 0)</f>
      </c>
      <c r="Y125" s="157">
        <f>VLOOKUP(Q125, $A$4:$J$29, 9, 0)</f>
      </c>
      <c r="Z125" s="157">
        <f>VLOOKUP(R125, $A$4:$J$29, 9, 0)</f>
      </c>
      <c r="AA125" s="157">
        <f>VLOOKUP(S125, $A$4:$J$29, 9, 0)</f>
      </c>
      <c r="AC125" s="18">
        <v>0</v>
      </c>
      <c r="AD125" s="18">
        <v>0</v>
      </c>
      <c r="AE125" s="18">
        <v>1</v>
      </c>
      <c r="AF125" s="18">
        <v>1</v>
      </c>
      <c r="AG125" s="18">
        <v>1</v>
      </c>
      <c r="AH125" s="18">
        <v>1</v>
      </c>
      <c r="AI125" s="18">
        <v>0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inlineStr">
        <is>
          <t>TE</t>
        </is>
      </c>
      <c r="N126" s="38" t="inlineStr">
        <is>
          <t>A</t>
        </is>
      </c>
      <c r="O126" s="38" t="inlineStr">
        <is>
          <t>K</t>
        </is>
      </c>
      <c r="P126" s="38" t="inlineStr">
        <is>
          <t>M5</t>
        </is>
      </c>
      <c r="Q126" s="38" t="inlineStr">
        <is>
          <t>M5</t>
        </is>
      </c>
      <c r="R126" s="38" t="inlineStr">
        <is>
          <t>K</t>
        </is>
      </c>
      <c r="S126" s="24" t="inlineStr">
        <is>
          <t>M2</t>
        </is>
      </c>
      <c r="U126" s="157">
        <f>VLOOKUP(M126, $A$4:$J$29, 9, 0)</f>
      </c>
      <c r="V126" s="157">
        <f>VLOOKUP(N126, $A$4:$J$29, 9, 0)</f>
      </c>
      <c r="W126" s="157">
        <f>VLOOKUP(O126, $A$4:$J$29, 9, 0)</f>
      </c>
      <c r="X126" s="157">
        <f>VLOOKUP(P126, $A$4:$J$29, 9, 0)</f>
      </c>
      <c r="Y126" s="157">
        <f>VLOOKUP(Q126, $A$4:$J$29, 9, 0)</f>
      </c>
      <c r="Z126" s="157">
        <f>VLOOKUP(R126, $A$4:$J$29, 9, 0)</f>
      </c>
      <c r="AA126" s="157">
        <f>VLOOKUP(S126, $A$4:$J$29, 9, 0)</f>
      </c>
      <c r="AC126" s="18">
        <v>0</v>
      </c>
      <c r="AD126" s="18">
        <v>0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inlineStr">
        <is>
          <t>A</t>
        </is>
      </c>
      <c r="N127" s="38" t="inlineStr">
        <is>
          <t>A</t>
        </is>
      </c>
      <c r="O127" s="38" t="inlineStr">
        <is>
          <t>GK</t>
        </is>
      </c>
      <c r="P127" s="38" t="inlineStr">
        <is>
          <t>J</t>
        </is>
      </c>
      <c r="Q127" s="38" t="inlineStr">
        <is>
          <t>M6</t>
        </is>
      </c>
      <c r="R127" s="38" t="inlineStr">
        <is>
          <t>M4</t>
        </is>
      </c>
      <c r="S127" s="24" t="inlineStr">
        <is>
          <t>M6</t>
        </is>
      </c>
      <c r="U127" s="157">
        <f>VLOOKUP(M127, $A$4:$J$29, 9, 0)</f>
      </c>
      <c r="V127" s="157">
        <f>VLOOKUP(N127, $A$4:$J$29, 9, 0)</f>
      </c>
      <c r="W127" s="157">
        <f>VLOOKUP(O127, $A$4:$J$29, 9, 0)</f>
      </c>
      <c r="X127" s="157">
        <f>VLOOKUP(P127, $A$4:$J$29, 9, 0)</f>
      </c>
      <c r="Y127" s="157">
        <f>VLOOKUP(Q127, $A$4:$J$29, 9, 0)</f>
      </c>
      <c r="Z127" s="157">
        <f>VLOOKUP(R127, $A$4:$J$29, 9, 0)</f>
      </c>
      <c r="AA127" s="157">
        <f>VLOOKUP(S127, $A$4:$J$29, 9, 0)</f>
      </c>
      <c r="AC127" s="18">
        <v>0</v>
      </c>
      <c r="AD127" s="18">
        <v>0</v>
      </c>
      <c r="AE127" s="18">
        <v>1</v>
      </c>
      <c r="AF127" s="18">
        <v>1</v>
      </c>
      <c r="AG127" s="18">
        <v>1</v>
      </c>
      <c r="AH127" s="18">
        <v>1</v>
      </c>
      <c r="AI127" s="18">
        <v>0</v>
      </c>
      <c r="AK127" s="153" t="s">
        <v>89</v>
      </c>
      <c r="AL127" s="153">
        <v>33812</v>
      </c>
      <c r="AM127" s="153">
        <v>132943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inlineStr">
        <is>
          <t>K</t>
        </is>
      </c>
      <c r="N128" s="38" t="inlineStr">
        <is>
          <t>TE</t>
        </is>
      </c>
      <c r="O128" s="38" t="inlineStr">
        <is>
          <t>GJ</t>
        </is>
      </c>
      <c r="P128" s="38" t="inlineStr">
        <is>
          <t>K</t>
        </is>
      </c>
      <c r="Q128" s="38" t="inlineStr">
        <is>
          <t>Q</t>
        </is>
      </c>
      <c r="R128" s="38" t="inlineStr">
        <is>
          <t>G5</t>
        </is>
      </c>
      <c r="S128" s="24" t="inlineStr">
        <is>
          <t>J</t>
        </is>
      </c>
      <c r="U128" s="157">
        <f>VLOOKUP(M128, $A$4:$J$29, 9, 0)</f>
      </c>
      <c r="V128" s="157">
        <f>VLOOKUP(N128, $A$4:$J$29, 9, 0)</f>
      </c>
      <c r="W128" s="157">
        <f>VLOOKUP(O128, $A$4:$J$29, 9, 0)</f>
      </c>
      <c r="X128" s="157">
        <f>VLOOKUP(P128, $A$4:$J$29, 9, 0)</f>
      </c>
      <c r="Y128" s="157">
        <f>VLOOKUP(Q128, $A$4:$J$29, 9, 0)</f>
      </c>
      <c r="Z128" s="157">
        <f>VLOOKUP(R128, $A$4:$J$29, 9, 0)</f>
      </c>
      <c r="AA128" s="157">
        <f>VLOOKUP(S128, $A$4:$J$29, 9, 0)</f>
      </c>
      <c r="AC128" s="18">
        <v>0</v>
      </c>
      <c r="AD128" s="18">
        <v>0</v>
      </c>
      <c r="AE128" s="18">
        <v>1</v>
      </c>
      <c r="AF128" s="18">
        <v>1</v>
      </c>
      <c r="AG128" s="18">
        <v>1</v>
      </c>
      <c r="AH128" s="18">
        <v>1</v>
      </c>
      <c r="AI128" s="18">
        <v>0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inlineStr">
        <is>
          <t>TE</t>
        </is>
      </c>
      <c r="N129" s="38" t="inlineStr">
        <is>
          <t>G2</t>
        </is>
      </c>
      <c r="O129" s="38" t="inlineStr">
        <is>
          <t>Q</t>
        </is>
      </c>
      <c r="P129" s="38" t="inlineStr">
        <is>
          <t>M4</t>
        </is>
      </c>
      <c r="Q129" s="38" t="inlineStr">
        <is>
          <t>G5</t>
        </is>
      </c>
      <c r="R129" s="38" t="inlineStr">
        <is>
          <t>M3</t>
        </is>
      </c>
      <c r="S129" s="24" t="inlineStr">
        <is>
          <t>M4</t>
        </is>
      </c>
      <c r="U129" s="157">
        <f>VLOOKUP(M129, $A$4:$J$29, 9, 0)</f>
      </c>
      <c r="V129" s="157">
        <f>VLOOKUP(N129, $A$4:$J$29, 9, 0)</f>
      </c>
      <c r="W129" s="157">
        <f>VLOOKUP(O129, $A$4:$J$29, 9, 0)</f>
      </c>
      <c r="X129" s="157">
        <f>VLOOKUP(P129, $A$4:$J$29, 9, 0)</f>
      </c>
      <c r="Y129" s="157">
        <f>VLOOKUP(Q129, $A$4:$J$29, 9, 0)</f>
      </c>
      <c r="Z129" s="157">
        <f>VLOOKUP(R129, $A$4:$J$29, 9, 0)</f>
      </c>
      <c r="AA129" s="157">
        <f>VLOOKUP(S129, $A$4:$J$29, 9, 0)</f>
      </c>
      <c r="AC129" s="18">
        <v>0</v>
      </c>
      <c r="AD129" s="18">
        <v>0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60030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inlineStr">
        <is>
          <t>K</t>
        </is>
      </c>
      <c r="N130" s="155" t="inlineStr">
        <is>
          <t>J</t>
        </is>
      </c>
      <c r="O130" s="155" t="inlineStr">
        <is>
          <t>M2</t>
        </is>
      </c>
      <c r="P130" s="155" t="inlineStr">
        <is>
          <t>GA</t>
        </is>
      </c>
      <c r="Q130" s="155" t="inlineStr">
        <is>
          <t>A</t>
        </is>
      </c>
      <c r="R130" s="155" t="inlineStr">
        <is>
          <t>Q</t>
        </is>
      </c>
      <c r="S130" s="156" t="inlineStr">
        <is>
          <t>K</t>
        </is>
      </c>
      <c r="U130" s="157">
        <f>VLOOKUP(M130, $A$4:$J$29, 9, 0)</f>
      </c>
      <c r="V130" s="157">
        <f>VLOOKUP(N130, $A$4:$J$29, 9, 0)</f>
      </c>
      <c r="W130" s="157">
        <f>VLOOKUP(O130, $A$4:$J$29, 9, 0)</f>
      </c>
      <c r="X130" s="157">
        <f>VLOOKUP(P130, $A$4:$J$29, 9, 0)</f>
      </c>
      <c r="Y130" s="157">
        <f>VLOOKUP(Q130, $A$4:$J$29, 9, 0)</f>
      </c>
      <c r="Z130" s="157">
        <f>VLOOKUP(R130, $A$4:$J$29, 9, 0)</f>
      </c>
      <c r="AA130" s="157">
        <f>VLOOKUP(S130, $A$4:$J$29, 9, 0)</f>
      </c>
      <c r="AC130" s="18">
        <v>0</v>
      </c>
      <c r="AD130" s="18">
        <v>0</v>
      </c>
      <c r="AE130" s="18">
        <v>1</v>
      </c>
      <c r="AF130" s="18">
        <v>1</v>
      </c>
      <c r="AG130" s="18">
        <v>1</v>
      </c>
      <c r="AH130" s="18">
        <v>1</v>
      </c>
      <c r="AI130" s="18">
        <v>0</v>
      </c>
      <c r="AK130" s="37" t="s">
        <v>27</v>
      </c>
      <c r="AL130" s="37">
        <v>178172</v>
      </c>
      <c r="AM130" s="37">
        <v>91802</v>
      </c>
      <c r="AN130" s="37">
        <v>160079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inlineStr">
        <is>
          <t>M4</t>
        </is>
      </c>
      <c r="N131" s="38" t="inlineStr">
        <is>
          <t>M5</t>
        </is>
      </c>
      <c r="O131" s="38" t="inlineStr">
        <is>
          <t>M4</t>
        </is>
      </c>
      <c r="P131" s="38" t="inlineStr">
        <is>
          <t>M6</t>
        </is>
      </c>
      <c r="Q131" s="38" t="inlineStr">
        <is>
          <t>GT</t>
        </is>
      </c>
      <c r="R131" s="38" t="inlineStr">
        <is>
          <t>J</t>
        </is>
      </c>
      <c r="S131" s="24" t="inlineStr">
        <is>
          <t>A</t>
        </is>
      </c>
      <c r="U131" s="157">
        <f>VLOOKUP(M131, $A$4:$J$29, 9, 0)</f>
      </c>
      <c r="V131" s="157">
        <f>VLOOKUP(N131, $A$4:$J$29, 9, 0)</f>
      </c>
      <c r="W131" s="157">
        <f>VLOOKUP(O131, $A$4:$J$29, 9, 0)</f>
      </c>
      <c r="X131" s="157">
        <f>VLOOKUP(P131, $A$4:$J$29, 9, 0)</f>
      </c>
      <c r="Y131" s="157">
        <f>VLOOKUP(Q131, $A$4:$J$29, 9, 0)</f>
      </c>
      <c r="Z131" s="157">
        <f>VLOOKUP(R131, $A$4:$J$29, 9, 0)</f>
      </c>
      <c r="AA131" s="157">
        <f>VLOOKUP(S131, $A$4:$J$29, 9, 0)</f>
      </c>
      <c r="AC131" s="18">
        <v>0</v>
      </c>
      <c r="AD131" s="18">
        <v>0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142992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inlineStr">
        <is>
          <t>M4</t>
        </is>
      </c>
      <c r="N132" s="38" t="inlineStr">
        <is>
          <t>M5</t>
        </is>
      </c>
      <c r="O132" s="38" t="inlineStr">
        <is>
          <t>M4</t>
        </is>
      </c>
      <c r="P132" s="38" t="inlineStr">
        <is>
          <t>M6</t>
        </is>
      </c>
      <c r="Q132" s="38" t="inlineStr">
        <is>
          <t>WW</t>
        </is>
      </c>
      <c r="R132" s="38" t="inlineStr">
        <is>
          <t>TE</t>
        </is>
      </c>
      <c r="S132" s="24" t="inlineStr">
        <is>
          <t>J</t>
        </is>
      </c>
      <c r="U132" s="157">
        <f>VLOOKUP(M132, $A$4:$J$29, 9, 0)</f>
      </c>
      <c r="V132" s="157">
        <f>VLOOKUP(N132, $A$4:$J$29, 9, 0)</f>
      </c>
      <c r="W132" s="157">
        <f>VLOOKUP(O132, $A$4:$J$29, 9, 0)</f>
      </c>
      <c r="X132" s="157">
        <f>VLOOKUP(P132, $A$4:$J$29, 9, 0)</f>
      </c>
      <c r="Y132" s="157">
        <f>VLOOKUP(Q132, $A$4:$J$29, 9, 0)</f>
      </c>
      <c r="Z132" s="157">
        <f>VLOOKUP(R132, $A$4:$J$29, 9, 0)</f>
      </c>
      <c r="AA132" s="157">
        <f>VLOOKUP(S132, $A$4:$J$29, 9, 0)</f>
      </c>
      <c r="AC132" s="18">
        <v>0</v>
      </c>
      <c r="AD132" s="18">
        <v>0</v>
      </c>
      <c r="AE132" s="18">
        <v>1</v>
      </c>
      <c r="AF132" s="18">
        <v>1</v>
      </c>
      <c r="AG132" s="18">
        <v>1</v>
      </c>
      <c r="AH132" s="18">
        <v>1</v>
      </c>
      <c r="AI132" s="18">
        <v>0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inlineStr">
        <is>
          <t>TE</t>
        </is>
      </c>
      <c r="N133" s="38" t="inlineStr">
        <is>
          <t>GT</t>
        </is>
      </c>
      <c r="O133" s="38" t="inlineStr">
        <is>
          <t>M5</t>
        </is>
      </c>
      <c r="P133" s="38" t="inlineStr">
        <is>
          <t>M2</t>
        </is>
      </c>
      <c r="Q133" s="38" t="inlineStr">
        <is>
          <t>M5</t>
        </is>
      </c>
      <c r="R133" s="38" t="inlineStr">
        <is>
          <t>M6</t>
        </is>
      </c>
      <c r="S133" s="24" t="inlineStr">
        <is>
          <t>TE</t>
        </is>
      </c>
      <c r="U133" s="157">
        <f>VLOOKUP(M133, $A$4:$J$29, 9, 0)</f>
      </c>
      <c r="V133" s="157">
        <f>VLOOKUP(N133, $A$4:$J$29, 9, 0)</f>
      </c>
      <c r="W133" s="157">
        <f>VLOOKUP(O133, $A$4:$J$29, 9, 0)</f>
      </c>
      <c r="X133" s="157">
        <f>VLOOKUP(P133, $A$4:$J$29, 9, 0)</f>
      </c>
      <c r="Y133" s="157">
        <f>VLOOKUP(Q133, $A$4:$J$29, 9, 0)</f>
      </c>
      <c r="Z133" s="157">
        <f>VLOOKUP(R133, $A$4:$J$29, 9, 0)</f>
      </c>
      <c r="AA133" s="157">
        <f>VLOOKUP(S133, $A$4:$J$29, 9, 0)</f>
      </c>
      <c r="AC133" s="18">
        <v>0</v>
      </c>
      <c r="AD133" s="18">
        <v>0</v>
      </c>
      <c r="AE133" s="18">
        <v>1</v>
      </c>
      <c r="AF133" s="18">
        <v>1</v>
      </c>
      <c r="AG133" s="18">
        <v>1</v>
      </c>
      <c r="AH133" s="18">
        <v>1</v>
      </c>
      <c r="AI133" s="18">
        <v>0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inlineStr">
        <is>
          <t>Q</t>
        </is>
      </c>
      <c r="N134" s="38" t="inlineStr">
        <is>
          <t>TE</t>
        </is>
      </c>
      <c r="O134" s="38" t="inlineStr">
        <is>
          <t>J</t>
        </is>
      </c>
      <c r="P134" s="38" t="inlineStr">
        <is>
          <t>G4</t>
        </is>
      </c>
      <c r="Q134" s="38" t="inlineStr">
        <is>
          <t>K</t>
        </is>
      </c>
      <c r="R134" s="38" t="inlineStr">
        <is>
          <t>GJ</t>
        </is>
      </c>
      <c r="S134" s="24" t="inlineStr">
        <is>
          <t>Q</t>
        </is>
      </c>
      <c r="U134" s="157">
        <f>VLOOKUP(M134, $A$4:$J$29, 9, 0)</f>
      </c>
      <c r="V134" s="157">
        <f>VLOOKUP(N134, $A$4:$J$29, 9, 0)</f>
      </c>
      <c r="W134" s="157">
        <f>VLOOKUP(O134, $A$4:$J$29, 9, 0)</f>
      </c>
      <c r="X134" s="157">
        <f>VLOOKUP(P134, $A$4:$J$29, 9, 0)</f>
      </c>
      <c r="Y134" s="157">
        <f>VLOOKUP(Q134, $A$4:$J$29, 9, 0)</f>
      </c>
      <c r="Z134" s="157">
        <f>VLOOKUP(R134, $A$4:$J$29, 9, 0)</f>
      </c>
      <c r="AA134" s="157">
        <f>VLOOKUP(S134, $A$4:$J$29, 9, 0)</f>
      </c>
      <c r="AC134" s="18">
        <v>0</v>
      </c>
      <c r="AD134" s="18">
        <v>0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323</v>
      </c>
      <c r="AN134" s="153">
        <v>274</v>
      </c>
      <c r="AO134" s="153">
        <v>272</v>
      </c>
      <c r="AP134" s="153">
        <v>104</v>
      </c>
      <c r="AQ134" s="153">
        <v>78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inlineStr">
        <is>
          <t>TE</t>
        </is>
      </c>
      <c r="N135" s="38" t="inlineStr">
        <is>
          <t>M3</t>
        </is>
      </c>
      <c r="O135" s="38" t="inlineStr">
        <is>
          <t>M3</t>
        </is>
      </c>
      <c r="P135" s="38" t="inlineStr">
        <is>
          <t>GJ</t>
        </is>
      </c>
      <c r="Q135" s="38" t="inlineStr">
        <is>
          <t>Q</t>
        </is>
      </c>
      <c r="R135" s="38" t="inlineStr">
        <is>
          <t>M2</t>
        </is>
      </c>
      <c r="S135" s="24" t="inlineStr">
        <is>
          <t>M4</t>
        </is>
      </c>
      <c r="U135" s="157">
        <f>VLOOKUP(M135, $A$4:$J$29, 9, 0)</f>
      </c>
      <c r="V135" s="157">
        <f>VLOOKUP(N135, $A$4:$J$29, 9, 0)</f>
      </c>
      <c r="W135" s="157">
        <f>VLOOKUP(O135, $A$4:$J$29, 9, 0)</f>
      </c>
      <c r="X135" s="157">
        <f>VLOOKUP(P135, $A$4:$J$29, 9, 0)</f>
      </c>
      <c r="Y135" s="157">
        <f>VLOOKUP(Q135, $A$4:$J$29, 9, 0)</f>
      </c>
      <c r="Z135" s="157">
        <f>VLOOKUP(R135, $A$4:$J$29, 9, 0)</f>
      </c>
      <c r="AA135" s="157">
        <f>VLOOKUP(S135, $A$4:$J$29, 9, 0)</f>
      </c>
      <c r="AC135" s="18">
        <v>0</v>
      </c>
      <c r="AD135" s="18">
        <v>0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1302</v>
      </c>
      <c r="AN135" s="153">
        <v>796</v>
      </c>
      <c r="AO135" s="153">
        <v>1226</v>
      </c>
      <c r="AP135" s="153">
        <v>50</v>
      </c>
      <c r="AQ135" s="153">
        <v>86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inlineStr">
        <is>
          <t>TE</t>
        </is>
      </c>
      <c r="N136" s="38" t="inlineStr">
        <is>
          <t>GT</t>
        </is>
      </c>
      <c r="O136" s="38" t="inlineStr">
        <is>
          <t>G3</t>
        </is>
      </c>
      <c r="P136" s="38" t="inlineStr">
        <is>
          <t>A</t>
        </is>
      </c>
      <c r="Q136" s="38" t="inlineStr">
        <is>
          <t>M5</t>
        </is>
      </c>
      <c r="R136" s="38" t="inlineStr">
        <is>
          <t>K</t>
        </is>
      </c>
      <c r="S136" s="24" t="inlineStr">
        <is>
          <t>J</t>
        </is>
      </c>
      <c r="U136" s="157">
        <f>VLOOKUP(M136, $A$4:$J$29, 9, 0)</f>
      </c>
      <c r="V136" s="157">
        <f>VLOOKUP(N136, $A$4:$J$29, 9, 0)</f>
      </c>
      <c r="W136" s="157">
        <f>VLOOKUP(O136, $A$4:$J$29, 9, 0)</f>
      </c>
      <c r="X136" s="157">
        <f>VLOOKUP(P136, $A$4:$J$29, 9, 0)</f>
      </c>
      <c r="Y136" s="157">
        <f>VLOOKUP(Q136, $A$4:$J$29, 9, 0)</f>
      </c>
      <c r="Z136" s="157">
        <f>VLOOKUP(R136, $A$4:$J$29, 9, 0)</f>
      </c>
      <c r="AA136" s="157">
        <f>VLOOKUP(S136, $A$4:$J$29, 9, 0)</f>
      </c>
      <c r="AC136" s="18">
        <v>0</v>
      </c>
      <c r="AD136" s="18">
        <v>0</v>
      </c>
      <c r="AE136" s="18">
        <v>1</v>
      </c>
      <c r="AF136" s="18">
        <v>1</v>
      </c>
      <c r="AG136" s="18">
        <v>1</v>
      </c>
      <c r="AH136" s="18">
        <v>1</v>
      </c>
      <c r="AI136" s="18">
        <v>0</v>
      </c>
      <c r="AK136" s="153" t="s">
        <v>228</v>
      </c>
      <c r="AL136" s="153">
        <v>0</v>
      </c>
      <c r="AM136" s="153">
        <v>3315</v>
      </c>
      <c r="AN136" s="153">
        <v>2581</v>
      </c>
      <c r="AO136" s="153">
        <v>3161</v>
      </c>
      <c r="AP136" s="153">
        <v>1287</v>
      </c>
      <c r="AQ136" s="153">
        <v>627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inlineStr">
        <is>
          <t>K</t>
        </is>
      </c>
      <c r="N137" s="38" t="inlineStr">
        <is>
          <t>TE</t>
        </is>
      </c>
      <c r="O137" s="38" t="inlineStr">
        <is>
          <t>A</t>
        </is>
      </c>
      <c r="P137" s="38" t="inlineStr">
        <is>
          <t>M5</t>
        </is>
      </c>
      <c r="Q137" s="38" t="inlineStr">
        <is>
          <t>Q</t>
        </is>
      </c>
      <c r="R137" s="38" t="inlineStr">
        <is>
          <t>GT</t>
        </is>
      </c>
      <c r="S137" s="24" t="inlineStr">
        <is>
          <t>M2</t>
        </is>
      </c>
      <c r="U137" s="157">
        <f>VLOOKUP(M137, $A$4:$J$29, 9, 0)</f>
      </c>
      <c r="V137" s="157">
        <f>VLOOKUP(N137, $A$4:$J$29, 9, 0)</f>
      </c>
      <c r="W137" s="157">
        <f>VLOOKUP(O137, $A$4:$J$29, 9, 0)</f>
      </c>
      <c r="X137" s="157">
        <f>VLOOKUP(P137, $A$4:$J$29, 9, 0)</f>
      </c>
      <c r="Y137" s="157">
        <f>VLOOKUP(Q137, $A$4:$J$29, 9, 0)</f>
      </c>
      <c r="Z137" s="157">
        <f>VLOOKUP(R137, $A$4:$J$29, 9, 0)</f>
      </c>
      <c r="AA137" s="157">
        <f>VLOOKUP(S137, $A$4:$J$29, 9, 0)</f>
      </c>
      <c r="AC137" s="18">
        <v>0</v>
      </c>
      <c r="AD137" s="18">
        <v>0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849</v>
      </c>
      <c r="AN137" s="153">
        <v>3370</v>
      </c>
      <c r="AO137" s="153">
        <v>896</v>
      </c>
      <c r="AP137" s="153">
        <v>527</v>
      </c>
      <c r="AQ137" s="153">
        <v>217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inlineStr">
        <is>
          <t>M2</t>
        </is>
      </c>
      <c r="N138" s="38" t="inlineStr">
        <is>
          <t>Q</t>
        </is>
      </c>
      <c r="O138" s="38" t="inlineStr">
        <is>
          <t>K</t>
        </is>
      </c>
      <c r="P138" s="38" t="inlineStr">
        <is>
          <t>TE</t>
        </is>
      </c>
      <c r="Q138" s="38" t="inlineStr">
        <is>
          <t>M6</t>
        </is>
      </c>
      <c r="R138" s="38" t="inlineStr">
        <is>
          <t>J</t>
        </is>
      </c>
      <c r="S138" s="24" t="inlineStr">
        <is>
          <t>TE</t>
        </is>
      </c>
      <c r="U138" s="157">
        <f>VLOOKUP(M138, $A$4:$J$29, 9, 0)</f>
      </c>
      <c r="V138" s="157">
        <f>VLOOKUP(N138, $A$4:$J$29, 9, 0)</f>
      </c>
      <c r="W138" s="157">
        <f>VLOOKUP(O138, $A$4:$J$29, 9, 0)</f>
      </c>
      <c r="X138" s="157">
        <f>VLOOKUP(P138, $A$4:$J$29, 9, 0)</f>
      </c>
      <c r="Y138" s="157">
        <f>VLOOKUP(Q138, $A$4:$J$29, 9, 0)</f>
      </c>
      <c r="Z138" s="157">
        <f>VLOOKUP(R138, $A$4:$J$29, 9, 0)</f>
      </c>
      <c r="AA138" s="157">
        <f>VLOOKUP(S138, $A$4:$J$29, 9, 0)</f>
      </c>
      <c r="AC138" s="18">
        <v>0</v>
      </c>
      <c r="AD138" s="18">
        <v>0</v>
      </c>
      <c r="AE138" s="18">
        <v>1</v>
      </c>
      <c r="AF138" s="18">
        <v>1</v>
      </c>
      <c r="AG138" s="18">
        <v>1</v>
      </c>
      <c r="AH138" s="18">
        <v>1</v>
      </c>
      <c r="AI138" s="18">
        <v>0</v>
      </c>
      <c r="AK138" s="153" t="s">
        <v>232</v>
      </c>
      <c r="AL138" s="153">
        <v>0</v>
      </c>
      <c r="AM138" s="153">
        <v>3193</v>
      </c>
      <c r="AN138" s="153">
        <v>786</v>
      </c>
      <c r="AO138" s="153">
        <v>3555</v>
      </c>
      <c r="AP138" s="153">
        <v>1555</v>
      </c>
      <c r="AQ138" s="153">
        <v>905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inlineStr">
        <is>
          <t>TE</t>
        </is>
      </c>
      <c r="N139" s="155" t="inlineStr">
        <is>
          <t>GT</t>
        </is>
      </c>
      <c r="O139" s="155" t="inlineStr">
        <is>
          <t>Q</t>
        </is>
      </c>
      <c r="P139" s="155" t="inlineStr">
        <is>
          <t>GQ</t>
        </is>
      </c>
      <c r="Q139" s="155" t="inlineStr">
        <is>
          <t>Q</t>
        </is>
      </c>
      <c r="R139" s="155" t="inlineStr">
        <is>
          <t>M6</t>
        </is>
      </c>
      <c r="S139" s="156" t="inlineStr">
        <is>
          <t>M6</t>
        </is>
      </c>
      <c r="U139" s="157">
        <f>VLOOKUP(M139, $A$4:$J$29, 9, 0)</f>
      </c>
      <c r="V139" s="157">
        <f>VLOOKUP(N139, $A$4:$J$29, 9, 0)</f>
      </c>
      <c r="W139" s="157">
        <f>VLOOKUP(O139, $A$4:$J$29, 9, 0)</f>
      </c>
      <c r="X139" s="157">
        <f>VLOOKUP(P139, $A$4:$J$29, 9, 0)</f>
      </c>
      <c r="Y139" s="157">
        <f>VLOOKUP(Q139, $A$4:$J$29, 9, 0)</f>
      </c>
      <c r="Z139" s="157">
        <f>VLOOKUP(R139, $A$4:$J$29, 9, 0)</f>
      </c>
      <c r="AA139" s="157">
        <f>VLOOKUP(S139, $A$4:$J$29, 9, 0)</f>
      </c>
      <c r="AC139" s="18">
        <v>0</v>
      </c>
      <c r="AD139" s="18">
        <v>0</v>
      </c>
      <c r="AE139" s="18">
        <v>1</v>
      </c>
      <c r="AF139" s="18">
        <v>1</v>
      </c>
      <c r="AG139" s="18">
        <v>1</v>
      </c>
      <c r="AH139" s="18">
        <v>1</v>
      </c>
      <c r="AI139" s="18">
        <v>0</v>
      </c>
      <c r="AK139" s="37" t="s">
        <v>234</v>
      </c>
      <c r="AL139" s="37">
        <v>0</v>
      </c>
      <c r="AM139" s="37">
        <v>1739</v>
      </c>
      <c r="AN139" s="37">
        <v>4391</v>
      </c>
      <c r="AO139" s="37">
        <v>1854</v>
      </c>
      <c r="AP139" s="37">
        <v>664</v>
      </c>
      <c r="AQ139" s="37">
        <v>327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inlineStr">
        <is>
          <t>K</t>
        </is>
      </c>
      <c r="N140" s="38" t="inlineStr">
        <is>
          <t>Q</t>
        </is>
      </c>
      <c r="O140" s="38" t="inlineStr">
        <is>
          <t>G6</t>
        </is>
      </c>
      <c r="P140" s="38" t="inlineStr">
        <is>
          <t>J</t>
        </is>
      </c>
      <c r="Q140" s="38" t="inlineStr">
        <is>
          <t>M4</t>
        </is>
      </c>
      <c r="R140" s="38" t="inlineStr">
        <is>
          <t>M6</t>
        </is>
      </c>
      <c r="S140" s="24" t="inlineStr">
        <is>
          <t>A</t>
        </is>
      </c>
      <c r="U140" s="157">
        <f>VLOOKUP(M140, $A$4:$J$29, 9, 0)</f>
      </c>
      <c r="V140" s="157">
        <f>VLOOKUP(N140, $A$4:$J$29, 9, 0)</f>
      </c>
      <c r="W140" s="157">
        <f>VLOOKUP(O140, $A$4:$J$29, 9, 0)</f>
      </c>
      <c r="X140" s="157">
        <f>VLOOKUP(P140, $A$4:$J$29, 9, 0)</f>
      </c>
      <c r="Y140" s="157">
        <f>VLOOKUP(Q140, $A$4:$J$29, 9, 0)</f>
      </c>
      <c r="Z140" s="157">
        <f>VLOOKUP(R140, $A$4:$J$29, 9, 0)</f>
      </c>
      <c r="AA140" s="157">
        <f>VLOOKUP(S140, $A$4:$J$29, 9, 0)</f>
      </c>
      <c r="AC140" s="18">
        <v>0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2733</v>
      </c>
      <c r="AN140" s="37">
        <v>1560</v>
      </c>
      <c r="AO140" s="37">
        <v>2896</v>
      </c>
      <c r="AP140" s="37">
        <v>1878</v>
      </c>
      <c r="AQ140" s="37">
        <v>789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inlineStr">
        <is>
          <t>J</t>
        </is>
      </c>
      <c r="N141" s="38" t="inlineStr">
        <is>
          <t>G2</t>
        </is>
      </c>
      <c r="O141" s="38" t="inlineStr">
        <is>
          <t>TE</t>
        </is>
      </c>
      <c r="P141" s="38" t="inlineStr">
        <is>
          <t>M4</t>
        </is>
      </c>
      <c r="Q141" s="38" t="inlineStr">
        <is>
          <t>J</t>
        </is>
      </c>
      <c r="R141" s="38" t="inlineStr">
        <is>
          <t>G6</t>
        </is>
      </c>
      <c r="S141" s="24" t="inlineStr">
        <is>
          <t>J</t>
        </is>
      </c>
      <c r="U141" s="157">
        <f>VLOOKUP(M141, $A$4:$J$29, 9, 0)</f>
      </c>
      <c r="V141" s="157">
        <f>VLOOKUP(N141, $A$4:$J$29, 9, 0)</f>
      </c>
      <c r="W141" s="157">
        <f>VLOOKUP(O141, $A$4:$J$29, 9, 0)</f>
      </c>
      <c r="X141" s="157">
        <f>VLOOKUP(P141, $A$4:$J$29, 9, 0)</f>
      </c>
      <c r="Y141" s="157">
        <f>VLOOKUP(Q141, $A$4:$J$29, 9, 0)</f>
      </c>
      <c r="Z141" s="157">
        <f>VLOOKUP(R141, $A$4:$J$29, 9, 0)</f>
      </c>
      <c r="AA141" s="157">
        <f>VLOOKUP(S141, $A$4:$J$29, 9, 0)</f>
      </c>
      <c r="AC141" s="18">
        <v>0</v>
      </c>
      <c r="AD141" s="18">
        <v>0</v>
      </c>
      <c r="AE141" s="18">
        <v>1</v>
      </c>
      <c r="AF141" s="18">
        <v>1</v>
      </c>
      <c r="AG141" s="18">
        <v>1</v>
      </c>
      <c r="AH141" s="18">
        <v>1</v>
      </c>
      <c r="AI141" s="18">
        <v>0</v>
      </c>
      <c r="AK141" s="37" t="s">
        <v>238</v>
      </c>
      <c r="AL141" s="37">
        <v>0</v>
      </c>
      <c r="AM141" s="37">
        <v>2204</v>
      </c>
      <c r="AN141" s="37">
        <v>4162</v>
      </c>
      <c r="AO141" s="37">
        <v>2655</v>
      </c>
      <c r="AP141" s="37">
        <v>1001</v>
      </c>
      <c r="AQ141" s="37">
        <v>478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inlineStr">
        <is>
          <t>K</t>
        </is>
      </c>
      <c r="N142" s="38" t="inlineStr">
        <is>
          <t>G4</t>
        </is>
      </c>
      <c r="O142" s="38" t="inlineStr">
        <is>
          <t>M6</t>
        </is>
      </c>
      <c r="P142" s="38" t="inlineStr">
        <is>
          <t>M6</t>
        </is>
      </c>
      <c r="Q142" s="38" t="inlineStr">
        <is>
          <t>TE</t>
        </is>
      </c>
      <c r="R142" s="38" t="inlineStr">
        <is>
          <t>TE</t>
        </is>
      </c>
      <c r="S142" s="24" t="inlineStr">
        <is>
          <t>K</t>
        </is>
      </c>
      <c r="U142" s="157">
        <f>VLOOKUP(M142, $A$4:$J$29, 9, 0)</f>
      </c>
      <c r="V142" s="157">
        <f>VLOOKUP(N142, $A$4:$J$29, 9, 0)</f>
      </c>
      <c r="W142" s="157">
        <f>VLOOKUP(O142, $A$4:$J$29, 9, 0)</f>
      </c>
      <c r="X142" s="157">
        <f>VLOOKUP(P142, $A$4:$J$29, 9, 0)</f>
      </c>
      <c r="Y142" s="157">
        <f>VLOOKUP(Q142, $A$4:$J$29, 9, 0)</f>
      </c>
      <c r="Z142" s="157">
        <f>VLOOKUP(R142, $A$4:$J$29, 9, 0)</f>
      </c>
      <c r="AA142" s="157">
        <f>VLOOKUP(S142, $A$4:$J$29, 9, 0)</f>
      </c>
      <c r="AC142" s="18">
        <v>0</v>
      </c>
      <c r="AD142" s="18">
        <v>0</v>
      </c>
      <c r="AE142" s="18">
        <v>1</v>
      </c>
      <c r="AF142" s="18">
        <v>1</v>
      </c>
      <c r="AG142" s="18">
        <v>1</v>
      </c>
      <c r="AH142" s="18">
        <v>1</v>
      </c>
      <c r="AI142" s="18">
        <v>0</v>
      </c>
      <c r="AK142" s="37" t="s">
        <v>240</v>
      </c>
      <c r="AL142" s="37">
        <v>0</v>
      </c>
      <c r="AM142" s="37">
        <v>3434</v>
      </c>
      <c r="AN142" s="37">
        <v>2529</v>
      </c>
      <c r="AO142" s="37">
        <v>3797</v>
      </c>
      <c r="AP142" s="37">
        <v>2065</v>
      </c>
      <c r="AQ142" s="37">
        <v>1092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inlineStr">
        <is>
          <t>Q</t>
        </is>
      </c>
      <c r="N143" s="38" t="inlineStr">
        <is>
          <t>G5</t>
        </is>
      </c>
      <c r="O143" s="38" t="inlineStr">
        <is>
          <t>G5</t>
        </is>
      </c>
      <c r="P143" s="38" t="inlineStr">
        <is>
          <t>TE</t>
        </is>
      </c>
      <c r="Q143" s="38" t="inlineStr">
        <is>
          <t>TE</t>
        </is>
      </c>
      <c r="R143" s="38" t="inlineStr">
        <is>
          <t>G5</t>
        </is>
      </c>
      <c r="S143" s="24" t="inlineStr">
        <is>
          <t>M4</t>
        </is>
      </c>
      <c r="U143" s="157">
        <f>VLOOKUP(M143, $A$4:$J$29, 9, 0)</f>
      </c>
      <c r="V143" s="157">
        <f>VLOOKUP(N143, $A$4:$J$29, 9, 0)</f>
      </c>
      <c r="W143" s="157">
        <f>VLOOKUP(O143, $A$4:$J$29, 9, 0)</f>
      </c>
      <c r="X143" s="157">
        <f>VLOOKUP(P143, $A$4:$J$29, 9, 0)</f>
      </c>
      <c r="Y143" s="157">
        <f>VLOOKUP(Q143, $A$4:$J$29, 9, 0)</f>
      </c>
      <c r="Z143" s="157">
        <f>VLOOKUP(R143, $A$4:$J$29, 9, 0)</f>
      </c>
      <c r="AA143" s="157">
        <f>VLOOKUP(S143, $A$4:$J$29, 9, 0)</f>
      </c>
      <c r="AC143" s="18">
        <v>0</v>
      </c>
      <c r="AD143" s="18">
        <v>0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2846</v>
      </c>
      <c r="AN143" s="37">
        <v>3047</v>
      </c>
      <c r="AO143" s="37">
        <v>3092</v>
      </c>
      <c r="AP143" s="37">
        <v>1442</v>
      </c>
      <c r="AQ143" s="37">
        <v>801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inlineStr">
        <is>
          <t>M2</t>
        </is>
      </c>
      <c r="N144" s="38" t="inlineStr">
        <is>
          <t>M2</t>
        </is>
      </c>
      <c r="O144" s="38" t="inlineStr">
        <is>
          <t>Q</t>
        </is>
      </c>
      <c r="P144" s="38" t="inlineStr">
        <is>
          <t>Q</t>
        </is>
      </c>
      <c r="Q144" s="38" t="inlineStr">
        <is>
          <t>M4</t>
        </is>
      </c>
      <c r="R144" s="38" t="inlineStr">
        <is>
          <t>M3</t>
        </is>
      </c>
      <c r="S144" s="24" t="inlineStr">
        <is>
          <t>M6</t>
        </is>
      </c>
      <c r="U144" s="157">
        <f>VLOOKUP(M144, $A$4:$J$29, 9, 0)</f>
      </c>
      <c r="V144" s="157">
        <f>VLOOKUP(N144, $A$4:$J$29, 9, 0)</f>
      </c>
      <c r="W144" s="157">
        <f>VLOOKUP(O144, $A$4:$J$29, 9, 0)</f>
      </c>
      <c r="X144" s="157">
        <f>VLOOKUP(P144, $A$4:$J$29, 9, 0)</f>
      </c>
      <c r="Y144" s="157">
        <f>VLOOKUP(Q144, $A$4:$J$29, 9, 0)</f>
      </c>
      <c r="Z144" s="157">
        <f>VLOOKUP(R144, $A$4:$J$29, 9, 0)</f>
      </c>
      <c r="AA144" s="157">
        <f>VLOOKUP(S144, $A$4:$J$29, 9, 0)</f>
      </c>
      <c r="AC144" s="18">
        <v>0</v>
      </c>
      <c r="AD144" s="18">
        <v>0</v>
      </c>
      <c r="AE144" s="18">
        <v>1</v>
      </c>
      <c r="AF144" s="18">
        <v>1</v>
      </c>
      <c r="AG144" s="18">
        <v>1</v>
      </c>
      <c r="AH144" s="18">
        <v>1</v>
      </c>
      <c r="AI144" s="18">
        <v>0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inlineStr">
        <is>
          <t>TE</t>
        </is>
      </c>
      <c r="N145" s="38" t="inlineStr">
        <is>
          <t>M6</t>
        </is>
      </c>
      <c r="O145" s="38" t="inlineStr">
        <is>
          <t>Q</t>
        </is>
      </c>
      <c r="P145" s="38" t="inlineStr">
        <is>
          <t>G5</t>
        </is>
      </c>
      <c r="Q145" s="38" t="inlineStr">
        <is>
          <t>A</t>
        </is>
      </c>
      <c r="R145" s="38" t="inlineStr">
        <is>
          <t>M5</t>
        </is>
      </c>
      <c r="S145" s="24" t="inlineStr">
        <is>
          <t>J</t>
        </is>
      </c>
      <c r="U145" s="157">
        <f>VLOOKUP(M145, $A$4:$J$29, 9, 0)</f>
      </c>
      <c r="V145" s="157">
        <f>VLOOKUP(N145, $A$4:$J$29, 9, 0)</f>
      </c>
      <c r="W145" s="157">
        <f>VLOOKUP(O145, $A$4:$J$29, 9, 0)</f>
      </c>
      <c r="X145" s="157">
        <f>VLOOKUP(P145, $A$4:$J$29, 9, 0)</f>
      </c>
      <c r="Y145" s="157">
        <f>VLOOKUP(Q145, $A$4:$J$29, 9, 0)</f>
      </c>
      <c r="Z145" s="157">
        <f>VLOOKUP(R145, $A$4:$J$29, 9, 0)</f>
      </c>
      <c r="AA145" s="157">
        <f>VLOOKUP(S145, $A$4:$J$29, 9, 0)</f>
      </c>
      <c r="AC145" s="18">
        <v>0</v>
      </c>
      <c r="AD145" s="18">
        <v>0</v>
      </c>
      <c r="AE145" s="18">
        <v>1</v>
      </c>
      <c r="AF145" s="18">
        <v>1</v>
      </c>
      <c r="AG145" s="18">
        <v>1</v>
      </c>
      <c r="AH145" s="18">
        <v>1</v>
      </c>
      <c r="AI145" s="18">
        <v>0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inlineStr">
        <is>
          <t>M2</t>
        </is>
      </c>
      <c r="N146" s="38" t="inlineStr">
        <is>
          <t>Q</t>
        </is>
      </c>
      <c r="O146" s="38" t="inlineStr">
        <is>
          <t>GT</t>
        </is>
      </c>
      <c r="P146" s="38" t="inlineStr">
        <is>
          <t>GK</t>
        </is>
      </c>
      <c r="Q146" s="38" t="inlineStr">
        <is>
          <t>M5</t>
        </is>
      </c>
      <c r="R146" s="38" t="inlineStr">
        <is>
          <t>J</t>
        </is>
      </c>
      <c r="S146" s="24" t="inlineStr">
        <is>
          <t>A</t>
        </is>
      </c>
      <c r="U146" s="157">
        <f>VLOOKUP(M146, $A$4:$J$29, 9, 0)</f>
      </c>
      <c r="V146" s="157">
        <f>VLOOKUP(N146, $A$4:$J$29, 9, 0)</f>
      </c>
      <c r="W146" s="157">
        <f>VLOOKUP(O146, $A$4:$J$29, 9, 0)</f>
      </c>
      <c r="X146" s="157">
        <f>VLOOKUP(P146, $A$4:$J$29, 9, 0)</f>
      </c>
      <c r="Y146" s="157">
        <f>VLOOKUP(Q146, $A$4:$J$29, 9, 0)</f>
      </c>
      <c r="Z146" s="157">
        <f>VLOOKUP(R146, $A$4:$J$29, 9, 0)</f>
      </c>
      <c r="AA146" s="157">
        <f>VLOOKUP(S146, $A$4:$J$29, 9, 0)</f>
      </c>
      <c r="AC146" s="18">
        <v>0</v>
      </c>
      <c r="AD146" s="18">
        <v>0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inlineStr">
        <is>
          <t>M5</t>
        </is>
      </c>
      <c r="N147" s="38" t="inlineStr">
        <is>
          <t>GK</t>
        </is>
      </c>
      <c r="O147" s="38" t="inlineStr">
        <is>
          <t>M2</t>
        </is>
      </c>
      <c r="P147" s="38" t="inlineStr">
        <is>
          <t>M4</t>
        </is>
      </c>
      <c r="Q147" s="38" t="inlineStr">
        <is>
          <t>A</t>
        </is>
      </c>
      <c r="R147" s="38" t="inlineStr">
        <is>
          <t>GA</t>
        </is>
      </c>
      <c r="S147" s="24" t="inlineStr">
        <is>
          <t>M5</t>
        </is>
      </c>
      <c r="U147" s="157">
        <f>VLOOKUP(M147, $A$4:$J$29, 9, 0)</f>
      </c>
      <c r="V147" s="157">
        <f>VLOOKUP(N147, $A$4:$J$29, 9, 0)</f>
      </c>
      <c r="W147" s="157">
        <f>VLOOKUP(O147, $A$4:$J$29, 9, 0)</f>
      </c>
      <c r="X147" s="157">
        <f>VLOOKUP(P147, $A$4:$J$29, 9, 0)</f>
      </c>
      <c r="Y147" s="157">
        <f>VLOOKUP(Q147, $A$4:$J$29, 9, 0)</f>
      </c>
      <c r="Z147" s="157">
        <f>VLOOKUP(R147, $A$4:$J$29, 9, 0)</f>
      </c>
      <c r="AA147" s="157">
        <f>VLOOKUP(S147, $A$4:$J$29, 9, 0)</f>
      </c>
      <c r="AC147" s="18">
        <v>0</v>
      </c>
      <c r="AD147" s="18">
        <v>0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inlineStr">
        <is>
          <t>M6</t>
        </is>
      </c>
      <c r="N148" s="155" t="inlineStr">
        <is>
          <t>TE</t>
        </is>
      </c>
      <c r="O148" s="155" t="inlineStr">
        <is>
          <t>M3</t>
        </is>
      </c>
      <c r="P148" s="155" t="inlineStr">
        <is>
          <t>M5</t>
        </is>
      </c>
      <c r="Q148" s="155" t="inlineStr">
        <is>
          <t>M5</t>
        </is>
      </c>
      <c r="R148" s="155" t="inlineStr">
        <is>
          <t>Q</t>
        </is>
      </c>
      <c r="S148" s="156" t="inlineStr">
        <is>
          <t>M5</t>
        </is>
      </c>
      <c r="U148" s="157">
        <f>VLOOKUP(M148, $A$4:$J$29, 9, 0)</f>
      </c>
      <c r="V148" s="157">
        <f>VLOOKUP(N148, $A$4:$J$29, 9, 0)</f>
      </c>
      <c r="W148" s="157">
        <f>VLOOKUP(O148, $A$4:$J$29, 9, 0)</f>
      </c>
      <c r="X148" s="157">
        <f>VLOOKUP(P148, $A$4:$J$29, 9, 0)</f>
      </c>
      <c r="Y148" s="157">
        <f>VLOOKUP(Q148, $A$4:$J$29, 9, 0)</f>
      </c>
      <c r="Z148" s="157">
        <f>VLOOKUP(R148, $A$4:$J$29, 9, 0)</f>
      </c>
      <c r="AA148" s="157">
        <f>VLOOKUP(S148, $A$4:$J$29, 9, 0)</f>
      </c>
      <c r="AC148" s="18">
        <v>0</v>
      </c>
      <c r="AD148" s="18">
        <v>0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inlineStr">
        <is>
          <t>M6</t>
        </is>
      </c>
      <c r="N149" s="38" t="inlineStr">
        <is>
          <t>Q</t>
        </is>
      </c>
      <c r="O149" s="38" t="inlineStr">
        <is>
          <t>K</t>
        </is>
      </c>
      <c r="P149" s="38" t="inlineStr">
        <is>
          <t>K</t>
        </is>
      </c>
      <c r="Q149" s="38" t="inlineStr">
        <is>
          <t>Q</t>
        </is>
      </c>
      <c r="R149" s="38" t="inlineStr">
        <is>
          <t>GJ</t>
        </is>
      </c>
      <c r="S149" s="24" t="inlineStr">
        <is>
          <t>M5</t>
        </is>
      </c>
      <c r="U149" s="157">
        <f>VLOOKUP(M149, $A$4:$J$29, 9, 0)</f>
      </c>
      <c r="V149" s="157">
        <f>VLOOKUP(N149, $A$4:$J$29, 9, 0)</f>
      </c>
      <c r="W149" s="157">
        <f>VLOOKUP(O149, $A$4:$J$29, 9, 0)</f>
      </c>
      <c r="X149" s="157">
        <f>VLOOKUP(P149, $A$4:$J$29, 9, 0)</f>
      </c>
      <c r="Y149" s="157">
        <f>VLOOKUP(Q149, $A$4:$J$29, 9, 0)</f>
      </c>
      <c r="Z149" s="157">
        <f>VLOOKUP(R149, $A$4:$J$29, 9, 0)</f>
      </c>
      <c r="AA149" s="157">
        <f>VLOOKUP(S149, $A$4:$J$29, 9, 0)</f>
      </c>
      <c r="AC149" s="18">
        <v>0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inlineStr">
        <is>
          <t>M2</t>
        </is>
      </c>
      <c r="N150" s="38" t="inlineStr">
        <is>
          <t>M2</t>
        </is>
      </c>
      <c r="O150" s="38" t="inlineStr">
        <is>
          <t>TE</t>
        </is>
      </c>
      <c r="P150" s="38" t="inlineStr">
        <is>
          <t>M4</t>
        </is>
      </c>
      <c r="Q150" s="38" t="inlineStr">
        <is>
          <t>Q</t>
        </is>
      </c>
      <c r="R150" s="38" t="inlineStr">
        <is>
          <t>M2</t>
        </is>
      </c>
      <c r="S150" s="24" t="inlineStr">
        <is>
          <t>M5</t>
        </is>
      </c>
      <c r="U150" s="157">
        <f>VLOOKUP(M150, $A$4:$J$29, 9, 0)</f>
      </c>
      <c r="V150" s="157">
        <f>VLOOKUP(N150, $A$4:$J$29, 9, 0)</f>
      </c>
      <c r="W150" s="157">
        <f>VLOOKUP(O150, $A$4:$J$29, 9, 0)</f>
      </c>
      <c r="X150" s="157">
        <f>VLOOKUP(P150, $A$4:$J$29, 9, 0)</f>
      </c>
      <c r="Y150" s="157">
        <f>VLOOKUP(Q150, $A$4:$J$29, 9, 0)</f>
      </c>
      <c r="Z150" s="157">
        <f>VLOOKUP(R150, $A$4:$J$29, 9, 0)</f>
      </c>
      <c r="AA150" s="157">
        <f>VLOOKUP(S150, $A$4:$J$29, 9, 0)</f>
      </c>
      <c r="AC150" s="18">
        <v>0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inlineStr">
        <is>
          <t>M6</t>
        </is>
      </c>
      <c r="N151" s="38" t="inlineStr">
        <is>
          <t>G5</t>
        </is>
      </c>
      <c r="O151" s="38" t="inlineStr">
        <is>
          <t>M5</t>
        </is>
      </c>
      <c r="P151" s="38" t="inlineStr">
        <is>
          <t>A</t>
        </is>
      </c>
      <c r="Q151" s="38" t="inlineStr">
        <is>
          <t>G4</t>
        </is>
      </c>
      <c r="R151" s="38" t="inlineStr">
        <is>
          <t>G4</t>
        </is>
      </c>
      <c r="S151" s="24" t="inlineStr">
        <is>
          <t>M6</t>
        </is>
      </c>
      <c r="U151" s="157">
        <f>VLOOKUP(M151, $A$4:$J$29, 9, 0)</f>
      </c>
      <c r="V151" s="157">
        <f>VLOOKUP(N151, $A$4:$J$29, 9, 0)</f>
      </c>
      <c r="W151" s="157">
        <f>VLOOKUP(O151, $A$4:$J$29, 9, 0)</f>
      </c>
      <c r="X151" s="157">
        <f>VLOOKUP(P151, $A$4:$J$29, 9, 0)</f>
      </c>
      <c r="Y151" s="157">
        <f>VLOOKUP(Q151, $A$4:$J$29, 9, 0)</f>
      </c>
      <c r="Z151" s="157">
        <f>VLOOKUP(R151, $A$4:$J$29, 9, 0)</f>
      </c>
      <c r="AA151" s="157">
        <f>VLOOKUP(S151, $A$4:$J$29, 9, 0)</f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inlineStr">
        <is>
          <t>J</t>
        </is>
      </c>
      <c r="N152" s="38" t="inlineStr">
        <is>
          <t>GA</t>
        </is>
      </c>
      <c r="O152" s="38" t="inlineStr">
        <is>
          <t>K</t>
        </is>
      </c>
      <c r="P152" s="38" t="inlineStr">
        <is>
          <t>M6</t>
        </is>
      </c>
      <c r="Q152" s="38" t="inlineStr">
        <is>
          <t>TE</t>
        </is>
      </c>
      <c r="R152" s="38" t="inlineStr">
        <is>
          <t>M3</t>
        </is>
      </c>
      <c r="S152" s="24" t="inlineStr">
        <is>
          <t>M2</t>
        </is>
      </c>
      <c r="U152" s="157">
        <f>VLOOKUP(M152, $A$4:$J$29, 9, 0)</f>
      </c>
      <c r="V152" s="157">
        <f>VLOOKUP(N152, $A$4:$J$29, 9, 0)</f>
      </c>
      <c r="W152" s="157">
        <f>VLOOKUP(O152, $A$4:$J$29, 9, 0)</f>
      </c>
      <c r="X152" s="157">
        <f>VLOOKUP(P152, $A$4:$J$29, 9, 0)</f>
      </c>
      <c r="Y152" s="157">
        <f>VLOOKUP(Q152, $A$4:$J$29, 9, 0)</f>
      </c>
      <c r="Z152" s="157">
        <f>VLOOKUP(R152, $A$4:$J$29, 9, 0)</f>
      </c>
      <c r="AA152" s="157">
        <f>VLOOKUP(S152, $A$4:$J$29, 9, 0)</f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inlineStr">
        <is>
          <t>K</t>
        </is>
      </c>
      <c r="N153" s="38" t="inlineStr">
        <is>
          <t>Q</t>
        </is>
      </c>
      <c r="O153" s="38" t="inlineStr">
        <is>
          <t>J</t>
        </is>
      </c>
      <c r="P153" s="38" t="inlineStr">
        <is>
          <t>GJ</t>
        </is>
      </c>
      <c r="Q153" s="38" t="inlineStr">
        <is>
          <t>M4</t>
        </is>
      </c>
      <c r="R153" s="38" t="inlineStr">
        <is>
          <t>J</t>
        </is>
      </c>
      <c r="S153" s="24" t="inlineStr">
        <is>
          <t>Q</t>
        </is>
      </c>
      <c r="U153" s="157">
        <f>VLOOKUP(M153, $A$4:$J$29, 9, 0)</f>
      </c>
      <c r="V153" s="157">
        <f>VLOOKUP(N153, $A$4:$J$29, 9, 0)</f>
      </c>
      <c r="W153" s="157">
        <f>VLOOKUP(O153, $A$4:$J$29, 9, 0)</f>
      </c>
      <c r="X153" s="157">
        <f>VLOOKUP(P153, $A$4:$J$29, 9, 0)</f>
      </c>
      <c r="Y153" s="157">
        <f>VLOOKUP(Q153, $A$4:$J$29, 9, 0)</f>
      </c>
      <c r="Z153" s="157">
        <f>VLOOKUP(R153, $A$4:$J$29, 9, 0)</f>
      </c>
      <c r="AA153" s="157">
        <f>VLOOKUP(S153, $A$4:$J$29, 9, 0)</f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inlineStr">
        <is>
          <t>J</t>
        </is>
      </c>
      <c r="N154" s="38" t="inlineStr">
        <is>
          <t>GQ</t>
        </is>
      </c>
      <c r="O154" s="38" t="inlineStr">
        <is>
          <t>TE</t>
        </is>
      </c>
      <c r="P154" s="38" t="inlineStr">
        <is>
          <t>M4</t>
        </is>
      </c>
      <c r="Q154" s="38" t="inlineStr">
        <is>
          <t>GA</t>
        </is>
      </c>
      <c r="R154" s="38" t="inlineStr">
        <is>
          <t>M5</t>
        </is>
      </c>
      <c r="S154" s="24" t="inlineStr">
        <is>
          <t>A</t>
        </is>
      </c>
      <c r="U154" s="157">
        <f>VLOOKUP(M154, $A$4:$J$29, 9, 0)</f>
      </c>
      <c r="V154" s="157">
        <f>VLOOKUP(N154, $A$4:$J$29, 9, 0)</f>
      </c>
      <c r="W154" s="157">
        <f>VLOOKUP(O154, $A$4:$J$29, 9, 0)</f>
      </c>
      <c r="X154" s="157">
        <f>VLOOKUP(P154, $A$4:$J$29, 9, 0)</f>
      </c>
      <c r="Y154" s="157">
        <f>VLOOKUP(Q154, $A$4:$J$29, 9, 0)</f>
      </c>
      <c r="Z154" s="157">
        <f>VLOOKUP(R154, $A$4:$J$29, 9, 0)</f>
      </c>
      <c r="AA154" s="157">
        <f>VLOOKUP(S154, $A$4:$J$29, 9, 0)</f>
      </c>
      <c r="AC154" s="18">
        <v>1</v>
      </c>
      <c r="AD154" s="18">
        <v>0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inlineStr">
        <is>
          <t>J</t>
        </is>
      </c>
      <c r="N155" s="38" t="inlineStr">
        <is>
          <t>A</t>
        </is>
      </c>
      <c r="O155" s="38" t="inlineStr">
        <is>
          <t>Q</t>
        </is>
      </c>
      <c r="P155" s="38" t="inlineStr">
        <is>
          <t>GK</t>
        </is>
      </c>
      <c r="Q155" s="38" t="inlineStr">
        <is>
          <t>GA</t>
        </is>
      </c>
      <c r="R155" s="38" t="inlineStr">
        <is>
          <t>M4</t>
        </is>
      </c>
      <c r="S155" s="24" t="inlineStr">
        <is>
          <t>K</t>
        </is>
      </c>
      <c r="U155" s="157">
        <f>VLOOKUP(M155, $A$4:$J$29, 9, 0)</f>
      </c>
      <c r="V155" s="157">
        <f>VLOOKUP(N155, $A$4:$J$29, 9, 0)</f>
      </c>
      <c r="W155" s="157">
        <f>VLOOKUP(O155, $A$4:$J$29, 9, 0)</f>
      </c>
      <c r="X155" s="157">
        <f>VLOOKUP(P155, $A$4:$J$29, 9, 0)</f>
      </c>
      <c r="Y155" s="157">
        <f>VLOOKUP(Q155, $A$4:$J$29, 9, 0)</f>
      </c>
      <c r="Z155" s="157">
        <f>VLOOKUP(R155, $A$4:$J$29, 9, 0)</f>
      </c>
      <c r="AA155" s="157">
        <f>VLOOKUP(S155, $A$4:$J$29, 9, 0)</f>
      </c>
      <c r="AC155" s="18">
        <v>1</v>
      </c>
      <c r="AD155" s="18">
        <v>0</v>
      </c>
      <c r="AE155" s="18">
        <v>1</v>
      </c>
      <c r="AF155" s="18">
        <v>1</v>
      </c>
      <c r="AG155" s="18">
        <v>1</v>
      </c>
      <c r="AH155" s="18">
        <v>1</v>
      </c>
      <c r="AI155" s="18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inlineStr">
        <is>
          <t>K</t>
        </is>
      </c>
      <c r="N156" s="38" t="inlineStr">
        <is>
          <t>Q</t>
        </is>
      </c>
      <c r="O156" s="38" t="inlineStr">
        <is>
          <t>A</t>
        </is>
      </c>
      <c r="P156" s="38" t="inlineStr">
        <is>
          <t>M2</t>
        </is>
      </c>
      <c r="Q156" s="38" t="inlineStr">
        <is>
          <t>TE</t>
        </is>
      </c>
      <c r="R156" s="38" t="inlineStr">
        <is>
          <t>J</t>
        </is>
      </c>
      <c r="S156" s="24" t="inlineStr">
        <is>
          <t>J</t>
        </is>
      </c>
      <c r="U156" s="157">
        <f>VLOOKUP(M156, $A$4:$J$29, 9, 0)</f>
      </c>
      <c r="V156" s="157">
        <f>VLOOKUP(N156, $A$4:$J$29, 9, 0)</f>
      </c>
      <c r="W156" s="157">
        <f>VLOOKUP(O156, $A$4:$J$29, 9, 0)</f>
      </c>
      <c r="X156" s="157">
        <f>VLOOKUP(P156, $A$4:$J$29, 9, 0)</f>
      </c>
      <c r="Y156" s="157">
        <f>VLOOKUP(Q156, $A$4:$J$29, 9, 0)</f>
      </c>
      <c r="Z156" s="157">
        <f>VLOOKUP(R156, $A$4:$J$29, 9, 0)</f>
      </c>
      <c r="AA156" s="157">
        <f>VLOOKUP(S156, $A$4:$J$29, 9, 0)</f>
      </c>
      <c r="AC156" s="18">
        <v>1</v>
      </c>
      <c r="AD156" s="18">
        <v>0</v>
      </c>
      <c r="AE156" s="18">
        <v>1</v>
      </c>
      <c r="AF156" s="18">
        <v>1</v>
      </c>
      <c r="AG156" s="18">
        <v>1</v>
      </c>
      <c r="AH156" s="18">
        <v>1</v>
      </c>
      <c r="AI156" s="18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inlineStr">
        <is>
          <t>J</t>
        </is>
      </c>
      <c r="N157" s="155" t="inlineStr">
        <is>
          <t>G5</t>
        </is>
      </c>
      <c r="O157" s="155" t="inlineStr">
        <is>
          <t>J</t>
        </is>
      </c>
      <c r="P157" s="155" t="inlineStr">
        <is>
          <t>M6</t>
        </is>
      </c>
      <c r="Q157" s="155" t="inlineStr">
        <is>
          <t>M5</t>
        </is>
      </c>
      <c r="R157" s="155" t="inlineStr">
        <is>
          <t>GT</t>
        </is>
      </c>
      <c r="S157" s="156" t="inlineStr">
        <is>
          <t>J</t>
        </is>
      </c>
      <c r="U157" s="157">
        <f>VLOOKUP(M157, $A$4:$J$29, 9, 0)</f>
      </c>
      <c r="V157" s="157">
        <f>VLOOKUP(N157, $A$4:$J$29, 9, 0)</f>
      </c>
      <c r="W157" s="157">
        <f>VLOOKUP(O157, $A$4:$J$29, 9, 0)</f>
      </c>
      <c r="X157" s="157">
        <f>VLOOKUP(P157, $A$4:$J$29, 9, 0)</f>
      </c>
      <c r="Y157" s="157">
        <f>VLOOKUP(Q157, $A$4:$J$29, 9, 0)</f>
      </c>
      <c r="Z157" s="157">
        <f>VLOOKUP(R157, $A$4:$J$29, 9, 0)</f>
      </c>
      <c r="AA157" s="157">
        <f>VLOOKUP(S157, $A$4:$J$29, 9, 0)</f>
      </c>
      <c r="AC157" s="18">
        <v>1</v>
      </c>
      <c r="AD157" s="18">
        <v>0</v>
      </c>
      <c r="AE157" s="18">
        <v>1</v>
      </c>
      <c r="AF157" s="18">
        <v>1</v>
      </c>
      <c r="AG157" s="18">
        <v>1</v>
      </c>
      <c r="AH157" s="18">
        <v>1</v>
      </c>
      <c r="AI157" s="18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inlineStr">
        <is>
          <t>TE</t>
        </is>
      </c>
      <c r="N158" s="38" t="inlineStr">
        <is>
          <t>TE</t>
        </is>
      </c>
      <c r="O158" s="38" t="inlineStr">
        <is>
          <t>Q</t>
        </is>
      </c>
      <c r="P158" s="38" t="inlineStr">
        <is>
          <t>G5</t>
        </is>
      </c>
      <c r="Q158" s="38" t="inlineStr">
        <is>
          <t>G3</t>
        </is>
      </c>
      <c r="R158" s="38" t="inlineStr">
        <is>
          <t>G6</t>
        </is>
      </c>
      <c r="S158" s="24" t="inlineStr">
        <is>
          <t>J</t>
        </is>
      </c>
      <c r="U158" s="157">
        <f>VLOOKUP(M158, $A$4:$J$29, 9, 0)</f>
      </c>
      <c r="V158" s="157">
        <f>VLOOKUP(N158, $A$4:$J$29, 9, 0)</f>
      </c>
      <c r="W158" s="157">
        <f>VLOOKUP(O158, $A$4:$J$29, 9, 0)</f>
      </c>
      <c r="X158" s="157">
        <f>VLOOKUP(P158, $A$4:$J$29, 9, 0)</f>
      </c>
      <c r="Y158" s="157">
        <f>VLOOKUP(Q158, $A$4:$J$29, 9, 0)</f>
      </c>
      <c r="Z158" s="157">
        <f>VLOOKUP(R158, $A$4:$J$29, 9, 0)</f>
      </c>
      <c r="AA158" s="157">
        <f>VLOOKUP(S158, $A$4:$J$29, 9, 0)</f>
      </c>
      <c r="AC158" s="18">
        <v>0</v>
      </c>
      <c r="AD158" s="18">
        <v>0</v>
      </c>
      <c r="AE158" s="18">
        <v>1</v>
      </c>
      <c r="AF158" s="18">
        <v>1</v>
      </c>
      <c r="AG158" s="18">
        <v>1</v>
      </c>
      <c r="AH158" s="18">
        <v>1</v>
      </c>
      <c r="AI158" s="18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inlineStr">
        <is>
          <t>J</t>
        </is>
      </c>
      <c r="N159" s="38" t="inlineStr">
        <is>
          <t>A</t>
        </is>
      </c>
      <c r="O159" s="38" t="inlineStr">
        <is>
          <t>J</t>
        </is>
      </c>
      <c r="P159" s="38" t="inlineStr">
        <is>
          <t>GT</t>
        </is>
      </c>
      <c r="Q159" s="38" t="inlineStr">
        <is>
          <t>M6</t>
        </is>
      </c>
      <c r="R159" s="38" t="inlineStr">
        <is>
          <t>M6</t>
        </is>
      </c>
      <c r="S159" s="24" t="inlineStr">
        <is>
          <t>J</t>
        </is>
      </c>
      <c r="U159" s="157">
        <f>VLOOKUP(M159, $A$4:$J$29, 9, 0)</f>
      </c>
      <c r="V159" s="157">
        <f>VLOOKUP(N159, $A$4:$J$29, 9, 0)</f>
      </c>
      <c r="W159" s="157">
        <f>VLOOKUP(O159, $A$4:$J$29, 9, 0)</f>
      </c>
      <c r="X159" s="157">
        <f>VLOOKUP(P159, $A$4:$J$29, 9, 0)</f>
      </c>
      <c r="Y159" s="157">
        <f>VLOOKUP(Q159, $A$4:$J$29, 9, 0)</f>
      </c>
      <c r="Z159" s="157">
        <f>VLOOKUP(R159, $A$4:$J$29, 9, 0)</f>
      </c>
      <c r="AA159" s="157">
        <f>VLOOKUP(S159, $A$4:$J$29, 9, 0)</f>
      </c>
      <c r="AC159" s="18">
        <v>0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inlineStr">
        <is>
          <t>J</t>
        </is>
      </c>
      <c r="N160" s="38" t="inlineStr">
        <is>
          <t>Q</t>
        </is>
      </c>
      <c r="O160" s="38" t="inlineStr">
        <is>
          <t>GQ</t>
        </is>
      </c>
      <c r="P160" s="38" t="inlineStr">
        <is>
          <t>Q</t>
        </is>
      </c>
      <c r="Q160" s="38" t="inlineStr">
        <is>
          <t>M3</t>
        </is>
      </c>
      <c r="R160" s="38" t="inlineStr">
        <is>
          <t>A</t>
        </is>
      </c>
      <c r="S160" s="24" t="inlineStr">
        <is>
          <t>M4</t>
        </is>
      </c>
      <c r="U160" s="157">
        <f>VLOOKUP(M160, $A$4:$J$29, 9, 0)</f>
      </c>
      <c r="V160" s="157">
        <f>VLOOKUP(N160, $A$4:$J$29, 9, 0)</f>
      </c>
      <c r="W160" s="157">
        <f>VLOOKUP(O160, $A$4:$J$29, 9, 0)</f>
      </c>
      <c r="X160" s="157">
        <f>VLOOKUP(P160, $A$4:$J$29, 9, 0)</f>
      </c>
      <c r="Y160" s="157">
        <f>VLOOKUP(Q160, $A$4:$J$29, 9, 0)</f>
      </c>
      <c r="Z160" s="157">
        <f>VLOOKUP(R160, $A$4:$J$29, 9, 0)</f>
      </c>
      <c r="AA160" s="157">
        <f>VLOOKUP(S160, $A$4:$J$29, 9, 0)</f>
      </c>
      <c r="AC160" s="18">
        <v>0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inlineStr">
        <is>
          <t>K</t>
        </is>
      </c>
      <c r="N161" s="38" t="inlineStr">
        <is>
          <t>GQ</t>
        </is>
      </c>
      <c r="O161" s="38" t="inlineStr">
        <is>
          <t>M3</t>
        </is>
      </c>
      <c r="P161" s="38" t="inlineStr">
        <is>
          <t>Q</t>
        </is>
      </c>
      <c r="Q161" s="38" t="inlineStr">
        <is>
          <t>M3</t>
        </is>
      </c>
      <c r="R161" s="38" t="inlineStr">
        <is>
          <t>J</t>
        </is>
      </c>
      <c r="S161" s="24" t="inlineStr">
        <is>
          <t>M6</t>
        </is>
      </c>
      <c r="U161" s="157">
        <f>VLOOKUP(M161, $A$4:$J$29, 9, 0)</f>
      </c>
      <c r="V161" s="157">
        <f>VLOOKUP(N161, $A$4:$J$29, 9, 0)</f>
      </c>
      <c r="W161" s="157">
        <f>VLOOKUP(O161, $A$4:$J$29, 9, 0)</f>
      </c>
      <c r="X161" s="157">
        <f>VLOOKUP(P161, $A$4:$J$29, 9, 0)</f>
      </c>
      <c r="Y161" s="157">
        <f>VLOOKUP(Q161, $A$4:$J$29, 9, 0)</f>
      </c>
      <c r="Z161" s="157">
        <f>VLOOKUP(R161, $A$4:$J$29, 9, 0)</f>
      </c>
      <c r="AA161" s="157">
        <f>VLOOKUP(S161, $A$4:$J$29, 9, 0)</f>
      </c>
      <c r="AC161" s="18">
        <v>0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inlineStr">
        <is>
          <t>M3</t>
        </is>
      </c>
      <c r="N162" s="38" t="inlineStr">
        <is>
          <t>A</t>
        </is>
      </c>
      <c r="O162" s="38" t="inlineStr">
        <is>
          <t>G4</t>
        </is>
      </c>
      <c r="P162" s="38" t="inlineStr">
        <is>
          <t>M6</t>
        </is>
      </c>
      <c r="Q162" s="38" t="inlineStr">
        <is>
          <t>M2</t>
        </is>
      </c>
      <c r="R162" s="38" t="inlineStr">
        <is>
          <t>GT</t>
        </is>
      </c>
      <c r="S162" s="24" t="inlineStr">
        <is>
          <t>TE</t>
        </is>
      </c>
      <c r="U162" s="157">
        <f>VLOOKUP(M162, $A$4:$J$29, 9, 0)</f>
      </c>
      <c r="V162" s="157">
        <f>VLOOKUP(N162, $A$4:$J$29, 9, 0)</f>
      </c>
      <c r="W162" s="157">
        <f>VLOOKUP(O162, $A$4:$J$29, 9, 0)</f>
      </c>
      <c r="X162" s="157">
        <f>VLOOKUP(P162, $A$4:$J$29, 9, 0)</f>
      </c>
      <c r="Y162" s="157">
        <f>VLOOKUP(Q162, $A$4:$J$29, 9, 0)</f>
      </c>
      <c r="Z162" s="157">
        <f>VLOOKUP(R162, $A$4:$J$29, 9, 0)</f>
      </c>
      <c r="AA162" s="157">
        <f>VLOOKUP(S162, $A$4:$J$29, 9, 0)</f>
      </c>
      <c r="AC162" s="18">
        <v>0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inlineStr">
        <is>
          <t>M4</t>
        </is>
      </c>
      <c r="N163" s="38" t="inlineStr">
        <is>
          <t>GQ</t>
        </is>
      </c>
      <c r="O163" s="38" t="inlineStr">
        <is>
          <t>G6</t>
        </is>
      </c>
      <c r="P163" s="38" t="inlineStr">
        <is>
          <t>M4</t>
        </is>
      </c>
      <c r="Q163" s="38" t="inlineStr">
        <is>
          <t>J</t>
        </is>
      </c>
      <c r="R163" s="38" t="inlineStr">
        <is>
          <t>A</t>
        </is>
      </c>
      <c r="S163" s="24" t="inlineStr">
        <is>
          <t>K</t>
        </is>
      </c>
      <c r="U163" s="157">
        <f>VLOOKUP(M163, $A$4:$J$29, 9, 0)</f>
      </c>
      <c r="V163" s="157">
        <f>VLOOKUP(N163, $A$4:$J$29, 9, 0)</f>
      </c>
      <c r="W163" s="157">
        <f>VLOOKUP(O163, $A$4:$J$29, 9, 0)</f>
      </c>
      <c r="X163" s="157">
        <f>VLOOKUP(P163, $A$4:$J$29, 9, 0)</f>
      </c>
      <c r="Y163" s="157">
        <f>VLOOKUP(Q163, $A$4:$J$29, 9, 0)</f>
      </c>
      <c r="Z163" s="157">
        <f>VLOOKUP(R163, $A$4:$J$29, 9, 0)</f>
      </c>
      <c r="AA163" s="157">
        <f>VLOOKUP(S163, $A$4:$J$29, 9, 0)</f>
      </c>
      <c r="AC163" s="18">
        <v>0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inlineStr">
        <is>
          <t>K</t>
        </is>
      </c>
      <c r="N164" s="38" t="inlineStr">
        <is>
          <t>G5</t>
        </is>
      </c>
      <c r="O164" s="38" t="inlineStr">
        <is>
          <t>K</t>
        </is>
      </c>
      <c r="P164" s="38" t="inlineStr">
        <is>
          <t>WW</t>
        </is>
      </c>
      <c r="Q164" s="38" t="inlineStr">
        <is>
          <t>TE</t>
        </is>
      </c>
      <c r="R164" s="38" t="inlineStr">
        <is>
          <t>K</t>
        </is>
      </c>
      <c r="S164" s="24" t="inlineStr">
        <is>
          <t>M2</t>
        </is>
      </c>
      <c r="U164" s="157">
        <f>VLOOKUP(M164, $A$4:$J$29, 9, 0)</f>
      </c>
      <c r="V164" s="157">
        <f>VLOOKUP(N164, $A$4:$J$29, 9, 0)</f>
      </c>
      <c r="W164" s="157">
        <f>VLOOKUP(O164, $A$4:$J$29, 9, 0)</f>
      </c>
      <c r="X164" s="157">
        <f>VLOOKUP(P164, $A$4:$J$29, 9, 0)</f>
      </c>
      <c r="Y164" s="157">
        <f>VLOOKUP(Q164, $A$4:$J$29, 9, 0)</f>
      </c>
      <c r="Z164" s="157">
        <f>VLOOKUP(R164, $A$4:$J$29, 9, 0)</f>
      </c>
      <c r="AA164" s="157">
        <f>VLOOKUP(S164, $A$4:$J$29, 9, 0)</f>
      </c>
      <c r="AC164" s="18">
        <v>0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inlineStr">
        <is>
          <t>K</t>
        </is>
      </c>
      <c r="N165" s="38" t="inlineStr">
        <is>
          <t>G3</t>
        </is>
      </c>
      <c r="O165" s="38" t="inlineStr">
        <is>
          <t>M2</t>
        </is>
      </c>
      <c r="P165" s="38" t="inlineStr">
        <is>
          <t>TE</t>
        </is>
      </c>
      <c r="Q165" s="38" t="inlineStr">
        <is>
          <t>J</t>
        </is>
      </c>
      <c r="R165" s="38" t="inlineStr">
        <is>
          <t>G2</t>
        </is>
      </c>
      <c r="S165" s="24" t="inlineStr">
        <is>
          <t>M6</t>
        </is>
      </c>
      <c r="U165" s="157">
        <f>VLOOKUP(M165, $A$4:$J$29, 9, 0)</f>
      </c>
      <c r="V165" s="157">
        <f>VLOOKUP(N165, $A$4:$J$29, 9, 0)</f>
      </c>
      <c r="W165" s="157">
        <f>VLOOKUP(O165, $A$4:$J$29, 9, 0)</f>
      </c>
      <c r="X165" s="157">
        <f>VLOOKUP(P165, $A$4:$J$29, 9, 0)</f>
      </c>
      <c r="Y165" s="157">
        <f>VLOOKUP(Q165, $A$4:$J$29, 9, 0)</f>
      </c>
      <c r="Z165" s="157">
        <f>VLOOKUP(R165, $A$4:$J$29, 9, 0)</f>
      </c>
      <c r="AA165" s="157">
        <f>VLOOKUP(S165, $A$4:$J$29, 9, 0)</f>
      </c>
      <c r="AC165" s="18">
        <v>0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inlineStr">
        <is>
          <t>J</t>
        </is>
      </c>
      <c r="N166" s="155" t="inlineStr">
        <is>
          <t>A</t>
        </is>
      </c>
      <c r="O166" s="155" t="inlineStr">
        <is>
          <t>A</t>
        </is>
      </c>
      <c r="P166" s="155" t="inlineStr">
        <is>
          <t>A</t>
        </is>
      </c>
      <c r="Q166" s="155" t="inlineStr">
        <is>
          <t>K</t>
        </is>
      </c>
      <c r="R166" s="155" t="inlineStr">
        <is>
          <t>Q</t>
        </is>
      </c>
      <c r="S166" s="156" t="inlineStr">
        <is>
          <t>J</t>
        </is>
      </c>
      <c r="U166" s="157">
        <f>VLOOKUP(M166, $A$4:$J$29, 9, 0)</f>
      </c>
      <c r="V166" s="157">
        <f>VLOOKUP(N166, $A$4:$J$29, 9, 0)</f>
      </c>
      <c r="W166" s="157">
        <f>VLOOKUP(O166, $A$4:$J$29, 9, 0)</f>
      </c>
      <c r="X166" s="157">
        <f>VLOOKUP(P166, $A$4:$J$29, 9, 0)</f>
      </c>
      <c r="Y166" s="157">
        <f>VLOOKUP(Q166, $A$4:$J$29, 9, 0)</f>
      </c>
      <c r="Z166" s="157">
        <f>VLOOKUP(R166, $A$4:$J$29, 9, 0)</f>
      </c>
      <c r="AA166" s="157">
        <f>VLOOKUP(S166, $A$4:$J$29, 9, 0)</f>
      </c>
      <c r="AC166" s="18">
        <v>0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inlineStr">
        <is>
          <t>TE</t>
        </is>
      </c>
      <c r="N167" s="38" t="inlineStr">
        <is>
          <t>M5</t>
        </is>
      </c>
      <c r="O167" s="38" t="inlineStr">
        <is>
          <t>M4</t>
        </is>
      </c>
      <c r="P167" s="38" t="inlineStr">
        <is>
          <t>TE</t>
        </is>
      </c>
      <c r="Q167" s="38" t="inlineStr">
        <is>
          <t>G5</t>
        </is>
      </c>
      <c r="R167" s="38" t="inlineStr">
        <is>
          <t>K</t>
        </is>
      </c>
      <c r="S167" s="24" t="inlineStr">
        <is>
          <t>K</t>
        </is>
      </c>
      <c r="U167" s="157">
        <f>VLOOKUP(M167, $A$4:$J$29, 9, 0)</f>
      </c>
      <c r="V167" s="157">
        <f>VLOOKUP(N167, $A$4:$J$29, 9, 0)</f>
      </c>
      <c r="W167" s="157">
        <f>VLOOKUP(O167, $A$4:$J$29, 9, 0)</f>
      </c>
      <c r="X167" s="157">
        <f>VLOOKUP(P167, $A$4:$J$29, 9, 0)</f>
      </c>
      <c r="Y167" s="157">
        <f>VLOOKUP(Q167, $A$4:$J$29, 9, 0)</f>
      </c>
      <c r="Z167" s="157">
        <f>VLOOKUP(R167, $A$4:$J$29, 9, 0)</f>
      </c>
      <c r="AA167" s="157">
        <f>VLOOKUP(S167, $A$4:$J$29, 9, 0)</f>
      </c>
      <c r="AC167" s="18">
        <v>0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inlineStr">
        <is>
          <t>M3</t>
        </is>
      </c>
      <c r="N168" s="38" t="inlineStr">
        <is>
          <t>M5</t>
        </is>
      </c>
      <c r="O168" s="38" t="inlineStr">
        <is>
          <t>M3</t>
        </is>
      </c>
      <c r="P168" s="38" t="inlineStr">
        <is>
          <t>M2</t>
        </is>
      </c>
      <c r="Q168" s="38" t="inlineStr">
        <is>
          <t>M4</t>
        </is>
      </c>
      <c r="R168" s="38" t="inlineStr">
        <is>
          <t>K</t>
        </is>
      </c>
      <c r="S168" s="24" t="inlineStr">
        <is>
          <t>A</t>
        </is>
      </c>
      <c r="U168" s="157">
        <f>VLOOKUP(M168, $A$4:$J$29, 9, 0)</f>
      </c>
      <c r="V168" s="157">
        <f>VLOOKUP(N168, $A$4:$J$29, 9, 0)</f>
      </c>
      <c r="W168" s="157">
        <f>VLOOKUP(O168, $A$4:$J$29, 9, 0)</f>
      </c>
      <c r="X168" s="157">
        <f>VLOOKUP(P168, $A$4:$J$29, 9, 0)</f>
      </c>
      <c r="Y168" s="157">
        <f>VLOOKUP(Q168, $A$4:$J$29, 9, 0)</f>
      </c>
      <c r="Z168" s="157">
        <f>VLOOKUP(R168, $A$4:$J$29, 9, 0)</f>
      </c>
      <c r="AA168" s="157">
        <f>VLOOKUP(S168, $A$4:$J$29, 9, 0)</f>
      </c>
      <c r="AC168" s="18">
        <v>0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inlineStr">
        <is>
          <t>M3</t>
        </is>
      </c>
      <c r="N169" s="38" t="inlineStr">
        <is>
          <t>M4</t>
        </is>
      </c>
      <c r="O169" s="38" t="inlineStr">
        <is>
          <t>GQ</t>
        </is>
      </c>
      <c r="P169" s="38" t="inlineStr">
        <is>
          <t>M6</t>
        </is>
      </c>
      <c r="Q169" s="38" t="inlineStr">
        <is>
          <t>K</t>
        </is>
      </c>
      <c r="R169" s="38" t="inlineStr">
        <is>
          <t>J</t>
        </is>
      </c>
      <c r="S169" s="24" t="inlineStr">
        <is>
          <t>TE</t>
        </is>
      </c>
      <c r="U169" s="157">
        <f>VLOOKUP(M169, $A$4:$J$29, 9, 0)</f>
      </c>
      <c r="V169" s="157">
        <f>VLOOKUP(N169, $A$4:$J$29, 9, 0)</f>
      </c>
      <c r="W169" s="157">
        <f>VLOOKUP(O169, $A$4:$J$29, 9, 0)</f>
      </c>
      <c r="X169" s="157">
        <f>VLOOKUP(P169, $A$4:$J$29, 9, 0)</f>
      </c>
      <c r="Y169" s="157">
        <f>VLOOKUP(Q169, $A$4:$J$29, 9, 0)</f>
      </c>
      <c r="Z169" s="157">
        <f>VLOOKUP(R169, $A$4:$J$29, 9, 0)</f>
      </c>
      <c r="AA169" s="157">
        <f>VLOOKUP(S169, $A$4:$J$29, 9, 0)</f>
      </c>
      <c r="AC169" s="18">
        <v>0</v>
      </c>
      <c r="AD169" s="18">
        <v>0</v>
      </c>
      <c r="AE169" s="18">
        <v>1</v>
      </c>
      <c r="AF169" s="18">
        <v>1</v>
      </c>
      <c r="AG169" s="18">
        <v>1</v>
      </c>
      <c r="AH169" s="18">
        <v>1</v>
      </c>
      <c r="AI169" s="18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inlineStr">
        <is>
          <t>M4</t>
        </is>
      </c>
      <c r="N170" s="38" t="inlineStr">
        <is>
          <t>M2</t>
        </is>
      </c>
      <c r="O170" s="38" t="inlineStr">
        <is>
          <t>M4</t>
        </is>
      </c>
      <c r="P170" s="38" t="inlineStr">
        <is>
          <t>M3</t>
        </is>
      </c>
      <c r="Q170" s="38" t="inlineStr">
        <is>
          <t>Q</t>
        </is>
      </c>
      <c r="R170" s="38" t="inlineStr">
        <is>
          <t>M6</t>
        </is>
      </c>
      <c r="S170" s="24" t="inlineStr">
        <is>
          <t>TE</t>
        </is>
      </c>
      <c r="U170" s="157">
        <f>VLOOKUP(M170, $A$4:$J$29, 9, 0)</f>
      </c>
      <c r="V170" s="157">
        <f>VLOOKUP(N170, $A$4:$J$29, 9, 0)</f>
      </c>
      <c r="W170" s="157">
        <f>VLOOKUP(O170, $A$4:$J$29, 9, 0)</f>
      </c>
      <c r="X170" s="157">
        <f>VLOOKUP(P170, $A$4:$J$29, 9, 0)</f>
      </c>
      <c r="Y170" s="157">
        <f>VLOOKUP(Q170, $A$4:$J$29, 9, 0)</f>
      </c>
      <c r="Z170" s="157">
        <f>VLOOKUP(R170, $A$4:$J$29, 9, 0)</f>
      </c>
      <c r="AA170" s="157">
        <f>VLOOKUP(S170, $A$4:$J$29, 9, 0)</f>
      </c>
      <c r="AC170" s="18">
        <v>0</v>
      </c>
      <c r="AD170" s="18">
        <v>0</v>
      </c>
      <c r="AE170" s="18">
        <v>1</v>
      </c>
      <c r="AF170" s="18">
        <v>1</v>
      </c>
      <c r="AG170" s="18">
        <v>1</v>
      </c>
      <c r="AH170" s="18">
        <v>1</v>
      </c>
      <c r="AI170" s="18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inlineStr">
        <is>
          <t>A</t>
        </is>
      </c>
      <c r="N171" s="38" t="inlineStr">
        <is>
          <t>A</t>
        </is>
      </c>
      <c r="O171" s="38" t="inlineStr">
        <is>
          <t>M6</t>
        </is>
      </c>
      <c r="P171" s="38" t="inlineStr">
        <is>
          <t>GK</t>
        </is>
      </c>
      <c r="Q171" s="38" t="inlineStr">
        <is>
          <t>G5</t>
        </is>
      </c>
      <c r="R171" s="38" t="inlineStr">
        <is>
          <t>J</t>
        </is>
      </c>
      <c r="S171" s="24" t="inlineStr">
        <is>
          <t>TE</t>
        </is>
      </c>
      <c r="U171" s="157">
        <f>VLOOKUP(M171, $A$4:$J$29, 9, 0)</f>
      </c>
      <c r="V171" s="157">
        <f>VLOOKUP(N171, $A$4:$J$29, 9, 0)</f>
      </c>
      <c r="W171" s="157">
        <f>VLOOKUP(O171, $A$4:$J$29, 9, 0)</f>
      </c>
      <c r="X171" s="157">
        <f>VLOOKUP(P171, $A$4:$J$29, 9, 0)</f>
      </c>
      <c r="Y171" s="157">
        <f>VLOOKUP(Q171, $A$4:$J$29, 9, 0)</f>
      </c>
      <c r="Z171" s="157">
        <f>VLOOKUP(R171, $A$4:$J$29, 9, 0)</f>
      </c>
      <c r="AA171" s="157">
        <f>VLOOKUP(S171, $A$4:$J$29, 9, 0)</f>
      </c>
      <c r="AC171" s="18">
        <v>0</v>
      </c>
      <c r="AD171" s="18">
        <v>0</v>
      </c>
      <c r="AE171" s="18">
        <v>1</v>
      </c>
      <c r="AF171" s="18">
        <v>1</v>
      </c>
      <c r="AG171" s="18">
        <v>1</v>
      </c>
      <c r="AH171" s="18">
        <v>1</v>
      </c>
      <c r="AI171" s="18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inlineStr">
        <is>
          <t>Q</t>
        </is>
      </c>
      <c r="N172" s="38" t="inlineStr">
        <is>
          <t>GQ</t>
        </is>
      </c>
      <c r="O172" s="38" t="inlineStr">
        <is>
          <t>Q</t>
        </is>
      </c>
      <c r="P172" s="38" t="inlineStr">
        <is>
          <t>M2</t>
        </is>
      </c>
      <c r="Q172" s="38" t="inlineStr">
        <is>
          <t>GT</t>
        </is>
      </c>
      <c r="R172" s="38" t="inlineStr">
        <is>
          <t>M6</t>
        </is>
      </c>
      <c r="S172" s="24" t="inlineStr">
        <is>
          <t>TE</t>
        </is>
      </c>
      <c r="U172" s="157">
        <f>VLOOKUP(M172, $A$4:$J$29, 9, 0)</f>
      </c>
      <c r="V172" s="157">
        <f>VLOOKUP(N172, $A$4:$J$29, 9, 0)</f>
      </c>
      <c r="W172" s="157">
        <f>VLOOKUP(O172, $A$4:$J$29, 9, 0)</f>
      </c>
      <c r="X172" s="157">
        <f>VLOOKUP(P172, $A$4:$J$29, 9, 0)</f>
      </c>
      <c r="Y172" s="157">
        <f>VLOOKUP(Q172, $A$4:$J$29, 9, 0)</f>
      </c>
      <c r="Z172" s="157">
        <f>VLOOKUP(R172, $A$4:$J$29, 9, 0)</f>
      </c>
      <c r="AA172" s="157">
        <f>VLOOKUP(S172, $A$4:$J$29, 9, 0)</f>
      </c>
      <c r="AC172" s="18">
        <v>0</v>
      </c>
      <c r="AD172" s="18">
        <v>0</v>
      </c>
      <c r="AE172" s="18">
        <v>1</v>
      </c>
      <c r="AF172" s="18">
        <v>1</v>
      </c>
      <c r="AG172" s="18">
        <v>1</v>
      </c>
      <c r="AH172" s="18">
        <v>1</v>
      </c>
      <c r="AI172" s="18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inlineStr">
        <is>
          <t>Q</t>
        </is>
      </c>
      <c r="N173" s="38" t="inlineStr">
        <is>
          <t>TE</t>
        </is>
      </c>
      <c r="O173" s="38" t="inlineStr">
        <is>
          <t>GJ</t>
        </is>
      </c>
      <c r="P173" s="38" t="inlineStr">
        <is>
          <t>M5</t>
        </is>
      </c>
      <c r="Q173" s="38" t="inlineStr">
        <is>
          <t>TE</t>
        </is>
      </c>
      <c r="R173" s="38" t="inlineStr">
        <is>
          <t>GK</t>
        </is>
      </c>
      <c r="S173" s="24" t="inlineStr">
        <is>
          <t>J</t>
        </is>
      </c>
      <c r="U173" s="157">
        <f>VLOOKUP(M173, $A$4:$J$29, 9, 0)</f>
      </c>
      <c r="V173" s="157">
        <f>VLOOKUP(N173, $A$4:$J$29, 9, 0)</f>
      </c>
      <c r="W173" s="157">
        <f>VLOOKUP(O173, $A$4:$J$29, 9, 0)</f>
      </c>
      <c r="X173" s="157">
        <f>VLOOKUP(P173, $A$4:$J$29, 9, 0)</f>
      </c>
      <c r="Y173" s="157">
        <f>VLOOKUP(Q173, $A$4:$J$29, 9, 0)</f>
      </c>
      <c r="Z173" s="157">
        <f>VLOOKUP(R173, $A$4:$J$29, 9, 0)</f>
      </c>
      <c r="AA173" s="157">
        <f>VLOOKUP(S173, $A$4:$J$29, 9, 0)</f>
      </c>
      <c r="AC173" s="18">
        <v>0</v>
      </c>
      <c r="AD173" s="18">
        <v>0</v>
      </c>
      <c r="AE173" s="18">
        <v>1</v>
      </c>
      <c r="AF173" s="18">
        <v>1</v>
      </c>
      <c r="AG173" s="18">
        <v>1</v>
      </c>
      <c r="AH173" s="18">
        <v>1</v>
      </c>
      <c r="AI173" s="18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inlineStr">
        <is>
          <t>K</t>
        </is>
      </c>
      <c r="N174" s="38" t="inlineStr">
        <is>
          <t>A</t>
        </is>
      </c>
      <c r="O174" s="38" t="inlineStr">
        <is>
          <t>M5</t>
        </is>
      </c>
      <c r="P174" s="38" t="inlineStr">
        <is>
          <t>M4</t>
        </is>
      </c>
      <c r="Q174" s="38" t="inlineStr">
        <is>
          <t>A</t>
        </is>
      </c>
      <c r="R174" s="38" t="inlineStr">
        <is>
          <t>M5</t>
        </is>
      </c>
      <c r="S174" s="24" t="inlineStr">
        <is>
          <t>K</t>
        </is>
      </c>
      <c r="U174" s="157">
        <f>VLOOKUP(M174, $A$4:$J$29, 9, 0)</f>
      </c>
      <c r="V174" s="157">
        <f>VLOOKUP(N174, $A$4:$J$29, 9, 0)</f>
      </c>
      <c r="W174" s="157">
        <f>VLOOKUP(O174, $A$4:$J$29, 9, 0)</f>
      </c>
      <c r="X174" s="157">
        <f>VLOOKUP(P174, $A$4:$J$29, 9, 0)</f>
      </c>
      <c r="Y174" s="157">
        <f>VLOOKUP(Q174, $A$4:$J$29, 9, 0)</f>
      </c>
      <c r="Z174" s="157">
        <f>VLOOKUP(R174, $A$4:$J$29, 9, 0)</f>
      </c>
      <c r="AA174" s="157">
        <f>VLOOKUP(S174, $A$4:$J$29, 9, 0)</f>
      </c>
      <c r="AC174" s="18">
        <v>0</v>
      </c>
      <c r="AD174" s="18">
        <v>0</v>
      </c>
      <c r="AE174" s="18">
        <v>1</v>
      </c>
      <c r="AF174" s="18">
        <v>1</v>
      </c>
      <c r="AG174" s="18">
        <v>1</v>
      </c>
      <c r="AH174" s="18">
        <v>1</v>
      </c>
      <c r="AI174" s="18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inlineStr">
        <is>
          <t>M6</t>
        </is>
      </c>
      <c r="N175" s="155" t="inlineStr">
        <is>
          <t>Q</t>
        </is>
      </c>
      <c r="O175" s="155" t="inlineStr">
        <is>
          <t>M5</t>
        </is>
      </c>
      <c r="P175" s="155" t="inlineStr">
        <is>
          <t>M2</t>
        </is>
      </c>
      <c r="Q175" s="155" t="inlineStr">
        <is>
          <t>J</t>
        </is>
      </c>
      <c r="R175" s="155" t="inlineStr">
        <is>
          <t>K</t>
        </is>
      </c>
      <c r="S175" s="156" t="inlineStr">
        <is>
          <t>M6</t>
        </is>
      </c>
      <c r="U175" s="157">
        <f>VLOOKUP(M175, $A$4:$J$29, 9, 0)</f>
      </c>
      <c r="V175" s="157">
        <f>VLOOKUP(N175, $A$4:$J$29, 9, 0)</f>
      </c>
      <c r="W175" s="157">
        <f>VLOOKUP(O175, $A$4:$J$29, 9, 0)</f>
      </c>
      <c r="X175" s="157">
        <f>VLOOKUP(P175, $A$4:$J$29, 9, 0)</f>
      </c>
      <c r="Y175" s="157">
        <f>VLOOKUP(Q175, $A$4:$J$29, 9, 0)</f>
      </c>
      <c r="Z175" s="157">
        <f>VLOOKUP(R175, $A$4:$J$29, 9, 0)</f>
      </c>
      <c r="AA175" s="157">
        <f>VLOOKUP(S175, $A$4:$J$29, 9, 0)</f>
      </c>
      <c r="AC175" s="18">
        <v>0</v>
      </c>
      <c r="AD175" s="18">
        <v>0</v>
      </c>
      <c r="AE175" s="18">
        <v>1</v>
      </c>
      <c r="AF175" s="18">
        <v>1</v>
      </c>
      <c r="AG175" s="18">
        <v>1</v>
      </c>
      <c r="AH175" s="18">
        <v>1</v>
      </c>
      <c r="AI175" s="18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inlineStr">
        <is>
          <t>TE</t>
        </is>
      </c>
      <c r="N176" s="38" t="inlineStr">
        <is>
          <t>WW</t>
        </is>
      </c>
      <c r="O176" s="38" t="inlineStr">
        <is>
          <t>M4</t>
        </is>
      </c>
      <c r="P176" s="38" t="inlineStr">
        <is>
          <t>M5</t>
        </is>
      </c>
      <c r="Q176" s="38" t="inlineStr">
        <is>
          <t>K</t>
        </is>
      </c>
      <c r="R176" s="38" t="inlineStr">
        <is>
          <t>TE</t>
        </is>
      </c>
      <c r="S176" s="24" t="inlineStr">
        <is>
          <t>M6</t>
        </is>
      </c>
      <c r="U176" s="157">
        <f>VLOOKUP(M176, $A$4:$J$29, 9, 0)</f>
      </c>
      <c r="V176" s="157">
        <f>VLOOKUP(N176, $A$4:$J$29, 9, 0)</f>
      </c>
      <c r="W176" s="157">
        <f>VLOOKUP(O176, $A$4:$J$29, 9, 0)</f>
      </c>
      <c r="X176" s="157">
        <f>VLOOKUP(P176, $A$4:$J$29, 9, 0)</f>
      </c>
      <c r="Y176" s="157">
        <f>VLOOKUP(Q176, $A$4:$J$29, 9, 0)</f>
      </c>
      <c r="Z176" s="157">
        <f>VLOOKUP(R176, $A$4:$J$29, 9, 0)</f>
      </c>
      <c r="AA176" s="157">
        <f>VLOOKUP(S176, $A$4:$J$29, 9, 0)</f>
      </c>
      <c r="AC176" s="18">
        <v>0</v>
      </c>
      <c r="AD176" s="18">
        <v>0</v>
      </c>
      <c r="AE176" s="18">
        <v>1</v>
      </c>
      <c r="AF176" s="18">
        <v>1</v>
      </c>
      <c r="AG176" s="18">
        <v>1</v>
      </c>
      <c r="AH176" s="18">
        <v>1</v>
      </c>
      <c r="AI176" s="18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inlineStr">
        <is>
          <t>A</t>
        </is>
      </c>
      <c r="N177" s="38" t="inlineStr">
        <is>
          <t>GA</t>
        </is>
      </c>
      <c r="O177" s="38" t="inlineStr">
        <is>
          <t>M2</t>
        </is>
      </c>
      <c r="P177" s="38" t="inlineStr">
        <is>
          <t>A</t>
        </is>
      </c>
      <c r="Q177" s="38" t="inlineStr">
        <is>
          <t>M3</t>
        </is>
      </c>
      <c r="R177" s="38" t="inlineStr">
        <is>
          <t>WW</t>
        </is>
      </c>
      <c r="S177" s="24" t="inlineStr">
        <is>
          <t>M6</t>
        </is>
      </c>
      <c r="U177" s="157">
        <f>VLOOKUP(M177, $A$4:$J$29, 9, 0)</f>
      </c>
      <c r="V177" s="157">
        <f>VLOOKUP(N177, $A$4:$J$29, 9, 0)</f>
      </c>
      <c r="W177" s="157">
        <f>VLOOKUP(O177, $A$4:$J$29, 9, 0)</f>
      </c>
      <c r="X177" s="157">
        <f>VLOOKUP(P177, $A$4:$J$29, 9, 0)</f>
      </c>
      <c r="Y177" s="157">
        <f>VLOOKUP(Q177, $A$4:$J$29, 9, 0)</f>
      </c>
      <c r="Z177" s="157">
        <f>VLOOKUP(R177, $A$4:$J$29, 9, 0)</f>
      </c>
      <c r="AA177" s="157">
        <f>VLOOKUP(S177, $A$4:$J$29, 9, 0)</f>
      </c>
      <c r="AC177" s="18">
        <v>0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inlineStr">
        <is>
          <t>M6</t>
        </is>
      </c>
      <c r="N178" s="38" t="inlineStr">
        <is>
          <t>GQ</t>
        </is>
      </c>
      <c r="O178" s="38" t="inlineStr">
        <is>
          <t>J</t>
        </is>
      </c>
      <c r="P178" s="38" t="inlineStr">
        <is>
          <t>M5</t>
        </is>
      </c>
      <c r="Q178" s="38" t="inlineStr">
        <is>
          <t>M3</t>
        </is>
      </c>
      <c r="R178" s="38" t="inlineStr">
        <is>
          <t>M4</t>
        </is>
      </c>
      <c r="S178" s="24" t="inlineStr">
        <is>
          <t>M6</t>
        </is>
      </c>
      <c r="U178" s="157">
        <f>VLOOKUP(M178, $A$4:$J$29, 9, 0)</f>
      </c>
      <c r="V178" s="157">
        <f>VLOOKUP(N178, $A$4:$J$29, 9, 0)</f>
      </c>
      <c r="W178" s="157">
        <f>VLOOKUP(O178, $A$4:$J$29, 9, 0)</f>
      </c>
      <c r="X178" s="157">
        <f>VLOOKUP(P178, $A$4:$J$29, 9, 0)</f>
      </c>
      <c r="Y178" s="157">
        <f>VLOOKUP(Q178, $A$4:$J$29, 9, 0)</f>
      </c>
      <c r="Z178" s="157">
        <f>VLOOKUP(R178, $A$4:$J$29, 9, 0)</f>
      </c>
      <c r="AA178" s="157">
        <f>VLOOKUP(S178, $A$4:$J$29, 9, 0)</f>
      </c>
      <c r="AC178" s="18">
        <v>0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inlineStr">
        <is>
          <t>M4</t>
        </is>
      </c>
      <c r="N179" s="38" t="inlineStr">
        <is>
          <t>M5</t>
        </is>
      </c>
      <c r="O179" s="38" t="inlineStr">
        <is>
          <t>M6</t>
        </is>
      </c>
      <c r="P179" s="38" t="inlineStr">
        <is>
          <t>J</t>
        </is>
      </c>
      <c r="Q179" s="38" t="inlineStr">
        <is>
          <t>K</t>
        </is>
      </c>
      <c r="R179" s="38" t="inlineStr">
        <is>
          <t>M4</t>
        </is>
      </c>
      <c r="S179" s="24" t="inlineStr">
        <is>
          <t>A</t>
        </is>
      </c>
      <c r="U179" s="157">
        <f>VLOOKUP(M179, $A$4:$J$29, 9, 0)</f>
      </c>
      <c r="V179" s="157">
        <f>VLOOKUP(N179, $A$4:$J$29, 9, 0)</f>
      </c>
      <c r="W179" s="157">
        <f>VLOOKUP(O179, $A$4:$J$29, 9, 0)</f>
      </c>
      <c r="X179" s="157">
        <f>VLOOKUP(P179, $A$4:$J$29, 9, 0)</f>
      </c>
      <c r="Y179" s="157">
        <f>VLOOKUP(Q179, $A$4:$J$29, 9, 0)</f>
      </c>
      <c r="Z179" s="157">
        <f>VLOOKUP(R179, $A$4:$J$29, 9, 0)</f>
      </c>
      <c r="AA179" s="157">
        <f>VLOOKUP(S179, $A$4:$J$29, 9, 0)</f>
      </c>
      <c r="AC179" s="18">
        <v>0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inlineStr">
        <is>
          <t>Q</t>
        </is>
      </c>
      <c r="N180" s="38" t="inlineStr">
        <is>
          <t>M5</t>
        </is>
      </c>
      <c r="O180" s="38" t="inlineStr">
        <is>
          <t>M2</t>
        </is>
      </c>
      <c r="P180" s="38" t="inlineStr">
        <is>
          <t>M6</t>
        </is>
      </c>
      <c r="Q180" s="38" t="inlineStr">
        <is>
          <t>Q</t>
        </is>
      </c>
      <c r="R180" s="38" t="inlineStr">
        <is>
          <t>M5</t>
        </is>
      </c>
      <c r="S180" s="24" t="inlineStr">
        <is>
          <t>M2</t>
        </is>
      </c>
      <c r="U180" s="157">
        <f>VLOOKUP(M180, $A$4:$J$29, 9, 0)</f>
      </c>
      <c r="V180" s="157">
        <f>VLOOKUP(N180, $A$4:$J$29, 9, 0)</f>
      </c>
      <c r="W180" s="157">
        <f>VLOOKUP(O180, $A$4:$J$29, 9, 0)</f>
      </c>
      <c r="X180" s="157">
        <f>VLOOKUP(P180, $A$4:$J$29, 9, 0)</f>
      </c>
      <c r="Y180" s="157">
        <f>VLOOKUP(Q180, $A$4:$J$29, 9, 0)</f>
      </c>
      <c r="Z180" s="157">
        <f>VLOOKUP(R180, $A$4:$J$29, 9, 0)</f>
      </c>
      <c r="AA180" s="157">
        <f>VLOOKUP(S180, $A$4:$J$29, 9, 0)</f>
      </c>
      <c r="AC180" s="18">
        <v>0</v>
      </c>
      <c r="AD180" s="18">
        <v>0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inlineStr">
        <is>
          <t>K</t>
        </is>
      </c>
      <c r="N181" s="38" t="inlineStr">
        <is>
          <t>Q</t>
        </is>
      </c>
      <c r="O181" s="38" t="inlineStr">
        <is>
          <t>TE</t>
        </is>
      </c>
      <c r="P181" s="38" t="inlineStr">
        <is>
          <t>M4</t>
        </is>
      </c>
      <c r="Q181" s="38" t="inlineStr">
        <is>
          <t>M5</t>
        </is>
      </c>
      <c r="R181" s="38" t="inlineStr">
        <is>
          <t>A</t>
        </is>
      </c>
      <c r="S181" s="24" t="inlineStr">
        <is>
          <t>K</t>
        </is>
      </c>
      <c r="U181" s="157">
        <f>VLOOKUP(M181, $A$4:$J$29, 9, 0)</f>
      </c>
      <c r="V181" s="157">
        <f>VLOOKUP(N181, $A$4:$J$29, 9, 0)</f>
      </c>
      <c r="W181" s="157">
        <f>VLOOKUP(O181, $A$4:$J$29, 9, 0)</f>
      </c>
      <c r="X181" s="157">
        <f>VLOOKUP(P181, $A$4:$J$29, 9, 0)</f>
      </c>
      <c r="Y181" s="157">
        <f>VLOOKUP(Q181, $A$4:$J$29, 9, 0)</f>
      </c>
      <c r="Z181" s="157">
        <f>VLOOKUP(R181, $A$4:$J$29, 9, 0)</f>
      </c>
      <c r="AA181" s="157">
        <f>VLOOKUP(S181, $A$4:$J$29, 9, 0)</f>
      </c>
      <c r="AC181" s="18">
        <v>0</v>
      </c>
      <c r="AD181" s="18">
        <v>0</v>
      </c>
      <c r="AE181" s="18">
        <v>1</v>
      </c>
      <c r="AF181" s="18">
        <v>1</v>
      </c>
      <c r="AG181" s="18">
        <v>1</v>
      </c>
      <c r="AH181" s="18">
        <v>1</v>
      </c>
      <c r="AI181" s="18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inlineStr">
        <is>
          <t>M6</t>
        </is>
      </c>
      <c r="N182" s="38" t="inlineStr">
        <is>
          <t>G3</t>
        </is>
      </c>
      <c r="O182" s="38" t="inlineStr">
        <is>
          <t>J</t>
        </is>
      </c>
      <c r="P182" s="38" t="inlineStr">
        <is>
          <t>M2</t>
        </is>
      </c>
      <c r="Q182" s="38" t="inlineStr">
        <is>
          <t>A</t>
        </is>
      </c>
      <c r="R182" s="38" t="inlineStr">
        <is>
          <t>M4</t>
        </is>
      </c>
      <c r="S182" s="24" t="inlineStr">
        <is>
          <t>M6</t>
        </is>
      </c>
      <c r="U182" s="157">
        <f>VLOOKUP(M182, $A$4:$J$29, 9, 0)</f>
      </c>
      <c r="V182" s="157">
        <f>VLOOKUP(N182, $A$4:$J$29, 9, 0)</f>
      </c>
      <c r="W182" s="157">
        <f>VLOOKUP(O182, $A$4:$J$29, 9, 0)</f>
      </c>
      <c r="X182" s="157">
        <f>VLOOKUP(P182, $A$4:$J$29, 9, 0)</f>
      </c>
      <c r="Y182" s="157">
        <f>VLOOKUP(Q182, $A$4:$J$29, 9, 0)</f>
      </c>
      <c r="Z182" s="157">
        <f>VLOOKUP(R182, $A$4:$J$29, 9, 0)</f>
      </c>
      <c r="AA182" s="157">
        <f>VLOOKUP(S182, $A$4:$J$29, 9, 0)</f>
      </c>
      <c r="AC182" s="18">
        <v>0</v>
      </c>
      <c r="AD182" s="18">
        <v>0</v>
      </c>
      <c r="AE182" s="18">
        <v>1</v>
      </c>
      <c r="AF182" s="18">
        <v>1</v>
      </c>
      <c r="AG182" s="18">
        <v>1</v>
      </c>
      <c r="AH182" s="18">
        <v>1</v>
      </c>
      <c r="AI182" s="18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inlineStr">
        <is>
          <t>M5</t>
        </is>
      </c>
      <c r="N183" s="38" t="inlineStr">
        <is>
          <t>GQ</t>
        </is>
      </c>
      <c r="O183" s="38" t="inlineStr">
        <is>
          <t>M3</t>
        </is>
      </c>
      <c r="P183" s="38" t="inlineStr">
        <is>
          <t>M1</t>
        </is>
      </c>
      <c r="Q183" s="38" t="inlineStr">
        <is>
          <t>M6</t>
        </is>
      </c>
      <c r="R183" s="38" t="inlineStr">
        <is>
          <t>M6</t>
        </is>
      </c>
      <c r="S183" s="24" t="inlineStr">
        <is>
          <t>TE</t>
        </is>
      </c>
      <c r="U183" s="157">
        <f>VLOOKUP(M183, $A$4:$J$29, 9, 0)</f>
      </c>
      <c r="V183" s="157">
        <f>VLOOKUP(N183, $A$4:$J$29, 9, 0)</f>
      </c>
      <c r="W183" s="157">
        <f>VLOOKUP(O183, $A$4:$J$29, 9, 0)</f>
      </c>
      <c r="X183" s="157">
        <f>VLOOKUP(P183, $A$4:$J$29, 9, 0)</f>
      </c>
      <c r="Y183" s="157">
        <f>VLOOKUP(Q183, $A$4:$J$29, 9, 0)</f>
      </c>
      <c r="Z183" s="157">
        <f>VLOOKUP(R183, $A$4:$J$29, 9, 0)</f>
      </c>
      <c r="AA183" s="157">
        <f>VLOOKUP(S183, $A$4:$J$29, 9, 0)</f>
      </c>
      <c r="AC183" s="18">
        <v>0</v>
      </c>
      <c r="AD183" s="18">
        <v>0</v>
      </c>
      <c r="AE183" s="18">
        <v>1</v>
      </c>
      <c r="AF183" s="18">
        <v>1</v>
      </c>
      <c r="AG183" s="18">
        <v>1</v>
      </c>
      <c r="AH183" s="18">
        <v>1</v>
      </c>
      <c r="AI183" s="18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inlineStr">
        <is>
          <t>K</t>
        </is>
      </c>
      <c r="N184" s="155" t="inlineStr">
        <is>
          <t>TE</t>
        </is>
      </c>
      <c r="O184" s="155" t="inlineStr">
        <is>
          <t>TE</t>
        </is>
      </c>
      <c r="P184" s="155" t="inlineStr">
        <is>
          <t>M6</t>
        </is>
      </c>
      <c r="Q184" s="155" t="inlineStr">
        <is>
          <t>GA</t>
        </is>
      </c>
      <c r="R184" s="155" t="inlineStr">
        <is>
          <t>J</t>
        </is>
      </c>
      <c r="S184" s="156" t="inlineStr">
        <is>
          <t>J</t>
        </is>
      </c>
      <c r="U184" s="157">
        <f>VLOOKUP(M184, $A$4:$J$29, 9, 0)</f>
      </c>
      <c r="V184" s="157">
        <f>VLOOKUP(N184, $A$4:$J$29, 9, 0)</f>
      </c>
      <c r="W184" s="157">
        <f>VLOOKUP(O184, $A$4:$J$29, 9, 0)</f>
      </c>
      <c r="X184" s="157">
        <f>VLOOKUP(P184, $A$4:$J$29, 9, 0)</f>
      </c>
      <c r="Y184" s="157">
        <f>VLOOKUP(Q184, $A$4:$J$29, 9, 0)</f>
      </c>
      <c r="Z184" s="157">
        <f>VLOOKUP(R184, $A$4:$J$29, 9, 0)</f>
      </c>
      <c r="AA184" s="157">
        <f>VLOOKUP(S184, $A$4:$J$29, 9, 0)</f>
      </c>
      <c r="AC184" s="18">
        <v>0</v>
      </c>
      <c r="AD184" s="18">
        <v>0</v>
      </c>
      <c r="AE184" s="18">
        <v>1</v>
      </c>
      <c r="AF184" s="18">
        <v>1</v>
      </c>
      <c r="AG184" s="18">
        <v>1</v>
      </c>
      <c r="AH184" s="18">
        <v>1</v>
      </c>
      <c r="AI184" s="18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inlineStr">
        <is>
          <t>K</t>
        </is>
      </c>
      <c r="N185" s="38" t="inlineStr">
        <is>
          <t>Q</t>
        </is>
      </c>
      <c r="O185" s="38" t="inlineStr">
        <is>
          <t>G2</t>
        </is>
      </c>
      <c r="P185" s="38" t="inlineStr">
        <is>
          <t>J</t>
        </is>
      </c>
      <c r="Q185" s="38" t="inlineStr">
        <is>
          <t>M5</t>
        </is>
      </c>
      <c r="R185" s="38" t="inlineStr">
        <is>
          <t>K</t>
        </is>
      </c>
      <c r="S185" s="24" t="inlineStr">
        <is>
          <t>M4</t>
        </is>
      </c>
      <c r="U185" s="157">
        <f>VLOOKUP(M185, $A$4:$J$29, 9, 0)</f>
      </c>
      <c r="V185" s="157">
        <f>VLOOKUP(N185, $A$4:$J$29, 9, 0)</f>
      </c>
      <c r="W185" s="157">
        <f>VLOOKUP(O185, $A$4:$J$29, 9, 0)</f>
      </c>
      <c r="X185" s="157">
        <f>VLOOKUP(P185, $A$4:$J$29, 9, 0)</f>
      </c>
      <c r="Y185" s="157">
        <f>VLOOKUP(Q185, $A$4:$J$29, 9, 0)</f>
      </c>
      <c r="Z185" s="157">
        <f>VLOOKUP(R185, $A$4:$J$29, 9, 0)</f>
      </c>
      <c r="AA185" s="157">
        <f>VLOOKUP(S185, $A$4:$J$29, 9, 0)</f>
      </c>
      <c r="AC185" s="18">
        <v>0</v>
      </c>
      <c r="AD185" s="18">
        <v>0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inlineStr">
        <is>
          <t>J</t>
        </is>
      </c>
      <c r="N186" s="38" t="inlineStr">
        <is>
          <t>M2</t>
        </is>
      </c>
      <c r="O186" s="38" t="inlineStr">
        <is>
          <t>GJ</t>
        </is>
      </c>
      <c r="P186" s="38" t="inlineStr">
        <is>
          <t>TE</t>
        </is>
      </c>
      <c r="Q186" s="38" t="inlineStr">
        <is>
          <t>Q</t>
        </is>
      </c>
      <c r="R186" s="38" t="inlineStr">
        <is>
          <t>M4</t>
        </is>
      </c>
      <c r="S186" s="24" t="inlineStr">
        <is>
          <t>K</t>
        </is>
      </c>
      <c r="U186" s="157">
        <f>VLOOKUP(M186, $A$4:$J$29, 9, 0)</f>
      </c>
      <c r="V186" s="157">
        <f>VLOOKUP(N186, $A$4:$J$29, 9, 0)</f>
      </c>
      <c r="W186" s="157">
        <f>VLOOKUP(O186, $A$4:$J$29, 9, 0)</f>
      </c>
      <c r="X186" s="157">
        <f>VLOOKUP(P186, $A$4:$J$29, 9, 0)</f>
      </c>
      <c r="Y186" s="157">
        <f>VLOOKUP(Q186, $A$4:$J$29, 9, 0)</f>
      </c>
      <c r="Z186" s="157">
        <f>VLOOKUP(R186, $A$4:$J$29, 9, 0)</f>
      </c>
      <c r="AA186" s="157">
        <f>VLOOKUP(S186, $A$4:$J$29, 9, 0)</f>
      </c>
      <c r="AC186" s="18">
        <v>0</v>
      </c>
      <c r="AD186" s="18">
        <v>0</v>
      </c>
      <c r="AE186" s="18">
        <v>1</v>
      </c>
      <c r="AF186" s="18">
        <v>1</v>
      </c>
      <c r="AG186" s="18">
        <v>1</v>
      </c>
      <c r="AH186" s="18">
        <v>1</v>
      </c>
      <c r="AI186" s="18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inlineStr">
        <is>
          <t>M5</t>
        </is>
      </c>
      <c r="N187" s="38" t="inlineStr">
        <is>
          <t>G3</t>
        </is>
      </c>
      <c r="O187" s="38" t="inlineStr">
        <is>
          <t>M3</t>
        </is>
      </c>
      <c r="P187" s="38" t="inlineStr">
        <is>
          <t>G4</t>
        </is>
      </c>
      <c r="Q187" s="38" t="inlineStr">
        <is>
          <t>M3</t>
        </is>
      </c>
      <c r="R187" s="38" t="inlineStr">
        <is>
          <t>Q</t>
        </is>
      </c>
      <c r="S187" s="24" t="inlineStr">
        <is>
          <t>M3</t>
        </is>
      </c>
      <c r="U187" s="157">
        <f>VLOOKUP(M187, $A$4:$J$29, 9, 0)</f>
      </c>
      <c r="V187" s="157">
        <f>VLOOKUP(N187, $A$4:$J$29, 9, 0)</f>
      </c>
      <c r="W187" s="157">
        <f>VLOOKUP(O187, $A$4:$J$29, 9, 0)</f>
      </c>
      <c r="X187" s="157">
        <f>VLOOKUP(P187, $A$4:$J$29, 9, 0)</f>
      </c>
      <c r="Y187" s="157">
        <f>VLOOKUP(Q187, $A$4:$J$29, 9, 0)</f>
      </c>
      <c r="Z187" s="157">
        <f>VLOOKUP(R187, $A$4:$J$29, 9, 0)</f>
      </c>
      <c r="AA187" s="157">
        <f>VLOOKUP(S187, $A$4:$J$29, 9, 0)</f>
      </c>
      <c r="AC187" s="18">
        <v>0</v>
      </c>
      <c r="AD187" s="18">
        <v>0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inlineStr">
        <is>
          <t>K</t>
        </is>
      </c>
      <c r="N188" s="38" t="inlineStr">
        <is>
          <t>TE</t>
        </is>
      </c>
      <c r="O188" s="38" t="inlineStr">
        <is>
          <t>J</t>
        </is>
      </c>
      <c r="P188" s="38" t="inlineStr">
        <is>
          <t>GQ</t>
        </is>
      </c>
      <c r="Q188" s="38" t="inlineStr">
        <is>
          <t>GQ</t>
        </is>
      </c>
      <c r="R188" s="38" t="inlineStr">
        <is>
          <t>M5</t>
        </is>
      </c>
      <c r="S188" s="24" t="inlineStr">
        <is>
          <t>M3</t>
        </is>
      </c>
      <c r="U188" s="157">
        <f>VLOOKUP(M188, $A$4:$J$29, 9, 0)</f>
      </c>
      <c r="V188" s="157">
        <f>VLOOKUP(N188, $A$4:$J$29, 9, 0)</f>
      </c>
      <c r="W188" s="157">
        <f>VLOOKUP(O188, $A$4:$J$29, 9, 0)</f>
      </c>
      <c r="X188" s="157">
        <f>VLOOKUP(P188, $A$4:$J$29, 9, 0)</f>
      </c>
      <c r="Y188" s="157">
        <f>VLOOKUP(Q188, $A$4:$J$29, 9, 0)</f>
      </c>
      <c r="Z188" s="157">
        <f>VLOOKUP(R188, $A$4:$J$29, 9, 0)</f>
      </c>
      <c r="AA188" s="157">
        <f>VLOOKUP(S188, $A$4:$J$29, 9, 0)</f>
      </c>
      <c r="AC188" s="18">
        <v>0</v>
      </c>
      <c r="AD188" s="18">
        <v>0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inlineStr">
        <is>
          <t>M4</t>
        </is>
      </c>
      <c r="N189" s="38" t="inlineStr">
        <is>
          <t>TE</t>
        </is>
      </c>
      <c r="O189" s="38" t="inlineStr">
        <is>
          <t>A</t>
        </is>
      </c>
      <c r="P189" s="38" t="inlineStr">
        <is>
          <t>G2</t>
        </is>
      </c>
      <c r="Q189" s="38" t="inlineStr">
        <is>
          <t>TE</t>
        </is>
      </c>
      <c r="R189" s="38" t="inlineStr">
        <is>
          <t>TE</t>
        </is>
      </c>
      <c r="S189" s="24" t="inlineStr">
        <is>
          <t>M3</t>
        </is>
      </c>
      <c r="U189" s="157">
        <f>VLOOKUP(M189, $A$4:$J$29, 9, 0)</f>
      </c>
      <c r="V189" s="157">
        <f>VLOOKUP(N189, $A$4:$J$29, 9, 0)</f>
      </c>
      <c r="W189" s="157">
        <f>VLOOKUP(O189, $A$4:$J$29, 9, 0)</f>
      </c>
      <c r="X189" s="157">
        <f>VLOOKUP(P189, $A$4:$J$29, 9, 0)</f>
      </c>
      <c r="Y189" s="157">
        <f>VLOOKUP(Q189, $A$4:$J$29, 9, 0)</f>
      </c>
      <c r="Z189" s="157">
        <f>VLOOKUP(R189, $A$4:$J$29, 9, 0)</f>
      </c>
      <c r="AA189" s="157">
        <f>VLOOKUP(S189, $A$4:$J$29, 9, 0)</f>
      </c>
      <c r="AC189" s="18">
        <v>0</v>
      </c>
      <c r="AD189" s="18">
        <v>0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inlineStr">
        <is>
          <t>M4</t>
        </is>
      </c>
      <c r="N190" s="38" t="inlineStr">
        <is>
          <t>GQ</t>
        </is>
      </c>
      <c r="O190" s="38" t="inlineStr">
        <is>
          <t>G5</t>
        </is>
      </c>
      <c r="P190" s="38" t="inlineStr">
        <is>
          <t>GT</t>
        </is>
      </c>
      <c r="Q190" s="38" t="inlineStr">
        <is>
          <t>M5</t>
        </is>
      </c>
      <c r="R190" s="38" t="inlineStr">
        <is>
          <t>TE</t>
        </is>
      </c>
      <c r="S190" s="24" t="inlineStr">
        <is>
          <t>M3</t>
        </is>
      </c>
      <c r="U190" s="157">
        <f>VLOOKUP(M190, $A$4:$J$29, 9, 0)</f>
      </c>
      <c r="V190" s="157">
        <f>VLOOKUP(N190, $A$4:$J$29, 9, 0)</f>
      </c>
      <c r="W190" s="157">
        <f>VLOOKUP(O190, $A$4:$J$29, 9, 0)</f>
      </c>
      <c r="X190" s="157">
        <f>VLOOKUP(P190, $A$4:$J$29, 9, 0)</f>
      </c>
      <c r="Y190" s="157">
        <f>VLOOKUP(Q190, $A$4:$J$29, 9, 0)</f>
      </c>
      <c r="Z190" s="157">
        <f>VLOOKUP(R190, $A$4:$J$29, 9, 0)</f>
      </c>
      <c r="AA190" s="157">
        <f>VLOOKUP(S190, $A$4:$J$29, 9, 0)</f>
      </c>
      <c r="AC190" s="18">
        <v>0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inlineStr">
        <is>
          <t>A</t>
        </is>
      </c>
      <c r="N191" s="38" t="inlineStr">
        <is>
          <t>M4</t>
        </is>
      </c>
      <c r="O191" s="38" t="inlineStr">
        <is>
          <t>M5</t>
        </is>
      </c>
      <c r="P191" s="38" t="inlineStr">
        <is>
          <t>K</t>
        </is>
      </c>
      <c r="Q191" s="38" t="inlineStr">
        <is>
          <t>TE</t>
        </is>
      </c>
      <c r="R191" s="38" t="inlineStr">
        <is>
          <t>GQ</t>
        </is>
      </c>
      <c r="S191" s="24" t="inlineStr">
        <is>
          <t>M6</t>
        </is>
      </c>
      <c r="U191" s="157">
        <f>VLOOKUP(M191, $A$4:$J$29, 9, 0)</f>
      </c>
      <c r="V191" s="157">
        <f>VLOOKUP(N191, $A$4:$J$29, 9, 0)</f>
      </c>
      <c r="W191" s="157">
        <f>VLOOKUP(O191, $A$4:$J$29, 9, 0)</f>
      </c>
      <c r="X191" s="157">
        <f>VLOOKUP(P191, $A$4:$J$29, 9, 0)</f>
      </c>
      <c r="Y191" s="157">
        <f>VLOOKUP(Q191, $A$4:$J$29, 9, 0)</f>
      </c>
      <c r="Z191" s="157">
        <f>VLOOKUP(R191, $A$4:$J$29, 9, 0)</f>
      </c>
      <c r="AA191" s="157">
        <f>VLOOKUP(S191, $A$4:$J$29, 9, 0)</f>
      </c>
      <c r="AC191" s="18">
        <v>0</v>
      </c>
      <c r="AD191" s="18">
        <v>0</v>
      </c>
      <c r="AE191" s="18">
        <v>1</v>
      </c>
      <c r="AF191" s="18">
        <v>1</v>
      </c>
      <c r="AG191" s="18">
        <v>1</v>
      </c>
      <c r="AH191" s="18">
        <v>1</v>
      </c>
      <c r="AI191" s="18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inlineStr">
        <is>
          <t>M4</t>
        </is>
      </c>
      <c r="N192" s="38" t="inlineStr">
        <is>
          <t>M2</t>
        </is>
      </c>
      <c r="O192" s="38" t="inlineStr">
        <is>
          <t>M4</t>
        </is>
      </c>
      <c r="P192" s="38" t="inlineStr">
        <is>
          <t>J</t>
        </is>
      </c>
      <c r="Q192" s="38" t="inlineStr">
        <is>
          <t>J</t>
        </is>
      </c>
      <c r="R192" s="38" t="inlineStr">
        <is>
          <t>J</t>
        </is>
      </c>
      <c r="S192" s="24" t="inlineStr">
        <is>
          <t>J</t>
        </is>
      </c>
      <c r="U192" s="157">
        <f>VLOOKUP(M192, $A$4:$J$29, 9, 0)</f>
      </c>
      <c r="V192" s="157">
        <f>VLOOKUP(N192, $A$4:$J$29, 9, 0)</f>
      </c>
      <c r="W192" s="157">
        <f>VLOOKUP(O192, $A$4:$J$29, 9, 0)</f>
      </c>
      <c r="X192" s="157">
        <f>VLOOKUP(P192, $A$4:$J$29, 9, 0)</f>
      </c>
      <c r="Y192" s="157">
        <f>VLOOKUP(Q192, $A$4:$J$29, 9, 0)</f>
      </c>
      <c r="Z192" s="157">
        <f>VLOOKUP(R192, $A$4:$J$29, 9, 0)</f>
      </c>
      <c r="AA192" s="157">
        <f>VLOOKUP(S192, $A$4:$J$29, 9, 0)</f>
      </c>
      <c r="AC192" s="18">
        <v>0</v>
      </c>
      <c r="AD192" s="18">
        <v>0</v>
      </c>
      <c r="AE192" s="18">
        <v>1</v>
      </c>
      <c r="AF192" s="18">
        <v>1</v>
      </c>
      <c r="AG192" s="18">
        <v>1</v>
      </c>
      <c r="AH192" s="18">
        <v>1</v>
      </c>
      <c r="AI192" s="18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inlineStr">
        <is>
          <t>TE</t>
        </is>
      </c>
      <c r="N193" s="155" t="inlineStr">
        <is>
          <t>A</t>
        </is>
      </c>
      <c r="O193" s="155" t="inlineStr">
        <is>
          <t>M6</t>
        </is>
      </c>
      <c r="P193" s="155" t="inlineStr">
        <is>
          <t>K</t>
        </is>
      </c>
      <c r="Q193" s="155" t="inlineStr">
        <is>
          <t>M6</t>
        </is>
      </c>
      <c r="R193" s="155" t="inlineStr">
        <is>
          <t>M6</t>
        </is>
      </c>
      <c r="S193" s="156" t="inlineStr">
        <is>
          <t>A</t>
        </is>
      </c>
      <c r="U193" s="157">
        <f>VLOOKUP(M193, $A$4:$J$29, 9, 0)</f>
      </c>
      <c r="V193" s="157">
        <f>VLOOKUP(N193, $A$4:$J$29, 9, 0)</f>
      </c>
      <c r="W193" s="157">
        <f>VLOOKUP(O193, $A$4:$J$29, 9, 0)</f>
      </c>
      <c r="X193" s="157">
        <f>VLOOKUP(P193, $A$4:$J$29, 9, 0)</f>
      </c>
      <c r="Y193" s="157">
        <f>VLOOKUP(Q193, $A$4:$J$29, 9, 0)</f>
      </c>
      <c r="Z193" s="157">
        <f>VLOOKUP(R193, $A$4:$J$29, 9, 0)</f>
      </c>
      <c r="AA193" s="157">
        <f>VLOOKUP(S193, $A$4:$J$29, 9, 0)</f>
      </c>
      <c r="AC193" s="18">
        <v>0</v>
      </c>
      <c r="AD193" s="18">
        <v>0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inlineStr">
        <is>
          <t>M1</t>
        </is>
      </c>
      <c r="N194" s="38" t="inlineStr">
        <is>
          <t>M3</t>
        </is>
      </c>
      <c r="O194" s="38" t="inlineStr">
        <is>
          <t>M3</t>
        </is>
      </c>
      <c r="P194" s="38" t="inlineStr">
        <is>
          <t>G6</t>
        </is>
      </c>
      <c r="Q194" s="38" t="inlineStr">
        <is>
          <t>K</t>
        </is>
      </c>
      <c r="R194" s="38" t="inlineStr">
        <is>
          <t>K</t>
        </is>
      </c>
      <c r="S194" s="24" t="inlineStr">
        <is>
          <t>M4</t>
        </is>
      </c>
      <c r="U194" s="157">
        <f>VLOOKUP(M194, $A$4:$J$29, 9, 0)</f>
      </c>
      <c r="V194" s="157">
        <f>VLOOKUP(N194, $A$4:$J$29, 9, 0)</f>
      </c>
      <c r="W194" s="157">
        <f>VLOOKUP(O194, $A$4:$J$29, 9, 0)</f>
      </c>
      <c r="X194" s="157">
        <f>VLOOKUP(P194, $A$4:$J$29, 9, 0)</f>
      </c>
      <c r="Y194" s="157">
        <f>VLOOKUP(Q194, $A$4:$J$29, 9, 0)</f>
      </c>
      <c r="Z194" s="157">
        <f>VLOOKUP(R194, $A$4:$J$29, 9, 0)</f>
      </c>
      <c r="AA194" s="157">
        <f>VLOOKUP(S194, $A$4:$J$29, 9, 0)</f>
      </c>
      <c r="AC194" s="18">
        <v>0</v>
      </c>
      <c r="AD194" s="18">
        <v>0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inlineStr">
        <is>
          <t>A</t>
        </is>
      </c>
      <c r="N195" s="38" t="inlineStr">
        <is>
          <t>TE</t>
        </is>
      </c>
      <c r="O195" s="38" t="inlineStr">
        <is>
          <t>K</t>
        </is>
      </c>
      <c r="P195" s="38" t="inlineStr">
        <is>
          <t>GK</t>
        </is>
      </c>
      <c r="Q195" s="38" t="inlineStr">
        <is>
          <t>GA</t>
        </is>
      </c>
      <c r="R195" s="38" t="inlineStr">
        <is>
          <t>K</t>
        </is>
      </c>
      <c r="S195" s="24" t="inlineStr">
        <is>
          <t>M5</t>
        </is>
      </c>
      <c r="U195" s="157">
        <f>VLOOKUP(M195, $A$4:$J$29, 9, 0)</f>
      </c>
      <c r="V195" s="157">
        <f>VLOOKUP(N195, $A$4:$J$29, 9, 0)</f>
      </c>
      <c r="W195" s="157">
        <f>VLOOKUP(O195, $A$4:$J$29, 9, 0)</f>
      </c>
      <c r="X195" s="157">
        <f>VLOOKUP(P195, $A$4:$J$29, 9, 0)</f>
      </c>
      <c r="Y195" s="157">
        <f>VLOOKUP(Q195, $A$4:$J$29, 9, 0)</f>
      </c>
      <c r="Z195" s="157">
        <f>VLOOKUP(R195, $A$4:$J$29, 9, 0)</f>
      </c>
      <c r="AA195" s="157">
        <f>VLOOKUP(S195, $A$4:$J$29, 9, 0)</f>
      </c>
      <c r="AC195" s="18">
        <v>0</v>
      </c>
      <c r="AD195" s="18">
        <v>0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inlineStr">
        <is>
          <t>M3</t>
        </is>
      </c>
      <c r="N196" s="38" t="inlineStr">
        <is>
          <t>M6</t>
        </is>
      </c>
      <c r="O196" s="38" t="inlineStr">
        <is>
          <t>GT</t>
        </is>
      </c>
      <c r="P196" s="38" t="inlineStr">
        <is>
          <t>A</t>
        </is>
      </c>
      <c r="Q196" s="38" t="inlineStr">
        <is>
          <t>M4</t>
        </is>
      </c>
      <c r="R196" s="38" t="inlineStr">
        <is>
          <t>GK</t>
        </is>
      </c>
      <c r="S196" s="24" t="inlineStr">
        <is>
          <t>M6</t>
        </is>
      </c>
      <c r="U196" s="157">
        <f>VLOOKUP(M196, $A$4:$J$29, 9, 0)</f>
      </c>
      <c r="V196" s="157">
        <f>VLOOKUP(N196, $A$4:$J$29, 9, 0)</f>
      </c>
      <c r="W196" s="157">
        <f>VLOOKUP(O196, $A$4:$J$29, 9, 0)</f>
      </c>
      <c r="X196" s="157">
        <f>VLOOKUP(P196, $A$4:$J$29, 9, 0)</f>
      </c>
      <c r="Y196" s="157">
        <f>VLOOKUP(Q196, $A$4:$J$29, 9, 0)</f>
      </c>
      <c r="Z196" s="157">
        <f>VLOOKUP(R196, $A$4:$J$29, 9, 0)</f>
      </c>
      <c r="AA196" s="157">
        <f>VLOOKUP(S196, $A$4:$J$29, 9, 0)</f>
      </c>
      <c r="AC196" s="18">
        <v>0</v>
      </c>
      <c r="AD196" s="18">
        <v>0</v>
      </c>
      <c r="AE196" s="18">
        <v>1</v>
      </c>
      <c r="AF196" s="18">
        <v>1</v>
      </c>
      <c r="AG196" s="18">
        <v>1</v>
      </c>
      <c r="AH196" s="18">
        <v>1</v>
      </c>
      <c r="AI196" s="18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inlineStr">
        <is>
          <t>K</t>
        </is>
      </c>
      <c r="N197" s="38" t="inlineStr">
        <is>
          <t>TE</t>
        </is>
      </c>
      <c r="O197" s="38" t="inlineStr">
        <is>
          <t>M3</t>
        </is>
      </c>
      <c r="P197" s="38" t="inlineStr">
        <is>
          <t>M4</t>
        </is>
      </c>
      <c r="Q197" s="38" t="inlineStr">
        <is>
          <t>GJ</t>
        </is>
      </c>
      <c r="R197" s="38" t="inlineStr">
        <is>
          <t>J</t>
        </is>
      </c>
      <c r="S197" s="24" t="inlineStr">
        <is>
          <t>Q</t>
        </is>
      </c>
      <c r="U197" s="157">
        <f>VLOOKUP(M197, $A$4:$J$29, 9, 0)</f>
      </c>
      <c r="V197" s="157">
        <f>VLOOKUP(N197, $A$4:$J$29, 9, 0)</f>
      </c>
      <c r="W197" s="157">
        <f>VLOOKUP(O197, $A$4:$J$29, 9, 0)</f>
      </c>
      <c r="X197" s="157">
        <f>VLOOKUP(P197, $A$4:$J$29, 9, 0)</f>
      </c>
      <c r="Y197" s="157">
        <f>VLOOKUP(Q197, $A$4:$J$29, 9, 0)</f>
      </c>
      <c r="Z197" s="157">
        <f>VLOOKUP(R197, $A$4:$J$29, 9, 0)</f>
      </c>
      <c r="AA197" s="157">
        <f>VLOOKUP(S197, $A$4:$J$29, 9, 0)</f>
      </c>
      <c r="AC197" s="18">
        <v>1</v>
      </c>
      <c r="AD197" s="18">
        <v>0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inlineStr">
        <is>
          <t>TE</t>
        </is>
      </c>
      <c r="N198" s="38" t="inlineStr">
        <is>
          <t>Q</t>
        </is>
      </c>
      <c r="O198" s="38" t="inlineStr">
        <is>
          <t>GK</t>
        </is>
      </c>
      <c r="P198" s="38" t="inlineStr">
        <is>
          <t>Q</t>
        </is>
      </c>
      <c r="Q198" s="38" t="inlineStr">
        <is>
          <t>TE</t>
        </is>
      </c>
      <c r="R198" s="38" t="inlineStr">
        <is>
          <t>A</t>
        </is>
      </c>
      <c r="S198" s="24" t="inlineStr">
        <is>
          <t>M4</t>
        </is>
      </c>
      <c r="U198" s="157">
        <f>VLOOKUP(M198, $A$4:$J$29, 9, 0)</f>
      </c>
      <c r="V198" s="157">
        <f>VLOOKUP(N198, $A$4:$J$29, 9, 0)</f>
      </c>
      <c r="W198" s="157">
        <f>VLOOKUP(O198, $A$4:$J$29, 9, 0)</f>
      </c>
      <c r="X198" s="157">
        <f>VLOOKUP(P198, $A$4:$J$29, 9, 0)</f>
      </c>
      <c r="Y198" s="157">
        <f>VLOOKUP(Q198, $A$4:$J$29, 9, 0)</f>
      </c>
      <c r="Z198" s="157">
        <f>VLOOKUP(R198, $A$4:$J$29, 9, 0)</f>
      </c>
      <c r="AA198" s="157">
        <f>VLOOKUP(S198, $A$4:$J$29, 9, 0)</f>
      </c>
      <c r="AC198" s="18">
        <v>1</v>
      </c>
      <c r="AD198" s="18">
        <v>0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inlineStr">
        <is>
          <t>M6</t>
        </is>
      </c>
      <c r="N199" s="38" t="inlineStr">
        <is>
          <t>M5</t>
        </is>
      </c>
      <c r="O199" s="38" t="inlineStr">
        <is>
          <t>GA</t>
        </is>
      </c>
      <c r="P199" s="38" t="inlineStr">
        <is>
          <t>J</t>
        </is>
      </c>
      <c r="Q199" s="38" t="inlineStr">
        <is>
          <t>G2</t>
        </is>
      </c>
      <c r="R199" s="38" t="inlineStr">
        <is>
          <t>K</t>
        </is>
      </c>
      <c r="S199" s="24" t="inlineStr">
        <is>
          <t>J</t>
        </is>
      </c>
      <c r="U199" s="157">
        <f>VLOOKUP(M199, $A$4:$J$29, 9, 0)</f>
      </c>
      <c r="V199" s="157">
        <f>VLOOKUP(N199, $A$4:$J$29, 9, 0)</f>
      </c>
      <c r="W199" s="157">
        <f>VLOOKUP(O199, $A$4:$J$29, 9, 0)</f>
      </c>
      <c r="X199" s="157">
        <f>VLOOKUP(P199, $A$4:$J$29, 9, 0)</f>
      </c>
      <c r="Y199" s="157">
        <f>VLOOKUP(Q199, $A$4:$J$29, 9, 0)</f>
      </c>
      <c r="Z199" s="157">
        <f>VLOOKUP(R199, $A$4:$J$29, 9, 0)</f>
      </c>
      <c r="AA199" s="157">
        <f>VLOOKUP(S199, $A$4:$J$29, 9, 0)</f>
      </c>
      <c r="AC199" s="18">
        <v>0</v>
      </c>
      <c r="AD199" s="18">
        <v>0</v>
      </c>
      <c r="AE199" s="18">
        <v>1</v>
      </c>
      <c r="AF199" s="18">
        <v>1</v>
      </c>
      <c r="AG199" s="18">
        <v>1</v>
      </c>
      <c r="AH199" s="18">
        <v>1</v>
      </c>
      <c r="AI199" s="18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inlineStr">
        <is>
          <t>K</t>
        </is>
      </c>
      <c r="N200" s="38" t="inlineStr">
        <is>
          <t>Q</t>
        </is>
      </c>
      <c r="O200" s="38" t="inlineStr">
        <is>
          <t>M2</t>
        </is>
      </c>
      <c r="P200" s="38" t="inlineStr">
        <is>
          <t>A</t>
        </is>
      </c>
      <c r="Q200" s="38" t="inlineStr">
        <is>
          <t>Q</t>
        </is>
      </c>
      <c r="R200" s="38" t="inlineStr">
        <is>
          <t>K</t>
        </is>
      </c>
      <c r="S200" s="24" t="inlineStr">
        <is>
          <t>M1</t>
        </is>
      </c>
      <c r="U200" s="157">
        <f>VLOOKUP(M200, $A$4:$J$29, 9, 0)</f>
      </c>
      <c r="V200" s="157">
        <f>VLOOKUP(N200, $A$4:$J$29, 9, 0)</f>
      </c>
      <c r="W200" s="157">
        <f>VLOOKUP(O200, $A$4:$J$29, 9, 0)</f>
      </c>
      <c r="X200" s="157">
        <f>VLOOKUP(P200, $A$4:$J$29, 9, 0)</f>
      </c>
      <c r="Y200" s="157">
        <f>VLOOKUP(Q200, $A$4:$J$29, 9, 0)</f>
      </c>
      <c r="Z200" s="157">
        <f>VLOOKUP(R200, $A$4:$J$29, 9, 0)</f>
      </c>
      <c r="AA200" s="157">
        <f>VLOOKUP(S200, $A$4:$J$29, 9, 0)</f>
      </c>
      <c r="AC200" s="18">
        <v>0</v>
      </c>
      <c r="AD200" s="18">
        <v>0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inlineStr">
        <is>
          <t>J</t>
        </is>
      </c>
      <c r="N201" s="38" t="inlineStr">
        <is>
          <t>TE</t>
        </is>
      </c>
      <c r="O201" s="38" t="inlineStr">
        <is>
          <t>M5</t>
        </is>
      </c>
      <c r="P201" s="38" t="inlineStr">
        <is>
          <t>J</t>
        </is>
      </c>
      <c r="Q201" s="38" t="inlineStr">
        <is>
          <t>GJ</t>
        </is>
      </c>
      <c r="R201" s="38" t="inlineStr">
        <is>
          <t>M6</t>
        </is>
      </c>
      <c r="S201" s="24" t="inlineStr">
        <is>
          <t>K</t>
        </is>
      </c>
      <c r="U201" s="157">
        <f>VLOOKUP(M201, $A$4:$J$29, 9, 0)</f>
      </c>
      <c r="V201" s="157">
        <f>VLOOKUP(N201, $A$4:$J$29, 9, 0)</f>
      </c>
      <c r="W201" s="157">
        <f>VLOOKUP(O201, $A$4:$J$29, 9, 0)</f>
      </c>
      <c r="X201" s="157">
        <f>VLOOKUP(P201, $A$4:$J$29, 9, 0)</f>
      </c>
      <c r="Y201" s="157">
        <f>VLOOKUP(Q201, $A$4:$J$29, 9, 0)</f>
      </c>
      <c r="Z201" s="157">
        <f>VLOOKUP(R201, $A$4:$J$29, 9, 0)</f>
      </c>
      <c r="AA201" s="157">
        <f>VLOOKUP(S201, $A$4:$J$29, 9, 0)</f>
      </c>
      <c r="AC201" s="18">
        <v>0</v>
      </c>
      <c r="AD201" s="18">
        <v>0</v>
      </c>
      <c r="AE201" s="18">
        <v>1</v>
      </c>
      <c r="AF201" s="18">
        <v>1</v>
      </c>
      <c r="AG201" s="18">
        <v>1</v>
      </c>
      <c r="AH201" s="18">
        <v>1</v>
      </c>
      <c r="AI201" s="18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inlineStr">
        <is>
          <t>K</t>
        </is>
      </c>
      <c r="N202" s="155" t="inlineStr">
        <is>
          <t>Q</t>
        </is>
      </c>
      <c r="O202" s="155" t="inlineStr">
        <is>
          <t>GJ</t>
        </is>
      </c>
      <c r="P202" s="155" t="inlineStr">
        <is>
          <t>M3</t>
        </is>
      </c>
      <c r="Q202" s="155" t="inlineStr">
        <is>
          <t>G4</t>
        </is>
      </c>
      <c r="R202" s="155" t="inlineStr">
        <is>
          <t>K</t>
        </is>
      </c>
      <c r="S202" s="156" t="inlineStr">
        <is>
          <t>M2</t>
        </is>
      </c>
      <c r="U202" s="157">
        <f>VLOOKUP(M202, $A$4:$J$29, 9, 0)</f>
      </c>
      <c r="V202" s="157">
        <f>VLOOKUP(N202, $A$4:$J$29, 9, 0)</f>
      </c>
      <c r="W202" s="157">
        <f>VLOOKUP(O202, $A$4:$J$29, 9, 0)</f>
      </c>
      <c r="X202" s="157">
        <f>VLOOKUP(P202, $A$4:$J$29, 9, 0)</f>
      </c>
      <c r="Y202" s="157">
        <f>VLOOKUP(Q202, $A$4:$J$29, 9, 0)</f>
      </c>
      <c r="Z202" s="157">
        <f>VLOOKUP(R202, $A$4:$J$29, 9, 0)</f>
      </c>
      <c r="AA202" s="157">
        <f>VLOOKUP(S202, $A$4:$J$29, 9, 0)</f>
      </c>
      <c r="AC202" s="18">
        <v>0</v>
      </c>
      <c r="AD202" s="18">
        <v>0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inlineStr">
        <is>
          <t>Q</t>
        </is>
      </c>
      <c r="N203" s="38" t="inlineStr">
        <is>
          <t>A</t>
        </is>
      </c>
      <c r="O203" s="38" t="inlineStr">
        <is>
          <t>Q</t>
        </is>
      </c>
      <c r="P203" s="38" t="inlineStr">
        <is>
          <t>J</t>
        </is>
      </c>
      <c r="Q203" s="38" t="inlineStr">
        <is>
          <t>GQ</t>
        </is>
      </c>
      <c r="R203" s="38" t="inlineStr">
        <is>
          <t>M2</t>
        </is>
      </c>
      <c r="S203" s="24" t="inlineStr">
        <is>
          <t>J</t>
        </is>
      </c>
      <c r="U203" s="157">
        <f>VLOOKUP(M203, $A$4:$J$29, 9, 0)</f>
      </c>
      <c r="V203" s="157">
        <f>VLOOKUP(N203, $A$4:$J$29, 9, 0)</f>
      </c>
      <c r="W203" s="157">
        <f>VLOOKUP(O203, $A$4:$J$29, 9, 0)</f>
      </c>
      <c r="X203" s="157">
        <f>VLOOKUP(P203, $A$4:$J$29, 9, 0)</f>
      </c>
      <c r="Y203" s="157">
        <f>VLOOKUP(Q203, $A$4:$J$29, 9, 0)</f>
      </c>
      <c r="Z203" s="157">
        <f>VLOOKUP(R203, $A$4:$J$29, 9, 0)</f>
      </c>
      <c r="AA203" s="157">
        <f>VLOOKUP(S203, $A$4:$J$29, 9, 0)</f>
      </c>
      <c r="AC203" s="18">
        <v>0</v>
      </c>
      <c r="AD203" s="18">
        <v>0</v>
      </c>
      <c r="AE203" s="18">
        <v>1</v>
      </c>
      <c r="AF203" s="18">
        <v>1</v>
      </c>
      <c r="AG203" s="18">
        <v>1</v>
      </c>
      <c r="AH203" s="18">
        <v>1</v>
      </c>
      <c r="AI203" s="18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2026-08-06T03:41:37Z</dcterms:modified>
</cp:coreProperties>
</file>