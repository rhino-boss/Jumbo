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AppData\Local\Temp\claude\C--Users-rhinshen-Mine----------\b0e08a10-2c3c-49c0-bb4b-0cc7f0eeffa7\scratchpad\"/>
    </mc:Choice>
  </mc:AlternateContent>
  <xr:revisionPtr revIDLastSave="0" documentId="13_ncr:1_{ACB16C2E-9086-46F6-92F0-47B883956654}" xr6:coauthVersionLast="47" xr6:coauthVersionMax="47" xr10:uidLastSave="{00000000-0000-0000-0000-000000000000}"/>
  <bookViews>
    <workbookView xWindow="-20280" yWindow="5805" windowWidth="15090" windowHeight="9870" tabRatio="840" xr2:uid="{00000000-000D-0000-FFFF-FFFF00000000}"/>
  </bookViews>
  <sheets>
    <sheet name="Overview" sheetId="1" r:id="rId1"/>
    <sheet name="Description" sheetId="2" state="hidden" r:id="rId2"/>
    <sheet name="Multiplier_Weight" sheetId="3" r:id="rId3"/>
    <sheet name="Detail" sheetId="5" r:id="rId4"/>
    <sheet name="Detail_Newbie" sheetId="6" r:id="rId5"/>
    <sheet name="OP Jackpot" sheetId="4" r:id="rId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<sst xmlns="http://schemas.openxmlformats.org/spreadsheetml/2006/main" count="352" uniqueCount="191">
  <si>
    <t>Version:</t>
  </si>
  <si>
    <t>2.0.0.36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</si>
  <si>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</si>
  <si>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</si>
  <si>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</si>
  <si>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</si>
  <si>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</si>
  <si>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</si>
  <si>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</si>
  <si>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</si>
  <si>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</si>
  <si>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</si>
  <si>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</si>
  <si>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</si>
  <si>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</si>
  <si>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</si>
  <si>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7. BG 流程對應</t>
  </si>
  <si>
    <t xml:space="preserve">  7.1 BG 開局流程</t>
  </si>
  <si>
    <t xml:space="preserve">  BG 每局的主要參數流程如下：</t>
  </si>
  <si>
    <t xml:space="preserve">    1. 先用 Table Selection Weight - Base Game 選出 BG table。</t>
  </si>
  <si>
    <t xml:space="preserve">    2. 再用該 strip 的 Symbol Weight R1~R5 抽停輪位置。</t>
  </si>
  <si>
    <t xml:space="preserve">    3. 依 Symbol ID R1~R5 生成初始盤面。</t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</si>
  <si>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</si>
  <si>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</si>
  <si>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6. 若沒命中特殊池：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</si>
  <si>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</si>
  <si>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</si>
  <si>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7. 再用 Eliminate Table Weight 決定本局是掉落表 A 或 B。</t>
  </si>
  <si>
    <t xml:space="preserve">  7.2 BG cascade 流程</t>
  </si>
  <si>
    <t xml:space="preserve">  </t>
  </si>
  <si>
    <t xml:space="preserve">  BG 發生消除後：</t>
  </si>
  <si>
    <t xml:space="preserve">    1. 一般命中符號會移除。</t>
  </si>
  <si>
    <t xml:space="preserve">    2. 命中的彩虹框會把自身倍率加進最終倍率和，並轉成 WW 留在盤面。</t>
  </si>
  <si>
    <t xml:space="preserve">    3. 新補進來的符號由 Eliminate Wheel Weight A 或 Eliminate Wheel Weight B 決定。</t>
  </si>
  <si>
    <t xml:space="preserve">    4. 若新補進來的是彩虹框：</t>
  </si>
  <si>
    <t xml:space="preserve">      - 且是 BG_Symbol (2) 則第 3 輪用 Multiple Selection Weight - Reel3 After Eliminate</t>
  </si>
  <si>
    <t xml:space="preserve">      - 其他輪用 Multiple Selection Weight - After Eliminate</t>
  </si>
  <si>
    <t xml:space="preserve">  7.3 BG 與 FG 觸發關係</t>
  </si>
  <si>
    <t xml:space="preserve">    1. BG 盤面上的 C1 數量若達 3 個以上，就觸發 FG。</t>
  </si>
  <si>
    <t xml:space="preserve">    2. FG 次數 = 15 + (scatter_count - 3) * 2</t>
  </si>
  <si>
    <t>8. FG 流程對應</t>
  </si>
  <si>
    <t xml:space="preserve">  8.1 FG table 切換規則</t>
  </si>
  <si>
    <t xml:space="preserve">  FG 的 table 不是靠 Table_FG 權重抽，而是依 FG 累積倍率和切換：</t>
  </si>
  <si>
    <t xml:space="preserve">    - 累積倍率和 &lt; 10：用 FG_strip</t>
  </si>
  <si>
    <t xml:space="preserve">    - 累積倍率和 &lt; 20：用 FG_strip (2)</t>
  </si>
  <si>
    <t xml:space="preserve">    - 累積倍率和 &gt;= 20：用 FG_strip (3)</t>
  </si>
  <si>
    <t xml:space="preserve">  8.2 FG 開局流程</t>
  </si>
  <si>
    <t xml:space="preserve">  FG 每局的主要參數流程如下：</t>
  </si>
  <si>
    <t xml:space="preserve">  1. 依當前 累積倍率 選擇 FG table。</t>
  </si>
  <si>
    <t xml:space="preserve">  2. 用該 table 的 Symbol Weight R1~R5 與 Symbol ID R1~R5 生成盤面。</t>
  </si>
  <si>
    <t xml:space="preserve">  3. 初始彩虹框倍率分配：</t>
  </si>
  <si>
    <t xml:space="preserve">    - 第 3 輪用 Multiple Selection Weight - Reel3 Before Eliminate</t>
  </si>
  <si>
    <t xml:space="preserve">    - 其他輪用 Multiple Selection Weight - Before Eliminate</t>
  </si>
  <si>
    <t xml:space="preserve">  5. 用 Eliminate Table Weight 決定本局掉落表 A 或 B。</t>
  </si>
  <si>
    <t xml:space="preserve">  8.3 FG cascade 與倍率累加</t>
  </si>
  <si>
    <t xml:space="preserve">  FG 消除後：</t>
  </si>
  <si>
    <t xml:space="preserve">  1. 命中的彩虹框一樣會把倍率加到 累積倍率</t>
  </si>
  <si>
    <t xml:space="preserve">  2. 該累積值會帶到下一個 FG spin，作為下一局 table 切換條件。</t>
  </si>
  <si>
    <t xml:space="preserve">  3. 新補進來彩虹框的倍率來源：</t>
  </si>
  <si>
    <t xml:space="preserve">    - 第 3 輪用 Multiple Selection Weight - Reel3 After Eliminate</t>
  </si>
  <si>
    <t xml:space="preserve">    - 其他輪用 Multiple Selection Weight - After Eliminate</t>
  </si>
  <si>
    <t xml:space="preserve">  8.4 FG 再觸發</t>
  </si>
  <si>
    <t xml:space="preserve">    1. FG 內若再次出現 C1 &gt;= 3，會再加 15 + (scatter_count - 3) * 2</t>
  </si>
  <si>
    <t xml:space="preserve">    2. 但總剩餘 FG 次數會被 fg_spin_cap = 50 封頂</t>
  </si>
  <si>
    <t>9. 流程</t>
  </si>
  <si>
    <t xml:space="preserve">  1. Spin (啟動)</t>
  </si>
  <si>
    <t xml:space="preserve">  2. 決定畫面 (依據 Table/Symbol 權重)</t>
  </si>
  <si>
    <t xml:space="preserve">  3. 判定倍數 (初始彩虹框/Special Pool)</t>
  </si>
  <si>
    <t xml:space="preserve">  4. 算分 (計算中獎連線)</t>
  </si>
  <si>
    <t xml:space="preserve">  5. 消除循環 (消除中獎符號，新符號掉落並判定新彩虹框倍數)</t>
  </si>
  <si>
    <t xml:space="preserve">  6. 算分循環 (重複檢查連線)</t>
  </si>
  <si>
    <t xml:space="preserve">  7. 結算 (加總總得分)</t>
  </si>
  <si>
    <t>10. 注意</t>
  </si>
  <si>
    <t xml:space="preserve">  1. 倍數會直到該次 spin 消除完後再作用到該次 spin 的總得分</t>
  </si>
  <si>
    <t xml:space="preserve">  2. FG 滿足條件"蒐集到倍數"累積倍數才會作用</t>
  </si>
  <si>
    <t xml:space="preserve">  3. 每一輪最多出現一個 SC</t>
  </si>
  <si>
    <t xml:space="preserve">  4. BG_Symbol (2): 觸發全部都是彩虹框用的表。</t>
  </si>
  <si>
    <t xml:space="preserve">  5. BG_Symbol (3): 觸發 FG 用的表。得分少、C1 多，盡量不要有倍數百搭參與 → 控制進 FG 時的得分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</si>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</sst>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E7" sqref="E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184</v>
      </c>
      <c r="B2" s="98" t="s">
        <v>185</v>
      </c>
    </row>
    <row r="3" spans="1:10" x14ac:dyDescent="0.3">
      <c r="A3" s="3" t="s">
        <v>0</v>
      </c>
      <c r="B3" s="99" t="inlineStr">
        <is>
          <t>2.0.0.37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2</v>
      </c>
      <c r="B6" s="9" t="s">
        <v>3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4</v>
      </c>
      <c r="B10" s="9" t="s">
        <v>5</v>
      </c>
      <c r="C10" s="17" t="s">
        <v>160</v>
      </c>
      <c r="D10" s="17" t="s">
        <v>6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0.91999987768583413</v>
      </c>
      <c r="D11" s="23" t="s">
        <v>7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0.92499955833694303</v>
      </c>
      <c r="D12" s="23" t="s">
        <v>8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9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6</v>
      </c>
      <c r="B16" s="9" t="s">
        <v>10</v>
      </c>
      <c r="C16" s="9" t="s">
        <v>11</v>
      </c>
      <c r="D16" s="9" t="s">
        <v>12</v>
      </c>
      <c r="E16" s="9" t="s">
        <v>13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0.72000002271071117</v>
      </c>
      <c r="C17" s="102">
        <f>1/D17</f>
        <v>3.3333327718777705E-3</v>
      </c>
      <c r="D17" s="105">
        <f>Detail!G7</f>
        <v>300.00005053100915</v>
      </c>
      <c r="E17" s="16" t="s">
        <v>14</v>
      </c>
      <c r="H17" s="26"/>
      <c r="I17" s="30"/>
      <c r="J17" s="31"/>
    </row>
    <row r="18" spans="1:10" ht="15.6" customHeight="1" x14ac:dyDescent="0.3">
      <c r="A18" s="101"/>
      <c r="B18" s="19">
        <f>Detail!D7</f>
        <v>0.19999985497512293</v>
      </c>
      <c r="C18" s="103"/>
      <c r="D18" s="103"/>
      <c r="E18" s="16" t="s">
        <v>15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6</v>
      </c>
      <c r="B20" s="9" t="s">
        <v>10</v>
      </c>
      <c r="C20" s="9" t="s">
        <v>11</v>
      </c>
      <c r="D20" s="9" t="s">
        <v>12</v>
      </c>
      <c r="E20" s="9" t="s">
        <v>13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14</v>
      </c>
      <c r="H21" s="26"/>
      <c r="I21" s="30"/>
      <c r="J21" s="31"/>
    </row>
    <row r="22" spans="1:10" x14ac:dyDescent="0.3">
      <c r="A22" s="107"/>
      <c r="B22" s="19">
        <f>Detail!D8</f>
        <v>0.92499955833694303</v>
      </c>
      <c r="C22" s="103"/>
      <c r="D22" s="103"/>
      <c r="E22" s="16" t="s">
        <v>15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4"/>
  <dimension ref="B3:B83"/>
  <sheetViews>
    <sheetView topLeftCell="A4" workbookViewId="0"/>
  </sheetViews>
  <sheetFormatPr defaultRowHeight="15.6" x14ac:dyDescent="0.3"/>
  <cols>
    <col min="1" max="2" width="8.88671875" style="4" customWidth="1"/>
    <col min="3" max="16384" width="8.88671875" style="4"/>
  </cols>
  <sheetData>
    <row r="3" spans="2:2" x14ac:dyDescent="0.3">
      <c r="B3" s="4" t="s">
        <v>16</v>
      </c>
    </row>
    <row r="5" spans="2:2" x14ac:dyDescent="0.3">
      <c r="B5" s="4" t="s">
        <v>17</v>
      </c>
    </row>
    <row r="7" spans="2:2" x14ac:dyDescent="0.3">
      <c r="B7" s="4" t="s">
        <v>18</v>
      </c>
    </row>
    <row r="8" spans="2:2" x14ac:dyDescent="0.3">
      <c r="B8" s="4" t="s">
        <v>19</v>
      </c>
    </row>
    <row r="9" spans="2:2" x14ac:dyDescent="0.3">
      <c r="B9" s="4" t="s">
        <v>20</v>
      </c>
    </row>
    <row r="10" spans="2:2" x14ac:dyDescent="0.3">
      <c r="B10" s="4" t="s">
        <v>21</v>
      </c>
    </row>
    <row r="11" spans="2:2" x14ac:dyDescent="0.3">
      <c r="B11" s="4" t="s">
        <v>22</v>
      </c>
    </row>
    <row r="12" spans="2:2" x14ac:dyDescent="0.3">
      <c r="B12" s="4" t="s">
        <v>23</v>
      </c>
    </row>
    <row r="13" spans="2:2" x14ac:dyDescent="0.3">
      <c r="B13" s="4" t="s">
        <v>24</v>
      </c>
    </row>
    <row r="14" spans="2:2" x14ac:dyDescent="0.3">
      <c r="B14" s="4" t="s">
        <v>25</v>
      </c>
    </row>
    <row r="15" spans="2:2" x14ac:dyDescent="0.3">
      <c r="B15" s="4" t="s">
        <v>26</v>
      </c>
    </row>
    <row r="16" spans="2:2" x14ac:dyDescent="0.3">
      <c r="B16" s="4" t="s">
        <v>27</v>
      </c>
    </row>
    <row r="18" spans="2:2" x14ac:dyDescent="0.3">
      <c r="B18" s="4" t="s">
        <v>28</v>
      </c>
    </row>
    <row r="19" spans="2:2" x14ac:dyDescent="0.3">
      <c r="B19" s="4" t="s">
        <v>29</v>
      </c>
    </row>
    <row r="20" spans="2:2" x14ac:dyDescent="0.3">
      <c r="B20" s="4" t="s">
        <v>30</v>
      </c>
    </row>
    <row r="21" spans="2:2" x14ac:dyDescent="0.3">
      <c r="B21" s="4" t="s">
        <v>31</v>
      </c>
    </row>
    <row r="22" spans="2:2" x14ac:dyDescent="0.3">
      <c r="B22" s="4" t="s">
        <v>32</v>
      </c>
    </row>
    <row r="23" spans="2:2" x14ac:dyDescent="0.3">
      <c r="B23" s="4" t="s">
        <v>33</v>
      </c>
    </row>
    <row r="24" spans="2:2" x14ac:dyDescent="0.3">
      <c r="B24" s="4" t="s">
        <v>34</v>
      </c>
    </row>
    <row r="25" spans="2:2" x14ac:dyDescent="0.3">
      <c r="B25" s="4" t="s">
        <v>35</v>
      </c>
    </row>
    <row r="26" spans="2:2" x14ac:dyDescent="0.3">
      <c r="B26" s="4" t="s">
        <v>36</v>
      </c>
    </row>
    <row r="28" spans="2:2" x14ac:dyDescent="0.3">
      <c r="B28" s="4" t="s">
        <v>37</v>
      </c>
    </row>
    <row r="30" spans="2:2" x14ac:dyDescent="0.3">
      <c r="B30" s="4" t="s">
        <v>38</v>
      </c>
    </row>
    <row r="31" spans="2:2" x14ac:dyDescent="0.3">
      <c r="B31" s="4" t="s">
        <v>39</v>
      </c>
    </row>
    <row r="33" spans="2:2" x14ac:dyDescent="0.3">
      <c r="B33" s="4" t="s">
        <v>40</v>
      </c>
    </row>
    <row r="35" spans="2:2" x14ac:dyDescent="0.3">
      <c r="B35" s="4" t="s">
        <v>41</v>
      </c>
    </row>
    <row r="37" spans="2:2" x14ac:dyDescent="0.3">
      <c r="B37" s="4" t="s">
        <v>42</v>
      </c>
    </row>
    <row r="38" spans="2:2" x14ac:dyDescent="0.3">
      <c r="B38" s="4" t="s">
        <v>43</v>
      </c>
    </row>
    <row r="39" spans="2:2" x14ac:dyDescent="0.3">
      <c r="B39" s="4" t="s">
        <v>44</v>
      </c>
    </row>
    <row r="40" spans="2:2" x14ac:dyDescent="0.3">
      <c r="B40" s="4" t="s">
        <v>45</v>
      </c>
    </row>
    <row r="42" spans="2:2" x14ac:dyDescent="0.3">
      <c r="B42" s="4" t="s">
        <v>46</v>
      </c>
    </row>
    <row r="43" spans="2:2" x14ac:dyDescent="0.3">
      <c r="B43" s="4" t="s">
        <v>29</v>
      </c>
    </row>
    <row r="44" spans="2:2" x14ac:dyDescent="0.3">
      <c r="B44" s="4" t="s">
        <v>47</v>
      </c>
    </row>
    <row r="46" spans="2:2" x14ac:dyDescent="0.3">
      <c r="B46" s="4" t="s">
        <v>48</v>
      </c>
    </row>
    <row r="47" spans="2:2" x14ac:dyDescent="0.3">
      <c r="B47" s="4" t="s">
        <v>49</v>
      </c>
    </row>
    <row r="48" spans="2:2" x14ac:dyDescent="0.3">
      <c r="B48" s="4" t="s">
        <v>50</v>
      </c>
    </row>
    <row r="49" spans="2:2" x14ac:dyDescent="0.3">
      <c r="B49" s="4" t="s">
        <v>51</v>
      </c>
    </row>
    <row r="50" spans="2:2" x14ac:dyDescent="0.3">
      <c r="B50" s="4" t="s">
        <v>52</v>
      </c>
    </row>
    <row r="51" spans="2:2" x14ac:dyDescent="0.3">
      <c r="B51" s="4" t="s">
        <v>53</v>
      </c>
    </row>
    <row r="53" spans="2:2" x14ac:dyDescent="0.3">
      <c r="B53" s="4" t="s">
        <v>54</v>
      </c>
    </row>
    <row r="55" spans="2:2" x14ac:dyDescent="0.3">
      <c r="B55" s="4" t="s">
        <v>55</v>
      </c>
    </row>
    <row r="56" spans="2:2" x14ac:dyDescent="0.3">
      <c r="B56" s="4" t="s">
        <v>56</v>
      </c>
    </row>
    <row r="57" spans="2:2" x14ac:dyDescent="0.3">
      <c r="B57" s="4" t="s">
        <v>57</v>
      </c>
    </row>
    <row r="58" spans="2:2" x14ac:dyDescent="0.3">
      <c r="B58" s="4" t="s">
        <v>58</v>
      </c>
    </row>
    <row r="59" spans="2:2" x14ac:dyDescent="0.3">
      <c r="B59" s="4" t="s">
        <v>59</v>
      </c>
    </row>
    <row r="60" spans="2:2" x14ac:dyDescent="0.3">
      <c r="B60" s="4" t="s">
        <v>60</v>
      </c>
    </row>
    <row r="62" spans="2:2" x14ac:dyDescent="0.3">
      <c r="B62" s="4" t="s">
        <v>61</v>
      </c>
    </row>
    <row r="64" spans="2:2" x14ac:dyDescent="0.3">
      <c r="B64" s="4" t="s">
        <v>62</v>
      </c>
    </row>
    <row r="65" spans="2:2" x14ac:dyDescent="0.3">
      <c r="B65" s="4" t="s">
        <v>63</v>
      </c>
    </row>
    <row r="67" spans="2:2" x14ac:dyDescent="0.3">
      <c r="B67" s="4" t="s">
        <v>64</v>
      </c>
    </row>
    <row r="69" spans="2:2" x14ac:dyDescent="0.3">
      <c r="B69" s="4" t="s">
        <v>65</v>
      </c>
    </row>
    <row r="70" spans="2:2" x14ac:dyDescent="0.3">
      <c r="B70" s="4" t="s">
        <v>66</v>
      </c>
    </row>
    <row r="71" spans="2:2" x14ac:dyDescent="0.3">
      <c r="B71" s="4" t="s">
        <v>67</v>
      </c>
    </row>
    <row r="72" spans="2:2" x14ac:dyDescent="0.3">
      <c r="B72" s="4" t="s">
        <v>68</v>
      </c>
    </row>
    <row r="73" spans="2:2" x14ac:dyDescent="0.3">
      <c r="B73" s="4" t="s">
        <v>69</v>
      </c>
    </row>
    <row r="74" spans="2:2" x14ac:dyDescent="0.3">
      <c r="B74" s="4" t="s">
        <v>70</v>
      </c>
    </row>
    <row r="75" spans="2:2" x14ac:dyDescent="0.3">
      <c r="B75" s="4" t="s">
        <v>71</v>
      </c>
    </row>
    <row r="77" spans="2:2" x14ac:dyDescent="0.3">
      <c r="B77" s="4" t="s">
        <v>72</v>
      </c>
    </row>
    <row r="79" spans="2:2" x14ac:dyDescent="0.3">
      <c r="B79" s="4" t="s">
        <v>73</v>
      </c>
    </row>
    <row r="80" spans="2:2" x14ac:dyDescent="0.3">
      <c r="B80" s="4" t="s">
        <v>74</v>
      </c>
    </row>
    <row r="81" spans="2:2" x14ac:dyDescent="0.3">
      <c r="B81" s="4" t="s">
        <v>75</v>
      </c>
    </row>
    <row r="82" spans="2:2" x14ac:dyDescent="0.3">
      <c r="B82" s="4" t="s">
        <v>76</v>
      </c>
    </row>
    <row r="83" spans="2:2" x14ac:dyDescent="0.3">
      <c r="B83" s="4" t="s">
        <v>77</v>
      </c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I25" sqref="I25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78</v>
      </c>
      <c r="B2" s="9" t="s">
        <v>186</v>
      </c>
      <c r="C2" s="9" t="s">
        <v>187</v>
      </c>
      <c r="D2" s="9" t="s">
        <v>188</v>
      </c>
      <c r="E2" s="9" t="s">
        <v>189</v>
      </c>
      <c r="F2" s="9" t="s">
        <v>190</v>
      </c>
    </row>
    <row r="3" spans="1:6" x14ac:dyDescent="0.3">
      <c r="A3" s="14" t="s">
        <v>79</v>
      </c>
      <c r="B3" s="10">
        <f>Detail_Newbie!K15</f>
        <v>730729506</v>
      </c>
      <c r="C3" s="10">
        <f>Detail_Newbie!K86</f>
        <v>0</v>
      </c>
      <c r="D3" s="10">
        <f>Detail!K15</f>
        <v>722906655</v>
      </c>
      <c r="E3" s="10">
        <f>Detail!K86</f>
        <v>0</v>
      </c>
      <c r="F3" s="10">
        <f>Detail!K163</f>
        <v>0</v>
      </c>
    </row>
    <row r="4" spans="1:6" x14ac:dyDescent="0.3">
      <c r="A4" s="14" t="s">
        <v>80</v>
      </c>
      <c r="B4" s="10">
        <f>Detail_Newbie!K16</f>
        <v>146546625</v>
      </c>
      <c r="C4" s="10">
        <f>Detail_Newbie!K87</f>
        <v>0</v>
      </c>
      <c r="D4" s="10">
        <f>Detail!K16</f>
        <v>153912524</v>
      </c>
      <c r="E4" s="10">
        <f>Detail!K87</f>
        <v>0</v>
      </c>
      <c r="F4" s="10">
        <f>Detail!K164</f>
        <v>0</v>
      </c>
    </row>
    <row r="5" spans="1:6" x14ac:dyDescent="0.3">
      <c r="A5" s="14" t="s">
        <v>81</v>
      </c>
      <c r="B5" s="10">
        <f>Detail_Newbie!K17</f>
        <v>42939944</v>
      </c>
      <c r="C5" s="10">
        <f>Detail_Newbie!K88</f>
        <v>0</v>
      </c>
      <c r="D5" s="10">
        <f>Detail!K17</f>
        <v>45205124</v>
      </c>
      <c r="E5" s="10">
        <f>Detail!K88</f>
        <v>0</v>
      </c>
      <c r="F5" s="10">
        <f>Detail!K165</f>
        <v>0</v>
      </c>
    </row>
    <row r="6" spans="1:6" x14ac:dyDescent="0.3">
      <c r="A6" s="14" t="s">
        <v>82</v>
      </c>
      <c r="B6" s="10">
        <f>Detail_Newbie!K18</f>
        <v>19670575</v>
      </c>
      <c r="C6" s="10">
        <f>Detail_Newbie!K89</f>
        <v>0</v>
      </c>
      <c r="D6" s="10">
        <f>Detail!K18</f>
        <v>20755219</v>
      </c>
      <c r="E6" s="10">
        <f>Detail!K89</f>
        <v>0</v>
      </c>
      <c r="F6" s="10">
        <f>Detail!K166</f>
        <v>0</v>
      </c>
    </row>
    <row r="7" spans="1:6" x14ac:dyDescent="0.3">
      <c r="A7" s="14" t="s">
        <v>83</v>
      </c>
      <c r="B7" s="10">
        <f>Detail_Newbie!K19</f>
        <v>12066161</v>
      </c>
      <c r="C7" s="10">
        <f>Detail_Newbie!K90</f>
        <v>0</v>
      </c>
      <c r="D7" s="10">
        <f>Detail!K19</f>
        <v>12759514</v>
      </c>
      <c r="E7" s="10">
        <f>Detail!K90</f>
        <v>0</v>
      </c>
      <c r="F7" s="10">
        <f>Detail!K167</f>
        <v>0</v>
      </c>
    </row>
    <row r="8" spans="1:6" x14ac:dyDescent="0.3">
      <c r="A8" s="14" t="s">
        <v>84</v>
      </c>
      <c r="B8" s="10">
        <f>Detail_Newbie!K20</f>
        <v>7834531</v>
      </c>
      <c r="C8" s="10">
        <f>Detail_Newbie!K91</f>
        <v>0</v>
      </c>
      <c r="D8" s="10">
        <f>Detail!K20</f>
        <v>8303095</v>
      </c>
      <c r="E8" s="10">
        <f>Detail!K91</f>
        <v>0</v>
      </c>
      <c r="F8" s="10">
        <f>Detail!K168</f>
        <v>0</v>
      </c>
    </row>
    <row r="9" spans="1:6" x14ac:dyDescent="0.3">
      <c r="A9" s="14" t="s">
        <v>85</v>
      </c>
      <c r="B9" s="10">
        <f>Detail_Newbie!K21</f>
        <v>6045164</v>
      </c>
      <c r="C9" s="10">
        <f>Detail_Newbie!K92</f>
        <v>0</v>
      </c>
      <c r="D9" s="10">
        <f>Detail!K21</f>
        <v>6421160</v>
      </c>
      <c r="E9" s="10">
        <f>Detail!K92</f>
        <v>0</v>
      </c>
      <c r="F9" s="10">
        <f>Detail!K169</f>
        <v>0</v>
      </c>
    </row>
    <row r="10" spans="1:6" x14ac:dyDescent="0.3">
      <c r="A10" s="14" t="s">
        <v>86</v>
      </c>
      <c r="B10" s="10">
        <f>Detail_Newbie!K22</f>
        <v>3254098</v>
      </c>
      <c r="C10" s="10">
        <f>Detail_Newbie!K93</f>
        <v>0</v>
      </c>
      <c r="D10" s="10">
        <f>Detail!K22</f>
        <v>3463924</v>
      </c>
      <c r="E10" s="10">
        <f>Detail!K93</f>
        <v>0</v>
      </c>
      <c r="F10" s="10">
        <f>Detail!K170</f>
        <v>0</v>
      </c>
    </row>
    <row r="11" spans="1:6" x14ac:dyDescent="0.3">
      <c r="A11" s="14" t="s">
        <v>87</v>
      </c>
      <c r="B11" s="10">
        <f>Detail_Newbie!K23</f>
        <v>3648770</v>
      </c>
      <c r="C11" s="10">
        <f>Detail_Newbie!K94</f>
        <v>0</v>
      </c>
      <c r="D11" s="10">
        <f>Detail!K23</f>
        <v>3892701</v>
      </c>
      <c r="E11" s="10">
        <f>Detail!K94</f>
        <v>0</v>
      </c>
      <c r="F11" s="10">
        <f>Detail!K171</f>
        <v>0</v>
      </c>
    </row>
    <row r="12" spans="1:6" x14ac:dyDescent="0.3">
      <c r="A12" s="14" t="s">
        <v>88</v>
      </c>
      <c r="B12" s="10">
        <f>Detail_Newbie!K24</f>
        <v>2951832</v>
      </c>
      <c r="C12" s="10">
        <f>Detail_Newbie!K95</f>
        <v>0</v>
      </c>
      <c r="D12" s="10">
        <f>Detail!K24</f>
        <v>3156273</v>
      </c>
      <c r="E12" s="10">
        <f>Detail!K95</f>
        <v>0</v>
      </c>
      <c r="F12" s="10">
        <f>Detail!K172</f>
        <v>0</v>
      </c>
    </row>
    <row r="13" spans="1:6" x14ac:dyDescent="0.3">
      <c r="A13" s="14" t="s">
        <v>89</v>
      </c>
      <c r="B13" s="10">
        <f>Detail_Newbie!K25</f>
        <v>1913963</v>
      </c>
      <c r="C13" s="10">
        <f>Detail_Newbie!K96</f>
        <v>0</v>
      </c>
      <c r="D13" s="10">
        <f>Detail!K25</f>
        <v>2050980</v>
      </c>
      <c r="E13" s="10">
        <f>Detail!K96</f>
        <v>0</v>
      </c>
      <c r="F13" s="10">
        <f>Detail!K173</f>
        <v>0</v>
      </c>
    </row>
    <row r="14" spans="1:6" x14ac:dyDescent="0.3">
      <c r="A14" s="14" t="s">
        <v>90</v>
      </c>
      <c r="B14" s="10">
        <f>Detail_Newbie!K26</f>
        <v>10126113</v>
      </c>
      <c r="C14" s="10">
        <f>Detail_Newbie!K97</f>
        <v>0</v>
      </c>
      <c r="D14" s="10">
        <f>Detail!K26</f>
        <v>6233981</v>
      </c>
      <c r="E14" s="10">
        <f>Detail!K97</f>
        <v>0</v>
      </c>
      <c r="F14" s="10">
        <f>Detail!K174</f>
        <v>0</v>
      </c>
    </row>
    <row r="15" spans="1:6" x14ac:dyDescent="0.3">
      <c r="A15" s="14" t="s">
        <v>91</v>
      </c>
      <c r="B15" s="10">
        <f>Detail_Newbie!K27</f>
        <v>4341006</v>
      </c>
      <c r="C15" s="10">
        <f>Detail_Newbie!K98</f>
        <v>0</v>
      </c>
      <c r="D15" s="10">
        <f>Detail!K27</f>
        <v>2702465</v>
      </c>
      <c r="E15" s="10">
        <f>Detail!K98</f>
        <v>0</v>
      </c>
      <c r="F15" s="10">
        <f>Detail!K175</f>
        <v>0</v>
      </c>
    </row>
    <row r="16" spans="1:6" x14ac:dyDescent="0.3">
      <c r="A16" s="14" t="s">
        <v>92</v>
      </c>
      <c r="B16" s="10">
        <f>Detail_Newbie!K28</f>
        <v>2422875</v>
      </c>
      <c r="C16" s="10">
        <f>Detail_Newbie!K99</f>
        <v>0</v>
      </c>
      <c r="D16" s="10">
        <f>Detail!K28</f>
        <v>1525209</v>
      </c>
      <c r="E16" s="10">
        <f>Detail!K99</f>
        <v>48624036</v>
      </c>
      <c r="F16" s="10">
        <f>Detail!K176</f>
        <v>33704402</v>
      </c>
    </row>
    <row r="17" spans="1:6" x14ac:dyDescent="0.3">
      <c r="A17" s="14" t="s">
        <v>93</v>
      </c>
      <c r="B17" s="10">
        <f>Detail_Newbie!K29</f>
        <v>1931033</v>
      </c>
      <c r="C17" s="10">
        <f>Detail_Newbie!K100</f>
        <v>0</v>
      </c>
      <c r="D17" s="10">
        <f>Detail!K29</f>
        <v>1229160</v>
      </c>
      <c r="E17" s="10">
        <f>Detail!K100</f>
        <v>196154730</v>
      </c>
      <c r="F17" s="10">
        <f>Detail!K177</f>
        <v>142806444</v>
      </c>
    </row>
    <row r="18" spans="1:6" x14ac:dyDescent="0.3">
      <c r="A18" s="14" t="s">
        <v>94</v>
      </c>
      <c r="B18" s="10">
        <f>Detail_Newbie!K30</f>
        <v>0</v>
      </c>
      <c r="C18" s="10">
        <f>Detail_Newbie!K101</f>
        <v>76936429</v>
      </c>
      <c r="D18" s="10">
        <f>Detail!K30</f>
        <v>587754</v>
      </c>
      <c r="E18" s="10">
        <f>Detail!K101</f>
        <v>70282564</v>
      </c>
      <c r="F18" s="10">
        <f>Detail!K178</f>
        <v>53717324</v>
      </c>
    </row>
    <row r="19" spans="1:6" x14ac:dyDescent="0.3">
      <c r="A19" s="14" t="s">
        <v>95</v>
      </c>
      <c r="B19" s="10">
        <f>Detail_Newbie!K31</f>
        <v>0</v>
      </c>
      <c r="C19" s="10">
        <f>Detail_Newbie!K102</f>
        <v>138480147</v>
      </c>
      <c r="D19" s="10">
        <f>Detail!K31</f>
        <v>406456</v>
      </c>
      <c r="E19" s="10">
        <f>Detail!K102</f>
        <v>117782615</v>
      </c>
      <c r="F19" s="10">
        <f>Detail!K179</f>
        <v>94545373</v>
      </c>
    </row>
    <row r="20" spans="1:6" x14ac:dyDescent="0.3">
      <c r="A20" s="14" t="s">
        <v>96</v>
      </c>
      <c r="B20" s="10">
        <f>Detail_Newbie!K32</f>
        <v>0</v>
      </c>
      <c r="C20" s="10">
        <f>Detail_Newbie!K103</f>
        <v>123088549</v>
      </c>
      <c r="D20" s="10">
        <f>Detail!K32</f>
        <v>248472</v>
      </c>
      <c r="E20" s="10">
        <f>Detail!K103</f>
        <v>97471487</v>
      </c>
      <c r="F20" s="10">
        <f>Detail!K180</f>
        <v>82174521</v>
      </c>
    </row>
    <row r="21" spans="1:6" x14ac:dyDescent="0.3">
      <c r="A21" s="14" t="s">
        <v>97</v>
      </c>
      <c r="B21" s="10">
        <f>Detail_Newbie!K33</f>
        <v>0</v>
      </c>
      <c r="C21" s="10">
        <f>Detail_Newbie!K104</f>
        <v>107700047</v>
      </c>
      <c r="D21" s="10">
        <f>Detail!K33</f>
        <v>208109</v>
      </c>
      <c r="E21" s="10">
        <f>Detail!K104</f>
        <v>79442677</v>
      </c>
      <c r="F21" s="10">
        <f>Detail!K181</f>
        <v>70318330</v>
      </c>
    </row>
    <row r="22" spans="1:6" x14ac:dyDescent="0.3">
      <c r="A22" s="14" t="s">
        <v>98</v>
      </c>
      <c r="B22" s="10">
        <f>Detail_Newbie!K34</f>
        <v>0</v>
      </c>
      <c r="C22" s="10">
        <f>Detail_Newbie!K105</f>
        <v>107694972</v>
      </c>
      <c r="D22" s="10">
        <f>Detail!K34</f>
        <v>444696</v>
      </c>
      <c r="E22" s="10">
        <f>Detail!K105</f>
        <v>71396385</v>
      </c>
      <c r="F22" s="10">
        <f>Detail!K182</f>
        <v>67999999</v>
      </c>
    </row>
    <row r="23" spans="1:6" x14ac:dyDescent="0.3">
      <c r="A23" s="14" t="s">
        <v>99</v>
      </c>
      <c r="B23" s="10">
        <f>Detail_Newbie!K35</f>
        <v>0</v>
      </c>
      <c r="C23" s="10">
        <f>Detail_Newbie!K106</f>
        <v>153840522</v>
      </c>
      <c r="D23" s="10">
        <f>Detail!K35</f>
        <v>253196</v>
      </c>
      <c r="E23" s="10">
        <f>Detail!K106</f>
        <v>88442544</v>
      </c>
      <c r="F23" s="10">
        <f>Detail!K183</f>
        <v>92890913</v>
      </c>
    </row>
    <row r="24" spans="1:6" x14ac:dyDescent="0.3">
      <c r="A24" s="14" t="s">
        <v>100</v>
      </c>
      <c r="B24" s="10">
        <f>Detail_Newbie!K36</f>
        <v>0</v>
      </c>
      <c r="C24" s="10">
        <f>Detail_Newbie!K107</f>
        <v>76915320</v>
      </c>
      <c r="D24" s="10">
        <f>Detail!K36</f>
        <v>0</v>
      </c>
      <c r="E24" s="10">
        <f>Detail!K107</f>
        <v>38343882</v>
      </c>
      <c r="F24" s="10">
        <f>Detail!K184</f>
        <v>44411871</v>
      </c>
    </row>
    <row r="25" spans="1:6" x14ac:dyDescent="0.3">
      <c r="A25" s="14" t="s">
        <v>101</v>
      </c>
      <c r="B25" s="10">
        <f>Detail_Newbie!K37</f>
        <v>0</v>
      </c>
      <c r="C25" s="10">
        <f>Detail_Newbie!K108</f>
        <v>153820642</v>
      </c>
      <c r="D25" s="10">
        <f>Detail!K37</f>
        <v>0</v>
      </c>
      <c r="E25" s="10">
        <f>Detail!K108</f>
        <v>66492872</v>
      </c>
      <c r="F25" s="10">
        <f>Detail!K185</f>
        <v>84933630</v>
      </c>
    </row>
    <row r="26" spans="1:6" x14ac:dyDescent="0.3">
      <c r="A26" s="14" t="s">
        <v>102</v>
      </c>
      <c r="B26" s="10">
        <f>Detail_Newbie!K38</f>
        <v>0</v>
      </c>
      <c r="C26" s="10">
        <f>Detail_Newbie!K109</f>
        <v>61523372</v>
      </c>
      <c r="D26" s="10">
        <f>Detail!K38</f>
        <v>0</v>
      </c>
      <c r="E26" s="10">
        <f>Detail!K109</f>
        <v>23065041</v>
      </c>
      <c r="F26" s="10">
        <f>Detail!K186</f>
        <v>32486880</v>
      </c>
    </row>
    <row r="27" spans="1:6" x14ac:dyDescent="0.3">
      <c r="A27" s="14" t="s">
        <v>103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46613787</v>
      </c>
      <c r="F27" s="10">
        <f>Detail!K187</f>
        <v>75971425</v>
      </c>
    </row>
    <row r="28" spans="1:6" x14ac:dyDescent="0.3">
      <c r="A28" s="14" t="s">
        <v>104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14013724</v>
      </c>
      <c r="F28" s="10">
        <f>Detail!K188</f>
        <v>27782437</v>
      </c>
    </row>
    <row r="29" spans="1:6" x14ac:dyDescent="0.3">
      <c r="A29" s="14" t="s">
        <v>105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18448500</v>
      </c>
      <c r="F29" s="10">
        <f>Detail!K189</f>
        <v>44462938</v>
      </c>
    </row>
    <row r="30" spans="1:6" x14ac:dyDescent="0.3">
      <c r="A30" s="14" t="s">
        <v>106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7923574</v>
      </c>
      <c r="F30" s="10">
        <f>Detail!K190</f>
        <v>23228781</v>
      </c>
    </row>
    <row r="31" spans="1:6" x14ac:dyDescent="0.3">
      <c r="A31" s="14" t="s">
        <v>107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7447818</v>
      </c>
      <c r="F31" s="10">
        <f>Detail!K191</f>
        <v>26550576</v>
      </c>
    </row>
    <row r="32" spans="1:6" x14ac:dyDescent="0.3">
      <c r="A32" s="14" t="s">
        <v>108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1027783</v>
      </c>
      <c r="F32" s="10">
        <f>Detail!K192</f>
        <v>257110</v>
      </c>
    </row>
    <row r="33" spans="1:6" x14ac:dyDescent="0.3">
      <c r="A33" s="14" t="s">
        <v>109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840579</v>
      </c>
      <c r="F33" s="10">
        <f>Detail!K193</f>
        <v>210237</v>
      </c>
    </row>
    <row r="34" spans="1:6" x14ac:dyDescent="0.3">
      <c r="A34" s="14" t="s">
        <v>110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710774</v>
      </c>
      <c r="F34" s="10">
        <f>Detail!K194</f>
        <v>177814</v>
      </c>
    </row>
    <row r="35" spans="1:6" x14ac:dyDescent="0.3">
      <c r="A35" s="14" t="s">
        <v>111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615876</v>
      </c>
      <c r="F35" s="10">
        <f>Detail!K195</f>
        <v>154068</v>
      </c>
    </row>
    <row r="36" spans="1:6" x14ac:dyDescent="0.3">
      <c r="A36" s="14" t="s">
        <v>112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543998</v>
      </c>
      <c r="F36" s="10">
        <f>Detail!K196</f>
        <v>135902</v>
      </c>
    </row>
    <row r="37" spans="1:6" x14ac:dyDescent="0.3">
      <c r="A37" s="14" t="s">
        <v>113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485770</v>
      </c>
      <c r="F37" s="10">
        <f>Detail!K197</f>
        <v>121583</v>
      </c>
    </row>
    <row r="38" spans="1:6" x14ac:dyDescent="0.3">
      <c r="A38" s="14" t="s">
        <v>114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440391</v>
      </c>
      <c r="F38" s="10">
        <f>Detail!K198</f>
        <v>109989</v>
      </c>
    </row>
    <row r="39" spans="1:6" x14ac:dyDescent="0.3">
      <c r="A39" s="14" t="s">
        <v>115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401402</v>
      </c>
      <c r="F39" s="10">
        <f>Detail!K199</f>
        <v>100409</v>
      </c>
    </row>
    <row r="40" spans="1:6" x14ac:dyDescent="0.3">
      <c r="A40" s="14" t="s">
        <v>116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369673</v>
      </c>
      <c r="F40" s="10">
        <f>Detail!K200</f>
        <v>92371</v>
      </c>
    </row>
    <row r="41" spans="1:6" x14ac:dyDescent="0.3">
      <c r="A41" s="14" t="s">
        <v>117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341932</v>
      </c>
      <c r="F41" s="10">
        <f>Detail!K201</f>
        <v>85525</v>
      </c>
    </row>
    <row r="42" spans="1:6" x14ac:dyDescent="0.3">
      <c r="A42" s="14" t="s">
        <v>118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318425</v>
      </c>
      <c r="F42" s="10">
        <f>Detail!K202</f>
        <v>79616</v>
      </c>
    </row>
    <row r="43" spans="1:6" x14ac:dyDescent="0.3">
      <c r="A43" s="14" t="s">
        <v>119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298031</v>
      </c>
      <c r="F43" s="10">
        <f>Detail!K203</f>
        <v>74483</v>
      </c>
    </row>
    <row r="44" spans="1:6" x14ac:dyDescent="0.3">
      <c r="A44" s="14" t="s">
        <v>120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279638</v>
      </c>
      <c r="F44" s="10">
        <f>Detail!K204</f>
        <v>69957</v>
      </c>
    </row>
    <row r="45" spans="1:6" x14ac:dyDescent="0.3">
      <c r="A45" s="14" t="s">
        <v>121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263831</v>
      </c>
      <c r="F45" s="10">
        <f>Detail!K205</f>
        <v>65957</v>
      </c>
    </row>
    <row r="46" spans="1:6" x14ac:dyDescent="0.3">
      <c r="A46" s="14" t="s">
        <v>122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249421</v>
      </c>
      <c r="F46" s="10">
        <f>Detail!K206</f>
        <v>62391</v>
      </c>
    </row>
    <row r="47" spans="1:6" x14ac:dyDescent="0.3">
      <c r="A47" s="14" t="s">
        <v>123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236650</v>
      </c>
      <c r="F47" s="10">
        <f>Detail!K207</f>
        <v>59196</v>
      </c>
    </row>
    <row r="48" spans="1:6" x14ac:dyDescent="0.3">
      <c r="A48" s="14" t="s">
        <v>124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166771</v>
      </c>
      <c r="F48" s="10">
        <f>Detail!K208</f>
        <v>41672</v>
      </c>
    </row>
    <row r="49" spans="1:6" x14ac:dyDescent="0.3">
      <c r="A49" s="14" t="s">
        <v>125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189767</v>
      </c>
      <c r="F49" s="10">
        <f>Detail!K209</f>
        <v>47629</v>
      </c>
    </row>
    <row r="50" spans="1:6" x14ac:dyDescent="0.3">
      <c r="A50" s="14" t="s">
        <v>126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67075</v>
      </c>
      <c r="F50" s="10">
        <f>Detail!K210</f>
        <v>16767</v>
      </c>
    </row>
    <row r="51" spans="1:6" x14ac:dyDescent="0.3">
      <c r="A51" s="14" t="s">
        <v>127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51799</v>
      </c>
      <c r="F51" s="10">
        <f>Detail!K211</f>
        <v>12959</v>
      </c>
    </row>
    <row r="52" spans="1:6" x14ac:dyDescent="0.3">
      <c r="A52" s="14" t="s">
        <v>128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42315</v>
      </c>
      <c r="F52" s="10">
        <f>Detail!K212</f>
        <v>10569</v>
      </c>
    </row>
    <row r="53" spans="1:6" x14ac:dyDescent="0.3">
      <c r="A53" s="14" t="s">
        <v>129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35785</v>
      </c>
      <c r="F53" s="10">
        <f>Detail!K213</f>
        <v>8930</v>
      </c>
    </row>
    <row r="54" spans="1:6" x14ac:dyDescent="0.3">
      <c r="A54" s="14" t="s">
        <v>130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30741</v>
      </c>
      <c r="F54" s="10">
        <f>Detail!K214</f>
        <v>7730</v>
      </c>
    </row>
    <row r="55" spans="1:6" x14ac:dyDescent="0.3">
      <c r="A55" s="14" t="s">
        <v>131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27091</v>
      </c>
      <c r="F55" s="10">
        <f>Detail!K215</f>
        <v>6815</v>
      </c>
    </row>
    <row r="56" spans="1:6" x14ac:dyDescent="0.3">
      <c r="A56" s="14" t="s">
        <v>132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133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18246</v>
      </c>
      <c r="F57" s="10">
        <f>Detail!K217</f>
        <v>4477</v>
      </c>
    </row>
    <row r="58" spans="1:6" x14ac:dyDescent="0.3">
      <c r="A58" s="14" t="s">
        <v>134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135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136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137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138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139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140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141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142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15</v>
      </c>
      <c r="B67" s="10">
        <f>Detail_Newbie!K79</f>
        <v>3577804</v>
      </c>
      <c r="C67" s="35">
        <v>0</v>
      </c>
      <c r="D67" s="33">
        <f>Detail!K79</f>
        <v>3333333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 cm="1">
        <f t="array" ref="B7:B8">Overview!B11:B12</f>
        <v>1</v>
      </c>
      <c r="C7" s="40">
        <f>SUM(M15:M79)</f>
        <v>0.720000008737735</v>
      </c>
      <c r="D7" s="40">
        <f>SUM(_xlfn.ANCHORARRAY(M86))*F7</f>
        <v>0.199999991950496</v>
      </c>
      <c r="E7" s="41">
        <f>SUM(C7:D7)</f>
        <v>0.92000000068823</v>
      </c>
      <c r="F7" s="42">
        <f>L79</f>
        <v>0.003333333</v>
      </c>
      <c r="G7" s="43">
        <f>1/F7</f>
        <v>300.000030000003</v>
      </c>
      <c r="H7" s="44">
        <f>D7*G7</f>
        <v>60.000003585149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159</v>
      </c>
      <c r="B8" s="59">
        <v>75</v>
      </c>
      <c r="C8" s="40">
        <f>M156/B8</f>
        <v>0</v>
      </c>
      <c r="D8" s="40">
        <f>SUM(_xlfn.ANCHORARRAY(M163))/B8</f>
        <v>0.925000064293478</v>
      </c>
      <c r="E8" s="41">
        <f>SUM(C8:D8)</f>
        <v>0.925000064293478</v>
      </c>
      <c r="F8" s="45">
        <f>D156</f>
        <v>1</v>
      </c>
      <c r="G8" s="43">
        <f>1/F8</f>
        <v>1</v>
      </c>
      <c r="H8" s="44">
        <f>D8*G8*B8</f>
        <v>69.3750048220109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46" si="0">"("&amp;$O15&amp;", "&amp;$P15&amp;"]"</f>
        <v>(-1, 0]</v>
      </c>
      <c r="B15" s="67">
        <v>6247098</v>
      </c>
      <c r="C15" s="67">
        <v>0</v>
      </c>
      <c r="D15" s="37" cm="1">
        <f t="array" ref="D15:D78">_xlfn.LET(_xlpm.x, B15:B78, _xlpm.x/SUM(_xlpm.x))</f>
        <v>0.6247098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1.15718795351057</v>
      </c>
      <c r="I15" s="36" cm="1">
        <f t="array" ref="I15:I79">D15:D79*H15:H79</f>
        <v>0.722906655</v>
      </c>
      <c r="J15" s="36" cm="1">
        <f t="array" ref="J15:J78">I15:I78/SUM(I15:I78)</f>
        <v>0.722906655</v>
      </c>
      <c r="K15" s="71" cm="1">
        <f t="array" ref="K15:K79">INT(J15:J79*$B$2)</f>
        <v>722906655</v>
      </c>
      <c r="L15" s="36" cm="1">
        <f t="array" ref="L15:L79">_xlfn.LET(_xlpm.x, K15:K79, _xlpm.x/SUM(_xlpm.x))</f>
        <v>0.722906655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0.72133018754897826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1433218</v>
      </c>
      <c r="C16" s="75">
        <v>62127975</v>
      </c>
      <c r="D16" s="36">
        <v>0.1433218</v>
      </c>
      <c r="E16" s="69">
        <v>0.433485868862936</v>
      </c>
      <c r="G16" s="14" t="str">
        <f t="shared" si="1"/>
        <v>(0, 1]</v>
      </c>
      <c r="H16" s="70">
        <v>1.0738947180401</v>
      </c>
      <c r="I16" s="36">
        <v>0.153912524</v>
      </c>
      <c r="J16" s="36">
        <v>0.153912524</v>
      </c>
      <c r="K16" s="71">
        <v>153912524</v>
      </c>
      <c r="L16" s="36">
        <v>0.153912524</v>
      </c>
      <c r="M16" s="36">
        <v>0.0667189041950275</v>
      </c>
      <c r="N16" s="73"/>
      <c r="O16" s="59">
        <v>0</v>
      </c>
      <c r="P16" s="59">
        <v>1</v>
      </c>
      <c r="Q16" s="36">
        <v>0.15378246032868698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549259</v>
      </c>
      <c r="C17" s="75">
        <v>82715980</v>
      </c>
      <c r="D17" s="36">
        <v>0.0549259</v>
      </c>
      <c r="E17" s="69">
        <v>1.50595584232575</v>
      </c>
      <c r="F17" s="76"/>
      <c r="G17" s="14" t="str">
        <f t="shared" si="1"/>
        <v>(1, 2]</v>
      </c>
      <c r="H17" s="70">
        <v>0.823020178094487</v>
      </c>
      <c r="I17" s="36">
        <v>0.045205124</v>
      </c>
      <c r="J17" s="36">
        <v>0.045205124</v>
      </c>
      <c r="K17" s="71">
        <v>45205124</v>
      </c>
      <c r="L17" s="36">
        <v>0.045205124</v>
      </c>
      <c r="M17" s="36">
        <v>0.06807692059086</v>
      </c>
      <c r="N17" s="73"/>
      <c r="O17" s="59">
        <v>1</v>
      </c>
      <c r="P17" s="59">
        <v>2</v>
      </c>
      <c r="Q17" s="36">
        <v>4.5316653855994891E-2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330334</v>
      </c>
      <c r="C18" s="75">
        <v>83655460</v>
      </c>
      <c r="D18" s="36">
        <v>0.0330334</v>
      </c>
      <c r="E18" s="69">
        <v>2.53245079222847</v>
      </c>
      <c r="F18" s="76"/>
      <c r="G18" s="14" t="str">
        <f t="shared" si="1"/>
        <v>(2, 3]</v>
      </c>
      <c r="H18" s="70">
        <v>0.628310104318659</v>
      </c>
      <c r="I18" s="36">
        <v>0.020755219</v>
      </c>
      <c r="J18" s="36">
        <v>0.020755219</v>
      </c>
      <c r="K18" s="71">
        <v>20755219</v>
      </c>
      <c r="L18" s="36">
        <v>0.020755219</v>
      </c>
      <c r="M18" s="36">
        <v>0.0525615707994254</v>
      </c>
      <c r="N18" s="73"/>
      <c r="O18" s="59">
        <v>2</v>
      </c>
      <c r="P18" s="59">
        <v>3</v>
      </c>
      <c r="Q18" s="36">
        <v>2.0872438775560741E-2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228465</v>
      </c>
      <c r="C19" s="75">
        <v>80599815</v>
      </c>
      <c r="D19" s="36">
        <v>0.0228465</v>
      </c>
      <c r="E19" s="69">
        <v>3.5278845775064</v>
      </c>
      <c r="F19" s="77"/>
      <c r="G19" s="14" t="str">
        <f t="shared" si="1"/>
        <v>(3, 4]</v>
      </c>
      <c r="H19" s="70">
        <v>0.558488783839975</v>
      </c>
      <c r="I19" s="36">
        <v>0.012759514</v>
      </c>
      <c r="J19" s="36">
        <v>0.012759514</v>
      </c>
      <c r="K19" s="71">
        <v>12759514</v>
      </c>
      <c r="L19" s="36">
        <v>0.012759514</v>
      </c>
      <c r="M19" s="36">
        <v>0.045014092657077</v>
      </c>
      <c r="N19" s="73"/>
      <c r="O19" s="59">
        <v>3</v>
      </c>
      <c r="P19" s="59">
        <v>4</v>
      </c>
      <c r="Q19" s="36">
        <v>1.287105415837001E-2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170201</v>
      </c>
      <c r="C20" s="75">
        <v>77116390</v>
      </c>
      <c r="D20" s="36">
        <v>0.0170201</v>
      </c>
      <c r="E20" s="69">
        <v>4.5309011110393</v>
      </c>
      <c r="F20" s="77"/>
      <c r="G20" s="14" t="str">
        <f t="shared" si="1"/>
        <v>(4, 5]</v>
      </c>
      <c r="H20" s="70">
        <v>0.487840553228242</v>
      </c>
      <c r="I20" s="36">
        <v>0.008303095</v>
      </c>
      <c r="J20" s="36">
        <v>0.008303095</v>
      </c>
      <c r="K20" s="71">
        <v>8303095</v>
      </c>
      <c r="L20" s="36">
        <v>0.008303095</v>
      </c>
      <c r="M20" s="36">
        <v>0.0376205023605649</v>
      </c>
      <c r="N20" s="73"/>
      <c r="O20" s="59">
        <v>4</v>
      </c>
      <c r="P20" s="59">
        <v>5</v>
      </c>
      <c r="Q20" s="36">
        <v>8.4016429655526404E-3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135233</v>
      </c>
      <c r="C21" s="75">
        <v>75076835</v>
      </c>
      <c r="D21" s="36">
        <v>0.0135233</v>
      </c>
      <c r="E21" s="69">
        <v>5.55166527400856</v>
      </c>
      <c r="F21" s="77"/>
      <c r="G21" s="14" t="str">
        <f t="shared" si="1"/>
        <v>(5, 6]</v>
      </c>
      <c r="H21" s="70">
        <v>0.474821973926482</v>
      </c>
      <c r="I21" s="36">
        <v>0.00642116</v>
      </c>
      <c r="J21" s="36">
        <v>0.00642116</v>
      </c>
      <c r="K21" s="71">
        <v>6421160</v>
      </c>
      <c r="L21" s="36">
        <v>0.00642116</v>
      </c>
      <c r="M21" s="36">
        <v>0.0356481309908528</v>
      </c>
      <c r="N21" s="73"/>
      <c r="O21" s="59">
        <v>5</v>
      </c>
      <c r="P21" s="59">
        <v>6</v>
      </c>
      <c r="Q21" s="36">
        <v>6.5178711818861881E-3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105956</v>
      </c>
      <c r="C22" s="75">
        <v>69127355</v>
      </c>
      <c r="D22" s="36">
        <v>0.0105956</v>
      </c>
      <c r="E22" s="69">
        <v>6.5241567254332</v>
      </c>
      <c r="F22" s="77"/>
      <c r="G22" s="14" t="str">
        <f t="shared" si="1"/>
        <v>(6, 7]</v>
      </c>
      <c r="H22" s="70">
        <v>0.326920986069689</v>
      </c>
      <c r="I22" s="36">
        <v>0.003463924</v>
      </c>
      <c r="J22" s="36">
        <v>0.003463924</v>
      </c>
      <c r="K22" s="71">
        <v>3463924</v>
      </c>
      <c r="L22" s="36">
        <v>0.003463924</v>
      </c>
      <c r="M22" s="36">
        <v>0.0225991830609895</v>
      </c>
      <c r="N22" s="73"/>
      <c r="O22" s="59">
        <v>6</v>
      </c>
      <c r="P22" s="59">
        <v>7</v>
      </c>
      <c r="Q22" s="36">
        <v>3.5266631843066452E-3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89636</v>
      </c>
      <c r="C23" s="75">
        <v>67520920</v>
      </c>
      <c r="D23" s="36">
        <v>0.0089636</v>
      </c>
      <c r="E23" s="69">
        <v>7.53279039671561</v>
      </c>
      <c r="F23" s="77"/>
      <c r="G23" s="14" t="str">
        <f t="shared" si="1"/>
        <v>(7, 8]</v>
      </c>
      <c r="H23" s="70">
        <v>0.434278749609532</v>
      </c>
      <c r="I23" s="36">
        <v>0.003892701</v>
      </c>
      <c r="J23" s="36">
        <v>0.003892701</v>
      </c>
      <c r="K23" s="71">
        <v>3892701</v>
      </c>
      <c r="L23" s="36">
        <v>0.003892701</v>
      </c>
      <c r="M23" s="36">
        <v>0.0293229007100853</v>
      </c>
      <c r="N23" s="73"/>
      <c r="O23" s="59">
        <v>7</v>
      </c>
      <c r="P23" s="59">
        <v>8</v>
      </c>
      <c r="Q23" s="36">
        <v>3.975560859946296E-3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75277</v>
      </c>
      <c r="C24" s="75">
        <v>64389130</v>
      </c>
      <c r="D24" s="36">
        <v>0.0075277</v>
      </c>
      <c r="E24" s="69">
        <v>8.55362594152264</v>
      </c>
      <c r="F24" s="77"/>
      <c r="G24" s="14" t="str">
        <f t="shared" si="1"/>
        <v>(8, 9]</v>
      </c>
      <c r="H24" s="70">
        <v>0.419287830280165</v>
      </c>
      <c r="I24" s="36">
        <v>0.003156273</v>
      </c>
      <c r="J24" s="36">
        <v>0.003156273</v>
      </c>
      <c r="K24" s="71">
        <v>3156273</v>
      </c>
      <c r="L24" s="36">
        <v>0.003156273</v>
      </c>
      <c r="M24" s="36">
        <v>0.0269975786113275</v>
      </c>
      <c r="N24" s="73"/>
      <c r="O24" s="59">
        <v>8</v>
      </c>
      <c r="P24" s="59">
        <v>9</v>
      </c>
      <c r="Q24" s="36">
        <v>3.2336282306251493E-3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62216</v>
      </c>
      <c r="C25" s="75">
        <v>59348130</v>
      </c>
      <c r="D25" s="36">
        <v>0.0062216</v>
      </c>
      <c r="E25" s="69">
        <v>9.53904622605118</v>
      </c>
      <c r="F25" s="77"/>
      <c r="G25" s="14" t="str">
        <f t="shared" si="1"/>
        <v>(9, 10]</v>
      </c>
      <c r="H25" s="70">
        <v>0.329654751189405</v>
      </c>
      <c r="I25" s="36">
        <v>0.00205098</v>
      </c>
      <c r="J25" s="36">
        <v>0.00205098</v>
      </c>
      <c r="K25" s="71">
        <v>2050980</v>
      </c>
      <c r="L25" s="36">
        <v>0.00205098</v>
      </c>
      <c r="M25" s="36">
        <v>0.0195643930287064</v>
      </c>
      <c r="N25" s="73"/>
      <c r="O25" s="59">
        <v>9</v>
      </c>
      <c r="P25" s="59">
        <v>10</v>
      </c>
      <c r="Q25" s="36">
        <v>2.1076450464790472E-3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206815</v>
      </c>
      <c r="C26" s="75">
        <v>253931790</v>
      </c>
      <c r="D26" s="36">
        <v>0.0206815</v>
      </c>
      <c r="E26" s="69">
        <v>12.2782095109156</v>
      </c>
      <c r="F26" s="77"/>
      <c r="G26" s="14" t="str">
        <f t="shared" si="1"/>
        <v>(10, 15]</v>
      </c>
      <c r="H26" s="70">
        <v>0.30142789449508</v>
      </c>
      <c r="I26" s="36">
        <v>0.006233981</v>
      </c>
      <c r="J26" s="36">
        <v>0.006233981</v>
      </c>
      <c r="K26" s="71">
        <v>6233981</v>
      </c>
      <c r="L26" s="36">
        <v>0.006233981</v>
      </c>
      <c r="M26" s="36">
        <v>0.0765421248050672</v>
      </c>
      <c r="N26" s="73"/>
      <c r="O26" s="59">
        <v>10</v>
      </c>
      <c r="P26" s="59">
        <v>15</v>
      </c>
      <c r="Q26" s="36">
        <v>6.4605967344999633E-3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111556</v>
      </c>
      <c r="C27" s="75">
        <v>193360090</v>
      </c>
      <c r="D27" s="36">
        <v>0.0111556</v>
      </c>
      <c r="E27" s="69">
        <v>17.333006741009</v>
      </c>
      <c r="F27" s="77"/>
      <c r="G27" s="14" t="str">
        <f t="shared" si="1"/>
        <v>(15, 20]</v>
      </c>
      <c r="H27" s="70">
        <v>0.242251873498512</v>
      </c>
      <c r="I27" s="36">
        <v>0.002702465</v>
      </c>
      <c r="J27" s="36">
        <v>0.002702465</v>
      </c>
      <c r="K27" s="71">
        <v>2702465</v>
      </c>
      <c r="L27" s="36">
        <v>0.002702465</v>
      </c>
      <c r="M27" s="36">
        <v>0.0468418440623409</v>
      </c>
      <c r="N27" s="73"/>
      <c r="O27" s="59">
        <v>15</v>
      </c>
      <c r="P27" s="59">
        <v>20</v>
      </c>
      <c r="Q27" s="36">
        <v>2.8447348724060192E-3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67467</v>
      </c>
      <c r="C28" s="75">
        <v>150929520</v>
      </c>
      <c r="D28" s="36">
        <v>0.0067467</v>
      </c>
      <c r="E28" s="69">
        <v>22.3708657565921</v>
      </c>
      <c r="F28" s="77"/>
      <c r="G28" s="14" t="str">
        <f t="shared" si="1"/>
        <v>(20, 25]</v>
      </c>
      <c r="H28" s="70">
        <v>0.226067410734137</v>
      </c>
      <c r="I28" s="36">
        <v>0.001525209</v>
      </c>
      <c r="J28" s="36">
        <v>0.001525209</v>
      </c>
      <c r="K28" s="71">
        <v>1525209</v>
      </c>
      <c r="L28" s="36">
        <v>0.001525209</v>
      </c>
      <c r="M28" s="36">
        <v>0.0341202457897461</v>
      </c>
      <c r="N28" s="73"/>
      <c r="O28" s="59">
        <v>20</v>
      </c>
      <c r="P28" s="59">
        <v>25</v>
      </c>
      <c r="Q28" s="36">
        <v>1.6306573171531581E-3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44547</v>
      </c>
      <c r="C29" s="75">
        <v>122053310</v>
      </c>
      <c r="D29" s="36">
        <v>0.0044547</v>
      </c>
      <c r="E29" s="69">
        <v>27.3987720834175</v>
      </c>
      <c r="F29" s="77"/>
      <c r="G29" s="14" t="str">
        <f t="shared" si="1"/>
        <v>(25, 30]</v>
      </c>
      <c r="H29" s="70">
        <v>0.275924304666981</v>
      </c>
      <c r="I29" s="36">
        <v>0.00122916</v>
      </c>
      <c r="J29" s="36">
        <v>0.00122916</v>
      </c>
      <c r="K29" s="71">
        <v>1229160</v>
      </c>
      <c r="L29" s="36">
        <v>0.00122916</v>
      </c>
      <c r="M29" s="36">
        <v>0.0336774746940535</v>
      </c>
      <c r="N29" s="73"/>
      <c r="O29" s="59">
        <v>25</v>
      </c>
      <c r="P29" s="59">
        <v>30</v>
      </c>
      <c r="Q29" s="36">
        <v>1.3346891734348117E-3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30283</v>
      </c>
      <c r="C30" s="75">
        <v>98076130</v>
      </c>
      <c r="D30" s="36">
        <v>0.0030283</v>
      </c>
      <c r="E30" s="69">
        <v>32.3865303965921</v>
      </c>
      <c r="F30" s="77"/>
      <c r="G30" s="14" t="str">
        <f t="shared" si="1"/>
        <v>(30, 35]</v>
      </c>
      <c r="H30" s="70">
        <v>0.194087111580755</v>
      </c>
      <c r="I30" s="36">
        <v>0.000587754</v>
      </c>
      <c r="J30" s="36">
        <v>0.000587754</v>
      </c>
      <c r="K30" s="71">
        <v>587754</v>
      </c>
      <c r="L30" s="36">
        <v>0.000587754</v>
      </c>
      <c r="M30" s="36">
        <v>0.0190353127867186</v>
      </c>
      <c r="N30" s="73"/>
      <c r="O30" s="59">
        <v>30</v>
      </c>
      <c r="P30" s="59">
        <v>35</v>
      </c>
      <c r="Q30" s="36">
        <v>6.4811539814248979E-4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22161</v>
      </c>
      <c r="C31" s="75">
        <v>82980175</v>
      </c>
      <c r="D31" s="36">
        <v>0.0022161</v>
      </c>
      <c r="E31" s="69">
        <v>37.4442376246559</v>
      </c>
      <c r="F31" s="77"/>
      <c r="G31" s="14" t="str">
        <f t="shared" si="1"/>
        <v>(35, 40]</v>
      </c>
      <c r="H31" s="70">
        <v>0.183410495916249</v>
      </c>
      <c r="I31" s="36">
        <v>0.000406456</v>
      </c>
      <c r="J31" s="36">
        <v>0.000406456</v>
      </c>
      <c r="K31" s="71">
        <v>406456</v>
      </c>
      <c r="L31" s="36">
        <v>0.000406456</v>
      </c>
      <c r="M31" s="36">
        <v>0.0152194350479671</v>
      </c>
      <c r="N31" s="73"/>
      <c r="O31" s="59">
        <v>35</v>
      </c>
      <c r="P31" s="59">
        <v>40</v>
      </c>
      <c r="Q31" s="36">
        <v>4.5524843571943785E-4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16552</v>
      </c>
      <c r="C32" s="75">
        <v>70251000</v>
      </c>
      <c r="D32" s="36">
        <v>0.0016552</v>
      </c>
      <c r="E32" s="69">
        <v>42.442605123248</v>
      </c>
      <c r="F32" s="77"/>
      <c r="G32" s="14" t="str">
        <f t="shared" si="1"/>
        <v>(40, 45]</v>
      </c>
      <c r="H32" s="70">
        <v>0.150115998066699</v>
      </c>
      <c r="I32" s="36">
        <v>0.000248472</v>
      </c>
      <c r="J32" s="36">
        <v>0.000248472</v>
      </c>
      <c r="K32" s="71">
        <v>248472</v>
      </c>
      <c r="L32" s="36">
        <v>0.000248472</v>
      </c>
      <c r="M32" s="36">
        <v>0.0105457989801837</v>
      </c>
      <c r="N32" s="73"/>
      <c r="O32" s="59">
        <v>40</v>
      </c>
      <c r="P32" s="59">
        <v>45</v>
      </c>
      <c r="Q32" s="36">
        <v>2.8262477021737586E-4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12473</v>
      </c>
      <c r="C33" s="75">
        <v>59162315</v>
      </c>
      <c r="D33" s="36">
        <v>0.0012473</v>
      </c>
      <c r="E33" s="69">
        <v>47.4323057804858</v>
      </c>
      <c r="F33" s="77"/>
      <c r="G33" s="14" t="str">
        <f t="shared" si="1"/>
        <v>(45, 50]</v>
      </c>
      <c r="H33" s="70">
        <v>0.16684759079612</v>
      </c>
      <c r="I33" s="36">
        <v>0.000208109</v>
      </c>
      <c r="J33" s="36">
        <v>0.000208109</v>
      </c>
      <c r="K33" s="71">
        <v>208109</v>
      </c>
      <c r="L33" s="36">
        <v>0.000208109</v>
      </c>
      <c r="M33" s="36">
        <v>0.00987108972367112</v>
      </c>
      <c r="N33" s="73"/>
      <c r="O33" s="59">
        <v>45</v>
      </c>
      <c r="P33" s="59">
        <v>50</v>
      </c>
      <c r="Q33" s="36">
        <v>2.4038703302006243E-4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17718</v>
      </c>
      <c r="C34" s="75">
        <v>96918655</v>
      </c>
      <c r="D34" s="36">
        <v>0.0017718</v>
      </c>
      <c r="E34" s="69">
        <v>54.7006744553561</v>
      </c>
      <c r="F34" s="77"/>
      <c r="G34" s="14" t="str">
        <f t="shared" si="1"/>
        <v>(50, 60]</v>
      </c>
      <c r="H34" s="70">
        <v>0.250985438537081</v>
      </c>
      <c r="I34" s="36">
        <v>0.000444696</v>
      </c>
      <c r="J34" s="36">
        <v>0.000444696</v>
      </c>
      <c r="K34" s="71">
        <v>444696</v>
      </c>
      <c r="L34" s="36">
        <v>0.000444696</v>
      </c>
      <c r="M34" s="36">
        <v>0.024325171127599</v>
      </c>
      <c r="N34" s="73"/>
      <c r="O34" s="59">
        <v>50</v>
      </c>
      <c r="P34" s="59">
        <v>60</v>
      </c>
      <c r="Q34" s="36">
        <v>5.2532207659979633E-4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11162</v>
      </c>
      <c r="C35" s="75">
        <v>72230575</v>
      </c>
      <c r="D35" s="36">
        <v>0.0011162</v>
      </c>
      <c r="E35" s="69">
        <v>64.7111404766171</v>
      </c>
      <c r="F35" s="77"/>
      <c r="G35" s="14" t="str">
        <f t="shared" si="1"/>
        <v>(60, 70]</v>
      </c>
      <c r="H35" s="70">
        <v>0.226837484321806</v>
      </c>
      <c r="I35" s="36">
        <v>0.000253196</v>
      </c>
      <c r="J35" s="36">
        <v>0.000253196</v>
      </c>
      <c r="K35" s="71">
        <v>253196</v>
      </c>
      <c r="L35" s="36">
        <v>0.000253196</v>
      </c>
      <c r="M35" s="36">
        <v>0.0163846019241175</v>
      </c>
      <c r="N35" s="73"/>
      <c r="O35" s="59">
        <v>60</v>
      </c>
      <c r="P35" s="59">
        <v>70</v>
      </c>
      <c r="Q35" s="36">
        <v>3.0848528054227008E-4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7637</v>
      </c>
      <c r="C36" s="75">
        <v>57127050</v>
      </c>
      <c r="D36" s="36">
        <v>0.0007637</v>
      </c>
      <c r="E36" s="69">
        <v>74.8029985596438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5435</v>
      </c>
      <c r="C37" s="75">
        <v>46048320</v>
      </c>
      <c r="D37" s="36">
        <v>0.0005435</v>
      </c>
      <c r="E37" s="69">
        <v>84.7255197792088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3862</v>
      </c>
      <c r="C38" s="75">
        <v>36588240</v>
      </c>
      <c r="D38" s="36">
        <v>0.0003862</v>
      </c>
      <c r="E38" s="69">
        <v>94.7390989124806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</v>
      </c>
      <c r="C39" s="75">
        <v>57430430</v>
      </c>
      <c r="D39" s="36">
        <v>0.0005252</v>
      </c>
      <c r="E39" s="69">
        <v>109.349638233054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3106</v>
      </c>
      <c r="C40" s="75">
        <v>40086250</v>
      </c>
      <c r="D40" s="36">
        <v>0.0003106</v>
      </c>
      <c r="E40" s="69">
        <v>129.060688989053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1905</v>
      </c>
      <c r="C41" s="75">
        <v>28459830</v>
      </c>
      <c r="D41" s="36">
        <v>0.0001905</v>
      </c>
      <c r="E41" s="69">
        <v>149.395433070866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1349</v>
      </c>
      <c r="C42" s="75">
        <v>22803855</v>
      </c>
      <c r="D42" s="36">
        <v>0.0001349</v>
      </c>
      <c r="E42" s="69">
        <v>169.042661230541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881</v>
      </c>
      <c r="C43" s="75">
        <v>16671680</v>
      </c>
      <c r="D43" s="36">
        <v>8.81e-05</v>
      </c>
      <c r="E43" s="69">
        <v>189.235868331442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1365</v>
      </c>
      <c r="C44" s="75">
        <v>30326020</v>
      </c>
      <c r="D44" s="36">
        <v>0.0001365</v>
      </c>
      <c r="E44" s="69">
        <v>222.168644688645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606</v>
      </c>
      <c r="C45" s="75">
        <v>16469770</v>
      </c>
      <c r="D45" s="36">
        <v>6.06e-05</v>
      </c>
      <c r="E45" s="69">
        <v>271.778382838284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364</v>
      </c>
      <c r="C46" s="75">
        <v>11717060</v>
      </c>
      <c r="D46" s="36">
        <v>3.64e-05</v>
      </c>
      <c r="E46" s="69">
        <v>321.897252747253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200</v>
      </c>
      <c r="C47" s="75">
        <v>7475600</v>
      </c>
      <c r="D47" s="36">
        <v>2e-05</v>
      </c>
      <c r="E47" s="69">
        <v>373.78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135</v>
      </c>
      <c r="C48" s="75">
        <v>5686395</v>
      </c>
      <c r="D48" s="36">
        <v>1.35e-05</v>
      </c>
      <c r="E48" s="69">
        <v>421.214444444444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85</v>
      </c>
      <c r="C49" s="75">
        <v>4014090</v>
      </c>
      <c r="D49" s="36">
        <v>8.5e-06</v>
      </c>
      <c r="E49" s="69">
        <v>472.245882352941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60</v>
      </c>
      <c r="C50" s="75">
        <v>3130370</v>
      </c>
      <c r="D50" s="36">
        <v>6e-06</v>
      </c>
      <c r="E50" s="69">
        <v>521.728333333333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32</v>
      </c>
      <c r="C51" s="75">
        <v>1835700</v>
      </c>
      <c r="D51" s="36">
        <v>3.2e-06</v>
      </c>
      <c r="E51" s="69">
        <v>573.65625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22</v>
      </c>
      <c r="C52" s="75">
        <v>1365180</v>
      </c>
      <c r="D52" s="36">
        <v>2.2e-06</v>
      </c>
      <c r="E52" s="69">
        <v>620.536363636364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24</v>
      </c>
      <c r="C53" s="75">
        <v>1610270</v>
      </c>
      <c r="D53" s="36">
        <v>2.4e-06</v>
      </c>
      <c r="E53" s="69">
        <v>670.945833333333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13</v>
      </c>
      <c r="C54" s="75">
        <v>944800</v>
      </c>
      <c r="D54" s="36">
        <v>1.3e-06</v>
      </c>
      <c r="E54" s="69">
        <v>726.769230769231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9</v>
      </c>
      <c r="C55" s="75">
        <v>696895</v>
      </c>
      <c r="D55" s="36">
        <v>9e-07</v>
      </c>
      <c r="E55" s="69">
        <v>774.327777777778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2</v>
      </c>
      <c r="C56" s="75">
        <v>163605</v>
      </c>
      <c r="D56" s="36">
        <v>2e-07</v>
      </c>
      <c r="E56" s="69">
        <v>818.025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5</v>
      </c>
      <c r="C57" s="75">
        <v>441325</v>
      </c>
      <c r="D57" s="36">
        <v>5e-07</v>
      </c>
      <c r="E57" s="69">
        <v>882.65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7</v>
      </c>
      <c r="C58" s="75">
        <v>646765</v>
      </c>
      <c r="D58" s="36">
        <v>7e-07</v>
      </c>
      <c r="E58" s="69">
        <v>923.95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2</v>
      </c>
      <c r="C59" s="75">
        <v>195460</v>
      </c>
      <c r="D59" s="36">
        <v>2e-07</v>
      </c>
      <c r="E59" s="69">
        <v>977.3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15</v>
      </c>
      <c r="C60" s="75">
        <v>1820010</v>
      </c>
      <c r="D60" s="36">
        <v>1.5e-06</v>
      </c>
      <c r="E60" s="69">
        <v>1213.34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69644</v>
      </c>
      <c r="C79" s="75">
        <v>61243685</v>
      </c>
      <c r="D79" s="36">
        <f>B79/B13</f>
        <v>0.0069644</v>
      </c>
      <c r="E79" s="69">
        <v>8.79382071678824</v>
      </c>
      <c r="F79" s="77"/>
      <c r="G79" s="14" t="s">
        <v>180</v>
      </c>
      <c r="H79" s="70">
        <v>0.478624576417208</v>
      </c>
      <c r="I79" s="36">
        <v>0.003333333</v>
      </c>
      <c r="J79" s="36">
        <f>I79</f>
        <v>0.003333333</v>
      </c>
      <c r="K79" s="72">
        <v>3333333</v>
      </c>
      <c r="L79" s="36">
        <v>0.003333333</v>
      </c>
      <c r="M79" s="36">
        <v>0.0293127327913539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17" si="4">"("&amp;$O86&amp;", "&amp;$P86&amp;"]"</f>
        <v>(-1, 0]</v>
      </c>
      <c r="B86" s="67">
        <v>248</v>
      </c>
      <c r="C86" s="67">
        <v>0</v>
      </c>
      <c r="D86" s="36" cm="1">
        <f t="array" ref="D86:D149">_xlfn.LET(_xlpm.x, B86:B149, _xlpm.x/SUM(_xlpm.x))</f>
        <v>0.00356096720464074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95</v>
      </c>
      <c r="C87" s="75">
        <v>6130</v>
      </c>
      <c r="D87" s="36">
        <v>0.00136408017919706</v>
      </c>
      <c r="E87" s="69">
        <v>0.645263157894737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145</v>
      </c>
      <c r="C88" s="75">
        <v>22490</v>
      </c>
      <c r="D88" s="36">
        <v>0.00208201711561656</v>
      </c>
      <c r="E88" s="69">
        <v>1.55103448275862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128</v>
      </c>
      <c r="C89" s="75">
        <v>32630</v>
      </c>
      <c r="D89" s="36">
        <v>0.00183791855723393</v>
      </c>
      <c r="E89" s="69">
        <v>2.54921875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135</v>
      </c>
      <c r="C90" s="75">
        <v>48305</v>
      </c>
      <c r="D90" s="36">
        <v>0.00193842972833266</v>
      </c>
      <c r="E90" s="69">
        <v>3.57814814814815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154</v>
      </c>
      <c r="C91" s="75">
        <v>70730</v>
      </c>
      <c r="D91" s="36">
        <v>0.00221124576417208</v>
      </c>
      <c r="E91" s="69">
        <v>4.59285714285714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142</v>
      </c>
      <c r="C92" s="75">
        <v>79435</v>
      </c>
      <c r="D92" s="36">
        <v>0.00203894089943139</v>
      </c>
      <c r="E92" s="69">
        <v>5.59401408450704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149</v>
      </c>
      <c r="C93" s="75">
        <v>97850</v>
      </c>
      <c r="D93" s="36">
        <v>0.00213945207053012</v>
      </c>
      <c r="E93" s="69">
        <v>6.56711409395973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158</v>
      </c>
      <c r="C94" s="75">
        <v>119180</v>
      </c>
      <c r="D94" s="36">
        <v>0.00226868071908564</v>
      </c>
      <c r="E94" s="69">
        <v>7.54303797468354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132</v>
      </c>
      <c r="C95" s="75">
        <v>113770</v>
      </c>
      <c r="D95" s="36">
        <v>0.00189535351214749</v>
      </c>
      <c r="E95" s="69">
        <v>8.61893939393939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131</v>
      </c>
      <c r="C96" s="75">
        <v>125780</v>
      </c>
      <c r="D96" s="36">
        <v>0.0018809947734191</v>
      </c>
      <c r="E96" s="69">
        <v>9.60152671755725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714</v>
      </c>
      <c r="C97" s="75">
        <v>902310</v>
      </c>
      <c r="D97" s="36">
        <v>0.0102521394520705</v>
      </c>
      <c r="E97" s="69">
        <v>12.6373949579832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765</v>
      </c>
      <c r="C98" s="75">
        <v>1341315</v>
      </c>
      <c r="D98" s="36">
        <v>0.0109844351272184</v>
      </c>
      <c r="E98" s="69">
        <v>17.5335294117647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753</v>
      </c>
      <c r="C99" s="75">
        <v>1700760</v>
      </c>
      <c r="D99" s="36">
        <v>0.0108121302624777</v>
      </c>
      <c r="E99" s="69">
        <v>22.5864541832669</v>
      </c>
      <c r="F99" s="73"/>
      <c r="G99" s="14" t="str">
        <f t="shared" si="5"/>
        <v>(20, 25]</v>
      </c>
      <c r="H99" s="70">
        <v>4.49717445309962</v>
      </c>
      <c r="I99" s="36">
        <v>0.048624036</v>
      </c>
      <c r="J99" s="36">
        <v>0.048624036</v>
      </c>
      <c r="K99" s="71">
        <v>48624036</v>
      </c>
      <c r="L99" s="36">
        <v>0.048624036</v>
      </c>
      <c r="M99" s="36">
        <v>1.09824456131952</v>
      </c>
      <c r="N99" s="73"/>
      <c r="O99" s="59">
        <v>20</v>
      </c>
      <c r="P99" s="59">
        <v>25</v>
      </c>
      <c r="Q99" s="36">
        <v>4.8651494070332868E-2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760</v>
      </c>
      <c r="C100" s="75">
        <v>2088705</v>
      </c>
      <c r="D100" s="36">
        <v>0.0109126414335765</v>
      </c>
      <c r="E100" s="69">
        <v>27.4829605263158</v>
      </c>
      <c r="F100" s="73"/>
      <c r="G100" s="14" t="str">
        <f t="shared" si="5"/>
        <v>(25, 30]</v>
      </c>
      <c r="H100" s="70">
        <v>17.9750000212105</v>
      </c>
      <c r="I100" s="36">
        <v>0.19615473</v>
      </c>
      <c r="J100" s="36">
        <v>0.19615473</v>
      </c>
      <c r="K100" s="71">
        <v>196154730</v>
      </c>
      <c r="L100" s="36">
        <v>0.19615473</v>
      </c>
      <c r="M100" s="36">
        <v>5.39091270164013</v>
      </c>
      <c r="N100" s="73"/>
      <c r="O100" s="59">
        <v>25</v>
      </c>
      <c r="P100" s="59">
        <v>30</v>
      </c>
      <c r="Q100" s="36">
        <v>0.19624841531746515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729</v>
      </c>
      <c r="C101" s="75">
        <v>2372100</v>
      </c>
      <c r="D101" s="36">
        <v>0.0104675205329964</v>
      </c>
      <c r="E101" s="69">
        <v>32.5390946502058</v>
      </c>
      <c r="F101" s="73"/>
      <c r="G101" s="14" t="str">
        <f t="shared" si="5"/>
        <v>(30, 35]</v>
      </c>
      <c r="H101" s="70">
        <v>6.71434689604388</v>
      </c>
      <c r="I101" s="36">
        <v>0.070282564</v>
      </c>
      <c r="J101" s="36">
        <v>0.070282564</v>
      </c>
      <c r="K101" s="71">
        <v>70282564</v>
      </c>
      <c r="L101" s="36">
        <v>0.070282564</v>
      </c>
      <c r="M101" s="36">
        <v>2.28693100225515</v>
      </c>
      <c r="N101" s="73"/>
      <c r="O101" s="59">
        <v>30</v>
      </c>
      <c r="P101" s="59">
        <v>35</v>
      </c>
      <c r="Q101" s="36">
        <v>7.030981254681587E-2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695</v>
      </c>
      <c r="C102" s="75">
        <v>2613300</v>
      </c>
      <c r="D102" s="36">
        <v>0.00997932341623112</v>
      </c>
      <c r="E102" s="69">
        <v>37.6014388489209</v>
      </c>
      <c r="F102" s="73"/>
      <c r="G102" s="14" t="str">
        <f t="shared" si="5"/>
        <v>(35, 40]</v>
      </c>
      <c r="H102" s="70">
        <v>11.8026653799424</v>
      </c>
      <c r="I102" s="36">
        <v>0.117782615</v>
      </c>
      <c r="J102" s="36">
        <v>0.117782615</v>
      </c>
      <c r="K102" s="71">
        <v>117782615</v>
      </c>
      <c r="L102" s="36">
        <v>0.117782615</v>
      </c>
      <c r="M102" s="36">
        <v>4.42879579538849</v>
      </c>
      <c r="N102" s="73"/>
      <c r="O102" s="59">
        <v>35</v>
      </c>
      <c r="P102" s="59">
        <v>40</v>
      </c>
      <c r="Q102" s="36">
        <v>0.11781767759198891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738</v>
      </c>
      <c r="C103" s="75">
        <v>3138865</v>
      </c>
      <c r="D103" s="36">
        <v>0.0105967491815519</v>
      </c>
      <c r="E103" s="69">
        <v>42.5320460704607</v>
      </c>
      <c r="F103" s="73"/>
      <c r="G103" s="14" t="str">
        <f t="shared" si="5"/>
        <v>(40, 45]</v>
      </c>
      <c r="H103" s="70">
        <v>9.19824422849322</v>
      </c>
      <c r="I103" s="36">
        <v>0.097471487</v>
      </c>
      <c r="J103" s="36">
        <v>0.097471487</v>
      </c>
      <c r="K103" s="71">
        <v>97471487</v>
      </c>
      <c r="L103" s="36">
        <v>0.097471487</v>
      </c>
      <c r="M103" s="36">
        <v>4.14566177564031</v>
      </c>
      <c r="N103" s="73"/>
      <c r="O103" s="59">
        <v>40</v>
      </c>
      <c r="P103" s="59">
        <v>45</v>
      </c>
      <c r="Q103" s="36">
        <v>9.7491958144823074E-2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715</v>
      </c>
      <c r="C104" s="75">
        <v>3405580</v>
      </c>
      <c r="D104" s="36">
        <v>0.0102664981907989</v>
      </c>
      <c r="E104" s="69">
        <v>47.6304895104895</v>
      </c>
      <c r="F104" s="73"/>
      <c r="G104" s="14" t="str">
        <f t="shared" si="5"/>
        <v>(45, 50]</v>
      </c>
      <c r="H104" s="70">
        <v>7.7380500657175</v>
      </c>
      <c r="I104" s="36">
        <v>0.079442677</v>
      </c>
      <c r="J104" s="36">
        <v>0.079442677</v>
      </c>
      <c r="K104" s="71">
        <v>79442677</v>
      </c>
      <c r="L104" s="36">
        <v>0.079442677</v>
      </c>
      <c r="M104" s="36">
        <v>3.78389359353371</v>
      </c>
      <c r="N104" s="73"/>
      <c r="O104" s="59">
        <v>45</v>
      </c>
      <c r="P104" s="59">
        <v>50</v>
      </c>
      <c r="Q104" s="36">
        <v>7.9452160747947531E-2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1352</v>
      </c>
      <c r="C105" s="75">
        <v>7425075</v>
      </c>
      <c r="D105" s="36">
        <v>0.0194130147607834</v>
      </c>
      <c r="E105" s="69">
        <v>54.9191937869822</v>
      </c>
      <c r="F105" s="73"/>
      <c r="G105" s="14" t="str">
        <f t="shared" si="5"/>
        <v>(50, 60]</v>
      </c>
      <c r="H105" s="70">
        <v>3.67775875513314</v>
      </c>
      <c r="I105" s="36">
        <v>0.071396385</v>
      </c>
      <c r="J105" s="36">
        <v>0.071396385</v>
      </c>
      <c r="K105" s="71">
        <v>71396385</v>
      </c>
      <c r="L105" s="36">
        <v>0.071396385</v>
      </c>
      <c r="M105" s="36">
        <v>3.92103190350499</v>
      </c>
      <c r="N105" s="73"/>
      <c r="O105" s="59">
        <v>50</v>
      </c>
      <c r="P105" s="59">
        <v>60</v>
      </c>
      <c r="Q105" s="36">
        <v>7.1395658570704484E-2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1356</v>
      </c>
      <c r="C106" s="75">
        <v>8820645</v>
      </c>
      <c r="D106" s="36">
        <v>0.019470449715697</v>
      </c>
      <c r="E106" s="69">
        <v>65.0490044247788</v>
      </c>
      <c r="F106" s="73"/>
      <c r="G106" s="14" t="str">
        <f t="shared" si="5"/>
        <v>(60, 70]</v>
      </c>
      <c r="H106" s="70">
        <v>4.54239862414159</v>
      </c>
      <c r="I106" s="36">
        <v>0.088442544</v>
      </c>
      <c r="J106" s="36">
        <v>0.088442544</v>
      </c>
      <c r="K106" s="71">
        <v>88442544</v>
      </c>
      <c r="L106" s="36">
        <v>0.088442544</v>
      </c>
      <c r="M106" s="36">
        <v>5.75309943599469</v>
      </c>
      <c r="N106" s="73"/>
      <c r="O106" s="59">
        <v>60</v>
      </c>
      <c r="P106" s="59">
        <v>70</v>
      </c>
      <c r="Q106" s="36">
        <v>8.8425720945365854E-2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1335</v>
      </c>
      <c r="C107" s="75">
        <v>10010735</v>
      </c>
      <c r="D107" s="36">
        <v>0.0191689162024008</v>
      </c>
      <c r="E107" s="69">
        <v>74.9867790262172</v>
      </c>
      <c r="F107" s="73"/>
      <c r="G107" s="14" t="str">
        <f t="shared" si="5"/>
        <v>(70, 80]</v>
      </c>
      <c r="H107" s="70">
        <v>2.00031559401348</v>
      </c>
      <c r="I107" s="36">
        <v>0.038343882</v>
      </c>
      <c r="J107" s="36">
        <v>0.038343882</v>
      </c>
      <c r="K107" s="71">
        <v>38343882</v>
      </c>
      <c r="L107" s="36">
        <v>0.038343882</v>
      </c>
      <c r="M107" s="36">
        <v>2.87528420654135</v>
      </c>
      <c r="N107" s="73"/>
      <c r="O107" s="59">
        <v>70</v>
      </c>
      <c r="P107" s="59">
        <v>80</v>
      </c>
      <c r="Q107" s="36">
        <v>3.8329816843255968E-2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1240</v>
      </c>
      <c r="C108" s="75">
        <v>10544990</v>
      </c>
      <c r="D108" s="36">
        <v>0.0178048360232037</v>
      </c>
      <c r="E108" s="69">
        <v>85.0402419354839</v>
      </c>
      <c r="F108" s="73"/>
      <c r="G108" s="14" t="str">
        <f t="shared" si="5"/>
        <v>(80, 90]</v>
      </c>
      <c r="H108" s="70">
        <v>3.73453998190968</v>
      </c>
      <c r="I108" s="36">
        <v>0.066492872</v>
      </c>
      <c r="J108" s="36">
        <v>0.066492872</v>
      </c>
      <c r="K108" s="71">
        <v>66492872</v>
      </c>
      <c r="L108" s="36">
        <v>0.066492872</v>
      </c>
      <c r="M108" s="36">
        <v>5.65456992186516</v>
      </c>
      <c r="N108" s="73"/>
      <c r="O108" s="59">
        <v>80</v>
      </c>
      <c r="P108" s="59">
        <v>90</v>
      </c>
      <c r="Q108" s="36">
        <v>6.6456604462045293E-2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1233</v>
      </c>
      <c r="C109" s="75">
        <v>11722965</v>
      </c>
      <c r="D109" s="36">
        <v>0.017704324852105</v>
      </c>
      <c r="E109" s="69">
        <v>95.0767639902677</v>
      </c>
      <c r="F109" s="73"/>
      <c r="G109" s="14" t="str">
        <f t="shared" si="5"/>
        <v>(90, 100]</v>
      </c>
      <c r="H109" s="81">
        <v>1.30279133447202</v>
      </c>
      <c r="I109" s="79">
        <v>0.023065041</v>
      </c>
      <c r="J109" s="79">
        <v>0.023065041</v>
      </c>
      <c r="K109" s="71">
        <v>23065041</v>
      </c>
      <c r="L109" s="79">
        <v>0.023065041</v>
      </c>
      <c r="M109" s="79">
        <v>2.19294945958285</v>
      </c>
      <c r="N109" s="73"/>
      <c r="O109" s="59">
        <v>90</v>
      </c>
      <c r="P109" s="59">
        <v>100</v>
      </c>
      <c r="Q109" s="36">
        <v>2.3048348507063669E-2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2413</v>
      </c>
      <c r="C110" s="75">
        <v>26519780</v>
      </c>
      <c r="D110" s="36">
        <v>0.0346476365516053</v>
      </c>
      <c r="E110" s="69">
        <v>109.903771239121</v>
      </c>
      <c r="F110" s="73"/>
      <c r="G110" s="14" t="str">
        <f t="shared" si="5"/>
        <v>(100, 120]</v>
      </c>
      <c r="H110" s="81">
        <v>1.34536700448736</v>
      </c>
      <c r="I110" s="79">
        <v>0.046613787</v>
      </c>
      <c r="J110" s="79">
        <v>0.046613787</v>
      </c>
      <c r="K110" s="71">
        <v>46613787</v>
      </c>
      <c r="L110" s="79">
        <v>0.046613787</v>
      </c>
      <c r="M110" s="79">
        <v>5.12303098303711</v>
      </c>
      <c r="N110" s="73"/>
      <c r="O110" s="59">
        <v>100</v>
      </c>
      <c r="P110" s="59">
        <v>120</v>
      </c>
      <c r="Q110" s="36">
        <v>4.6567778024491115E-2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2223</v>
      </c>
      <c r="C111" s="75">
        <v>28859325</v>
      </c>
      <c r="D111" s="36">
        <v>0.0319194761932112</v>
      </c>
      <c r="E111" s="69">
        <v>129.821524966262</v>
      </c>
      <c r="F111" s="73"/>
      <c r="G111" s="14" t="str">
        <f t="shared" si="5"/>
        <v>(120, 140]</v>
      </c>
      <c r="H111" s="81">
        <v>0.439033645639226</v>
      </c>
      <c r="I111" s="79">
        <v>0.014013724</v>
      </c>
      <c r="J111" s="79">
        <v>0.014013724</v>
      </c>
      <c r="K111" s="71">
        <v>14013724</v>
      </c>
      <c r="L111" s="79">
        <v>0.014013724</v>
      </c>
      <c r="M111" s="79">
        <v>1.8192830201363</v>
      </c>
      <c r="N111" s="73"/>
      <c r="O111" s="59">
        <v>120</v>
      </c>
      <c r="P111" s="59">
        <v>140</v>
      </c>
      <c r="Q111" s="36">
        <v>1.39949363078886E-2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2056</v>
      </c>
      <c r="C112" s="75">
        <v>30800485</v>
      </c>
      <c r="D112" s="36">
        <v>0.02952156682557</v>
      </c>
      <c r="E112" s="69">
        <v>149.807806420233</v>
      </c>
      <c r="F112" s="73"/>
      <c r="G112" s="14" t="str">
        <f t="shared" si="5"/>
        <v>(140, 160]</v>
      </c>
      <c r="H112" s="81">
        <v>0.624916018482491</v>
      </c>
      <c r="I112" s="79">
        <v>0.0184485</v>
      </c>
      <c r="J112" s="79">
        <v>0.0184485</v>
      </c>
      <c r="K112" s="71">
        <v>18448500</v>
      </c>
      <c r="L112" s="79">
        <v>0.0184485</v>
      </c>
      <c r="M112" s="79">
        <v>2.76372931674367</v>
      </c>
      <c r="N112" s="73"/>
      <c r="O112" s="59">
        <v>140</v>
      </c>
      <c r="P112" s="59">
        <v>160</v>
      </c>
      <c r="Q112" s="36">
        <v>1.8417222405178894E-2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1956</v>
      </c>
      <c r="C113" s="75">
        <v>33270730</v>
      </c>
      <c r="D113" s="36">
        <v>0.028085692952731</v>
      </c>
      <c r="E113" s="69">
        <v>170.095756646217</v>
      </c>
      <c r="F113" s="73"/>
      <c r="G113" s="14" t="str">
        <f t="shared" si="5"/>
        <v>(160, 180]</v>
      </c>
      <c r="H113" s="81">
        <v>0.282121363832311</v>
      </c>
      <c r="I113" s="79">
        <v>0.007923574</v>
      </c>
      <c r="J113" s="79">
        <v>0.007923574</v>
      </c>
      <c r="K113" s="71">
        <v>7923574</v>
      </c>
      <c r="L113" s="79">
        <v>0.007923574</v>
      </c>
      <c r="M113" s="79">
        <v>1.34776631487229</v>
      </c>
      <c r="N113" s="73"/>
      <c r="O113" s="59">
        <v>160</v>
      </c>
      <c r="P113" s="59">
        <v>180</v>
      </c>
      <c r="Q113" s="36">
        <v>7.9072881739603394E-3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1911</v>
      </c>
      <c r="C114" s="75">
        <v>36302090</v>
      </c>
      <c r="D114" s="36">
        <v>0.0274395497099535</v>
      </c>
      <c r="E114" s="69">
        <v>189.963840920984</v>
      </c>
      <c r="F114" s="73"/>
      <c r="G114" s="14" t="str">
        <f t="shared" si="5"/>
        <v>(180, 200]</v>
      </c>
      <c r="H114" s="81">
        <v>0.271426392879121</v>
      </c>
      <c r="I114" s="79">
        <v>0.007447818</v>
      </c>
      <c r="J114" s="79">
        <v>0.007447818</v>
      </c>
      <c r="K114" s="71">
        <v>7447818</v>
      </c>
      <c r="L114" s="79">
        <v>0.007447818</v>
      </c>
      <c r="M114" s="79">
        <v>1.41481611376044</v>
      </c>
      <c r="N114" s="73"/>
      <c r="O114" s="59">
        <v>180</v>
      </c>
      <c r="P114" s="59">
        <v>200</v>
      </c>
      <c r="Q114" s="36">
        <v>7.4298861634574959E-3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4233</v>
      </c>
      <c r="C115" s="75">
        <v>95043970</v>
      </c>
      <c r="D115" s="36">
        <v>0.0607805410372753</v>
      </c>
      <c r="E115" s="69">
        <v>224.530994566501</v>
      </c>
      <c r="F115" s="73"/>
      <c r="G115" s="14" t="str">
        <f t="shared" si="5"/>
        <v>(200, 250]</v>
      </c>
      <c r="H115" s="81">
        <v>0.0169097375979211</v>
      </c>
      <c r="I115" s="79">
        <v>0.001027783</v>
      </c>
      <c r="J115" s="79">
        <v>0.001027783</v>
      </c>
      <c r="K115" s="71">
        <v>1027783</v>
      </c>
      <c r="L115" s="79">
        <v>0.001027783</v>
      </c>
      <c r="M115" s="79">
        <v>0.230769139188542</v>
      </c>
      <c r="N115" s="73"/>
      <c r="O115" s="59">
        <v>200</v>
      </c>
      <c r="P115" s="59">
        <v>250</v>
      </c>
      <c r="Q115" s="36">
        <v>1.0281140226185085E-3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3703</v>
      </c>
      <c r="C116" s="75">
        <v>101660685</v>
      </c>
      <c r="D116" s="36">
        <v>0.0531704095112285</v>
      </c>
      <c r="E116" s="69">
        <v>274.536011342155</v>
      </c>
      <c r="F116" s="73"/>
      <c r="G116" s="14" t="str">
        <f t="shared" si="5"/>
        <v>(250, 300]</v>
      </c>
      <c r="H116" s="81">
        <v>0.0158091503850932</v>
      </c>
      <c r="I116" s="79">
        <v>0.000840579</v>
      </c>
      <c r="J116" s="79">
        <v>0.000840579</v>
      </c>
      <c r="K116" s="71">
        <v>840579</v>
      </c>
      <c r="L116" s="79">
        <v>0.000840579</v>
      </c>
      <c r="M116" s="79">
        <v>0.230769205877977</v>
      </c>
      <c r="N116" s="73"/>
      <c r="O116" s="59">
        <v>250</v>
      </c>
      <c r="P116" s="59">
        <v>300</v>
      </c>
      <c r="Q116" s="36">
        <v>8.4073101849608243E-4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3200</v>
      </c>
      <c r="C117" s="75">
        <v>103895330</v>
      </c>
      <c r="D117" s="36">
        <v>0.0459479639308483</v>
      </c>
      <c r="E117" s="69">
        <v>324.67290625</v>
      </c>
      <c r="F117" s="73"/>
      <c r="G117" s="14" t="str">
        <f t="shared" si="5"/>
        <v>(300, 350]</v>
      </c>
      <c r="H117" s="81">
        <v>0.0154691076425</v>
      </c>
      <c r="I117" s="79">
        <v>0.000710774</v>
      </c>
      <c r="J117" s="79">
        <v>0.000710774</v>
      </c>
      <c r="K117" s="71">
        <v>710774</v>
      </c>
      <c r="L117" s="79">
        <v>0.000710774</v>
      </c>
      <c r="M117" s="79">
        <v>0.230769060266937</v>
      </c>
      <c r="N117" s="73"/>
      <c r="O117" s="59">
        <v>300</v>
      </c>
      <c r="P117" s="59">
        <v>350</v>
      </c>
      <c r="Q117" s="36">
        <v>7.1119601564631236E-4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2846</v>
      </c>
      <c r="C118" s="75">
        <v>106639775</v>
      </c>
      <c r="D118" s="36">
        <v>0.0408649704209982</v>
      </c>
      <c r="E118" s="69">
        <v>374.700544624034</v>
      </c>
      <c r="F118" s="73"/>
      <c r="G118" s="14" t="str">
        <f t="shared" ref="G118:G149" si="7">"("&amp;$O118&amp;", "&amp;$P118&amp;"]"</f>
        <v>(350, 400]</v>
      </c>
      <c r="H118" s="81">
        <v>0.015071000753338</v>
      </c>
      <c r="I118" s="79">
        <v>0.000615876</v>
      </c>
      <c r="J118" s="79">
        <v>0.000615876</v>
      </c>
      <c r="K118" s="71">
        <v>615876</v>
      </c>
      <c r="L118" s="79">
        <v>0.000615876</v>
      </c>
      <c r="M118" s="79">
        <v>0.230769072620872</v>
      </c>
      <c r="N118" s="73"/>
      <c r="O118" s="59">
        <v>350</v>
      </c>
      <c r="P118" s="59">
        <v>400</v>
      </c>
      <c r="Q118" s="36">
        <v>6.1617501355585029E-4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2502</v>
      </c>
      <c r="C119" s="75">
        <v>106137315</v>
      </c>
      <c r="D119" s="36">
        <v>0.035925564298432</v>
      </c>
      <c r="E119" s="69">
        <v>424.209892086331</v>
      </c>
      <c r="F119" s="73"/>
      <c r="G119" s="14" t="str">
        <f t="shared" si="7"/>
        <v>(400, 450]</v>
      </c>
      <c r="H119" s="81">
        <v>0.0151423647929656</v>
      </c>
      <c r="I119" s="79">
        <v>0.000543998</v>
      </c>
      <c r="J119" s="79">
        <v>0.000543998</v>
      </c>
      <c r="K119" s="71">
        <v>543998</v>
      </c>
      <c r="L119" s="79">
        <v>0.000543998</v>
      </c>
      <c r="M119" s="79">
        <v>0.23076933287518</v>
      </c>
      <c r="N119" s="73"/>
      <c r="O119" s="59">
        <v>400</v>
      </c>
      <c r="P119" s="59">
        <v>450</v>
      </c>
      <c r="Q119" s="36">
        <v>5.4362801195981627E-4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2258</v>
      </c>
      <c r="C120" s="75">
        <v>107268225</v>
      </c>
      <c r="D120" s="36">
        <v>0.0324220320487048</v>
      </c>
      <c r="E120" s="69">
        <v>475.058569530558</v>
      </c>
      <c r="F120" s="73"/>
      <c r="G120" s="14" t="str">
        <f t="shared" si="7"/>
        <v>(450, 500]</v>
      </c>
      <c r="H120" s="81">
        <v>0.0149827129672277</v>
      </c>
      <c r="I120" s="79">
        <v>0.00048577</v>
      </c>
      <c r="J120" s="79">
        <v>0.00048577</v>
      </c>
      <c r="K120" s="71">
        <v>485770</v>
      </c>
      <c r="L120" s="79">
        <v>0.00048577</v>
      </c>
      <c r="M120" s="79">
        <v>0.230769201320859</v>
      </c>
      <c r="N120" s="73"/>
      <c r="O120" s="59">
        <v>450</v>
      </c>
      <c r="P120" s="59">
        <v>500</v>
      </c>
      <c r="Q120" s="36">
        <v>4.8631701069897426E-4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2017</v>
      </c>
      <c r="C121" s="75">
        <v>105692850</v>
      </c>
      <c r="D121" s="36">
        <v>0.0289615760151628</v>
      </c>
      <c r="E121" s="69">
        <v>524.010163609321</v>
      </c>
      <c r="F121" s="73"/>
      <c r="G121" s="14" t="str">
        <f t="shared" si="7"/>
        <v>(500, 550]</v>
      </c>
      <c r="H121" s="81">
        <v>0.015206044027764</v>
      </c>
      <c r="I121" s="79">
        <v>0.000440391</v>
      </c>
      <c r="J121" s="79">
        <v>0.000440391</v>
      </c>
      <c r="K121" s="71">
        <v>440391</v>
      </c>
      <c r="L121" s="79">
        <v>0.000440391</v>
      </c>
      <c r="M121" s="79">
        <v>0.230769359962072</v>
      </c>
      <c r="N121" s="73"/>
      <c r="O121" s="59">
        <v>500</v>
      </c>
      <c r="P121" s="59">
        <v>550</v>
      </c>
      <c r="Q121" s="36">
        <v>4.3992300967830622E-4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1737</v>
      </c>
      <c r="C122" s="75">
        <v>99861515</v>
      </c>
      <c r="D122" s="36">
        <v>0.0249411291712136</v>
      </c>
      <c r="E122" s="69">
        <v>574.907973517559</v>
      </c>
      <c r="F122" s="73"/>
      <c r="G122" s="14" t="str">
        <f t="shared" si="7"/>
        <v>(550, 600]</v>
      </c>
      <c r="H122" s="70">
        <v>0.0160939786344272</v>
      </c>
      <c r="I122" s="36">
        <v>0.000401402</v>
      </c>
      <c r="J122" s="36">
        <v>0.000401402</v>
      </c>
      <c r="K122" s="71">
        <v>401402</v>
      </c>
      <c r="L122" s="36">
        <v>0.000401402</v>
      </c>
      <c r="M122" s="36">
        <v>0.230769210385895</v>
      </c>
      <c r="N122" s="73"/>
      <c r="O122" s="59">
        <v>550</v>
      </c>
      <c r="P122" s="59">
        <v>600</v>
      </c>
      <c r="Q122" s="36">
        <v>4.0164200883612418E-4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1558</v>
      </c>
      <c r="C123" s="75">
        <v>97258630</v>
      </c>
      <c r="D123" s="36">
        <v>0.0223709149388318</v>
      </c>
      <c r="E123" s="69">
        <v>624.253080872914</v>
      </c>
      <c r="F123" s="73"/>
      <c r="G123" s="14" t="str">
        <f t="shared" si="7"/>
        <v>(600, 650]</v>
      </c>
      <c r="H123" s="70">
        <v>0.016524715283697</v>
      </c>
      <c r="I123" s="36">
        <v>0.000369673</v>
      </c>
      <c r="J123" s="36">
        <v>0.000369673</v>
      </c>
      <c r="K123" s="71">
        <v>369673</v>
      </c>
      <c r="L123" s="36">
        <v>0.000369673</v>
      </c>
      <c r="M123" s="36">
        <v>0.230769509165533</v>
      </c>
      <c r="N123" s="73"/>
      <c r="O123" s="59">
        <v>600</v>
      </c>
      <c r="P123" s="59">
        <v>650</v>
      </c>
      <c r="Q123" s="36">
        <v>3.6949800812895617E-4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1395</v>
      </c>
      <c r="C124" s="75">
        <v>94148260</v>
      </c>
      <c r="D124" s="36">
        <v>0.0200304405261042</v>
      </c>
      <c r="E124" s="69">
        <v>674.897921146953</v>
      </c>
      <c r="F124" s="73"/>
      <c r="G124" s="14" t="str">
        <f t="shared" si="7"/>
        <v>(650, 700]</v>
      </c>
      <c r="H124" s="70">
        <v>0.0170706180702509</v>
      </c>
      <c r="I124" s="36">
        <v>0.000341932</v>
      </c>
      <c r="J124" s="36">
        <v>0.000341932</v>
      </c>
      <c r="K124" s="71">
        <v>341932</v>
      </c>
      <c r="L124" s="36">
        <v>0.000341932</v>
      </c>
      <c r="M124" s="36">
        <v>0.23076919597362</v>
      </c>
      <c r="N124" s="73"/>
      <c r="O124" s="59">
        <v>650</v>
      </c>
      <c r="P124" s="59">
        <v>700</v>
      </c>
      <c r="Q124" s="36">
        <v>3.4211600752655219E-4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1287</v>
      </c>
      <c r="C125" s="75">
        <v>93271455</v>
      </c>
      <c r="D125" s="36">
        <v>0.0184796967434381</v>
      </c>
      <c r="E125" s="69">
        <v>724.71993006993</v>
      </c>
      <c r="F125" s="73"/>
      <c r="G125" s="14" t="str">
        <f t="shared" si="7"/>
        <v>(700, 750]</v>
      </c>
      <c r="H125" s="70">
        <v>0.0172310728049728</v>
      </c>
      <c r="I125" s="36">
        <v>0.000318425</v>
      </c>
      <c r="J125" s="36">
        <v>0.000318425</v>
      </c>
      <c r="K125" s="71">
        <v>318425</v>
      </c>
      <c r="L125" s="36">
        <v>0.000318425</v>
      </c>
      <c r="M125" s="36">
        <v>0.230768943732517</v>
      </c>
      <c r="N125" s="73"/>
      <c r="O125" s="59">
        <v>700</v>
      </c>
      <c r="P125" s="59">
        <v>750</v>
      </c>
      <c r="Q125" s="36">
        <v>3.1845800700607615E-4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1206</v>
      </c>
      <c r="C126" s="75">
        <v>93382215</v>
      </c>
      <c r="D126" s="36">
        <v>0.0173166389064385</v>
      </c>
      <c r="E126" s="69">
        <v>774.31355721393</v>
      </c>
      <c r="F126" s="73"/>
      <c r="G126" s="14" t="str">
        <f t="shared" si="7"/>
        <v>(750, 800]</v>
      </c>
      <c r="H126" s="70">
        <v>0.0172106724411277</v>
      </c>
      <c r="I126" s="36">
        <v>0.000298031</v>
      </c>
      <c r="J126" s="36">
        <v>0.000298031</v>
      </c>
      <c r="K126" s="71">
        <v>298031</v>
      </c>
      <c r="L126" s="36">
        <v>0.000298031</v>
      </c>
      <c r="M126" s="36">
        <v>0.230769443770025</v>
      </c>
      <c r="N126" s="73"/>
      <c r="O126" s="59">
        <v>750</v>
      </c>
      <c r="P126" s="59">
        <v>800</v>
      </c>
      <c r="Q126" s="36">
        <v>2.9791400655410815E-4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1050</v>
      </c>
      <c r="C127" s="75">
        <v>86650350</v>
      </c>
      <c r="D127" s="36">
        <v>0.0150766756648096</v>
      </c>
      <c r="E127" s="69">
        <v>825.241428571429</v>
      </c>
      <c r="F127" s="73"/>
      <c r="G127" s="14" t="str">
        <f t="shared" si="7"/>
        <v>(800, 850]</v>
      </c>
      <c r="H127" s="70">
        <v>0.0185477227352381</v>
      </c>
      <c r="I127" s="36">
        <v>0.000279638</v>
      </c>
      <c r="J127" s="36">
        <v>0.000279638</v>
      </c>
      <c r="K127" s="71">
        <v>279638</v>
      </c>
      <c r="L127" s="36">
        <v>0.000279638</v>
      </c>
      <c r="M127" s="36">
        <v>0.230768862602857</v>
      </c>
      <c r="N127" s="73"/>
      <c r="O127" s="59">
        <v>800</v>
      </c>
      <c r="P127" s="59">
        <v>850</v>
      </c>
      <c r="Q127" s="36">
        <v>2.7985100615672212E-4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989</v>
      </c>
      <c r="C128" s="75">
        <v>86506345</v>
      </c>
      <c r="D128" s="36">
        <v>0.0142007926023778</v>
      </c>
      <c r="E128" s="69">
        <v>874.684984833165</v>
      </c>
      <c r="F128" s="73"/>
      <c r="G128" s="14" t="str">
        <f t="shared" si="7"/>
        <v>(850, 900]</v>
      </c>
      <c r="H128" s="70">
        <v>0.0185786108837209</v>
      </c>
      <c r="I128" s="36">
        <v>0.000263831</v>
      </c>
      <c r="J128" s="36">
        <v>0.000263831</v>
      </c>
      <c r="K128" s="72">
        <v>263831</v>
      </c>
      <c r="L128" s="36">
        <v>0.000263831</v>
      </c>
      <c r="M128" s="36">
        <v>0.230769014233519</v>
      </c>
      <c r="N128" s="73"/>
      <c r="O128" s="59">
        <v>850</v>
      </c>
      <c r="P128" s="59">
        <v>900</v>
      </c>
      <c r="Q128" s="36">
        <v>2.6381500580393013E-4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807</v>
      </c>
      <c r="C129" s="75">
        <v>74665255</v>
      </c>
      <c r="D129" s="36">
        <v>0.0115875021538108</v>
      </c>
      <c r="E129" s="69">
        <v>925.220012391574</v>
      </c>
      <c r="F129" s="73"/>
      <c r="G129" s="14" t="str">
        <f t="shared" si="7"/>
        <v>(900, 950]</v>
      </c>
      <c r="H129" s="70">
        <v>0.0215250013928129</v>
      </c>
      <c r="I129" s="36">
        <v>0.000249421</v>
      </c>
      <c r="J129" s="36">
        <v>0.000249421</v>
      </c>
      <c r="K129" s="72">
        <v>249421</v>
      </c>
      <c r="L129" s="36">
        <v>0.000249421</v>
      </c>
      <c r="M129" s="36">
        <v>0.230769300710719</v>
      </c>
      <c r="N129" s="73"/>
      <c r="O129" s="59">
        <v>900</v>
      </c>
      <c r="P129" s="59">
        <v>950</v>
      </c>
      <c r="Q129" s="36">
        <v>2.4957800549071615E-4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822</v>
      </c>
      <c r="C130" s="75">
        <v>80157360</v>
      </c>
      <c r="D130" s="36">
        <v>0.0118028832347367</v>
      </c>
      <c r="E130" s="69">
        <v>975.150364963504</v>
      </c>
      <c r="F130" s="73"/>
      <c r="G130" s="14" t="str">
        <f t="shared" si="7"/>
        <v>(950, 1000]</v>
      </c>
      <c r="H130" s="70">
        <v>0.0200501856447688</v>
      </c>
      <c r="I130" s="36">
        <v>0.00023665</v>
      </c>
      <c r="J130" s="36">
        <v>0.00023665</v>
      </c>
      <c r="K130" s="72">
        <v>236650</v>
      </c>
      <c r="L130" s="36">
        <v>0.00023665</v>
      </c>
      <c r="M130" s="36">
        <v>0.230769333868613</v>
      </c>
      <c r="N130" s="73"/>
      <c r="O130" s="59">
        <v>950</v>
      </c>
      <c r="P130" s="59">
        <v>1000</v>
      </c>
      <c r="Q130" s="36">
        <v>2.3673400520814812E-4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8100</v>
      </c>
      <c r="C131" s="75">
        <v>1120836780</v>
      </c>
      <c r="D131" s="36">
        <v>0.11630578369996</v>
      </c>
      <c r="E131" s="69">
        <v>1383.74911111111</v>
      </c>
      <c r="F131" s="73"/>
      <c r="G131" s="14" t="str">
        <f t="shared" si="7"/>
        <v>(1000, 2000]</v>
      </c>
      <c r="H131" s="70">
        <v>0.00143390117580247</v>
      </c>
      <c r="I131" s="36">
        <v>0.000166771</v>
      </c>
      <c r="J131" s="36">
        <v>0.000166771</v>
      </c>
      <c r="K131" s="72">
        <v>166771</v>
      </c>
      <c r="L131" s="36">
        <v>0.000166771</v>
      </c>
      <c r="M131" s="36">
        <v>0.230769223009111</v>
      </c>
      <c r="N131" s="73"/>
      <c r="O131" s="59">
        <v>1000</v>
      </c>
      <c r="P131" s="59">
        <v>2000</v>
      </c>
      <c r="Q131" s="36">
        <v>1.6616400365560807E-4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2630</v>
      </c>
      <c r="C132" s="75">
        <v>639651875</v>
      </c>
      <c r="D132" s="36">
        <v>0.037763482855666</v>
      </c>
      <c r="E132" s="69">
        <v>2432.13640684411</v>
      </c>
      <c r="F132" s="73"/>
      <c r="G132" s="14" t="str">
        <f t="shared" si="7"/>
        <v>(2000, 3000]</v>
      </c>
      <c r="H132" s="70">
        <v>0.00502514560760456</v>
      </c>
      <c r="I132" s="36">
        <v>0.000189767</v>
      </c>
      <c r="J132" s="36">
        <v>0.000189767</v>
      </c>
      <c r="K132" s="72">
        <v>189767</v>
      </c>
      <c r="L132" s="36">
        <v>0.000189767</v>
      </c>
      <c r="M132" s="36">
        <v>0.461539229517586</v>
      </c>
      <c r="N132" s="73"/>
      <c r="O132" s="59">
        <v>2000</v>
      </c>
      <c r="P132" s="59">
        <v>3000</v>
      </c>
      <c r="Q132" s="36">
        <v>1.904380041896361E-4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1131</v>
      </c>
      <c r="C133" s="75">
        <v>389116545</v>
      </c>
      <c r="D133" s="36">
        <v>0.0162397335018092</v>
      </c>
      <c r="E133" s="69">
        <v>3440.46458885942</v>
      </c>
      <c r="F133" s="73"/>
      <c r="G133" s="14" t="str">
        <f t="shared" si="7"/>
        <v>(3000, 4000]</v>
      </c>
      <c r="H133" s="70">
        <v>0.0041303017683466</v>
      </c>
      <c r="I133" s="36">
        <v>6.7075e-05</v>
      </c>
      <c r="J133" s="36">
        <v>6.7075e-05</v>
      </c>
      <c r="K133" s="72">
        <v>67075</v>
      </c>
      <c r="L133" s="36">
        <v>6.7075e-05</v>
      </c>
      <c r="M133" s="36">
        <v>0.230769162297746</v>
      </c>
      <c r="N133" s="73"/>
      <c r="O133" s="59">
        <v>3000</v>
      </c>
      <c r="P133" s="59">
        <v>4000</v>
      </c>
      <c r="Q133" s="36">
        <v>6.7075001475650037E-5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595</v>
      </c>
      <c r="C134" s="75">
        <v>265078425</v>
      </c>
      <c r="D134" s="36">
        <v>0.00854344954339211</v>
      </c>
      <c r="E134" s="69">
        <v>4455.09957983193</v>
      </c>
      <c r="F134" s="73"/>
      <c r="G134" s="14" t="str">
        <f t="shared" si="7"/>
        <v>(4000, 5000]</v>
      </c>
      <c r="H134" s="70">
        <v>0.00606300765714286</v>
      </c>
      <c r="I134" s="36">
        <v>5.1799e-05</v>
      </c>
      <c r="J134" s="36">
        <v>5.1799e-05</v>
      </c>
      <c r="K134" s="72">
        <v>51799</v>
      </c>
      <c r="L134" s="36">
        <v>5.1799e-05</v>
      </c>
      <c r="M134" s="36">
        <v>0.230769703135714</v>
      </c>
      <c r="N134" s="73"/>
      <c r="O134" s="59">
        <v>4000</v>
      </c>
      <c r="P134" s="59">
        <v>5000</v>
      </c>
      <c r="Q134" s="36">
        <v>5.1846001140612024E-5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342</v>
      </c>
      <c r="C135" s="75">
        <v>186512280</v>
      </c>
      <c r="D135" s="36">
        <v>0.00491068864510941</v>
      </c>
      <c r="E135" s="69">
        <v>5453.57543859649</v>
      </c>
      <c r="F135" s="73"/>
      <c r="G135" s="14" t="str">
        <f t="shared" si="7"/>
        <v>(5000, 6000]</v>
      </c>
      <c r="H135" s="70">
        <v>0.00861691771929825</v>
      </c>
      <c r="I135" s="36">
        <v>4.2315e-05</v>
      </c>
      <c r="J135" s="36">
        <v>4.2315e-05</v>
      </c>
      <c r="K135" s="72">
        <v>42315</v>
      </c>
      <c r="L135" s="36">
        <v>4.2315e-05</v>
      </c>
      <c r="M135" s="36">
        <v>0.23076804468421</v>
      </c>
      <c r="N135" s="73"/>
      <c r="O135" s="59">
        <v>5000</v>
      </c>
      <c r="P135" s="59">
        <v>6000</v>
      </c>
      <c r="Q135" s="36">
        <v>4.228200093020402E-5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200</v>
      </c>
      <c r="C136" s="75">
        <v>128975835</v>
      </c>
      <c r="D136" s="36">
        <v>0.00287174774567802</v>
      </c>
      <c r="E136" s="69">
        <v>6448.79175</v>
      </c>
      <c r="F136" s="73"/>
      <c r="G136" s="14" t="str">
        <f t="shared" si="7"/>
        <v>(6000, 7000]</v>
      </c>
      <c r="H136" s="70">
        <v>0.0124610527</v>
      </c>
      <c r="I136" s="36">
        <v>3.5785e-05</v>
      </c>
      <c r="J136" s="36">
        <v>3.5785e-05</v>
      </c>
      <c r="K136" s="72">
        <v>35785</v>
      </c>
      <c r="L136" s="36">
        <v>3.5785e-05</v>
      </c>
      <c r="M136" s="36">
        <v>0.23077001277375</v>
      </c>
      <c r="N136" s="73"/>
      <c r="O136" s="59">
        <v>6000</v>
      </c>
      <c r="P136" s="59">
        <v>7000</v>
      </c>
      <c r="Q136" s="36">
        <v>3.5711000785642016E-5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135</v>
      </c>
      <c r="C137" s="75">
        <v>101342540</v>
      </c>
      <c r="D137" s="36">
        <v>0.00193842972833266</v>
      </c>
      <c r="E137" s="69">
        <v>7506.85481481481</v>
      </c>
      <c r="F137" s="73"/>
      <c r="G137" s="14" t="str">
        <f t="shared" si="7"/>
        <v>(7000, 8000]</v>
      </c>
      <c r="H137" s="70">
        <v>0.0158587126222222</v>
      </c>
      <c r="I137" s="36">
        <v>3.0741e-05</v>
      </c>
      <c r="J137" s="36">
        <v>3.0741e-05</v>
      </c>
      <c r="K137" s="72">
        <v>30741</v>
      </c>
      <c r="L137" s="36">
        <v>3.0741e-05</v>
      </c>
      <c r="M137" s="36">
        <v>0.230768223862222</v>
      </c>
      <c r="N137" s="73"/>
      <c r="O137" s="59">
        <v>7000</v>
      </c>
      <c r="P137" s="59">
        <v>8000</v>
      </c>
      <c r="Q137" s="36">
        <v>3.0917000680174012E-5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79</v>
      </c>
      <c r="C138" s="75">
        <v>67295150</v>
      </c>
      <c r="D138" s="36">
        <v>0.00113434035954282</v>
      </c>
      <c r="E138" s="69">
        <v>8518.37341772152</v>
      </c>
      <c r="F138" s="73"/>
      <c r="G138" s="14" t="str">
        <f t="shared" si="7"/>
        <v>(8000, 9000]</v>
      </c>
      <c r="H138" s="70">
        <v>0.0238826025822784</v>
      </c>
      <c r="I138" s="36">
        <v>2.7091e-05</v>
      </c>
      <c r="J138" s="36">
        <v>2.7091e-05</v>
      </c>
      <c r="K138" s="72">
        <v>27091</v>
      </c>
      <c r="L138" s="36">
        <v>2.7091e-05</v>
      </c>
      <c r="M138" s="36">
        <v>0.230771254259494</v>
      </c>
      <c r="N138" s="73"/>
      <c r="O138" s="59">
        <v>8000</v>
      </c>
      <c r="P138" s="59">
        <v>9000</v>
      </c>
      <c r="Q138" s="36">
        <v>2.7253000599566012E-5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73</v>
      </c>
      <c r="C139" s="75">
        <v>68966560</v>
      </c>
      <c r="D139" s="36">
        <v>0.00104818792717248</v>
      </c>
      <c r="E139" s="69">
        <v>9447.47397260274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177</v>
      </c>
      <c r="C140" s="75">
        <v>223865750</v>
      </c>
      <c r="D140" s="36">
        <v>0.00254149675492505</v>
      </c>
      <c r="E140" s="69">
        <v>12647.7824858757</v>
      </c>
      <c r="F140" s="73"/>
      <c r="G140" s="14" t="str">
        <f t="shared" si="7"/>
        <v>(10000, 20000]</v>
      </c>
      <c r="H140" s="70">
        <v>0.0071792340338983</v>
      </c>
      <c r="I140" s="36">
        <v>1.8246e-05</v>
      </c>
      <c r="J140" s="36">
        <v>1.8246e-05</v>
      </c>
      <c r="K140" s="72">
        <v>18246</v>
      </c>
      <c r="L140" s="36">
        <v>1.8246e-05</v>
      </c>
      <c r="M140" s="36">
        <v>0.230771439237288</v>
      </c>
      <c r="N140" s="73"/>
      <c r="O140" s="59">
        <v>10000</v>
      </c>
      <c r="P140" s="59">
        <v>20000</v>
      </c>
      <c r="Q140" s="36">
        <v>1.7845000392590009E-5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11</v>
      </c>
      <c r="C141" s="75">
        <v>26270410</v>
      </c>
      <c r="D141" s="36">
        <v>0.000157946126012291</v>
      </c>
      <c r="E141" s="69">
        <v>23882.1909090909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159</v>
      </c>
      <c r="B152" s="96" t="s">
        <v>153</v>
      </c>
      <c r="C152" s="96"/>
      <c r="D152" s="84"/>
      <c r="E152" s="84"/>
      <c r="F152" s="85"/>
      <c r="G152" s="96" t="s">
        <v>159</v>
      </c>
      <c r="H152" s="96" t="s">
        <v>153</v>
      </c>
      <c r="I152" s="86"/>
      <c r="J152" s="86"/>
      <c r="K152" s="86"/>
      <c r="L152" s="86"/>
      <c r="M152" s="86"/>
      <c r="N152" s="85"/>
      <c r="O152" s="96" t="s">
        <v>159</v>
      </c>
      <c r="P152" s="96" t="s">
        <v>153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182</v>
      </c>
      <c r="B154" s="4">
        <v>100000000</v>
      </c>
      <c r="C154" s="1"/>
      <c r="D154" s="1"/>
      <c r="E154" s="1"/>
      <c r="G154" s="65" t="s">
        <v>166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172</v>
      </c>
      <c r="B155" s="9" t="s">
        <v>169</v>
      </c>
      <c r="C155" s="9" t="s">
        <v>170</v>
      </c>
      <c r="D155" s="9" t="s">
        <v>171</v>
      </c>
      <c r="E155" s="9" t="s">
        <v>150</v>
      </c>
      <c r="G155" s="9" t="s">
        <v>172</v>
      </c>
      <c r="H155" s="9" t="s">
        <v>173</v>
      </c>
      <c r="I155" s="9" t="s">
        <v>174</v>
      </c>
      <c r="J155" s="9" t="s">
        <v>175</v>
      </c>
      <c r="K155" s="9" t="s">
        <v>176</v>
      </c>
      <c r="L155" s="9" t="s">
        <v>151</v>
      </c>
      <c r="M155" s="9" t="s">
        <v>177</v>
      </c>
    </row>
    <row r="156" spans="1:21" x14ac:dyDescent="0.3">
      <c r="A156" s="14" t="s">
        <v>181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181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159</v>
      </c>
      <c r="B159" s="96" t="s">
        <v>154</v>
      </c>
      <c r="C159" s="96"/>
      <c r="D159" s="84"/>
      <c r="E159" s="84"/>
      <c r="F159" s="85"/>
      <c r="G159" s="96" t="s">
        <v>159</v>
      </c>
      <c r="H159" s="96" t="s">
        <v>154</v>
      </c>
      <c r="I159" s="86"/>
      <c r="J159" s="86"/>
      <c r="K159" s="86"/>
      <c r="L159" s="86"/>
      <c r="M159" s="86"/>
      <c r="N159" s="85"/>
      <c r="O159" s="96" t="s">
        <v>159</v>
      </c>
      <c r="P159" s="96" t="s">
        <v>154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182</v>
      </c>
      <c r="C161" s="1"/>
      <c r="D161" s="1"/>
      <c r="E161" s="1"/>
      <c r="G161" s="65" t="s">
        <v>166</v>
      </c>
      <c r="H161" s="38"/>
      <c r="I161" s="38"/>
      <c r="J161" s="38"/>
      <c r="L161" s="38"/>
      <c r="M161" s="38"/>
    </row>
    <row r="162" spans="1:21" x14ac:dyDescent="0.3">
      <c r="A162" s="9" t="s">
        <v>172</v>
      </c>
      <c r="B162" s="9" t="s">
        <v>169</v>
      </c>
      <c r="C162" s="9" t="s">
        <v>170</v>
      </c>
      <c r="D162" s="9" t="s">
        <v>171</v>
      </c>
      <c r="E162" s="9" t="s">
        <v>150</v>
      </c>
      <c r="G162" s="9" t="s">
        <v>172</v>
      </c>
      <c r="H162" s="9" t="s">
        <v>173</v>
      </c>
      <c r="I162" s="9" t="s">
        <v>174</v>
      </c>
      <c r="J162" s="9" t="s">
        <v>175</v>
      </c>
      <c r="K162" s="9" t="s">
        <v>176</v>
      </c>
      <c r="L162" s="9" t="s">
        <v>151</v>
      </c>
      <c r="M162" s="9" t="s">
        <v>177</v>
      </c>
      <c r="O162" s="9" t="s">
        <v>167</v>
      </c>
      <c r="P162" s="9" t="s">
        <v>168</v>
      </c>
      <c r="Q162" s="12" t="s">
        <v>183</v>
      </c>
      <c r="R162" s="12" t="s">
        <v>178</v>
      </c>
      <c r="T162" s="12" t="s">
        <v>183</v>
      </c>
      <c r="U162" s="12" t="s">
        <v>179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43731</v>
      </c>
      <c r="C163" s="82">
        <v>0</v>
      </c>
      <c r="D163" s="36" cm="1">
        <f t="array" ref="D163:D226">_xlfn.LET(_xlpm.x, B163:B226, _xlpm.x/SUM(_xlpm.x))</f>
        <v>0.0043731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17336</v>
      </c>
      <c r="C164" s="83">
        <v>1060015</v>
      </c>
      <c r="D164" s="36">
        <v>0.0017336</v>
      </c>
      <c r="E164" s="69">
        <v>0.611453045685279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21989</v>
      </c>
      <c r="C165" s="83">
        <v>3423505</v>
      </c>
      <c r="D165" s="36">
        <v>0.0021989</v>
      </c>
      <c r="E165" s="69">
        <v>1.55691709491109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21829</v>
      </c>
      <c r="C166" s="83">
        <v>5631785</v>
      </c>
      <c r="D166" s="36">
        <v>0.0021829</v>
      </c>
      <c r="E166" s="69">
        <v>2.57995556369967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22737</v>
      </c>
      <c r="C167" s="83">
        <v>8149345</v>
      </c>
      <c r="D167" s="36">
        <v>0.0022737</v>
      </c>
      <c r="E167" s="69">
        <v>3.58417777191362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22609</v>
      </c>
      <c r="C168" s="83">
        <v>10341345</v>
      </c>
      <c r="D168" s="36">
        <v>0.0022609</v>
      </c>
      <c r="E168" s="69">
        <v>4.57399486929984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24714</v>
      </c>
      <c r="C169" s="83">
        <v>13825040</v>
      </c>
      <c r="D169" s="36">
        <v>0.0024714</v>
      </c>
      <c r="E169" s="69">
        <v>5.59401149146233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22298</v>
      </c>
      <c r="C170" s="83">
        <v>14659235</v>
      </c>
      <c r="D170" s="36">
        <v>0.0022298</v>
      </c>
      <c r="E170" s="69">
        <v>6.57423759978473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24800</v>
      </c>
      <c r="C171" s="83">
        <v>18749960</v>
      </c>
      <c r="D171" s="36">
        <v>0.00248</v>
      </c>
      <c r="E171" s="69">
        <v>7.56046774193548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24074</v>
      </c>
      <c r="C172" s="83">
        <v>20651790</v>
      </c>
      <c r="D172" s="36">
        <v>0.0024074</v>
      </c>
      <c r="E172" s="69">
        <v>8.57846224142228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24135</v>
      </c>
      <c r="C173" s="83">
        <v>23119130</v>
      </c>
      <c r="D173" s="36">
        <v>0.0024135</v>
      </c>
      <c r="E173" s="69">
        <v>9.57908846074166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122387</v>
      </c>
      <c r="C174" s="83">
        <v>153921235</v>
      </c>
      <c r="D174" s="36">
        <v>0.0122387</v>
      </c>
      <c r="E174" s="69">
        <v>12.5766000473907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123358</v>
      </c>
      <c r="C175" s="83">
        <v>216819665</v>
      </c>
      <c r="D175" s="36">
        <v>0.0123358</v>
      </c>
      <c r="E175" s="69">
        <v>17.5764575463286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121805</v>
      </c>
      <c r="C176" s="83">
        <v>274710155</v>
      </c>
      <c r="D176" s="36">
        <v>0.0121805</v>
      </c>
      <c r="E176" s="69">
        <v>22.5532740856287</v>
      </c>
      <c r="F176" s="73"/>
      <c r="G176" s="14" t="str">
        <f t="shared" si="9"/>
        <v>(20, 25]</v>
      </c>
      <c r="H176" s="70">
        <v>2.76707869135093</v>
      </c>
      <c r="I176" s="36">
        <v>0.033704402</v>
      </c>
      <c r="J176" s="36">
        <v>0.033704402</v>
      </c>
      <c r="K176" s="71">
        <v>33704402</v>
      </c>
      <c r="L176" s="36">
        <v>0.033704402</v>
      </c>
      <c r="M176" s="36">
        <v>0.760144616198212</v>
      </c>
      <c r="N176" s="73"/>
      <c r="O176" s="59">
        <v>20</v>
      </c>
      <c r="P176" s="59">
        <v>25</v>
      </c>
      <c r="Q176" s="36">
        <v>3.3710771741636981E-2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122331</v>
      </c>
      <c r="C177" s="83">
        <v>337092585</v>
      </c>
      <c r="D177" s="36">
        <v>0.0122331</v>
      </c>
      <c r="E177" s="69">
        <v>27.5557777668784</v>
      </c>
      <c r="F177" s="73"/>
      <c r="G177" s="14" t="str">
        <f t="shared" si="9"/>
        <v>(25, 30]</v>
      </c>
      <c r="H177" s="70">
        <v>11.6737739411923</v>
      </c>
      <c r="I177" s="36">
        <v>0.142806444</v>
      </c>
      <c r="J177" s="36">
        <v>0.142806444</v>
      </c>
      <c r="K177" s="71">
        <v>142806444</v>
      </c>
      <c r="L177" s="36">
        <v>0.142806444</v>
      </c>
      <c r="M177" s="36">
        <v>3.93514263454217</v>
      </c>
      <c r="N177" s="73"/>
      <c r="O177" s="59">
        <v>25</v>
      </c>
      <c r="P177" s="59">
        <v>30</v>
      </c>
      <c r="Q177" s="36">
        <v>0.14283046614227027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120213</v>
      </c>
      <c r="C178" s="83">
        <v>391270765</v>
      </c>
      <c r="D178" s="36">
        <v>0.0120213</v>
      </c>
      <c r="E178" s="69">
        <v>32.5481241629441</v>
      </c>
      <c r="F178" s="73"/>
      <c r="G178" s="14" t="str">
        <f t="shared" si="9"/>
        <v>(30, 35]</v>
      </c>
      <c r="H178" s="70">
        <v>4.46851205776414</v>
      </c>
      <c r="I178" s="36">
        <v>0.053717324</v>
      </c>
      <c r="J178" s="36">
        <v>0.053717324</v>
      </c>
      <c r="K178" s="71">
        <v>53717324</v>
      </c>
      <c r="L178" s="36">
        <v>0.053717324</v>
      </c>
      <c r="M178" s="36">
        <v>1.7483981312531</v>
      </c>
      <c r="N178" s="73"/>
      <c r="O178" s="59">
        <v>30</v>
      </c>
      <c r="P178" s="59">
        <v>35</v>
      </c>
      <c r="Q178" s="36">
        <v>5.3725247181955441E-2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119707</v>
      </c>
      <c r="C179" s="83">
        <v>449545000</v>
      </c>
      <c r="D179" s="36">
        <v>0.0119707</v>
      </c>
      <c r="E179" s="69">
        <v>37.5537771391815</v>
      </c>
      <c r="F179" s="73"/>
      <c r="G179" s="14" t="str">
        <f t="shared" si="9"/>
        <v>(35, 40]</v>
      </c>
      <c r="H179" s="70">
        <v>7.89806552666093</v>
      </c>
      <c r="I179" s="36">
        <v>0.094545373</v>
      </c>
      <c r="J179" s="36">
        <v>0.094545373</v>
      </c>
      <c r="K179" s="71">
        <v>94545373</v>
      </c>
      <c r="L179" s="36">
        <v>0.094545373</v>
      </c>
      <c r="M179" s="36">
        <v>3.55053586718279</v>
      </c>
      <c r="N179" s="73"/>
      <c r="O179" s="59">
        <v>35</v>
      </c>
      <c r="P179" s="59">
        <v>40</v>
      </c>
      <c r="Q179" s="36">
        <v>9.4557354080261793E-2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117432</v>
      </c>
      <c r="C180" s="83">
        <v>499774010</v>
      </c>
      <c r="D180" s="36">
        <v>0.0117432</v>
      </c>
      <c r="E180" s="69">
        <v>42.5585879487704</v>
      </c>
      <c r="F180" s="73"/>
      <c r="G180" s="14" t="str">
        <f t="shared" si="9"/>
        <v>(40, 45]</v>
      </c>
      <c r="H180" s="70">
        <v>6.99762594522788</v>
      </c>
      <c r="I180" s="36">
        <v>0.082174521</v>
      </c>
      <c r="J180" s="36">
        <v>0.082174521</v>
      </c>
      <c r="K180" s="71">
        <v>82174521</v>
      </c>
      <c r="L180" s="36">
        <v>0.082174521</v>
      </c>
      <c r="M180" s="36">
        <v>3.49723157912658</v>
      </c>
      <c r="N180" s="73"/>
      <c r="O180" s="59">
        <v>40</v>
      </c>
      <c r="P180" s="59">
        <v>45</v>
      </c>
      <c r="Q180" s="36">
        <v>8.2183227808031015E-2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114818</v>
      </c>
      <c r="C181" s="83">
        <v>546029235</v>
      </c>
      <c r="D181" s="36">
        <v>0.0114818</v>
      </c>
      <c r="E181" s="69">
        <v>47.5560656865648</v>
      </c>
      <c r="F181" s="73"/>
      <c r="G181" s="14" t="str">
        <f t="shared" si="9"/>
        <v>(45, 50]</v>
      </c>
      <c r="H181" s="70">
        <v>6.12432980891498</v>
      </c>
      <c r="I181" s="36">
        <v>0.07031833</v>
      </c>
      <c r="J181" s="36">
        <v>0.07031833</v>
      </c>
      <c r="K181" s="71">
        <v>70318330</v>
      </c>
      <c r="L181" s="36">
        <v>0.07031833</v>
      </c>
      <c r="M181" s="36">
        <v>3.34406312044954</v>
      </c>
      <c r="N181" s="73"/>
      <c r="O181" s="59">
        <v>45</v>
      </c>
      <c r="P181" s="59">
        <v>50</v>
      </c>
      <c r="Q181" s="36">
        <v>7.0324322547135096E-2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225156</v>
      </c>
      <c r="C182" s="83">
        <v>1238685940</v>
      </c>
      <c r="D182" s="36">
        <v>0.0225156</v>
      </c>
      <c r="E182" s="69">
        <v>55.0145650127023</v>
      </c>
      <c r="F182" s="73"/>
      <c r="G182" s="14" t="str">
        <f t="shared" si="9"/>
        <v>(50, 60]</v>
      </c>
      <c r="H182" s="70">
        <v>3.02012822221038</v>
      </c>
      <c r="I182" s="36">
        <v>0.067999999</v>
      </c>
      <c r="J182" s="36">
        <v>0.067999999</v>
      </c>
      <c r="K182" s="71">
        <v>67999999</v>
      </c>
      <c r="L182" s="36">
        <v>0.067999999</v>
      </c>
      <c r="M182" s="36">
        <v>3.74099036584919</v>
      </c>
      <c r="N182" s="73"/>
      <c r="O182" s="59">
        <v>50</v>
      </c>
      <c r="P182" s="59">
        <v>60</v>
      </c>
      <c r="Q182" s="36">
        <v>6.8003689496081168E-2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216442</v>
      </c>
      <c r="C183" s="83">
        <v>1407492730</v>
      </c>
      <c r="D183" s="36">
        <v>0.0216442</v>
      </c>
      <c r="E183" s="69">
        <v>65.028632612894</v>
      </c>
      <c r="F183" s="73"/>
      <c r="G183" s="14" t="str">
        <f t="shared" si="9"/>
        <v>(60, 70]</v>
      </c>
      <c r="H183" s="70">
        <v>4.29172309440866</v>
      </c>
      <c r="I183" s="36">
        <v>0.092890913</v>
      </c>
      <c r="J183" s="36">
        <v>0.092890913</v>
      </c>
      <c r="K183" s="71">
        <v>92890913</v>
      </c>
      <c r="L183" s="36">
        <v>0.092890913</v>
      </c>
      <c r="M183" s="36">
        <v>6.0405690545533</v>
      </c>
      <c r="N183" s="73"/>
      <c r="O183" s="59">
        <v>60</v>
      </c>
      <c r="P183" s="59">
        <v>70</v>
      </c>
      <c r="Q183" s="36">
        <v>9.2892095043626097E-2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209560</v>
      </c>
      <c r="C184" s="83">
        <v>1572028540</v>
      </c>
      <c r="D184" s="36">
        <v>0.020956</v>
      </c>
      <c r="E184" s="69">
        <v>75.015677610231</v>
      </c>
      <c r="F184" s="73"/>
      <c r="G184" s="14" t="str">
        <f t="shared" si="9"/>
        <v>(70, 80]</v>
      </c>
      <c r="H184" s="70">
        <v>2.11929142011834</v>
      </c>
      <c r="I184" s="36">
        <v>0.044411871</v>
      </c>
      <c r="J184" s="36">
        <v>0.044411871</v>
      </c>
      <c r="K184" s="71">
        <v>44411871</v>
      </c>
      <c r="L184" s="36">
        <v>0.044411871</v>
      </c>
      <c r="M184" s="36">
        <v>3.33158659700317</v>
      </c>
      <c r="N184" s="73"/>
      <c r="O184" s="59">
        <v>70</v>
      </c>
      <c r="P184" s="59">
        <v>80</v>
      </c>
      <c r="Q184" s="36">
        <v>4.4410595977033111E-2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202424</v>
      </c>
      <c r="C185" s="83">
        <v>1721039095</v>
      </c>
      <c r="D185" s="36">
        <v>0.0202424</v>
      </c>
      <c r="E185" s="69">
        <v>85.0214942398134</v>
      </c>
      <c r="F185" s="73"/>
      <c r="G185" s="14" t="str">
        <f t="shared" si="9"/>
        <v>(80, 90]</v>
      </c>
      <c r="H185" s="70">
        <v>4.19582806386594</v>
      </c>
      <c r="I185" s="36">
        <v>0.08493363</v>
      </c>
      <c r="J185" s="36">
        <v>0.08493363</v>
      </c>
      <c r="K185" s="71">
        <v>84933630</v>
      </c>
      <c r="L185" s="36">
        <v>0.08493363</v>
      </c>
      <c r="M185" s="36">
        <v>7.22118413381144</v>
      </c>
      <c r="N185" s="73"/>
      <c r="O185" s="59">
        <v>80</v>
      </c>
      <c r="P185" s="59">
        <v>90</v>
      </c>
      <c r="Q185" s="36">
        <v>8.492766586840865E-2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194385</v>
      </c>
      <c r="C186" s="83">
        <v>1846986175</v>
      </c>
      <c r="D186" s="36">
        <v>0.0194385</v>
      </c>
      <c r="E186" s="69">
        <v>95.0169084548705</v>
      </c>
      <c r="F186" s="73"/>
      <c r="G186" s="14" t="str">
        <f t="shared" si="9"/>
        <v>(90, 100]</v>
      </c>
      <c r="H186" s="70">
        <v>1.67126475808319</v>
      </c>
      <c r="I186" s="36">
        <v>0.03248688</v>
      </c>
      <c r="J186" s="36">
        <v>0.03248688</v>
      </c>
      <c r="K186" s="71">
        <v>32486880</v>
      </c>
      <c r="L186" s="36">
        <v>0.03248688</v>
      </c>
      <c r="M186" s="36">
        <v>3.08680290294436</v>
      </c>
      <c r="N186" s="73"/>
      <c r="O186" s="59">
        <v>90</v>
      </c>
      <c r="P186" s="59">
        <v>100</v>
      </c>
      <c r="Q186" s="36">
        <v>3.2483251714631539E-2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369709</v>
      </c>
      <c r="C187" s="83">
        <v>4064242115</v>
      </c>
      <c r="D187" s="36">
        <v>0.0369709</v>
      </c>
      <c r="E187" s="69">
        <v>109.930840607072</v>
      </c>
      <c r="F187" s="73"/>
      <c r="G187" s="14" t="str">
        <f t="shared" si="9"/>
        <v>(100, 120]</v>
      </c>
      <c r="H187" s="70">
        <v>2.05489790619109</v>
      </c>
      <c r="I187" s="36">
        <v>0.075971425</v>
      </c>
      <c r="J187" s="36">
        <v>0.075971425</v>
      </c>
      <c r="K187" s="71">
        <v>75971425</v>
      </c>
      <c r="L187" s="36">
        <v>0.075971425</v>
      </c>
      <c r="M187" s="36">
        <v>8.35160261236712</v>
      </c>
      <c r="N187" s="73"/>
      <c r="O187" s="59">
        <v>100</v>
      </c>
      <c r="P187" s="59">
        <v>120</v>
      </c>
      <c r="Q187" s="36">
        <v>7.5958239671081271E-2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343096</v>
      </c>
      <c r="C188" s="83">
        <v>4458180170</v>
      </c>
      <c r="D188" s="36">
        <v>0.0343096</v>
      </c>
      <c r="E188" s="69">
        <v>129.939730279572</v>
      </c>
      <c r="F188" s="73"/>
      <c r="G188" s="14" t="str">
        <f t="shared" si="9"/>
        <v>(120, 140]</v>
      </c>
      <c r="H188" s="70">
        <v>0.80975694849255</v>
      </c>
      <c r="I188" s="36">
        <v>0.027782437</v>
      </c>
      <c r="J188" s="36">
        <v>0.027782437</v>
      </c>
      <c r="K188" s="71">
        <v>27782437</v>
      </c>
      <c r="L188" s="36">
        <v>0.027782437</v>
      </c>
      <c r="M188" s="36">
        <v>3.6100423702892</v>
      </c>
      <c r="N188" s="73"/>
      <c r="O188" s="59">
        <v>120</v>
      </c>
      <c r="P188" s="59">
        <v>140</v>
      </c>
      <c r="Q188" s="36">
        <v>2.7775308611056791E-2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319837</v>
      </c>
      <c r="C189" s="83">
        <v>4795534285</v>
      </c>
      <c r="D189" s="36">
        <v>0.0319837</v>
      </c>
      <c r="E189" s="69">
        <v>149.936820474179</v>
      </c>
      <c r="F189" s="73"/>
      <c r="G189" s="14" t="str">
        <f t="shared" si="9"/>
        <v>(140, 160]</v>
      </c>
      <c r="H189" s="70">
        <v>1.39017493285642</v>
      </c>
      <c r="I189" s="36">
        <v>0.044462938</v>
      </c>
      <c r="J189" s="36">
        <v>0.044462938</v>
      </c>
      <c r="K189" s="71">
        <v>44462938</v>
      </c>
      <c r="L189" s="36">
        <v>0.044462938</v>
      </c>
      <c r="M189" s="36">
        <v>6.66663155266055</v>
      </c>
      <c r="N189" s="73"/>
      <c r="O189" s="59">
        <v>140</v>
      </c>
      <c r="P189" s="59">
        <v>160</v>
      </c>
      <c r="Q189" s="36">
        <v>4.4447842977852543E-2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297854</v>
      </c>
      <c r="C190" s="83">
        <v>5061212330</v>
      </c>
      <c r="D190" s="36">
        <v>0.0297854</v>
      </c>
      <c r="E190" s="69">
        <v>169.922590598078</v>
      </c>
      <c r="F190" s="73"/>
      <c r="G190" s="14" t="str">
        <f t="shared" si="9"/>
        <v>(160, 180]</v>
      </c>
      <c r="H190" s="70">
        <v>0.779871379937822</v>
      </c>
      <c r="I190" s="36">
        <v>0.023228781</v>
      </c>
      <c r="J190" s="36">
        <v>0.023228781</v>
      </c>
      <c r="K190" s="71">
        <v>23228781</v>
      </c>
      <c r="L190" s="36">
        <v>0.023228781</v>
      </c>
      <c r="M190" s="36">
        <v>3.94709464395541</v>
      </c>
      <c r="N190" s="73"/>
      <c r="O190" s="59">
        <v>160</v>
      </c>
      <c r="P190" s="59">
        <v>180</v>
      </c>
      <c r="Q190" s="36">
        <v>2.3218969510817328E-2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279981</v>
      </c>
      <c r="C191" s="83">
        <v>5317920345</v>
      </c>
      <c r="D191" s="36">
        <v>0.0279981</v>
      </c>
      <c r="E191" s="69">
        <v>189.938615298895</v>
      </c>
      <c r="F191" s="73"/>
      <c r="G191" s="14" t="str">
        <f t="shared" si="9"/>
        <v>(180, 200]</v>
      </c>
      <c r="H191" s="70">
        <v>0.948299206017551</v>
      </c>
      <c r="I191" s="36">
        <v>0.026550576</v>
      </c>
      <c r="J191" s="36">
        <v>0.026550576</v>
      </c>
      <c r="K191" s="71">
        <v>26550576</v>
      </c>
      <c r="L191" s="36">
        <v>0.026550576</v>
      </c>
      <c r="M191" s="36">
        <v>5.04297964082807</v>
      </c>
      <c r="N191" s="73"/>
      <c r="O191" s="59">
        <v>180</v>
      </c>
      <c r="P191" s="59">
        <v>200</v>
      </c>
      <c r="Q191" s="36">
        <v>2.6537157583817465E-2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624919</v>
      </c>
      <c r="C192" s="83">
        <v>14022425865</v>
      </c>
      <c r="D192" s="36">
        <v>0.0624919</v>
      </c>
      <c r="E192" s="69">
        <v>224.387894511129</v>
      </c>
      <c r="F192" s="73"/>
      <c r="G192" s="14" t="str">
        <f t="shared" si="9"/>
        <v>(200, 250]</v>
      </c>
      <c r="H192" s="70">
        <v>0.00411429321240033</v>
      </c>
      <c r="I192" s="36">
        <v>0.00025711</v>
      </c>
      <c r="J192" s="36">
        <v>0.00025711</v>
      </c>
      <c r="K192" s="71">
        <v>257110</v>
      </c>
      <c r="L192" s="36">
        <v>0.00025711</v>
      </c>
      <c r="M192" s="36">
        <v>0.0576923715577564</v>
      </c>
      <c r="N192" s="73"/>
      <c r="O192" s="59">
        <v>200</v>
      </c>
      <c r="P192" s="59">
        <v>250</v>
      </c>
      <c r="Q192" s="36">
        <v>2.5702800565461612E-4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536870</v>
      </c>
      <c r="C193" s="83">
        <v>14732584040</v>
      </c>
      <c r="D193" s="36">
        <v>0.053687</v>
      </c>
      <c r="E193" s="69">
        <v>274.416228137165</v>
      </c>
      <c r="F193" s="73"/>
      <c r="G193" s="14" t="str">
        <f t="shared" si="9"/>
        <v>(250, 300]</v>
      </c>
      <c r="H193" s="70">
        <v>0.00391597593458379</v>
      </c>
      <c r="I193" s="36">
        <v>0.000210237</v>
      </c>
      <c r="J193" s="36">
        <v>0.000210237</v>
      </c>
      <c r="K193" s="71">
        <v>210237</v>
      </c>
      <c r="L193" s="36">
        <v>0.000210237</v>
      </c>
      <c r="M193" s="36">
        <v>0.0576924445548732</v>
      </c>
      <c r="N193" s="73"/>
      <c r="O193" s="59">
        <v>250</v>
      </c>
      <c r="P193" s="59">
        <v>300</v>
      </c>
      <c r="Q193" s="36">
        <v>2.1018200462400409E-4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463745</v>
      </c>
      <c r="C194" s="83">
        <v>15046384545</v>
      </c>
      <c r="D194" s="36">
        <v>0.0463745</v>
      </c>
      <c r="E194" s="69">
        <v>324.453838747588</v>
      </c>
      <c r="F194" s="73"/>
      <c r="G194" s="14" t="str">
        <f t="shared" si="9"/>
        <v>(300, 350]</v>
      </c>
      <c r="H194" s="70">
        <v>0.00383430549116433</v>
      </c>
      <c r="I194" s="36">
        <v>0.000177814</v>
      </c>
      <c r="J194" s="36">
        <v>0.000177814</v>
      </c>
      <c r="K194" s="71">
        <v>177814</v>
      </c>
      <c r="L194" s="36">
        <v>0.000177814</v>
      </c>
      <c r="M194" s="36">
        <v>0.0576924348830636</v>
      </c>
      <c r="N194" s="73"/>
      <c r="O194" s="59">
        <v>300</v>
      </c>
      <c r="P194" s="59">
        <v>350</v>
      </c>
      <c r="Q194" s="36">
        <v>1.7779900391157809E-4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402989</v>
      </c>
      <c r="C195" s="83">
        <v>15090339120</v>
      </c>
      <c r="D195" s="36">
        <v>0.0402989</v>
      </c>
      <c r="E195" s="69">
        <v>374.460323234629</v>
      </c>
      <c r="F195" s="73"/>
      <c r="G195" s="14" t="str">
        <f t="shared" ref="G195:G226" si="11">"("&amp;$O195&amp;", "&amp;$P195&amp;"]"</f>
        <v>(350, 400]</v>
      </c>
      <c r="H195" s="70">
        <v>0.00382313164875468</v>
      </c>
      <c r="I195" s="36">
        <v>0.000154068</v>
      </c>
      <c r="J195" s="36">
        <v>0.000154068</v>
      </c>
      <c r="K195" s="71">
        <v>154068</v>
      </c>
      <c r="L195" s="36">
        <v>0.000154068</v>
      </c>
      <c r="M195" s="36">
        <v>0.0576923530801128</v>
      </c>
      <c r="N195" s="73"/>
      <c r="O195" s="59">
        <v>350</v>
      </c>
      <c r="P195" s="59">
        <v>400</v>
      </c>
      <c r="Q195" s="36">
        <v>1.5404300338894608E-4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351508</v>
      </c>
      <c r="C196" s="83">
        <v>14922003445</v>
      </c>
      <c r="D196" s="36">
        <v>0.0351508</v>
      </c>
      <c r="E196" s="69">
        <v>424.513907080351</v>
      </c>
      <c r="F196" s="73"/>
      <c r="G196" s="14" t="str">
        <f t="shared" si="11"/>
        <v>(400, 450]</v>
      </c>
      <c r="H196" s="70">
        <v>0.0038662562445236</v>
      </c>
      <c r="I196" s="36">
        <v>0.000135902</v>
      </c>
      <c r="J196" s="36">
        <v>0.000135902</v>
      </c>
      <c r="K196" s="71">
        <v>135902</v>
      </c>
      <c r="L196" s="36">
        <v>0.000135902</v>
      </c>
      <c r="M196" s="36">
        <v>0.0576922890000339</v>
      </c>
      <c r="N196" s="73"/>
      <c r="O196" s="59">
        <v>400</v>
      </c>
      <c r="P196" s="59">
        <v>450</v>
      </c>
      <c r="Q196" s="36">
        <v>1.3590700298995407E-4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310889</v>
      </c>
      <c r="C197" s="83">
        <v>14751933820</v>
      </c>
      <c r="D197" s="36">
        <v>0.0310889</v>
      </c>
      <c r="E197" s="69">
        <v>474.508066222993</v>
      </c>
      <c r="F197" s="73"/>
      <c r="G197" s="14" t="str">
        <f t="shared" si="11"/>
        <v>(450, 500]</v>
      </c>
      <c r="H197" s="70">
        <v>0.00391081704402536</v>
      </c>
      <c r="I197" s="36">
        <v>0.000121583</v>
      </c>
      <c r="J197" s="36">
        <v>0.000121583</v>
      </c>
      <c r="K197" s="71">
        <v>121583</v>
      </c>
      <c r="L197" s="36">
        <v>0.000121583</v>
      </c>
      <c r="M197" s="36">
        <v>0.0576921142155902</v>
      </c>
      <c r="N197" s="73"/>
      <c r="O197" s="59">
        <v>450</v>
      </c>
      <c r="P197" s="59">
        <v>500</v>
      </c>
      <c r="Q197" s="36">
        <v>1.2157900267473806E-4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275525</v>
      </c>
      <c r="C198" s="83">
        <v>14452081075</v>
      </c>
      <c r="D198" s="36">
        <v>0.0275525</v>
      </c>
      <c r="E198" s="69">
        <v>524.528847654478</v>
      </c>
      <c r="F198" s="73"/>
      <c r="G198" s="14" t="str">
        <f t="shared" si="11"/>
        <v>(500, 550]</v>
      </c>
      <c r="H198" s="70">
        <v>0.00399197894927865</v>
      </c>
      <c r="I198" s="36">
        <v>0.000109989</v>
      </c>
      <c r="J198" s="36">
        <v>0.000109989</v>
      </c>
      <c r="K198" s="71">
        <v>109989</v>
      </c>
      <c r="L198" s="36">
        <v>0.000109989</v>
      </c>
      <c r="M198" s="36">
        <v>0.0576924034246684</v>
      </c>
      <c r="N198" s="73"/>
      <c r="O198" s="59">
        <v>500</v>
      </c>
      <c r="P198" s="59">
        <v>550</v>
      </c>
      <c r="Q198" s="36">
        <v>1.0998000241956005E-4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244173</v>
      </c>
      <c r="C199" s="83">
        <v>14029497265</v>
      </c>
      <c r="D199" s="36">
        <v>0.0244173</v>
      </c>
      <c r="E199" s="69">
        <v>574.572015128618</v>
      </c>
      <c r="F199" s="73"/>
      <c r="G199" s="14" t="str">
        <f t="shared" si="11"/>
        <v>(550, 600]</v>
      </c>
      <c r="H199" s="70">
        <v>0.00411220732841059</v>
      </c>
      <c r="I199" s="36">
        <v>0.000100409</v>
      </c>
      <c r="J199" s="36">
        <v>0.000100409</v>
      </c>
      <c r="K199" s="71">
        <v>100409</v>
      </c>
      <c r="L199" s="36">
        <v>0.000100409</v>
      </c>
      <c r="M199" s="36">
        <v>0.0576922014670494</v>
      </c>
      <c r="N199" s="73"/>
      <c r="O199" s="59">
        <v>550</v>
      </c>
      <c r="P199" s="59">
        <v>600</v>
      </c>
      <c r="Q199" s="36">
        <v>1.0041000220902004E-4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216511</v>
      </c>
      <c r="C200" s="83">
        <v>13522732450</v>
      </c>
      <c r="D200" s="36">
        <v>0.0216511</v>
      </c>
      <c r="E200" s="69">
        <v>624.574846081723</v>
      </c>
      <c r="F200" s="73"/>
      <c r="G200" s="14" t="str">
        <f t="shared" si="11"/>
        <v>(600, 650]</v>
      </c>
      <c r="H200" s="70">
        <v>0.00426634212580423</v>
      </c>
      <c r="I200" s="36">
        <v>9.2371e-05</v>
      </c>
      <c r="J200" s="36">
        <v>9.2371e-05</v>
      </c>
      <c r="K200" s="71">
        <v>92371</v>
      </c>
      <c r="L200" s="36">
        <v>9.2371e-05</v>
      </c>
      <c r="M200" s="36">
        <v>0.0576926031074148</v>
      </c>
      <c r="N200" s="73"/>
      <c r="O200" s="59">
        <v>600</v>
      </c>
      <c r="P200" s="59">
        <v>650</v>
      </c>
      <c r="Q200" s="36">
        <v>9.2374002032228044E-5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194516</v>
      </c>
      <c r="C201" s="83">
        <v>13121341230</v>
      </c>
      <c r="D201" s="36">
        <v>0.0194516</v>
      </c>
      <c r="E201" s="69">
        <v>674.56359528265</v>
      </c>
      <c r="F201" s="73"/>
      <c r="G201" s="14" t="str">
        <f t="shared" si="11"/>
        <v>(650, 700]</v>
      </c>
      <c r="H201" s="70">
        <v>0.00439681054514796</v>
      </c>
      <c r="I201" s="36">
        <v>8.5525e-05</v>
      </c>
      <c r="J201" s="36">
        <v>8.5525e-05</v>
      </c>
      <c r="K201" s="71">
        <v>85525</v>
      </c>
      <c r="L201" s="36">
        <v>8.5525e-05</v>
      </c>
      <c r="M201" s="36">
        <v>0.0576920514865486</v>
      </c>
      <c r="N201" s="73"/>
      <c r="O201" s="59">
        <v>650</v>
      </c>
      <c r="P201" s="59">
        <v>700</v>
      </c>
      <c r="Q201" s="36">
        <v>8.5529001881638048E-5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173920</v>
      </c>
      <c r="C202" s="83">
        <v>12602817840</v>
      </c>
      <c r="D202" s="36">
        <v>0.017392</v>
      </c>
      <c r="E202" s="69">
        <v>724.633040478381</v>
      </c>
      <c r="F202" s="73"/>
      <c r="G202" s="14" t="str">
        <f t="shared" si="11"/>
        <v>(700, 750]</v>
      </c>
      <c r="H202" s="70">
        <v>0.00457773689052438</v>
      </c>
      <c r="I202" s="36">
        <v>7.9616e-05</v>
      </c>
      <c r="J202" s="36">
        <v>7.9616e-05</v>
      </c>
      <c r="K202" s="71">
        <v>79616</v>
      </c>
      <c r="L202" s="36">
        <v>7.9616e-05</v>
      </c>
      <c r="M202" s="36">
        <v>0.0576923841507268</v>
      </c>
      <c r="N202" s="73"/>
      <c r="O202" s="59">
        <v>700</v>
      </c>
      <c r="P202" s="59">
        <v>750</v>
      </c>
      <c r="Q202" s="36">
        <v>7.9614001751508037E-5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156444</v>
      </c>
      <c r="C203" s="83">
        <v>12117711700</v>
      </c>
      <c r="D203" s="36">
        <v>0.0156444</v>
      </c>
      <c r="E203" s="69">
        <v>774.571840402956</v>
      </c>
      <c r="F203" s="73"/>
      <c r="G203" s="14" t="str">
        <f t="shared" si="11"/>
        <v>(750, 800]</v>
      </c>
      <c r="H203" s="70">
        <v>0.00476100074147938</v>
      </c>
      <c r="I203" s="36">
        <v>7.4483e-05</v>
      </c>
      <c r="J203" s="36">
        <v>7.4483e-05</v>
      </c>
      <c r="K203" s="71">
        <v>74483</v>
      </c>
      <c r="L203" s="36">
        <v>7.4483e-05</v>
      </c>
      <c r="M203" s="36">
        <v>0.0576924343887334</v>
      </c>
      <c r="N203" s="73"/>
      <c r="O203" s="59">
        <v>750</v>
      </c>
      <c r="P203" s="59">
        <v>800</v>
      </c>
      <c r="Q203" s="36">
        <v>7.4478001638516038E-5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141526</v>
      </c>
      <c r="C204" s="83">
        <v>11671360825</v>
      </c>
      <c r="D204" s="36">
        <v>0.0141526</v>
      </c>
      <c r="E204" s="69">
        <v>824.679622472196</v>
      </c>
      <c r="F204" s="73"/>
      <c r="G204" s="14" t="str">
        <f t="shared" si="11"/>
        <v>(800, 850]</v>
      </c>
      <c r="H204" s="70">
        <v>0.00494304933369134</v>
      </c>
      <c r="I204" s="36">
        <v>6.9957e-05</v>
      </c>
      <c r="J204" s="36">
        <v>6.9957e-05</v>
      </c>
      <c r="K204" s="71">
        <v>69957</v>
      </c>
      <c r="L204" s="36">
        <v>6.9957e-05</v>
      </c>
      <c r="M204" s="36">
        <v>0.0576921123492874</v>
      </c>
      <c r="N204" s="73"/>
      <c r="O204" s="59">
        <v>800</v>
      </c>
      <c r="P204" s="59">
        <v>850</v>
      </c>
      <c r="Q204" s="36">
        <v>6.9962001539164038E-5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128166</v>
      </c>
      <c r="C205" s="83">
        <v>11210599650</v>
      </c>
      <c r="D205" s="36">
        <v>0.0128166</v>
      </c>
      <c r="E205" s="69">
        <v>874.69372922616</v>
      </c>
      <c r="F205" s="73"/>
      <c r="G205" s="14" t="str">
        <f t="shared" si="11"/>
        <v>(850, 900]</v>
      </c>
      <c r="H205" s="70">
        <v>0.00514621662531405</v>
      </c>
      <c r="I205" s="36">
        <v>6.5957e-05</v>
      </c>
      <c r="J205" s="36">
        <v>6.5957e-05</v>
      </c>
      <c r="K205" s="72">
        <v>65957</v>
      </c>
      <c r="L205" s="36">
        <v>6.5957e-05</v>
      </c>
      <c r="M205" s="36">
        <v>0.0576921742985698</v>
      </c>
      <c r="N205" s="73"/>
      <c r="O205" s="59">
        <v>850</v>
      </c>
      <c r="P205" s="59">
        <v>900</v>
      </c>
      <c r="Q205" s="36">
        <v>6.5953001450966026E-5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116368</v>
      </c>
      <c r="C206" s="83">
        <v>10760380360</v>
      </c>
      <c r="D206" s="36">
        <v>0.0116368</v>
      </c>
      <c r="E206" s="69">
        <v>924.685511480819</v>
      </c>
      <c r="F206" s="73"/>
      <c r="G206" s="14" t="str">
        <f t="shared" si="11"/>
        <v>(900, 950]</v>
      </c>
      <c r="H206" s="70">
        <v>0.00536152550529355</v>
      </c>
      <c r="I206" s="36">
        <v>6.2391e-05</v>
      </c>
      <c r="J206" s="36">
        <v>6.2391e-05</v>
      </c>
      <c r="K206" s="72">
        <v>62391</v>
      </c>
      <c r="L206" s="36">
        <v>6.2391e-05</v>
      </c>
      <c r="M206" s="36">
        <v>0.0576920537467998</v>
      </c>
      <c r="N206" s="73"/>
      <c r="O206" s="59">
        <v>900</v>
      </c>
      <c r="P206" s="59">
        <v>950</v>
      </c>
      <c r="Q206" s="36">
        <v>6.2394001372668024E-5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105458</v>
      </c>
      <c r="C207" s="83">
        <v>10277893615</v>
      </c>
      <c r="D207" s="36">
        <v>0.0105458</v>
      </c>
      <c r="E207" s="69">
        <v>974.595916383774</v>
      </c>
      <c r="F207" s="73"/>
      <c r="G207" s="14" t="str">
        <f t="shared" si="11"/>
        <v>(950, 1000]</v>
      </c>
      <c r="H207" s="70">
        <v>0.00561322991143394</v>
      </c>
      <c r="I207" s="36">
        <v>5.9196e-05</v>
      </c>
      <c r="J207" s="36">
        <v>5.9196e-05</v>
      </c>
      <c r="K207" s="72">
        <v>59196</v>
      </c>
      <c r="L207" s="36">
        <v>5.9196e-05</v>
      </c>
      <c r="M207" s="36">
        <v>0.0576921798662539</v>
      </c>
      <c r="N207" s="73"/>
      <c r="O207" s="59">
        <v>950</v>
      </c>
      <c r="P207" s="59">
        <v>1000</v>
      </c>
      <c r="Q207" s="36">
        <v>5.9183001302026032E-5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1025427</v>
      </c>
      <c r="C208" s="83">
        <v>141964520070</v>
      </c>
      <c r="D208" s="36">
        <v>0.1025427</v>
      </c>
      <c r="E208" s="69">
        <v>1384.44296931912</v>
      </c>
      <c r="F208" s="73"/>
      <c r="G208" s="14" t="str">
        <f t="shared" si="11"/>
        <v>(1000, 2000]</v>
      </c>
      <c r="H208" s="70">
        <v>0.000406386802766067</v>
      </c>
      <c r="I208" s="36">
        <v>4.1672e-05</v>
      </c>
      <c r="J208" s="36">
        <v>4.1672e-05</v>
      </c>
      <c r="K208" s="72">
        <v>41672</v>
      </c>
      <c r="L208" s="36">
        <v>4.1672e-05</v>
      </c>
      <c r="M208" s="36">
        <v>0.0576925074174664</v>
      </c>
      <c r="N208" s="73"/>
      <c r="O208" s="59">
        <v>1000</v>
      </c>
      <c r="P208" s="59">
        <v>2000</v>
      </c>
      <c r="Q208" s="36">
        <v>4.1541000913902018E-5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312292</v>
      </c>
      <c r="C209" s="83">
        <v>75654720770</v>
      </c>
      <c r="D209" s="36">
        <v>0.0312292</v>
      </c>
      <c r="E209" s="69">
        <v>2422.56352292086</v>
      </c>
      <c r="F209" s="73"/>
      <c r="G209" s="14" t="str">
        <f t="shared" si="11"/>
        <v>(2000, 3000]</v>
      </c>
      <c r="H209" s="70">
        <v>0.00152514313527084</v>
      </c>
      <c r="I209" s="36">
        <v>4.7629e-05</v>
      </c>
      <c r="J209" s="36">
        <v>4.7629e-05</v>
      </c>
      <c r="K209" s="72">
        <v>47629</v>
      </c>
      <c r="L209" s="36">
        <v>4.7629e-05</v>
      </c>
      <c r="M209" s="36">
        <v>0.115384278033198</v>
      </c>
      <c r="N209" s="73"/>
      <c r="O209" s="59">
        <v>2000</v>
      </c>
      <c r="P209" s="59">
        <v>3000</v>
      </c>
      <c r="Q209" s="36">
        <v>4.7609001047398026E-5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136239</v>
      </c>
      <c r="C210" s="83">
        <v>46878117980</v>
      </c>
      <c r="D210" s="36">
        <v>0.0136239</v>
      </c>
      <c r="E210" s="69">
        <v>3440.87361034652</v>
      </c>
      <c r="F210" s="73"/>
      <c r="G210" s="14" t="str">
        <f t="shared" si="11"/>
        <v>(3000, 4000]</v>
      </c>
      <c r="H210" s="70">
        <v>0.00123070486424592</v>
      </c>
      <c r="I210" s="36">
        <v>1.6767e-05</v>
      </c>
      <c r="J210" s="36">
        <v>1.6767e-05</v>
      </c>
      <c r="K210" s="72">
        <v>16767</v>
      </c>
      <c r="L210" s="36">
        <v>1.6767e-05</v>
      </c>
      <c r="M210" s="36">
        <v>0.0576931278246801</v>
      </c>
      <c r="N210" s="73"/>
      <c r="O210" s="59">
        <v>3000</v>
      </c>
      <c r="P210" s="59">
        <v>4000</v>
      </c>
      <c r="Q210" s="36">
        <v>1.6768000368896007E-5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70598</v>
      </c>
      <c r="C211" s="83">
        <v>31430394225</v>
      </c>
      <c r="D211" s="36">
        <v>0.0070598</v>
      </c>
      <c r="E211" s="69">
        <v>4452.02331864925</v>
      </c>
      <c r="F211" s="73"/>
      <c r="G211" s="14" t="str">
        <f t="shared" si="11"/>
        <v>(4000, 5000]</v>
      </c>
      <c r="H211" s="70">
        <v>0.00183560440805689</v>
      </c>
      <c r="I211" s="36">
        <v>1.2959e-05</v>
      </c>
      <c r="J211" s="36">
        <v>1.2959e-05</v>
      </c>
      <c r="K211" s="72">
        <v>12959</v>
      </c>
      <c r="L211" s="36">
        <v>1.2959e-05</v>
      </c>
      <c r="M211" s="36">
        <v>0.0576937701863756</v>
      </c>
      <c r="N211" s="73"/>
      <c r="O211" s="59">
        <v>4000</v>
      </c>
      <c r="P211" s="59">
        <v>5000</v>
      </c>
      <c r="Q211" s="36">
        <v>1.2961000285142007E-5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40417</v>
      </c>
      <c r="C212" s="83">
        <v>22061974945</v>
      </c>
      <c r="D212" s="36">
        <v>0.0040417</v>
      </c>
      <c r="E212" s="69">
        <v>5458.58795680036</v>
      </c>
      <c r="F212" s="73"/>
      <c r="G212" s="14" t="str">
        <f t="shared" si="11"/>
        <v>(5000, 6000]</v>
      </c>
      <c r="H212" s="70">
        <v>0.00261498874236089</v>
      </c>
      <c r="I212" s="36">
        <v>1.0569e-05</v>
      </c>
      <c r="J212" s="36">
        <v>1.0569e-05</v>
      </c>
      <c r="K212" s="72">
        <v>10569</v>
      </c>
      <c r="L212" s="36">
        <v>1.0569e-05</v>
      </c>
      <c r="M212" s="36">
        <v>0.057691816115423</v>
      </c>
      <c r="N212" s="73"/>
      <c r="O212" s="59">
        <v>5000</v>
      </c>
      <c r="P212" s="59">
        <v>6000</v>
      </c>
      <c r="Q212" s="36">
        <v>1.0570000232540004E-5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24811</v>
      </c>
      <c r="C213" s="83">
        <v>16029724985</v>
      </c>
      <c r="D213" s="36">
        <v>0.0024811</v>
      </c>
      <c r="E213" s="69">
        <v>6460.73313651203</v>
      </c>
      <c r="F213" s="73"/>
      <c r="G213" s="14" t="str">
        <f t="shared" si="11"/>
        <v>(6000, 7000]</v>
      </c>
      <c r="H213" s="70">
        <v>0.00359921002781025</v>
      </c>
      <c r="I213" s="36">
        <v>8.93e-06</v>
      </c>
      <c r="J213" s="36">
        <v>8.93e-06</v>
      </c>
      <c r="K213" s="72">
        <v>8930</v>
      </c>
      <c r="L213" s="36">
        <v>8.93e-06</v>
      </c>
      <c r="M213" s="36">
        <v>0.0576943469090524</v>
      </c>
      <c r="N213" s="73"/>
      <c r="O213" s="59">
        <v>6000</v>
      </c>
      <c r="P213" s="59">
        <v>7000</v>
      </c>
      <c r="Q213" s="36">
        <v>8.9270001963940038E-6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16166</v>
      </c>
      <c r="C214" s="83">
        <v>12064689245</v>
      </c>
      <c r="D214" s="36">
        <v>0.0016166</v>
      </c>
      <c r="E214" s="69">
        <v>7463.00213101571</v>
      </c>
      <c r="F214" s="73"/>
      <c r="G214" s="14" t="str">
        <f t="shared" si="11"/>
        <v>(7000, 8000]</v>
      </c>
      <c r="H214" s="70">
        <v>0.00478164048001979</v>
      </c>
      <c r="I214" s="36">
        <v>7.73e-06</v>
      </c>
      <c r="J214" s="36">
        <v>7.73e-06</v>
      </c>
      <c r="K214" s="72">
        <v>7730</v>
      </c>
      <c r="L214" s="36">
        <v>7.73e-06</v>
      </c>
      <c r="M214" s="36">
        <v>0.0576890064727514</v>
      </c>
      <c r="N214" s="73"/>
      <c r="O214" s="59">
        <v>7000</v>
      </c>
      <c r="P214" s="59">
        <v>8000</v>
      </c>
      <c r="Q214" s="36">
        <v>7.7290001700380034E-6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10868</v>
      </c>
      <c r="C215" s="83">
        <v>9200182230</v>
      </c>
      <c r="D215" s="36">
        <v>0.0010868</v>
      </c>
      <c r="E215" s="69">
        <v>8465.38666728009</v>
      </c>
      <c r="F215" s="73"/>
      <c r="G215" s="14" t="str">
        <f t="shared" si="11"/>
        <v>(8000, 9000]</v>
      </c>
      <c r="H215" s="70">
        <v>0.0062707029812293</v>
      </c>
      <c r="I215" s="36">
        <v>6.815e-06</v>
      </c>
      <c r="J215" s="36">
        <v>6.815e-06</v>
      </c>
      <c r="K215" s="72">
        <v>6815</v>
      </c>
      <c r="L215" s="36">
        <v>6.815e-06</v>
      </c>
      <c r="M215" s="36">
        <v>0.0576916101375138</v>
      </c>
      <c r="N215" s="73"/>
      <c r="O215" s="59">
        <v>8000</v>
      </c>
      <c r="P215" s="59">
        <v>9000</v>
      </c>
      <c r="Q215" s="36">
        <v>6.8130001498860035E-6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7552</v>
      </c>
      <c r="C216" s="83">
        <v>7157551505</v>
      </c>
      <c r="D216" s="36">
        <v>0.0007552</v>
      </c>
      <c r="E216" s="69">
        <v>9477.69002251059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19804</v>
      </c>
      <c r="C217" s="83">
        <v>25522667235</v>
      </c>
      <c r="D217" s="36">
        <v>0.0019804</v>
      </c>
      <c r="E217" s="69">
        <v>12887.6324151687</v>
      </c>
      <c r="F217" s="73"/>
      <c r="G217" s="14" t="str">
        <f t="shared" si="11"/>
        <v>(10000, 20000]</v>
      </c>
      <c r="H217" s="70">
        <v>0.00226065441324985</v>
      </c>
      <c r="I217" s="36">
        <v>4.477e-06</v>
      </c>
      <c r="J217" s="36">
        <v>4.477e-06</v>
      </c>
      <c r="K217" s="72">
        <v>4477</v>
      </c>
      <c r="L217" s="36">
        <v>4.477e-06</v>
      </c>
      <c r="M217" s="36">
        <v>0.0576979303227103</v>
      </c>
      <c r="N217" s="73"/>
      <c r="O217" s="59">
        <v>10000</v>
      </c>
      <c r="P217" s="59">
        <v>20000</v>
      </c>
      <c r="Q217" s="36">
        <v>4.461000098142002E-6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1380</v>
      </c>
      <c r="C218" s="83">
        <v>3198088800</v>
      </c>
      <c r="D218" s="36">
        <v>0.000138</v>
      </c>
      <c r="E218" s="69">
        <v>23174.5565217391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147</v>
      </c>
      <c r="C219" s="83">
        <v>487384870</v>
      </c>
      <c r="D219" s="36">
        <v>1.47e-05</v>
      </c>
      <c r="E219" s="69">
        <v>33155.4333333333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19</v>
      </c>
      <c r="C220" s="83">
        <v>83788680</v>
      </c>
      <c r="D220" s="36">
        <v>1.9e-06</v>
      </c>
      <c r="E220" s="69">
        <v>44099.3052631579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4</v>
      </c>
      <c r="C221" s="83">
        <v>22055165</v>
      </c>
      <c r="D221" s="36">
        <v>4e-07</v>
      </c>
      <c r="E221" s="69">
        <v>55137.9125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2</v>
      </c>
      <c r="C222" s="83">
        <v>12523905</v>
      </c>
      <c r="D222" s="36">
        <v>2e-07</v>
      </c>
      <c r="E222" s="69">
        <v>62619.525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>
        <f>Overview!B11</f>
        <v>1</v>
      </c>
      <c r="C7" s="40">
        <f>SUM(M15:M79)</f>
        <v>0.71999999724805</v>
      </c>
      <c r="D7" s="40">
        <f>SUM(_xlfn.ANCHORARRAY(M86))*F7</f>
        <v>0.210000000009942</v>
      </c>
      <c r="E7" s="41">
        <f>SUM(C7:D7)</f>
        <v>0.929999997257992</v>
      </c>
      <c r="F7" s="42">
        <f>L79</f>
        <v>0.003577804</v>
      </c>
      <c r="G7" s="43">
        <f>1/F7</f>
        <v>279.501057072998</v>
      </c>
      <c r="H7" s="44">
        <f>D7*G7</f>
        <v>58.6952219881084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78" si="0">"("&amp;$O15&amp;", "&amp;$P15&amp;"]"</f>
        <v>(-1, 0]</v>
      </c>
      <c r="B15" s="67">
        <v>6247098</v>
      </c>
      <c r="C15" s="67">
        <v>0</v>
      </c>
      <c r="D15" s="37" cm="1">
        <f t="array" ref="D15:D78">_xlfn.LET(_xlpm.x, B15:B78, _xlpm.x/SUM(_xlpm.x))</f>
        <v>0.6247098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1.16971032950019</v>
      </c>
      <c r="I15" s="36" cm="1">
        <f t="array" ref="I15:I79">D15:D79*H15:H79</f>
        <v>0.730729506</v>
      </c>
      <c r="J15" s="36" cm="1">
        <f t="array" ref="J15:J78">I15:I78/SUM(I15:I78)</f>
        <v>0.730729506</v>
      </c>
      <c r="K15" s="71" cm="1">
        <f t="array" ref="K15:K79">INT(J15:J79*$B$2)</f>
        <v>730729506</v>
      </c>
      <c r="L15" s="36" cm="1">
        <f t="array" ref="L15:L79">_xlfn.LET(_xlpm.x, K15:K79, _xlpm.x/SUM(_xlpm.x))</f>
        <v>0.730729506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0.72833045634523719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1433218</v>
      </c>
      <c r="C16" s="75">
        <v>62127975</v>
      </c>
      <c r="D16" s="36">
        <v>0.1433218</v>
      </c>
      <c r="E16" s="69">
        <v>0.433485868862936</v>
      </c>
      <c r="G16" s="14" t="str">
        <f t="shared" si="1"/>
        <v>(0, 1]</v>
      </c>
      <c r="H16" s="70">
        <v>1.02250058958232</v>
      </c>
      <c r="I16" s="36">
        <v>0.146546625</v>
      </c>
      <c r="J16" s="36">
        <v>0.146546625</v>
      </c>
      <c r="K16" s="71">
        <v>146546625</v>
      </c>
      <c r="L16" s="36">
        <v>0.146546625</v>
      </c>
      <c r="M16" s="36">
        <v>0.0635258910670559</v>
      </c>
      <c r="N16" s="73"/>
      <c r="O16" s="59">
        <v>0</v>
      </c>
      <c r="P16" s="59">
        <v>1</v>
      </c>
      <c r="Q16" s="36">
        <v>0.14636048375353375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549259</v>
      </c>
      <c r="C17" s="75">
        <v>82715980</v>
      </c>
      <c r="D17" s="36">
        <v>0.0549259</v>
      </c>
      <c r="E17" s="69">
        <v>1.50595584232575</v>
      </c>
      <c r="F17" s="76"/>
      <c r="G17" s="14" t="str">
        <f t="shared" si="1"/>
        <v>(1, 2]</v>
      </c>
      <c r="H17" s="70">
        <v>0.781779524777928</v>
      </c>
      <c r="I17" s="36">
        <v>0.042939944</v>
      </c>
      <c r="J17" s="36">
        <v>0.042939944</v>
      </c>
      <c r="K17" s="71">
        <v>42939944</v>
      </c>
      <c r="L17" s="36">
        <v>0.042939944</v>
      </c>
      <c r="M17" s="36">
        <v>0.0646656595359405</v>
      </c>
      <c r="N17" s="73"/>
      <c r="O17" s="59">
        <v>1</v>
      </c>
      <c r="P17" s="59">
        <v>2</v>
      </c>
      <c r="Q17" s="36">
        <v>4.3099996299985434E-2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330334</v>
      </c>
      <c r="C18" s="75">
        <v>83655460</v>
      </c>
      <c r="D18" s="36">
        <v>0.0330334</v>
      </c>
      <c r="E18" s="69">
        <v>2.53245079222847</v>
      </c>
      <c r="F18" s="76"/>
      <c r="G18" s="14" t="str">
        <f t="shared" si="1"/>
        <v>(2, 3]</v>
      </c>
      <c r="H18" s="70">
        <v>0.595475337083074</v>
      </c>
      <c r="I18" s="36">
        <v>0.019670575</v>
      </c>
      <c r="J18" s="36">
        <v>0.019670575</v>
      </c>
      <c r="K18" s="71">
        <v>19670575</v>
      </c>
      <c r="L18" s="36">
        <v>0.019670575</v>
      </c>
      <c r="M18" s="36">
        <v>0.0498147632423395</v>
      </c>
      <c r="N18" s="73"/>
      <c r="O18" s="59">
        <v>2</v>
      </c>
      <c r="P18" s="59">
        <v>3</v>
      </c>
      <c r="Q18" s="36">
        <v>1.9838445225520102E-2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228465</v>
      </c>
      <c r="C19" s="75">
        <v>80599815</v>
      </c>
      <c r="D19" s="36">
        <v>0.0228465</v>
      </c>
      <c r="E19" s="69">
        <v>3.5278845775064</v>
      </c>
      <c r="F19" s="77"/>
      <c r="G19" s="14" t="str">
        <f t="shared" si="1"/>
        <v>(3, 4]</v>
      </c>
      <c r="H19" s="70">
        <v>0.528140459151292</v>
      </c>
      <c r="I19" s="36">
        <v>0.012066161</v>
      </c>
      <c r="J19" s="36">
        <v>0.012066161</v>
      </c>
      <c r="K19" s="71">
        <v>12066161</v>
      </c>
      <c r="L19" s="36">
        <v>0.012066161</v>
      </c>
      <c r="M19" s="36">
        <v>0.0425680233016092</v>
      </c>
      <c r="N19" s="73"/>
      <c r="O19" s="59">
        <v>3</v>
      </c>
      <c r="P19" s="59">
        <v>4</v>
      </c>
      <c r="Q19" s="36">
        <v>1.222564308025339E-2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170201</v>
      </c>
      <c r="C20" s="75">
        <v>77116390</v>
      </c>
      <c r="D20" s="36">
        <v>0.0170201</v>
      </c>
      <c r="E20" s="69">
        <v>4.5309011110393</v>
      </c>
      <c r="F20" s="77"/>
      <c r="G20" s="14" t="str">
        <f t="shared" si="1"/>
        <v>(4, 5]</v>
      </c>
      <c r="H20" s="70">
        <v>0.460310515214364</v>
      </c>
      <c r="I20" s="36">
        <v>0.007834531</v>
      </c>
      <c r="J20" s="36">
        <v>0.007834531</v>
      </c>
      <c r="K20" s="71">
        <v>7834531</v>
      </c>
      <c r="L20" s="36">
        <v>0.007834531</v>
      </c>
      <c r="M20" s="36">
        <v>0.0354974852123718</v>
      </c>
      <c r="N20" s="73"/>
      <c r="O20" s="59">
        <v>4</v>
      </c>
      <c r="P20" s="59">
        <v>5</v>
      </c>
      <c r="Q20" s="36">
        <v>7.9752258112673544E-3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135233</v>
      </c>
      <c r="C21" s="75">
        <v>75076835</v>
      </c>
      <c r="D21" s="36">
        <v>0.0135233</v>
      </c>
      <c r="E21" s="69">
        <v>5.55166527400856</v>
      </c>
      <c r="F21" s="77"/>
      <c r="G21" s="14" t="str">
        <f t="shared" si="1"/>
        <v>(5, 6]</v>
      </c>
      <c r="H21" s="70">
        <v>0.447018405270903</v>
      </c>
      <c r="I21" s="36">
        <v>0.006045164</v>
      </c>
      <c r="J21" s="36">
        <v>0.006045164</v>
      </c>
      <c r="K21" s="71">
        <v>6045164</v>
      </c>
      <c r="L21" s="36">
        <v>0.006045164</v>
      </c>
      <c r="M21" s="36">
        <v>0.0335607270544867</v>
      </c>
      <c r="N21" s="73"/>
      <c r="O21" s="59">
        <v>5</v>
      </c>
      <c r="P21" s="59">
        <v>6</v>
      </c>
      <c r="Q21" s="36">
        <v>6.1830289503805192E-3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105956</v>
      </c>
      <c r="C22" s="75">
        <v>69127355</v>
      </c>
      <c r="D22" s="36">
        <v>0.0105956</v>
      </c>
      <c r="E22" s="69">
        <v>6.5241567254332</v>
      </c>
      <c r="F22" s="77"/>
      <c r="G22" s="14" t="str">
        <f t="shared" si="1"/>
        <v>(6, 7]</v>
      </c>
      <c r="H22" s="70">
        <v>0.307117860243875</v>
      </c>
      <c r="I22" s="36">
        <v>0.003254098</v>
      </c>
      <c r="J22" s="36">
        <v>0.003254098</v>
      </c>
      <c r="K22" s="71">
        <v>3254098</v>
      </c>
      <c r="L22" s="36">
        <v>0.003254098</v>
      </c>
      <c r="M22" s="36">
        <v>0.0212302453519187</v>
      </c>
      <c r="N22" s="73"/>
      <c r="O22" s="59">
        <v>6</v>
      </c>
      <c r="P22" s="59">
        <v>7</v>
      </c>
      <c r="Q22" s="36">
        <v>3.343409011835516E-3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89636</v>
      </c>
      <c r="C23" s="75">
        <v>67520920</v>
      </c>
      <c r="D23" s="36">
        <v>0.0089636</v>
      </c>
      <c r="E23" s="69">
        <v>7.53279039671561</v>
      </c>
      <c r="F23" s="77"/>
      <c r="G23" s="14" t="str">
        <f t="shared" si="1"/>
        <v>(7, 8]</v>
      </c>
      <c r="H23" s="70">
        <v>0.407065241643982</v>
      </c>
      <c r="I23" s="36">
        <v>0.00364877</v>
      </c>
      <c r="J23" s="36">
        <v>0.00364877</v>
      </c>
      <c r="K23" s="71">
        <v>3648770</v>
      </c>
      <c r="L23" s="36">
        <v>0.00364877</v>
      </c>
      <c r="M23" s="36">
        <v>0.027485419615824</v>
      </c>
      <c r="N23" s="73"/>
      <c r="O23" s="59">
        <v>7</v>
      </c>
      <c r="P23" s="59">
        <v>8</v>
      </c>
      <c r="Q23" s="36">
        <v>3.7665526540785017E-3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75277</v>
      </c>
      <c r="C24" s="75">
        <v>64389130</v>
      </c>
      <c r="D24" s="36">
        <v>0.0075277</v>
      </c>
      <c r="E24" s="69">
        <v>8.55362594152264</v>
      </c>
      <c r="F24" s="77"/>
      <c r="G24" s="14" t="str">
        <f t="shared" si="1"/>
        <v>(8, 9]</v>
      </c>
      <c r="H24" s="70">
        <v>0.392129335653653</v>
      </c>
      <c r="I24" s="36">
        <v>0.002951832</v>
      </c>
      <c r="J24" s="36">
        <v>0.002951832</v>
      </c>
      <c r="K24" s="71">
        <v>2951832</v>
      </c>
      <c r="L24" s="36">
        <v>0.002951832</v>
      </c>
      <c r="M24" s="36">
        <v>0.0252488667702167</v>
      </c>
      <c r="N24" s="73"/>
      <c r="O24" s="59">
        <v>8</v>
      </c>
      <c r="P24" s="59">
        <v>9</v>
      </c>
      <c r="Q24" s="36">
        <v>3.0616287840379954E-3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62216</v>
      </c>
      <c r="C25" s="75">
        <v>59348130</v>
      </c>
      <c r="D25" s="36">
        <v>0.0062216</v>
      </c>
      <c r="E25" s="69">
        <v>9.53904622605118</v>
      </c>
      <c r="F25" s="77"/>
      <c r="G25" s="14" t="str">
        <f t="shared" si="1"/>
        <v>(9, 10]</v>
      </c>
      <c r="H25" s="70">
        <v>0.307631959624534</v>
      </c>
      <c r="I25" s="36">
        <v>0.001913963</v>
      </c>
      <c r="J25" s="36">
        <v>0.001913963</v>
      </c>
      <c r="K25" s="71">
        <v>1913963</v>
      </c>
      <c r="L25" s="36">
        <v>0.001913963</v>
      </c>
      <c r="M25" s="36">
        <v>0.0182573815319516</v>
      </c>
      <c r="N25" s="73"/>
      <c r="O25" s="59">
        <v>9</v>
      </c>
      <c r="P25" s="59">
        <v>10</v>
      </c>
      <c r="Q25" s="36">
        <v>1.9942802515746454E-3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206815</v>
      </c>
      <c r="C26" s="75">
        <v>253931790</v>
      </c>
      <c r="D26" s="36">
        <v>0.0206815</v>
      </c>
      <c r="E26" s="69">
        <v>12.2782095109156</v>
      </c>
      <c r="F26" s="77"/>
      <c r="G26" s="14" t="str">
        <f t="shared" si="1"/>
        <v>(10, 15]</v>
      </c>
      <c r="H26" s="70">
        <v>0.489621787587941</v>
      </c>
      <c r="I26" s="36">
        <v>0.010126113</v>
      </c>
      <c r="J26" s="36">
        <v>0.010126113</v>
      </c>
      <c r="K26" s="71">
        <v>10126113</v>
      </c>
      <c r="L26" s="36">
        <v>0.010126113</v>
      </c>
      <c r="M26" s="36">
        <v>0.124330536945206</v>
      </c>
      <c r="N26" s="73"/>
      <c r="O26" s="59">
        <v>10</v>
      </c>
      <c r="P26" s="59">
        <v>15</v>
      </c>
      <c r="Q26" s="36">
        <v>1.0686414899147281E-2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111556</v>
      </c>
      <c r="C27" s="75">
        <v>193360090</v>
      </c>
      <c r="D27" s="36">
        <v>0.0111556</v>
      </c>
      <c r="E27" s="69">
        <v>17.333006741009</v>
      </c>
      <c r="F27" s="77"/>
      <c r="G27" s="14" t="str">
        <f t="shared" si="1"/>
        <v>(15, 20]</v>
      </c>
      <c r="H27" s="70">
        <v>0.389132453655563</v>
      </c>
      <c r="I27" s="36">
        <v>0.004341006</v>
      </c>
      <c r="J27" s="36">
        <v>0.004341006</v>
      </c>
      <c r="K27" s="71">
        <v>4341006</v>
      </c>
      <c r="L27" s="36">
        <v>0.004341006</v>
      </c>
      <c r="M27" s="36">
        <v>0.0752426862607605</v>
      </c>
      <c r="N27" s="73"/>
      <c r="O27" s="59">
        <v>15</v>
      </c>
      <c r="P27" s="59">
        <v>20</v>
      </c>
      <c r="Q27" s="36">
        <v>4.6902589545167774E-3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67467</v>
      </c>
      <c r="C28" s="75">
        <v>150929520</v>
      </c>
      <c r="D28" s="36">
        <v>0.0067467</v>
      </c>
      <c r="E28" s="69">
        <v>22.3708657565921</v>
      </c>
      <c r="F28" s="77"/>
      <c r="G28" s="14" t="str">
        <f t="shared" si="1"/>
        <v>(20, 25]</v>
      </c>
      <c r="H28" s="70">
        <v>0.359120014229179</v>
      </c>
      <c r="I28" s="36">
        <v>0.002422875</v>
      </c>
      <c r="J28" s="36">
        <v>0.002422875</v>
      </c>
      <c r="K28" s="71">
        <v>2422875</v>
      </c>
      <c r="L28" s="36">
        <v>0.002422875</v>
      </c>
      <c r="M28" s="36">
        <v>0.0542018113700031</v>
      </c>
      <c r="N28" s="73"/>
      <c r="O28" s="59">
        <v>20</v>
      </c>
      <c r="P28" s="59">
        <v>25</v>
      </c>
      <c r="Q28" s="36">
        <v>2.6799103984870452E-3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44547</v>
      </c>
      <c r="C29" s="75">
        <v>122053310</v>
      </c>
      <c r="D29" s="36">
        <v>0.0044547</v>
      </c>
      <c r="E29" s="69">
        <v>27.3987720834175</v>
      </c>
      <c r="F29" s="77"/>
      <c r="G29" s="14" t="str">
        <f t="shared" si="1"/>
        <v>(25, 30]</v>
      </c>
      <c r="H29" s="70">
        <v>0.433482164904483</v>
      </c>
      <c r="I29" s="36">
        <v>0.001931033</v>
      </c>
      <c r="J29" s="36">
        <v>0.001931033</v>
      </c>
      <c r="K29" s="71">
        <v>1931033</v>
      </c>
      <c r="L29" s="36">
        <v>0.001931033</v>
      </c>
      <c r="M29" s="36">
        <v>0.0529079330525579</v>
      </c>
      <c r="N29" s="73"/>
      <c r="O29" s="59">
        <v>25</v>
      </c>
      <c r="P29" s="59">
        <v>30</v>
      </c>
      <c r="Q29" s="36">
        <v>2.1864611984031821E-3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30283</v>
      </c>
      <c r="C30" s="75">
        <v>98076130</v>
      </c>
      <c r="D30" s="36">
        <v>0.0030283</v>
      </c>
      <c r="E30" s="69">
        <v>32.3865303965921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22161</v>
      </c>
      <c r="C31" s="75">
        <v>82980175</v>
      </c>
      <c r="D31" s="36">
        <v>0.0022161</v>
      </c>
      <c r="E31" s="69">
        <v>37.4442376246559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16552</v>
      </c>
      <c r="C32" s="75">
        <v>70251000</v>
      </c>
      <c r="D32" s="36">
        <v>0.0016552</v>
      </c>
      <c r="E32" s="69">
        <v>42.442605123248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12473</v>
      </c>
      <c r="C33" s="75">
        <v>59162315</v>
      </c>
      <c r="D33" s="36">
        <v>0.0012473</v>
      </c>
      <c r="E33" s="69">
        <v>47.4323057804858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17718</v>
      </c>
      <c r="C34" s="75">
        <v>96918655</v>
      </c>
      <c r="D34" s="36">
        <v>0.0017718</v>
      </c>
      <c r="E34" s="69">
        <v>54.7006744553561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11162</v>
      </c>
      <c r="C35" s="75">
        <v>72230575</v>
      </c>
      <c r="D35" s="36">
        <v>0.0011162</v>
      </c>
      <c r="E35" s="69">
        <v>64.7111404766171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7637</v>
      </c>
      <c r="C36" s="75">
        <v>57127050</v>
      </c>
      <c r="D36" s="36">
        <v>0.0007637</v>
      </c>
      <c r="E36" s="69">
        <v>74.8029985596438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5435</v>
      </c>
      <c r="C37" s="75">
        <v>46048320</v>
      </c>
      <c r="D37" s="36">
        <v>0.0005435</v>
      </c>
      <c r="E37" s="69">
        <v>84.7255197792088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3862</v>
      </c>
      <c r="C38" s="75">
        <v>36588240</v>
      </c>
      <c r="D38" s="36">
        <v>0.0003862</v>
      </c>
      <c r="E38" s="69">
        <v>94.7390989124806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</v>
      </c>
      <c r="C39" s="75">
        <v>57430430</v>
      </c>
      <c r="D39" s="36">
        <v>0.0005252</v>
      </c>
      <c r="E39" s="69">
        <v>109.349638233054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3106</v>
      </c>
      <c r="C40" s="75">
        <v>40086250</v>
      </c>
      <c r="D40" s="36">
        <v>0.0003106</v>
      </c>
      <c r="E40" s="69">
        <v>129.060688989053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1905</v>
      </c>
      <c r="C41" s="75">
        <v>28459830</v>
      </c>
      <c r="D41" s="36">
        <v>0.0001905</v>
      </c>
      <c r="E41" s="69">
        <v>149.395433070866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1349</v>
      </c>
      <c r="C42" s="75">
        <v>22803855</v>
      </c>
      <c r="D42" s="36">
        <v>0.0001349</v>
      </c>
      <c r="E42" s="69">
        <v>169.042661230541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881</v>
      </c>
      <c r="C43" s="75">
        <v>16671680</v>
      </c>
      <c r="D43" s="36">
        <v>8.81e-05</v>
      </c>
      <c r="E43" s="69">
        <v>189.235868331442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1365</v>
      </c>
      <c r="C44" s="75">
        <v>30326020</v>
      </c>
      <c r="D44" s="36">
        <v>0.0001365</v>
      </c>
      <c r="E44" s="69">
        <v>222.168644688645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606</v>
      </c>
      <c r="C45" s="75">
        <v>16469770</v>
      </c>
      <c r="D45" s="36">
        <v>6.06e-05</v>
      </c>
      <c r="E45" s="69">
        <v>271.778382838284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364</v>
      </c>
      <c r="C46" s="75">
        <v>11717060</v>
      </c>
      <c r="D46" s="36">
        <v>3.64e-05</v>
      </c>
      <c r="E46" s="69">
        <v>321.897252747253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200</v>
      </c>
      <c r="C47" s="75">
        <v>7475600</v>
      </c>
      <c r="D47" s="36">
        <v>2e-05</v>
      </c>
      <c r="E47" s="69">
        <v>373.78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135</v>
      </c>
      <c r="C48" s="75">
        <v>5686395</v>
      </c>
      <c r="D48" s="36">
        <v>1.35e-05</v>
      </c>
      <c r="E48" s="69">
        <v>421.214444444444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85</v>
      </c>
      <c r="C49" s="75">
        <v>4014090</v>
      </c>
      <c r="D49" s="36">
        <v>8.5e-06</v>
      </c>
      <c r="E49" s="69">
        <v>472.245882352941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60</v>
      </c>
      <c r="C50" s="75">
        <v>3130370</v>
      </c>
      <c r="D50" s="36">
        <v>6e-06</v>
      </c>
      <c r="E50" s="69">
        <v>521.728333333333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32</v>
      </c>
      <c r="C51" s="75">
        <v>1835700</v>
      </c>
      <c r="D51" s="36">
        <v>3.2e-06</v>
      </c>
      <c r="E51" s="69">
        <v>573.65625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22</v>
      </c>
      <c r="C52" s="75">
        <v>1365180</v>
      </c>
      <c r="D52" s="36">
        <v>2.2e-06</v>
      </c>
      <c r="E52" s="69">
        <v>620.536363636364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24</v>
      </c>
      <c r="C53" s="75">
        <v>1610270</v>
      </c>
      <c r="D53" s="36">
        <v>2.4e-06</v>
      </c>
      <c r="E53" s="69">
        <v>670.945833333333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13</v>
      </c>
      <c r="C54" s="75">
        <v>944800</v>
      </c>
      <c r="D54" s="36">
        <v>1.3e-06</v>
      </c>
      <c r="E54" s="69">
        <v>726.769230769231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9</v>
      </c>
      <c r="C55" s="75">
        <v>696895</v>
      </c>
      <c r="D55" s="36">
        <v>9e-07</v>
      </c>
      <c r="E55" s="69">
        <v>774.327777777778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2</v>
      </c>
      <c r="C56" s="75">
        <v>163605</v>
      </c>
      <c r="D56" s="36">
        <v>2e-07</v>
      </c>
      <c r="E56" s="69">
        <v>818.025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5</v>
      </c>
      <c r="C57" s="75">
        <v>441325</v>
      </c>
      <c r="D57" s="36">
        <v>5e-07</v>
      </c>
      <c r="E57" s="69">
        <v>882.65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7</v>
      </c>
      <c r="C58" s="75">
        <v>646765</v>
      </c>
      <c r="D58" s="36">
        <v>7e-07</v>
      </c>
      <c r="E58" s="69">
        <v>923.95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2</v>
      </c>
      <c r="C59" s="75">
        <v>195460</v>
      </c>
      <c r="D59" s="36">
        <v>2e-07</v>
      </c>
      <c r="E59" s="69">
        <v>977.3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15</v>
      </c>
      <c r="C60" s="75">
        <v>1820010</v>
      </c>
      <c r="D60" s="36">
        <v>1.5e-06</v>
      </c>
      <c r="E60" s="69">
        <v>1213.34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69644</v>
      </c>
      <c r="C79" s="75">
        <v>61243685</v>
      </c>
      <c r="D79" s="36">
        <f>B79/B13</f>
        <v>0.0069644</v>
      </c>
      <c r="E79" s="69">
        <v>8.79382071678824</v>
      </c>
      <c r="F79" s="77"/>
      <c r="G79" s="14" t="s">
        <v>180</v>
      </c>
      <c r="H79" s="70">
        <v>0.51372752857389</v>
      </c>
      <c r="I79" s="36">
        <v>0.003577804</v>
      </c>
      <c r="J79" s="36">
        <f>I79</f>
        <v>0.003577804</v>
      </c>
      <c r="K79" s="72">
        <v>3577804</v>
      </c>
      <c r="L79" s="36">
        <v>0.003577804</v>
      </c>
      <c r="M79" s="36">
        <v>0.0314625669358078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49" si="2">"("&amp;$O86&amp;", "&amp;$P86&amp;"]"</f>
        <v>(-1, 0]</v>
      </c>
      <c r="B86" s="67">
        <v>248</v>
      </c>
      <c r="C86" s="67">
        <v>0</v>
      </c>
      <c r="D86" s="36" cm="1">
        <f t="array" ref="D86:D149">_xlfn.LET(_xlpm.x, B86:B149, _xlpm.x/SUM(_xlpm.x))</f>
        <v>0.00356096720464074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95</v>
      </c>
      <c r="C87" s="75">
        <v>6130</v>
      </c>
      <c r="D87" s="36">
        <v>0.00136408017919706</v>
      </c>
      <c r="E87" s="69">
        <v>0.645263157894737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145</v>
      </c>
      <c r="C88" s="75">
        <v>22490</v>
      </c>
      <c r="D88" s="36">
        <v>0.00208201711561656</v>
      </c>
      <c r="E88" s="69">
        <v>1.55103448275862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128</v>
      </c>
      <c r="C89" s="75">
        <v>32630</v>
      </c>
      <c r="D89" s="36">
        <v>0.00183791855723393</v>
      </c>
      <c r="E89" s="69">
        <v>2.54921875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135</v>
      </c>
      <c r="C90" s="75">
        <v>48305</v>
      </c>
      <c r="D90" s="36">
        <v>0.00193842972833266</v>
      </c>
      <c r="E90" s="69">
        <v>3.57814814814815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154</v>
      </c>
      <c r="C91" s="75">
        <v>70730</v>
      </c>
      <c r="D91" s="36">
        <v>0.00221124576417208</v>
      </c>
      <c r="E91" s="69">
        <v>4.59285714285714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142</v>
      </c>
      <c r="C92" s="75">
        <v>79435</v>
      </c>
      <c r="D92" s="36">
        <v>0.00203894089943139</v>
      </c>
      <c r="E92" s="69">
        <v>5.59401408450704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149</v>
      </c>
      <c r="C93" s="75">
        <v>97850</v>
      </c>
      <c r="D93" s="36">
        <v>0.00213945207053012</v>
      </c>
      <c r="E93" s="69">
        <v>6.56711409395973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158</v>
      </c>
      <c r="C94" s="75">
        <v>119180</v>
      </c>
      <c r="D94" s="36">
        <v>0.00226868071908564</v>
      </c>
      <c r="E94" s="69">
        <v>7.54303797468354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132</v>
      </c>
      <c r="C95" s="75">
        <v>113770</v>
      </c>
      <c r="D95" s="36">
        <v>0.00189535351214749</v>
      </c>
      <c r="E95" s="69">
        <v>8.61893939393939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131</v>
      </c>
      <c r="C96" s="75">
        <v>125780</v>
      </c>
      <c r="D96" s="36">
        <v>0.0018809947734191</v>
      </c>
      <c r="E96" s="69">
        <v>9.60152671755725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714</v>
      </c>
      <c r="C97" s="75">
        <v>902310</v>
      </c>
      <c r="D97" s="36">
        <v>0.0102521394520705</v>
      </c>
      <c r="E97" s="69">
        <v>12.6373949579832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765</v>
      </c>
      <c r="C98" s="75">
        <v>1341315</v>
      </c>
      <c r="D98" s="36">
        <v>0.0109844351272184</v>
      </c>
      <c r="E98" s="69">
        <v>17.5335294117647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753</v>
      </c>
      <c r="C99" s="75">
        <v>1700760</v>
      </c>
      <c r="D99" s="36">
        <v>0.0108121302624777</v>
      </c>
      <c r="E99" s="69">
        <v>22.5864541832669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760</v>
      </c>
      <c r="C100" s="75">
        <v>2088705</v>
      </c>
      <c r="D100" s="36">
        <v>0.0109126414335765</v>
      </c>
      <c r="E100" s="69">
        <v>27.4829605263158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729</v>
      </c>
      <c r="C101" s="75">
        <v>2372100</v>
      </c>
      <c r="D101" s="36">
        <v>0.0104675205329964</v>
      </c>
      <c r="E101" s="69">
        <v>32.5390946502058</v>
      </c>
      <c r="F101" s="73"/>
      <c r="G101" s="14" t="str">
        <f t="shared" si="3"/>
        <v>(30, 35]</v>
      </c>
      <c r="H101" s="70">
        <v>7.35001462452125</v>
      </c>
      <c r="I101" s="36">
        <v>0.076936429</v>
      </c>
      <c r="J101" s="36">
        <v>0.076936429</v>
      </c>
      <c r="K101" s="71">
        <v>76936429</v>
      </c>
      <c r="L101" s="36">
        <v>0.076936429</v>
      </c>
      <c r="M101" s="36">
        <v>2.50344174527984</v>
      </c>
      <c r="N101" s="73"/>
      <c r="O101" s="59">
        <v>30</v>
      </c>
      <c r="P101" s="59">
        <v>35</v>
      </c>
      <c r="Q101" s="36">
        <v>7.6923420230770256E-2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695</v>
      </c>
      <c r="C102" s="75">
        <v>2613300</v>
      </c>
      <c r="D102" s="36">
        <v>0.00997932341623112</v>
      </c>
      <c r="E102" s="69">
        <v>37.6014388489209</v>
      </c>
      <c r="F102" s="73"/>
      <c r="G102" s="14" t="str">
        <f t="shared" si="3"/>
        <v>(35, 40]</v>
      </c>
      <c r="H102" s="70">
        <v>13.8767069894504</v>
      </c>
      <c r="I102" s="36">
        <v>0.138480147</v>
      </c>
      <c r="J102" s="36">
        <v>0.138480147</v>
      </c>
      <c r="K102" s="71">
        <v>138480147</v>
      </c>
      <c r="L102" s="36">
        <v>0.138480147</v>
      </c>
      <c r="M102" s="36">
        <v>5.20705277921008</v>
      </c>
      <c r="N102" s="73"/>
      <c r="O102" s="59">
        <v>35</v>
      </c>
      <c r="P102" s="59">
        <v>40</v>
      </c>
      <c r="Q102" s="36">
        <v>0.13846126341538378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738</v>
      </c>
      <c r="C103" s="75">
        <v>3138865</v>
      </c>
      <c r="D103" s="36">
        <v>0.0105967491815519</v>
      </c>
      <c r="E103" s="69">
        <v>42.5320460704607</v>
      </c>
      <c r="F103" s="73"/>
      <c r="G103" s="14" t="str">
        <f t="shared" si="3"/>
        <v>(40, 45]</v>
      </c>
      <c r="H103" s="70">
        <v>11.6156895752791</v>
      </c>
      <c r="I103" s="36">
        <v>0.123088549</v>
      </c>
      <c r="J103" s="36">
        <v>0.123088549</v>
      </c>
      <c r="K103" s="71">
        <v>123088549</v>
      </c>
      <c r="L103" s="36">
        <v>0.123088549</v>
      </c>
      <c r="M103" s="36">
        <v>5.23520783681416</v>
      </c>
      <c r="N103" s="73"/>
      <c r="O103" s="59">
        <v>40</v>
      </c>
      <c r="P103" s="59">
        <v>45</v>
      </c>
      <c r="Q103" s="36">
        <v>0.12307568736922707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715</v>
      </c>
      <c r="C104" s="75">
        <v>3405580</v>
      </c>
      <c r="D104" s="36">
        <v>0.0102664981907989</v>
      </c>
      <c r="E104" s="69">
        <v>47.6304895104895</v>
      </c>
      <c r="F104" s="73"/>
      <c r="G104" s="14" t="str">
        <f t="shared" si="3"/>
        <v>(45, 50]</v>
      </c>
      <c r="H104" s="70">
        <v>10.4904364661091</v>
      </c>
      <c r="I104" s="36">
        <v>0.107700047</v>
      </c>
      <c r="J104" s="36">
        <v>0.107700047</v>
      </c>
      <c r="K104" s="71">
        <v>107700047</v>
      </c>
      <c r="L104" s="36">
        <v>0.107700047</v>
      </c>
      <c r="M104" s="36">
        <v>5.12980595891273</v>
      </c>
      <c r="N104" s="73"/>
      <c r="O104" s="59">
        <v>45</v>
      </c>
      <c r="P104" s="59">
        <v>50</v>
      </c>
      <c r="Q104" s="36">
        <v>0.10769234232307703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1352</v>
      </c>
      <c r="C105" s="75">
        <v>7425075</v>
      </c>
      <c r="D105" s="36">
        <v>0.0194130147607834</v>
      </c>
      <c r="E105" s="69">
        <v>54.9191937869822</v>
      </c>
      <c r="F105" s="73"/>
      <c r="G105" s="14" t="str">
        <f t="shared" si="3"/>
        <v>(50, 60]</v>
      </c>
      <c r="H105" s="70">
        <v>5.54756555471006</v>
      </c>
      <c r="I105" s="36">
        <v>0.107694972</v>
      </c>
      <c r="J105" s="36">
        <v>0.107694972</v>
      </c>
      <c r="K105" s="71">
        <v>107694972</v>
      </c>
      <c r="L105" s="36">
        <v>0.107694972</v>
      </c>
      <c r="M105" s="36">
        <v>5.91452103715162</v>
      </c>
      <c r="N105" s="73"/>
      <c r="O105" s="59">
        <v>50</v>
      </c>
      <c r="P105" s="59">
        <v>60</v>
      </c>
      <c r="Q105" s="36">
        <v>0.10769234232307703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1356</v>
      </c>
      <c r="C106" s="75">
        <v>8820645</v>
      </c>
      <c r="D106" s="36">
        <v>0.019470449715697</v>
      </c>
      <c r="E106" s="69">
        <v>65.0490044247788</v>
      </c>
      <c r="F106" s="73"/>
      <c r="G106" s="14" t="str">
        <f t="shared" si="3"/>
        <v>(60, 70]</v>
      </c>
      <c r="H106" s="70">
        <v>7.90123105764601</v>
      </c>
      <c r="I106" s="36">
        <v>0.153840522</v>
      </c>
      <c r="J106" s="36">
        <v>0.153840522</v>
      </c>
      <c r="K106" s="71">
        <v>153840522</v>
      </c>
      <c r="L106" s="36">
        <v>0.153840522</v>
      </c>
      <c r="M106" s="36">
        <v>10.0071727962883</v>
      </c>
      <c r="N106" s="73"/>
      <c r="O106" s="59">
        <v>60</v>
      </c>
      <c r="P106" s="59">
        <v>70</v>
      </c>
      <c r="Q106" s="36">
        <v>0.15384684046154051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1335</v>
      </c>
      <c r="C107" s="75">
        <v>10010735</v>
      </c>
      <c r="D107" s="36">
        <v>0.0191689162024008</v>
      </c>
      <c r="E107" s="69">
        <v>74.9867790262172</v>
      </c>
      <c r="F107" s="73"/>
      <c r="G107" s="14" t="str">
        <f t="shared" si="3"/>
        <v>(70, 80]</v>
      </c>
      <c r="H107" s="70">
        <v>4.01250228170786</v>
      </c>
      <c r="I107" s="36">
        <v>0.07691532</v>
      </c>
      <c r="J107" s="36">
        <v>0.07691532</v>
      </c>
      <c r="K107" s="71">
        <v>76915320</v>
      </c>
      <c r="L107" s="36">
        <v>0.07691532</v>
      </c>
      <c r="M107" s="36">
        <v>5.76763210457078</v>
      </c>
      <c r="N107" s="73"/>
      <c r="O107" s="59">
        <v>70</v>
      </c>
      <c r="P107" s="59">
        <v>80</v>
      </c>
      <c r="Q107" s="36">
        <v>7.6923420230770256E-2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1240</v>
      </c>
      <c r="C108" s="75">
        <v>10544990</v>
      </c>
      <c r="D108" s="36">
        <v>0.0178048360232037</v>
      </c>
      <c r="E108" s="69">
        <v>85.0402419354839</v>
      </c>
      <c r="F108" s="73"/>
      <c r="G108" s="14" t="str">
        <f t="shared" si="3"/>
        <v>(80, 90]</v>
      </c>
      <c r="H108" s="70">
        <v>8.63926192858711</v>
      </c>
      <c r="I108" s="36">
        <v>0.153820642</v>
      </c>
      <c r="J108" s="36">
        <v>0.153820642</v>
      </c>
      <c r="K108" s="71">
        <v>153820642</v>
      </c>
      <c r="L108" s="36">
        <v>0.153820642</v>
      </c>
      <c r="M108" s="36">
        <v>13.0809446103515</v>
      </c>
      <c r="N108" s="73"/>
      <c r="O108" s="59">
        <v>80</v>
      </c>
      <c r="P108" s="59">
        <v>90</v>
      </c>
      <c r="Q108" s="36">
        <v>0.15384684046154051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1233</v>
      </c>
      <c r="C109" s="75">
        <v>11722965</v>
      </c>
      <c r="D109" s="36">
        <v>0.017704324852105</v>
      </c>
      <c r="E109" s="69">
        <v>95.0767639902677</v>
      </c>
      <c r="F109" s="73"/>
      <c r="G109" s="14" t="str">
        <f t="shared" si="3"/>
        <v>(90, 100]</v>
      </c>
      <c r="H109" s="81">
        <v>3.47504762333171</v>
      </c>
      <c r="I109" s="79">
        <v>0.061523372</v>
      </c>
      <c r="J109" s="79">
        <v>0.061523372</v>
      </c>
      <c r="K109" s="71">
        <v>61523372</v>
      </c>
      <c r="L109" s="79">
        <v>0.061523372</v>
      </c>
      <c r="M109" s="79">
        <v>5.84944311952944</v>
      </c>
      <c r="N109" s="73"/>
      <c r="O109" s="59">
        <v>90</v>
      </c>
      <c r="P109" s="59">
        <v>100</v>
      </c>
      <c r="Q109" s="36">
        <v>6.1537843184613528E-2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2413</v>
      </c>
      <c r="C110" s="75">
        <v>26519780</v>
      </c>
      <c r="D110" s="36">
        <v>0.0346476365516053</v>
      </c>
      <c r="E110" s="69">
        <v>109.903771239121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2223</v>
      </c>
      <c r="C111" s="75">
        <v>28859325</v>
      </c>
      <c r="D111" s="36">
        <v>0.0319194761932112</v>
      </c>
      <c r="E111" s="69">
        <v>129.821524966262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2056</v>
      </c>
      <c r="C112" s="75">
        <v>30800485</v>
      </c>
      <c r="D112" s="36">
        <v>0.02952156682557</v>
      </c>
      <c r="E112" s="69">
        <v>149.807806420233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1956</v>
      </c>
      <c r="C113" s="75">
        <v>33270730</v>
      </c>
      <c r="D113" s="36">
        <v>0.028085692952731</v>
      </c>
      <c r="E113" s="69">
        <v>170.095756646217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1911</v>
      </c>
      <c r="C114" s="75">
        <v>36302090</v>
      </c>
      <c r="D114" s="36">
        <v>0.0274395497099535</v>
      </c>
      <c r="E114" s="69">
        <v>189.963840920984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4233</v>
      </c>
      <c r="C115" s="75">
        <v>95043970</v>
      </c>
      <c r="D115" s="36">
        <v>0.0607805410372753</v>
      </c>
      <c r="E115" s="69">
        <v>224.530994566501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3703</v>
      </c>
      <c r="C116" s="75">
        <v>101660685</v>
      </c>
      <c r="D116" s="36">
        <v>0.0531704095112285</v>
      </c>
      <c r="E116" s="69">
        <v>274.536011342155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3200</v>
      </c>
      <c r="C117" s="75">
        <v>103895330</v>
      </c>
      <c r="D117" s="36">
        <v>0.0459479639308483</v>
      </c>
      <c r="E117" s="69">
        <v>324.67290625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2846</v>
      </c>
      <c r="C118" s="75">
        <v>106639775</v>
      </c>
      <c r="D118" s="36">
        <v>0.0408649704209982</v>
      </c>
      <c r="E118" s="69">
        <v>374.700544624034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2502</v>
      </c>
      <c r="C119" s="75">
        <v>106137315</v>
      </c>
      <c r="D119" s="36">
        <v>0.035925564298432</v>
      </c>
      <c r="E119" s="69">
        <v>424.209892086331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2258</v>
      </c>
      <c r="C120" s="75">
        <v>107268225</v>
      </c>
      <c r="D120" s="36">
        <v>0.0324220320487048</v>
      </c>
      <c r="E120" s="69">
        <v>475.058569530558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2017</v>
      </c>
      <c r="C121" s="75">
        <v>105692850</v>
      </c>
      <c r="D121" s="36">
        <v>0.0289615760151628</v>
      </c>
      <c r="E121" s="69">
        <v>524.010163609321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1737</v>
      </c>
      <c r="C122" s="75">
        <v>99861515</v>
      </c>
      <c r="D122" s="36">
        <v>0.0249411291712136</v>
      </c>
      <c r="E122" s="69">
        <v>574.907973517559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1558</v>
      </c>
      <c r="C123" s="75">
        <v>97258630</v>
      </c>
      <c r="D123" s="36">
        <v>0.0223709149388318</v>
      </c>
      <c r="E123" s="69">
        <v>624.253080872914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1395</v>
      </c>
      <c r="C124" s="75">
        <v>94148260</v>
      </c>
      <c r="D124" s="36">
        <v>0.0200304405261042</v>
      </c>
      <c r="E124" s="69">
        <v>674.897921146953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1287</v>
      </c>
      <c r="C125" s="75">
        <v>93271455</v>
      </c>
      <c r="D125" s="36">
        <v>0.0184796967434381</v>
      </c>
      <c r="E125" s="69">
        <v>724.71993006993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1206</v>
      </c>
      <c r="C126" s="75">
        <v>93382215</v>
      </c>
      <c r="D126" s="36">
        <v>0.0173166389064385</v>
      </c>
      <c r="E126" s="69">
        <v>774.31355721393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1050</v>
      </c>
      <c r="C127" s="75">
        <v>86650350</v>
      </c>
      <c r="D127" s="36">
        <v>0.0150766756648096</v>
      </c>
      <c r="E127" s="69">
        <v>825.241428571429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989</v>
      </c>
      <c r="C128" s="75">
        <v>86506345</v>
      </c>
      <c r="D128" s="36">
        <v>0.0142007926023778</v>
      </c>
      <c r="E128" s="69">
        <v>874.684984833165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807</v>
      </c>
      <c r="C129" s="75">
        <v>74665255</v>
      </c>
      <c r="D129" s="36">
        <v>0.0115875021538108</v>
      </c>
      <c r="E129" s="69">
        <v>925.220012391574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822</v>
      </c>
      <c r="C130" s="75">
        <v>80157360</v>
      </c>
      <c r="D130" s="36">
        <v>0.0118028832347367</v>
      </c>
      <c r="E130" s="69">
        <v>975.150364963504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8100</v>
      </c>
      <c r="C131" s="75">
        <v>1120836780</v>
      </c>
      <c r="D131" s="36">
        <v>0.11630578369996</v>
      </c>
      <c r="E131" s="69">
        <v>1383.74911111111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2630</v>
      </c>
      <c r="C132" s="75">
        <v>639651875</v>
      </c>
      <c r="D132" s="36">
        <v>0.037763482855666</v>
      </c>
      <c r="E132" s="69">
        <v>2432.13640684411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1131</v>
      </c>
      <c r="C133" s="75">
        <v>389116545</v>
      </c>
      <c r="D133" s="36">
        <v>0.0162397335018092</v>
      </c>
      <c r="E133" s="69">
        <v>3440.46458885942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595</v>
      </c>
      <c r="C134" s="75">
        <v>265078425</v>
      </c>
      <c r="D134" s="36">
        <v>0.00854344954339211</v>
      </c>
      <c r="E134" s="69">
        <v>4455.09957983193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342</v>
      </c>
      <c r="C135" s="75">
        <v>186512280</v>
      </c>
      <c r="D135" s="36">
        <v>0.00491068864510941</v>
      </c>
      <c r="E135" s="69">
        <v>5453.57543859649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200</v>
      </c>
      <c r="C136" s="75">
        <v>128975835</v>
      </c>
      <c r="D136" s="36">
        <v>0.00287174774567802</v>
      </c>
      <c r="E136" s="69">
        <v>6448.79175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135</v>
      </c>
      <c r="C137" s="75">
        <v>101342540</v>
      </c>
      <c r="D137" s="36">
        <v>0.00193842972833266</v>
      </c>
      <c r="E137" s="69">
        <v>7506.85481481481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79</v>
      </c>
      <c r="C138" s="75">
        <v>67295150</v>
      </c>
      <c r="D138" s="36">
        <v>0.00113434035954282</v>
      </c>
      <c r="E138" s="69">
        <v>8518.37341772152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73</v>
      </c>
      <c r="C139" s="75">
        <v>68966560</v>
      </c>
      <c r="D139" s="36">
        <v>0.00104818792717248</v>
      </c>
      <c r="E139" s="69">
        <v>9447.47397260274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177</v>
      </c>
      <c r="C140" s="75">
        <v>223865750</v>
      </c>
      <c r="D140" s="36">
        <v>0.00254149675492505</v>
      </c>
      <c r="E140" s="69">
        <v>12647.7824858757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11</v>
      </c>
      <c r="C141" s="75">
        <v>26270410</v>
      </c>
      <c r="D141" s="36">
        <v>0.000157946126012291</v>
      </c>
      <c r="E141" s="69">
        <v>23882.1909090909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143</v>
      </c>
      <c r="C2" s="34">
        <v>10000000000</v>
      </c>
    </row>
    <row r="4" spans="1:3" x14ac:dyDescent="0.3">
      <c r="B4" s="12" t="s">
        <v>6</v>
      </c>
      <c r="C4" s="12" t="s">
        <v>144</v>
      </c>
    </row>
    <row r="5" spans="1:3" x14ac:dyDescent="0.3">
      <c r="A5" s="21"/>
      <c r="B5" s="15" t="s">
        <v>145</v>
      </c>
      <c r="C5" s="22"/>
    </row>
    <row r="6" spans="1:3" x14ac:dyDescent="0.3">
      <c r="B6" s="15" t="s">
        <v>146</v>
      </c>
      <c r="C6" s="22"/>
    </row>
    <row r="7" spans="1:3" x14ac:dyDescent="0.3">
      <c r="A7" s="21"/>
      <c r="B7" s="15" t="s">
        <v>147</v>
      </c>
      <c r="C7" s="22"/>
    </row>
    <row r="8" spans="1:3" x14ac:dyDescent="0.3">
      <c r="B8" s="15" t="s">
        <v>148</v>
      </c>
      <c r="C8" s="22"/>
    </row>
    <row r="9" spans="1:3" x14ac:dyDescent="0.3">
      <c r="A9" s="21"/>
      <c r="B9" s="15" t="s">
        <v>149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Description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2026-08-07T08:24:13Z</dcterms:modified>
</cp:coreProperties>
</file>