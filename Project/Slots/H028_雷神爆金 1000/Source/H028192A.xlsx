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242CCD8-E011-4329-BE94-B3E6A2456DFC}" xr6:coauthVersionLast="47" xr6:coauthVersionMax="47" xr10:uidLastSave="{00000000-0000-0000-0000-000000000000}"/>
  <bookViews>
    <workbookView xWindow="-108" yWindow="-108" windowWidth="23256" windowHeight="12456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<sst xmlns="http://schemas.openxmlformats.org/spreadsheetml/2006/main" count="21490" uniqueCount="278">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</sst>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top" wrapText="1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G15" sqref="G15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6" t="s">
        <v>102</v>
      </c>
      <c r="B2" s="49" t="s">
        <v>117</v>
      </c>
    </row>
    <row r="3" spans="1:10">
      <c r="A3" s="6" t="s">
        <v>47</v>
      </c>
      <c r="B3" s="49" t="inlineStr">
        <is>
          <t>2.0.0.6</t>
        </is>
      </c>
      <c r="C3" s="7"/>
    </row>
    <row r="5" spans="1:10">
      <c r="A5" s="6"/>
      <c r="B5" s="48"/>
      <c r="C5" s="48"/>
    </row>
    <row r="6" spans="1:10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>
      <c r="A8" s="19"/>
      <c r="B8" s="19"/>
      <c r="C8" s="19"/>
      <c r="D8" s="19"/>
      <c r="E8" s="19"/>
      <c r="F8" s="19"/>
      <c r="H8" s="3"/>
      <c r="I8" s="22"/>
      <c r="J8" s="5"/>
    </row>
    <row r="9" spans="1:10">
      <c r="A9" s="19"/>
      <c r="B9" s="19"/>
      <c r="C9" s="19"/>
      <c r="D9" s="19"/>
      <c r="E9" s="19"/>
      <c r="F9" s="19"/>
      <c r="H9" s="3"/>
      <c r="I9" s="22"/>
      <c r="J9" s="5"/>
    </row>
    <row r="10" spans="1:10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>
      <c r="A13" s="19"/>
      <c r="B13" s="19"/>
      <c r="C13" s="19"/>
      <c r="D13" s="19"/>
      <c r="E13" s="19"/>
      <c r="F13" s="19"/>
      <c r="H13" s="3"/>
      <c r="I13" s="22"/>
      <c r="J13" s="5"/>
    </row>
    <row r="14" spans="1:10">
      <c r="A14" s="19"/>
      <c r="B14" s="19"/>
      <c r="C14" s="19"/>
      <c r="D14" s="19"/>
      <c r="E14" s="19"/>
      <c r="F14" s="19"/>
      <c r="H14" s="3"/>
      <c r="I14" s="22"/>
      <c r="J14" s="5"/>
    </row>
    <row r="15" spans="1:10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>
      <c r="A17" s="175" t="str">
        <f>D10</f>
        <v>Bet Type</v>
      </c>
      <c r="B17" s="58"/>
      <c r="C17" s="176" t="e">
        <f>1/D17</f>
        <v>#DIV/0!</v>
      </c>
      <c r="D17" s="178"/>
      <c r="E17" s="10" t="s">
        <v>50</v>
      </c>
      <c r="F17" s="19"/>
      <c r="H17" s="3"/>
      <c r="I17" s="22"/>
      <c r="J17" s="5"/>
    </row>
    <row r="18" spans="1:10">
      <c r="A18" s="175"/>
      <c r="B18" s="58"/>
      <c r="C18" s="177"/>
      <c r="D18" s="179"/>
      <c r="E18" s="10" t="s">
        <v>114</v>
      </c>
      <c r="F18" s="19"/>
      <c r="H18" s="3"/>
      <c r="I18" s="22"/>
      <c r="J18" s="5"/>
    </row>
    <row r="19" spans="1:10">
      <c r="A19" s="59"/>
      <c r="B19" s="60"/>
      <c r="C19" s="55"/>
      <c r="D19" s="56"/>
      <c r="E19" s="3"/>
      <c r="F19" s="19"/>
      <c r="H19" s="3"/>
      <c r="I19" s="22"/>
      <c r="J19" s="5"/>
    </row>
    <row r="20" spans="1:10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>
      <c r="A21" s="175" t="str">
        <f>D12</f>
        <v>Buy Feature</v>
      </c>
      <c r="B21" s="58"/>
      <c r="C21" s="176">
        <f>1/D21</f>
        <v>1</v>
      </c>
      <c r="D21" s="180">
        <v>1</v>
      </c>
      <c r="E21" s="10" t="s">
        <v>50</v>
      </c>
      <c r="F21" s="19"/>
      <c r="H21" s="3"/>
      <c r="I21" s="22"/>
      <c r="J21" s="5"/>
    </row>
    <row r="22" spans="1:10">
      <c r="A22" s="175"/>
      <c r="B22" s="58"/>
      <c r="C22" s="177"/>
      <c r="D22" s="181"/>
      <c r="E22" s="10" t="s">
        <v>114</v>
      </c>
      <c r="F22" s="19"/>
      <c r="H22" s="3"/>
      <c r="I22" s="22"/>
      <c r="J22" s="5"/>
    </row>
    <row r="23" spans="1:10">
      <c r="F23" s="19"/>
      <c r="H23" s="3"/>
      <c r="I23" s="22"/>
      <c r="J23" s="5"/>
    </row>
    <row r="24" spans="1:10">
      <c r="F24" s="19"/>
      <c r="H24" s="3"/>
      <c r="I24" s="22"/>
      <c r="J24" s="5"/>
    </row>
    <row r="25" spans="1:10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>
      <c r="A29" s="1" t="s">
        <v>53</v>
      </c>
    </row>
    <row r="30" spans="1:10">
      <c r="A30" s="16" t="s">
        <v>49</v>
      </c>
      <c r="B30" s="16" t="s">
        <v>54</v>
      </c>
    </row>
    <row r="31" spans="1:10">
      <c r="A31" s="21">
        <v>4</v>
      </c>
      <c r="B31" s="69">
        <v>8</v>
      </c>
    </row>
    <row r="32" spans="1:10">
      <c r="A32" s="4">
        <v>5</v>
      </c>
      <c r="B32" s="70">
        <v>10</v>
      </c>
    </row>
    <row r="33" spans="1:8">
      <c r="A33" s="4">
        <v>6</v>
      </c>
      <c r="B33" s="70">
        <v>12</v>
      </c>
    </row>
    <row r="34" spans="1:8">
      <c r="A34" s="21">
        <v>7</v>
      </c>
      <c r="B34" s="69">
        <v>14</v>
      </c>
    </row>
    <row r="35" spans="1:8">
      <c r="A35" s="4">
        <v>8</v>
      </c>
      <c r="B35" s="70">
        <v>16</v>
      </c>
    </row>
    <row r="36" spans="1:8">
      <c r="A36" s="4" t="s">
        <v>71</v>
      </c>
      <c r="B36" s="70" t="s">
        <v>71</v>
      </c>
    </row>
    <row r="37" spans="1:8">
      <c r="A37" s="152" t="s">
        <v>115</v>
      </c>
      <c r="B37" s="61"/>
    </row>
    <row r="40" spans="1:8">
      <c r="A40" s="1" t="s">
        <v>116</v>
      </c>
      <c r="B40" s="1" t="str">
        <f>"All wins show for "&amp;A7&amp;" credit bet."</f>
        <v>All wins show for 100 credit bet.</v>
      </c>
    </row>
    <row r="41" spans="1:8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>
      <c r="A68" s="11"/>
      <c r="B68" s="11"/>
      <c r="C68" s="11"/>
      <c r="D68" s="11"/>
      <c r="E68" s="11"/>
      <c r="F68" s="11"/>
      <c r="G68" s="11"/>
      <c r="H68" s="11"/>
      <c r="I68" s="11"/>
    </row>
    <row r="69" spans="1:9">
      <c r="A69" s="11"/>
      <c r="B69" s="11"/>
      <c r="C69" s="11"/>
      <c r="D69" s="11"/>
      <c r="E69" s="11"/>
      <c r="F69" s="11"/>
      <c r="G69" s="11"/>
      <c r="H69" s="11"/>
      <c r="I69" s="11"/>
    </row>
    <row r="70" spans="1:9">
      <c r="A70" s="11"/>
      <c r="B70" s="11"/>
      <c r="C70" s="11"/>
      <c r="D70" s="11"/>
      <c r="E70" s="11"/>
      <c r="F70" s="11"/>
      <c r="G70" s="11"/>
      <c r="H70" s="11"/>
      <c r="I70" s="11"/>
    </row>
    <row r="71" spans="1:9">
      <c r="A71" s="11"/>
      <c r="B71" s="11"/>
      <c r="C71" s="11"/>
      <c r="D71" s="11"/>
      <c r="E71" s="11"/>
      <c r="F71" s="11"/>
      <c r="G71" s="11"/>
      <c r="H71" s="11"/>
      <c r="I71" s="11"/>
    </row>
    <row r="72" spans="1:9">
      <c r="A72" s="11"/>
      <c r="B72" s="11"/>
      <c r="C72" s="11"/>
      <c r="D72" s="11"/>
      <c r="E72" s="11"/>
      <c r="F72" s="11"/>
      <c r="G72" s="11"/>
      <c r="H72" s="11"/>
      <c r="I72" s="11"/>
    </row>
    <row r="73" spans="1:9">
      <c r="A73" s="11"/>
      <c r="B73" s="11"/>
      <c r="C73" s="11"/>
      <c r="D73" s="11"/>
      <c r="E73" s="11"/>
      <c r="F73" s="11"/>
      <c r="G73" s="11"/>
      <c r="H73" s="11"/>
      <c r="I73" s="11"/>
    </row>
    <row r="74" spans="1:9">
      <c r="A74" s="11"/>
      <c r="B74" s="11"/>
      <c r="C74" s="11"/>
      <c r="D74" s="11"/>
      <c r="E74" s="11"/>
      <c r="F74" s="11"/>
      <c r="G74" s="11"/>
      <c r="H74" s="11"/>
      <c r="I74" s="11"/>
    </row>
    <row r="75" spans="1:9">
      <c r="A75" s="11"/>
      <c r="B75" s="11"/>
      <c r="C75" s="11"/>
      <c r="D75" s="11"/>
      <c r="E75" s="11"/>
      <c r="F75" s="11"/>
      <c r="G75" s="11"/>
      <c r="H75" s="11"/>
      <c r="I75" s="11"/>
    </row>
    <row r="76" spans="1:9">
      <c r="A76" s="11"/>
      <c r="B76" s="11"/>
      <c r="C76" s="11"/>
      <c r="D76" s="11"/>
      <c r="E76" s="11"/>
      <c r="F76" s="11"/>
      <c r="G76" s="11"/>
      <c r="H76" s="11"/>
      <c r="I76" s="11"/>
    </row>
    <row r="77" spans="1:9">
      <c r="A77" s="11"/>
      <c r="B77" s="11"/>
      <c r="C77" s="11"/>
      <c r="D77" s="11"/>
      <c r="E77" s="11"/>
      <c r="F77" s="11"/>
      <c r="G77" s="11"/>
      <c r="H77" s="11"/>
      <c r="I77" s="11"/>
    </row>
    <row r="78" spans="1:9">
      <c r="A78" s="11"/>
      <c r="B78" s="11"/>
      <c r="C78" s="11"/>
      <c r="D78" s="11"/>
      <c r="E78" s="11"/>
      <c r="F78" s="11"/>
      <c r="G78" s="11"/>
      <c r="H78" s="11"/>
      <c r="I78" s="11"/>
    </row>
    <row r="79" spans="1:9">
      <c r="A79" s="11"/>
      <c r="B79" s="11"/>
      <c r="C79" s="11"/>
      <c r="D79" s="11"/>
      <c r="E79" s="11"/>
      <c r="F79" s="11"/>
      <c r="G79" s="11"/>
      <c r="H79" s="11"/>
      <c r="I79" s="11"/>
    </row>
    <row r="80" spans="1:9">
      <c r="A80" s="11"/>
      <c r="B80" s="11"/>
      <c r="C80" s="11"/>
      <c r="D80" s="11"/>
      <c r="E80" s="11"/>
      <c r="F80" s="11"/>
      <c r="G80" s="11"/>
      <c r="H80" s="11"/>
      <c r="I80" s="11"/>
    </row>
    <row r="81" spans="1:9">
      <c r="A81" s="11"/>
      <c r="B81" s="11"/>
      <c r="C81" s="11"/>
      <c r="D81" s="11"/>
      <c r="E81" s="11"/>
      <c r="F81" s="11"/>
      <c r="G81" s="11"/>
      <c r="H81" s="11"/>
      <c r="I81" s="11"/>
    </row>
    <row r="82" spans="1:9">
      <c r="A82" s="11"/>
      <c r="B82" s="11"/>
      <c r="C82" s="11"/>
      <c r="D82" s="11"/>
      <c r="E82" s="11"/>
      <c r="F82" s="11"/>
      <c r="G82" s="11"/>
      <c r="H82" s="11"/>
      <c r="I82" s="11"/>
    </row>
    <row r="83" spans="1:9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/>
    <row r="2" spans="2:7" ht="16.2" customHeight="1">
      <c r="B2" s="12" t="s">
        <v>272</v>
      </c>
      <c r="C2" s="45"/>
      <c r="D2" s="45"/>
      <c r="E2" s="45"/>
      <c r="F2" s="45"/>
      <c r="G2" s="45"/>
    </row>
    <row r="3" spans="2:7" s="41" customFormat="1" ht="16.2">
      <c r="B3" s="12"/>
      <c r="C3" s="45"/>
      <c r="D3" s="45"/>
      <c r="E3" s="45"/>
      <c r="F3" s="45"/>
      <c r="G3" s="45"/>
    </row>
    <row r="4" spans="2:7" ht="16.2">
      <c r="B4" s="11" t="s">
        <v>96</v>
      </c>
    </row>
    <row r="6" spans="2:7">
      <c r="B6" s="11" t="s">
        <v>258</v>
      </c>
    </row>
    <row r="8" spans="2:7" ht="16.2">
      <c r="B8" s="11" t="s">
        <v>98</v>
      </c>
    </row>
    <row r="10" spans="2:7" ht="16.2">
      <c r="B10" s="11" t="s">
        <v>273</v>
      </c>
    </row>
    <row r="12" spans="2:7" ht="16.2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G15" sqref="G15"/>
    </sheetView>
  </sheetViews>
  <sheetFormatPr defaultRowHeight="16.2"/>
  <cols>
    <col min="2" max="2" width="61.109375" customWidth="1"/>
    <col min="3" max="3" width="13.44140625" customWidth="1"/>
  </cols>
  <sheetData>
    <row r="3" spans="2:4">
      <c r="B3" s="26" t="s">
        <v>266</v>
      </c>
      <c r="C3" s="26"/>
      <c r="D3" s="26"/>
    </row>
    <row r="4" spans="2:4">
      <c r="B4" s="172" t="s">
        <v>267</v>
      </c>
      <c r="C4" s="16" t="s">
        <v>259</v>
      </c>
      <c r="D4" s="26"/>
    </row>
    <row r="5" spans="2:4">
      <c r="B5" s="44" t="s">
        <v>268</v>
      </c>
      <c r="C5" s="173">
        <v>4000</v>
      </c>
      <c r="D5" s="174"/>
    </row>
    <row r="6" spans="2:4">
      <c r="B6" s="44" t="s">
        <v>269</v>
      </c>
      <c r="C6" s="62">
        <v>0</v>
      </c>
      <c r="D6" s="174"/>
    </row>
    <row r="7" spans="2:4">
      <c r="B7" s="26"/>
      <c r="C7" s="66"/>
      <c r="D7" s="66"/>
    </row>
    <row r="9" spans="2:4">
      <c r="B9" s="26" t="s">
        <v>270</v>
      </c>
      <c r="C9" s="26"/>
      <c r="D9" s="26"/>
    </row>
    <row r="10" spans="2:4">
      <c r="B10" s="172" t="s">
        <v>267</v>
      </c>
      <c r="C10" s="16" t="s">
        <v>259</v>
      </c>
      <c r="D10" s="26"/>
    </row>
    <row r="11" spans="2:4">
      <c r="B11" s="44" t="s">
        <v>274</v>
      </c>
      <c r="C11" s="173">
        <v>15000</v>
      </c>
      <c r="D11" s="174"/>
    </row>
    <row r="12" spans="2:4">
      <c r="B12" s="44" t="s">
        <v>276</v>
      </c>
      <c r="C12" s="62">
        <v>0</v>
      </c>
      <c r="D12" s="174"/>
    </row>
    <row r="13" spans="2:4">
      <c r="B13" s="44" t="s">
        <v>275</v>
      </c>
      <c r="C13" s="62">
        <v>0</v>
      </c>
      <c r="D13" s="174"/>
    </row>
    <row r="14" spans="2:4">
      <c r="B14" s="26"/>
      <c r="C14" s="66"/>
      <c r="D14" s="66"/>
    </row>
    <row r="16" spans="2:4">
      <c r="B16" s="26" t="s">
        <v>271</v>
      </c>
      <c r="C16" s="26"/>
    </row>
    <row r="17" spans="2:3">
      <c r="B17" s="172" t="s">
        <v>267</v>
      </c>
      <c r="C17" s="16" t="s">
        <v>259</v>
      </c>
    </row>
    <row r="18" spans="2:3">
      <c r="B18" s="44" t="s">
        <v>274</v>
      </c>
      <c r="C18" s="173">
        <v>12000</v>
      </c>
    </row>
    <row r="19" spans="2:3">
      <c r="B19" s="44" t="s">
        <v>276</v>
      </c>
      <c r="C19" s="62">
        <v>0</v>
      </c>
    </row>
    <row r="20" spans="2: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>
      <c r="A3" s="12" t="s">
        <v>199</v>
      </c>
      <c r="B3" s="71">
        <f>Overview!A7</f>
        <v>100</v>
      </c>
      <c r="C3" s="1"/>
      <c r="F3" s="72"/>
      <c r="G3" s="73"/>
    </row>
    <row r="4" spans="1:14">
      <c r="F4" s="72"/>
      <c r="G4" s="72"/>
      <c r="I4" s="1"/>
      <c r="L4" s="74"/>
      <c r="M4" s="75"/>
      <c r="N4" s="76"/>
    </row>
    <row r="5" spans="1:14">
      <c r="A5" s="12"/>
      <c r="B5" s="12"/>
      <c r="C5" s="1" t="s">
        <v>200</v>
      </c>
      <c r="I5" s="72"/>
      <c r="K5" s="78"/>
      <c r="L5" s="79"/>
      <c r="M5" s="75"/>
      <c r="N5" s="76"/>
    </row>
    <row r="6" spans="1:14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>
      <c r="A3" s="12" t="s">
        <v>199</v>
      </c>
      <c r="B3" s="71">
        <f>Overview!A7</f>
        <v>100</v>
      </c>
      <c r="C3" s="1"/>
      <c r="F3" s="72"/>
      <c r="G3" s="73"/>
    </row>
    <row r="4" spans="1:19">
      <c r="F4" s="72"/>
      <c r="G4" s="72"/>
      <c r="I4" s="1"/>
      <c r="L4" s="74"/>
      <c r="M4" s="75"/>
      <c r="N4" s="76"/>
      <c r="O4" s="77"/>
    </row>
    <row r="5" spans="1:19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>
      <c r="A153" s="185" t="s">
        <v>91</v>
      </c>
      <c r="B153" s="185"/>
      <c r="C153" s="185"/>
      <c r="D153" s="185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>
      <c r="B2" s="44" t="s">
        <v>61</v>
      </c>
      <c r="C2" s="63">
        <v>10000000000</v>
      </c>
    </row>
    <row r="4" spans="1:8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>
      <c r="A5" s="26"/>
      <c r="B5" s="188" t="s">
        <v>194</v>
      </c>
      <c r="C5" s="188" t="s">
        <v>55</v>
      </c>
      <c r="D5" s="21" t="s">
        <v>195</v>
      </c>
      <c r="E5" s="193"/>
      <c r="F5" s="65"/>
      <c r="G5" s="191" t="e">
        <f>SUM(F5:F6)/E5*$C$2</f>
        <v>#DIV/0!</v>
      </c>
      <c r="H5" s="66"/>
    </row>
    <row r="6" spans="1:8">
      <c r="B6" s="187"/>
      <c r="C6" s="187"/>
      <c r="D6" s="4" t="s">
        <v>196</v>
      </c>
      <c r="E6" s="194"/>
      <c r="F6" s="67"/>
      <c r="G6" s="192"/>
      <c r="H6" s="66"/>
    </row>
    <row r="7" spans="1:8">
      <c r="A7" s="26"/>
      <c r="B7" s="188" t="s">
        <v>197</v>
      </c>
      <c r="C7" s="188" t="s">
        <v>55</v>
      </c>
      <c r="D7" s="21" t="s">
        <v>195</v>
      </c>
      <c r="E7" s="193"/>
      <c r="F7" s="67"/>
      <c r="G7" s="191" t="e">
        <f>SUM(F7:F8)/E7*$C$2</f>
        <v>#DIV/0!</v>
      </c>
      <c r="H7" s="66"/>
    </row>
    <row r="8" spans="1:8">
      <c r="B8" s="187"/>
      <c r="C8" s="187"/>
      <c r="D8" s="4" t="s">
        <v>196</v>
      </c>
      <c r="E8" s="194"/>
      <c r="F8" s="67"/>
      <c r="G8" s="192"/>
      <c r="H8" s="66"/>
    </row>
    <row r="9" spans="1:8">
      <c r="A9" s="26"/>
      <c r="B9" s="186" t="s">
        <v>198</v>
      </c>
      <c r="C9" s="188" t="s">
        <v>91</v>
      </c>
      <c r="D9" s="21" t="s">
        <v>195</v>
      </c>
      <c r="E9" s="189">
        <f>F9</f>
        <v>0</v>
      </c>
      <c r="F9" s="67"/>
      <c r="G9" s="191" t="e">
        <f>SUM(F9:F10)/E9*$C$2</f>
        <v>#DIV/0!</v>
      </c>
      <c r="H9" s="66"/>
    </row>
    <row r="10" spans="1:8">
      <c r="B10" s="187"/>
      <c r="C10" s="187"/>
      <c r="D10" s="4" t="s">
        <v>196</v>
      </c>
      <c r="E10" s="190"/>
      <c r="F10" s="67"/>
      <c r="G10" s="192"/>
      <c r="H10" s="66"/>
    </row>
    <row r="11" spans="1:8">
      <c r="B11" s="68"/>
      <c r="C11" s="68"/>
      <c r="E11" s="12"/>
    </row>
    <row r="12" spans="1:8">
      <c r="D12" s="11"/>
    </row>
    <row r="13" spans="1:8">
      <c r="D13" s="11"/>
    </row>
    <row r="14" spans="1:8">
      <c r="D14" s="11"/>
    </row>
    <row r="15" spans="1:8">
      <c r="D15" s="11"/>
    </row>
    <row r="16" spans="1:8">
      <c r="D16" s="11"/>
    </row>
    <row r="39" spans="4:4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topLeftCell="B1" zoomScaleNormal="100" workbookViewId="0">
      <selection activeCell="N4" sqref="N4:N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47">
        <v>0</v>
      </c>
      <c r="K4" s="34"/>
      <c r="L4" s="15">
        <v>0</v>
      </c>
      <c r="M4" s="156" t="inlineStr">
        <is>
          <t>TE</t>
        </is>
      </c>
      <c r="N4" s="156" t="inlineStr">
        <is>
          <t>G4</t>
        </is>
      </c>
      <c r="O4" s="156" t="inlineStr">
        <is>
          <t>J</t>
        </is>
      </c>
      <c r="P4" s="156" t="inlineStr">
        <is>
          <t>M3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33822</v>
      </c>
      <c r="AN4" s="10">
        <v>42180</v>
      </c>
      <c r="AO4" s="10">
        <v>36435</v>
      </c>
      <c r="AP4" s="10">
        <v>30133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ref="C5:C29" si="2">COUNTIF(M$4:M$304,$A5)</f>
        <v>0</v>
      </c>
      <c r="D5" s="10">
        <f t="shared" ref="D5:D29" si="3">COUNTIF(N$4:N$304,$A5)</f>
        <v>0</v>
      </c>
      <c r="E5" s="10">
        <f t="shared" ref="E5:E29" si="4">COUNTIF(O$4:O$304,$A5)</f>
        <v>0</v>
      </c>
      <c r="F5" s="10">
        <f t="shared" ref="F5:F29" si="5">COUNTIF(P$4:P$304,$A5)</f>
        <v>0</v>
      </c>
      <c r="G5" s="10">
        <f t="shared" ref="G5:G29" si="6">COUNTIF(Q$4:Q$304,$A5)</f>
        <v>0</v>
      </c>
      <c r="H5" s="10">
        <f t="shared" ref="H5:H29" si="7">COUNTIF(R$4:R$304,$A5)</f>
        <v>0</v>
      </c>
      <c r="I5" s="10">
        <f t="shared" ref="I5:I29" si="8">COUNTIF(S$4:S$304,$A5)</f>
        <v>0</v>
      </c>
      <c r="J5" s="4">
        <v>1</v>
      </c>
      <c r="K5" s="34"/>
      <c r="L5" s="14">
        <v>1</v>
      </c>
      <c r="M5" s="38" t="inlineStr">
        <is>
          <t>J</t>
        </is>
      </c>
      <c r="N5" s="38" t="inlineStr">
        <is>
          <t>TE</t>
        </is>
      </c>
      <c r="O5" s="38" t="inlineStr">
        <is>
          <t>J</t>
        </is>
      </c>
      <c r="P5" s="38" t="inlineStr">
        <is>
          <t>M2</t>
        </is>
      </c>
      <c r="Q5" s="38" t="inlineStr">
        <is>
          <t>TE</t>
        </is>
      </c>
      <c r="R5" s="38" t="inlineStr">
        <is>
          <t>G5</t>
        </is>
      </c>
      <c r="S5" s="24" t="inlineStr">
        <is>
          <t>M3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23735</v>
      </c>
      <c r="AM5" s="37">
        <v>26467</v>
      </c>
      <c r="AN5" s="37">
        <v>26591</v>
      </c>
      <c r="AO5" s="37">
        <v>33273</v>
      </c>
      <c r="AP5" s="37">
        <v>30534</v>
      </c>
      <c r="AQ5" s="37">
        <v>40327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2"/>
        <v>1</v>
      </c>
      <c r="D6" s="153">
        <f t="shared" si="3"/>
        <v>0</v>
      </c>
      <c r="E6" s="153">
        <f t="shared" si="4"/>
        <v>2</v>
      </c>
      <c r="F6" s="153">
        <f t="shared" si="5"/>
        <v>1</v>
      </c>
      <c r="G6" s="153">
        <f t="shared" si="6"/>
        <v>1</v>
      </c>
      <c r="H6" s="153">
        <f t="shared" si="7"/>
        <v>2</v>
      </c>
      <c r="I6" s="153">
        <f t="shared" si="8"/>
        <v>4</v>
      </c>
      <c r="J6" s="151">
        <v>2</v>
      </c>
      <c r="L6" s="15">
        <v>2</v>
      </c>
      <c r="M6" s="38" t="inlineStr">
        <is>
          <t>TE</t>
        </is>
      </c>
      <c r="N6" s="38" t="inlineStr">
        <is>
          <t>Q</t>
        </is>
      </c>
      <c r="O6" s="38" t="inlineStr">
        <is>
          <t>M2</t>
        </is>
      </c>
      <c r="P6" s="38" t="inlineStr">
        <is>
          <t>M4</t>
        </is>
      </c>
      <c r="Q6" s="38" t="inlineStr">
        <is>
          <t>Q</t>
        </is>
      </c>
      <c r="R6" s="38" t="inlineStr">
        <is>
          <t>G4</t>
        </is>
      </c>
      <c r="S6" s="24" t="inlineStr">
        <is>
          <t>K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7594</v>
      </c>
      <c r="AM6" s="154">
        <v>7794</v>
      </c>
      <c r="AN6" s="154">
        <v>7219</v>
      </c>
      <c r="AO6" s="154">
        <v>10385</v>
      </c>
      <c r="AP6" s="154">
        <v>5182</v>
      </c>
      <c r="AQ6" s="154">
        <v>6105</v>
      </c>
      <c r="AR6" s="154">
        <v>2534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2"/>
        <v>1</v>
      </c>
      <c r="D7" s="153">
        <f t="shared" si="3"/>
        <v>0</v>
      </c>
      <c r="E7" s="153">
        <f t="shared" si="4"/>
        <v>6</v>
      </c>
      <c r="F7" s="153">
        <f t="shared" si="5"/>
        <v>10</v>
      </c>
      <c r="G7" s="153">
        <f t="shared" si="6"/>
        <v>2</v>
      </c>
      <c r="H7" s="153">
        <f t="shared" si="7"/>
        <v>5</v>
      </c>
      <c r="I7" s="153">
        <f t="shared" si="8"/>
        <v>11</v>
      </c>
      <c r="J7" s="151">
        <v>3</v>
      </c>
      <c r="L7" s="14">
        <v>3</v>
      </c>
      <c r="M7" s="38" t="inlineStr">
        <is>
          <t>M2</t>
        </is>
      </c>
      <c r="N7" s="38" t="inlineStr">
        <is>
          <t>A</t>
        </is>
      </c>
      <c r="O7" s="38" t="inlineStr">
        <is>
          <t>K</t>
        </is>
      </c>
      <c r="P7" s="38" t="inlineStr">
        <is>
          <t>M4</t>
        </is>
      </c>
      <c r="Q7" s="38" t="inlineStr">
        <is>
          <t>A</t>
        </is>
      </c>
      <c r="R7" s="38" t="inlineStr">
        <is>
          <t>GJ</t>
        </is>
      </c>
      <c r="S7" s="24" t="inlineStr">
        <is>
          <t>M5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11881</v>
      </c>
      <c r="AM7" s="154">
        <v>13362</v>
      </c>
      <c r="AN7" s="154">
        <v>10584</v>
      </c>
      <c r="AO7" s="154">
        <v>10534</v>
      </c>
      <c r="AP7" s="154">
        <v>9168</v>
      </c>
      <c r="AQ7" s="154">
        <v>13736</v>
      </c>
      <c r="AR7" s="154">
        <v>30361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2"/>
        <v>11</v>
      </c>
      <c r="D8" s="153">
        <f t="shared" si="3"/>
        <v>0</v>
      </c>
      <c r="E8" s="153">
        <f t="shared" si="4"/>
        <v>8</v>
      </c>
      <c r="F8" s="153">
        <f t="shared" si="5"/>
        <v>5</v>
      </c>
      <c r="G8" s="153">
        <f t="shared" si="6"/>
        <v>7</v>
      </c>
      <c r="H8" s="153">
        <f t="shared" si="7"/>
        <v>4</v>
      </c>
      <c r="I8" s="153">
        <f t="shared" si="8"/>
        <v>16</v>
      </c>
      <c r="J8" s="151">
        <v>4</v>
      </c>
      <c r="L8" s="15">
        <v>4</v>
      </c>
      <c r="M8" s="38" t="inlineStr">
        <is>
          <t>M6</t>
        </is>
      </c>
      <c r="N8" s="38" t="inlineStr">
        <is>
          <t>M6</t>
        </is>
      </c>
      <c r="O8" s="38" t="inlineStr">
        <is>
          <t>M5</t>
        </is>
      </c>
      <c r="P8" s="38" t="inlineStr">
        <is>
          <t>K</t>
        </is>
      </c>
      <c r="Q8" s="38" t="inlineStr">
        <is>
          <t>Q</t>
        </is>
      </c>
      <c r="R8" s="38" t="inlineStr">
        <is>
          <t>GK</t>
        </is>
      </c>
      <c r="S8" s="24" t="inlineStr">
        <is>
          <t>M6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32308</v>
      </c>
      <c r="AM8" s="154">
        <v>53738</v>
      </c>
      <c r="AN8" s="154">
        <v>30721</v>
      </c>
      <c r="AO8" s="154">
        <v>47474</v>
      </c>
      <c r="AP8" s="154">
        <v>4384</v>
      </c>
      <c r="AQ8" s="154">
        <v>15262</v>
      </c>
      <c r="AR8" s="154">
        <v>214109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2"/>
        <v>10</v>
      </c>
      <c r="D9" s="153">
        <f t="shared" si="3"/>
        <v>0</v>
      </c>
      <c r="E9" s="153">
        <f t="shared" si="4"/>
        <v>16</v>
      </c>
      <c r="F9" s="153">
        <f t="shared" si="5"/>
        <v>6</v>
      </c>
      <c r="G9" s="153">
        <f t="shared" si="6"/>
        <v>17</v>
      </c>
      <c r="H9" s="153">
        <f t="shared" si="7"/>
        <v>2</v>
      </c>
      <c r="I9" s="153">
        <f t="shared" si="8"/>
        <v>15</v>
      </c>
      <c r="J9" s="151">
        <v>5</v>
      </c>
      <c r="L9" s="14">
        <v>5</v>
      </c>
      <c r="M9" s="38" t="inlineStr">
        <is>
          <t>M1</t>
        </is>
      </c>
      <c r="N9" s="38" t="inlineStr">
        <is>
          <t>TE</t>
        </is>
      </c>
      <c r="O9" s="38" t="inlineStr">
        <is>
          <t>A</t>
        </is>
      </c>
      <c r="P9" s="38" t="inlineStr">
        <is>
          <t>G6</t>
        </is>
      </c>
      <c r="Q9" s="38" t="inlineStr">
        <is>
          <t>M5</t>
        </is>
      </c>
      <c r="R9" s="38" t="inlineStr">
        <is>
          <t>M6</t>
        </is>
      </c>
      <c r="S9" s="24" t="inlineStr">
        <is>
          <t>M4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95203</v>
      </c>
      <c r="AM9" s="154">
        <v>136835</v>
      </c>
      <c r="AN9" s="154">
        <v>99652</v>
      </c>
      <c r="AO9" s="154">
        <v>122395</v>
      </c>
      <c r="AP9" s="154">
        <v>112802</v>
      </c>
      <c r="AQ9" s="154">
        <v>110392</v>
      </c>
      <c r="AR9" s="154">
        <v>114485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2"/>
        <v>7</v>
      </c>
      <c r="D10" s="153">
        <f t="shared" si="3"/>
        <v>0</v>
      </c>
      <c r="E10" s="153">
        <f t="shared" si="4"/>
        <v>10</v>
      </c>
      <c r="F10" s="153">
        <f t="shared" si="5"/>
        <v>19</v>
      </c>
      <c r="G10" s="153">
        <f t="shared" si="6"/>
        <v>5</v>
      </c>
      <c r="H10" s="153">
        <f t="shared" si="7"/>
        <v>25</v>
      </c>
      <c r="I10" s="153">
        <f t="shared" si="8"/>
        <v>17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Q</t>
        </is>
      </c>
      <c r="O10" s="38" t="inlineStr">
        <is>
          <t>J</t>
        </is>
      </c>
      <c r="P10" s="38" t="inlineStr">
        <is>
          <t>K</t>
        </is>
      </c>
      <c r="Q10" s="38" t="inlineStr">
        <is>
          <t>G6</t>
        </is>
      </c>
      <c r="R10" s="38" t="inlineStr">
        <is>
          <t>K</t>
        </is>
      </c>
      <c r="S10" s="24" t="inlineStr">
        <is>
          <t>M3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147805</v>
      </c>
      <c r="AM10" s="154">
        <v>35044</v>
      </c>
      <c r="AN10" s="154">
        <v>130101</v>
      </c>
      <c r="AO10" s="154">
        <v>34715</v>
      </c>
      <c r="AP10" s="154">
        <v>46237</v>
      </c>
      <c r="AQ10" s="154">
        <v>38154</v>
      </c>
      <c r="AR10" s="154">
        <v>183748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2"/>
        <v>15</v>
      </c>
      <c r="D11" s="153">
        <f t="shared" si="3"/>
        <v>0</v>
      </c>
      <c r="E11" s="153">
        <f t="shared" si="4"/>
        <v>12</v>
      </c>
      <c r="F11" s="153">
        <f t="shared" si="5"/>
        <v>6</v>
      </c>
      <c r="G11" s="153">
        <f t="shared" si="6"/>
        <v>21</v>
      </c>
      <c r="H11" s="153">
        <f t="shared" si="7"/>
        <v>1</v>
      </c>
      <c r="I11" s="153">
        <f t="shared" si="8"/>
        <v>6</v>
      </c>
      <c r="J11" s="151">
        <v>7</v>
      </c>
      <c r="L11" s="14">
        <v>7</v>
      </c>
      <c r="M11" s="38" t="inlineStr">
        <is>
          <t>K</t>
        </is>
      </c>
      <c r="N11" s="38" t="inlineStr">
        <is>
          <t>Q</t>
        </is>
      </c>
      <c r="O11" s="38" t="inlineStr">
        <is>
          <t>K</t>
        </is>
      </c>
      <c r="P11" s="38" t="inlineStr">
        <is>
          <t>M4</t>
        </is>
      </c>
      <c r="Q11" s="38" t="inlineStr">
        <is>
          <t>M1</t>
        </is>
      </c>
      <c r="R11" s="38" t="inlineStr">
        <is>
          <t>GA</t>
        </is>
      </c>
      <c r="S11" s="24" t="inlineStr">
        <is>
          <t>J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33683</v>
      </c>
      <c r="AM11" s="154">
        <v>131796</v>
      </c>
      <c r="AN11" s="154">
        <v>30341</v>
      </c>
      <c r="AO11" s="154">
        <v>137675</v>
      </c>
      <c r="AP11" s="154">
        <v>136320</v>
      </c>
      <c r="AQ11" s="154">
        <v>159229</v>
      </c>
      <c r="AR11" s="154">
        <v>67683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2"/>
        <v>11</v>
      </c>
      <c r="D12" s="10">
        <f t="shared" si="3"/>
        <v>0</v>
      </c>
      <c r="E12" s="10">
        <f t="shared" si="4"/>
        <v>10</v>
      </c>
      <c r="F12" s="10">
        <f t="shared" si="5"/>
        <v>20</v>
      </c>
      <c r="G12" s="10">
        <f t="shared" si="6"/>
        <v>2</v>
      </c>
      <c r="H12" s="10">
        <f t="shared" si="7"/>
        <v>31</v>
      </c>
      <c r="I12" s="10">
        <f t="shared" si="8"/>
        <v>5</v>
      </c>
      <c r="J12" s="4">
        <v>8</v>
      </c>
      <c r="L12" s="15">
        <v>8</v>
      </c>
      <c r="M12" s="38" t="inlineStr">
        <is>
          <t>J</t>
        </is>
      </c>
      <c r="N12" s="38" t="inlineStr">
        <is>
          <t>TE</t>
        </is>
      </c>
      <c r="O12" s="38" t="inlineStr">
        <is>
          <t>M6</t>
        </is>
      </c>
      <c r="P12" s="38" t="inlineStr">
        <is>
          <t>M5</t>
        </is>
      </c>
      <c r="Q12" s="38" t="inlineStr">
        <is>
          <t>M2</t>
        </is>
      </c>
      <c r="R12" s="38" t="inlineStr">
        <is>
          <t>J</t>
        </is>
      </c>
      <c r="S12" s="24" t="inlineStr">
        <is>
          <t>A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172492</v>
      </c>
      <c r="AM12" s="37">
        <v>71787</v>
      </c>
      <c r="AN12" s="37">
        <v>169505</v>
      </c>
      <c r="AO12" s="37">
        <v>71805</v>
      </c>
      <c r="AP12" s="37">
        <v>58195</v>
      </c>
      <c r="AQ12" s="37">
        <v>57485</v>
      </c>
      <c r="AR12" s="37">
        <v>73049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2"/>
        <v>16</v>
      </c>
      <c r="D13" s="10">
        <f t="shared" si="3"/>
        <v>121</v>
      </c>
      <c r="E13" s="10">
        <f t="shared" si="4"/>
        <v>12</v>
      </c>
      <c r="F13" s="10">
        <f t="shared" si="5"/>
        <v>5</v>
      </c>
      <c r="G13" s="10">
        <f t="shared" si="6"/>
        <v>16</v>
      </c>
      <c r="H13" s="10">
        <f t="shared" si="7"/>
        <v>4</v>
      </c>
      <c r="I13" s="10">
        <f t="shared" si="8"/>
        <v>13</v>
      </c>
      <c r="J13" s="4">
        <v>9</v>
      </c>
      <c r="L13" s="14">
        <v>9</v>
      </c>
      <c r="M13" s="38" t="inlineStr">
        <is>
          <t>M3</t>
        </is>
      </c>
      <c r="N13" s="38" t="inlineStr">
        <is>
          <t>M2</t>
        </is>
      </c>
      <c r="O13" s="38" t="inlineStr">
        <is>
          <t>Q</t>
        </is>
      </c>
      <c r="P13" s="38" t="inlineStr">
        <is>
          <t>TE</t>
        </is>
      </c>
      <c r="Q13" s="38" t="inlineStr">
        <is>
          <t>GK</t>
        </is>
      </c>
      <c r="R13" s="38" t="inlineStr">
        <is>
          <t>Q</t>
        </is>
      </c>
      <c r="S13" s="24" t="inlineStr">
        <is>
          <t>M4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57365</v>
      </c>
      <c r="AM13" s="37">
        <v>112809</v>
      </c>
      <c r="AN13" s="37">
        <v>60247</v>
      </c>
      <c r="AO13" s="37">
        <v>112158</v>
      </c>
      <c r="AP13" s="37">
        <v>164620</v>
      </c>
      <c r="AQ13" s="37">
        <v>138881</v>
      </c>
      <c r="AR13" s="37">
        <v>73049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2"/>
        <v>3</v>
      </c>
      <c r="D14" s="10">
        <f t="shared" si="3"/>
        <v>0</v>
      </c>
      <c r="E14" s="10">
        <f t="shared" si="4"/>
        <v>4</v>
      </c>
      <c r="F14" s="10">
        <f t="shared" si="5"/>
        <v>19</v>
      </c>
      <c r="G14" s="10">
        <f t="shared" si="6"/>
        <v>2</v>
      </c>
      <c r="H14" s="10">
        <f t="shared" si="7"/>
        <v>22</v>
      </c>
      <c r="I14" s="10">
        <f t="shared" si="8"/>
        <v>15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TE</t>
        </is>
      </c>
      <c r="O14" s="38" t="inlineStr">
        <is>
          <t>GJ</t>
        </is>
      </c>
      <c r="P14" s="38" t="inlineStr">
        <is>
          <t>M6</t>
        </is>
      </c>
      <c r="Q14" s="38" t="inlineStr">
        <is>
          <t>M5</t>
        </is>
      </c>
      <c r="R14" s="38" t="inlineStr">
        <is>
          <t>J</t>
        </is>
      </c>
      <c r="S14" s="24" t="inlineStr">
        <is>
          <t>M5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177493</v>
      </c>
      <c r="AM14" s="37">
        <v>91009</v>
      </c>
      <c r="AN14" s="37">
        <v>160658</v>
      </c>
      <c r="AO14" s="37">
        <v>102811</v>
      </c>
      <c r="AP14" s="37">
        <v>87691</v>
      </c>
      <c r="AQ14" s="37">
        <v>83939</v>
      </c>
      <c r="AR14" s="37">
        <v>68622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2"/>
        <v>25</v>
      </c>
      <c r="D15" s="10">
        <f t="shared" si="3"/>
        <v>0</v>
      </c>
      <c r="E15" s="10">
        <f t="shared" si="4"/>
        <v>20</v>
      </c>
      <c r="F15" s="10">
        <f t="shared" si="5"/>
        <v>6</v>
      </c>
      <c r="G15" s="10">
        <f t="shared" si="6"/>
        <v>27</v>
      </c>
      <c r="H15" s="10">
        <f t="shared" si="7"/>
        <v>5</v>
      </c>
      <c r="I15" s="10">
        <f t="shared" si="8"/>
        <v>5</v>
      </c>
      <c r="J15" s="4">
        <v>11</v>
      </c>
      <c r="L15" s="14">
        <v>11</v>
      </c>
      <c r="M15" s="38" t="inlineStr">
        <is>
          <t>J</t>
        </is>
      </c>
      <c r="N15" s="38" t="inlineStr">
        <is>
          <t>TE</t>
        </is>
      </c>
      <c r="O15" s="38" t="inlineStr">
        <is>
          <t>G4</t>
        </is>
      </c>
      <c r="P15" s="38" t="inlineStr">
        <is>
          <t>M4</t>
        </is>
      </c>
      <c r="Q15" s="38" t="inlineStr">
        <is>
          <t>G6</t>
        </is>
      </c>
      <c r="R15" s="38" t="inlineStr">
        <is>
          <t>M4</t>
        </is>
      </c>
      <c r="S15" s="24" t="inlineStr">
        <is>
          <t>M5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103405</v>
      </c>
      <c r="AM15" s="37">
        <v>141758</v>
      </c>
      <c r="AN15" s="37">
        <v>97644</v>
      </c>
      <c r="AO15" s="37">
        <v>147022</v>
      </c>
      <c r="AP15" s="37">
        <v>180963</v>
      </c>
      <c r="AQ15" s="37">
        <v>192297</v>
      </c>
      <c r="AR15" s="37">
        <v>106257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2"/>
        <v>19</v>
      </c>
      <c r="D16" s="10">
        <f t="shared" si="3"/>
        <v>0</v>
      </c>
      <c r="E16" s="10">
        <f t="shared" si="4"/>
        <v>6</v>
      </c>
      <c r="F16" s="10">
        <f t="shared" si="5"/>
        <v>13</v>
      </c>
      <c r="G16" s="10">
        <f t="shared" si="6"/>
        <v>10</v>
      </c>
      <c r="H16" s="10">
        <f t="shared" si="7"/>
        <v>18</v>
      </c>
      <c r="I16" s="10">
        <f t="shared" si="8"/>
        <v>12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J</t>
        </is>
      </c>
      <c r="O16" s="38" t="inlineStr">
        <is>
          <t>M4</t>
        </is>
      </c>
      <c r="P16" s="38" t="inlineStr">
        <is>
          <t>GT</t>
        </is>
      </c>
      <c r="Q16" s="38" t="inlineStr">
        <is>
          <t>A</t>
        </is>
      </c>
      <c r="R16" s="38" t="inlineStr">
        <is>
          <t>K</t>
        </is>
      </c>
      <c r="S16" s="24" t="inlineStr">
        <is>
          <t>J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137036</v>
      </c>
      <c r="AM16" s="37">
        <v>117497</v>
      </c>
      <c r="AN16" s="37">
        <v>117618</v>
      </c>
      <c r="AO16" s="37">
        <v>119724</v>
      </c>
      <c r="AP16" s="37">
        <v>126354</v>
      </c>
      <c r="AQ16" s="37">
        <v>140916</v>
      </c>
      <c r="AR16" s="37">
        <v>66103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2"/>
        <v>0</v>
      </c>
      <c r="D17" s="153">
        <f t="shared" si="3"/>
        <v>0</v>
      </c>
      <c r="E17" s="153">
        <f t="shared" si="4"/>
        <v>0</v>
      </c>
      <c r="F17" s="153">
        <f t="shared" si="5"/>
        <v>0</v>
      </c>
      <c r="G17" s="153">
        <f t="shared" si="6"/>
        <v>0</v>
      </c>
      <c r="H17" s="153">
        <f t="shared" si="7"/>
        <v>0</v>
      </c>
      <c r="I17" s="153">
        <f t="shared" si="8"/>
        <v>0</v>
      </c>
      <c r="J17" s="151">
        <v>13</v>
      </c>
      <c r="L17" s="14">
        <v>13</v>
      </c>
      <c r="M17" s="38" t="inlineStr">
        <is>
          <t>M6</t>
        </is>
      </c>
      <c r="N17" s="38" t="inlineStr">
        <is>
          <t>G2</t>
        </is>
      </c>
      <c r="O17" s="38" t="inlineStr">
        <is>
          <t>M5</t>
        </is>
      </c>
      <c r="P17" s="38" t="inlineStr">
        <is>
          <t>M4</t>
        </is>
      </c>
      <c r="Q17" s="38" t="inlineStr">
        <is>
          <t>M5</t>
        </is>
      </c>
      <c r="R17" s="38" t="inlineStr">
        <is>
          <t>G5</t>
        </is>
      </c>
      <c r="S17" s="24" t="inlineStr">
        <is>
          <t>M5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224</v>
      </c>
      <c r="AN17" s="154">
        <v>134</v>
      </c>
      <c r="AO17" s="154">
        <v>154</v>
      </c>
      <c r="AP17" s="154">
        <v>41</v>
      </c>
      <c r="AQ17" s="154">
        <v>21</v>
      </c>
      <c r="AR17" s="154">
        <v>0</v>
      </c>
      <c r="AS17" s="151">
        <v>13</v>
      </c>
    </row>
    <row r="18" spans="1:45" s="148" customFormat="1" ht="15.9" customHeight="1">
      <c r="A18" s="154" t="str">
        <v>G2</v>
      </c>
      <c r="B18" s="151" t="str">
        <v>Golden M2</v>
      </c>
      <c r="C18" s="153">
        <f t="shared" si="2"/>
        <v>0</v>
      </c>
      <c r="D18" s="153">
        <f t="shared" si="3"/>
        <v>0</v>
      </c>
      <c r="E18" s="153">
        <f t="shared" si="4"/>
        <v>1</v>
      </c>
      <c r="F18" s="153">
        <f t="shared" si="5"/>
        <v>0</v>
      </c>
      <c r="G18" s="153">
        <f t="shared" si="6"/>
        <v>1</v>
      </c>
      <c r="H18" s="153">
        <f t="shared" si="7"/>
        <v>0</v>
      </c>
      <c r="I18" s="153">
        <f t="shared" si="8"/>
        <v>0</v>
      </c>
      <c r="J18" s="151">
        <v>14</v>
      </c>
      <c r="K18" s="32"/>
      <c r="L18" s="15">
        <v>14</v>
      </c>
      <c r="M18" s="38" t="inlineStr">
        <is>
          <t>K</t>
        </is>
      </c>
      <c r="N18" s="38" t="inlineStr">
        <is>
          <t>Q</t>
        </is>
      </c>
      <c r="O18" s="38" t="inlineStr">
        <is>
          <t>GK</t>
        </is>
      </c>
      <c r="P18" s="38" t="inlineStr">
        <is>
          <t>M6</t>
        </is>
      </c>
      <c r="Q18" s="38" t="inlineStr">
        <is>
          <t>M5</t>
        </is>
      </c>
      <c r="R18" s="38" t="inlineStr">
        <is>
          <t>M2</t>
        </is>
      </c>
      <c r="S18" s="24" t="inlineStr">
        <is>
          <t>M2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384</v>
      </c>
      <c r="AN18" s="154">
        <v>196</v>
      </c>
      <c r="AO18" s="154">
        <v>156</v>
      </c>
      <c r="AP18" s="154">
        <v>73</v>
      </c>
      <c r="AQ18" s="154">
        <v>47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2"/>
        <v>0</v>
      </c>
      <c r="D19" s="153">
        <f t="shared" si="3"/>
        <v>0</v>
      </c>
      <c r="E19" s="153">
        <f t="shared" si="4"/>
        <v>1</v>
      </c>
      <c r="F19" s="153">
        <f t="shared" si="5"/>
        <v>1</v>
      </c>
      <c r="G19" s="153">
        <f t="shared" si="6"/>
        <v>1</v>
      </c>
      <c r="H19" s="153">
        <f t="shared" si="7"/>
        <v>0</v>
      </c>
      <c r="I19" s="153">
        <f t="shared" si="8"/>
        <v>0</v>
      </c>
      <c r="J19" s="151">
        <v>15</v>
      </c>
      <c r="K19" s="42"/>
      <c r="L19" s="14">
        <v>15</v>
      </c>
      <c r="M19" s="38" t="inlineStr">
        <is>
          <t>M6</t>
        </is>
      </c>
      <c r="N19" s="38" t="inlineStr">
        <is>
          <t>GQ</t>
        </is>
      </c>
      <c r="O19" s="38" t="inlineStr">
        <is>
          <t>M3</t>
        </is>
      </c>
      <c r="P19" s="38" t="inlineStr">
        <is>
          <t>M1</t>
        </is>
      </c>
      <c r="Q19" s="38" t="inlineStr">
        <is>
          <t>M2</t>
        </is>
      </c>
      <c r="R19" s="38" t="inlineStr">
        <is>
          <t>A</t>
        </is>
      </c>
      <c r="S19" s="24" t="inlineStr">
        <is>
          <t>J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1546</v>
      </c>
      <c r="AN19" s="154">
        <v>569</v>
      </c>
      <c r="AO19" s="154">
        <v>704</v>
      </c>
      <c r="AP19" s="154">
        <v>35</v>
      </c>
      <c r="AQ19" s="154">
        <v>52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2"/>
        <v>0</v>
      </c>
      <c r="D20" s="153">
        <f t="shared" si="3"/>
        <v>0</v>
      </c>
      <c r="E20" s="153">
        <f t="shared" si="4"/>
        <v>1</v>
      </c>
      <c r="F20" s="153">
        <f t="shared" si="5"/>
        <v>0</v>
      </c>
      <c r="G20" s="153">
        <f t="shared" si="6"/>
        <v>1</v>
      </c>
      <c r="H20" s="153">
        <f t="shared" si="7"/>
        <v>0</v>
      </c>
      <c r="I20" s="153">
        <f t="shared" si="8"/>
        <v>0</v>
      </c>
      <c r="J20" s="151">
        <v>16</v>
      </c>
      <c r="L20" s="15">
        <v>16</v>
      </c>
      <c r="M20" s="38" t="inlineStr">
        <is>
          <t>M4</t>
        </is>
      </c>
      <c r="N20" s="38" t="inlineStr">
        <is>
          <t>M5</t>
        </is>
      </c>
      <c r="O20" s="38" t="inlineStr">
        <is>
          <t>Q</t>
        </is>
      </c>
      <c r="P20" s="38" t="inlineStr">
        <is>
          <t>K</t>
        </is>
      </c>
      <c r="Q20" s="38" t="inlineStr">
        <is>
          <t>Q</t>
        </is>
      </c>
      <c r="R20" s="38" t="inlineStr">
        <is>
          <t>M4</t>
        </is>
      </c>
      <c r="S20" s="24" t="inlineStr">
        <is>
          <t>M5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3937</v>
      </c>
      <c r="AN20" s="154">
        <v>1846</v>
      </c>
      <c r="AO20" s="154">
        <v>1815</v>
      </c>
      <c r="AP20" s="154">
        <v>898</v>
      </c>
      <c r="AQ20" s="154">
        <v>378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2"/>
        <v>0</v>
      </c>
      <c r="D21" s="153">
        <f t="shared" si="3"/>
        <v>0</v>
      </c>
      <c r="E21" s="153">
        <f t="shared" si="4"/>
        <v>1</v>
      </c>
      <c r="F21" s="153">
        <f t="shared" si="5"/>
        <v>1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J</t>
        </is>
      </c>
      <c r="N21" s="38" t="inlineStr">
        <is>
          <t>M5</t>
        </is>
      </c>
      <c r="O21" s="38" t="inlineStr">
        <is>
          <t>M5</t>
        </is>
      </c>
      <c r="P21" s="38" t="inlineStr">
        <is>
          <t>TE</t>
        </is>
      </c>
      <c r="Q21" s="38" t="inlineStr">
        <is>
          <t>Q</t>
        </is>
      </c>
      <c r="R21" s="38" t="inlineStr">
        <is>
          <t>Q</t>
        </is>
      </c>
      <c r="S21" s="24" t="inlineStr">
        <is>
          <t>K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1008</v>
      </c>
      <c r="AN21" s="154">
        <v>2410</v>
      </c>
      <c r="AO21" s="154">
        <v>515</v>
      </c>
      <c r="AP21" s="154">
        <v>368</v>
      </c>
      <c r="AQ21" s="154">
        <v>131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2"/>
        <v>0</v>
      </c>
      <c r="D22" s="153">
        <f t="shared" si="3"/>
        <v>0</v>
      </c>
      <c r="E22" s="153">
        <f t="shared" si="4"/>
        <v>2</v>
      </c>
      <c r="F22" s="153">
        <f t="shared" si="5"/>
        <v>1</v>
      </c>
      <c r="G22" s="153">
        <f t="shared" si="6"/>
        <v>1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M6</t>
        </is>
      </c>
      <c r="N22" s="38" t="inlineStr">
        <is>
          <t>A</t>
        </is>
      </c>
      <c r="O22" s="38" t="inlineStr">
        <is>
          <t>M4</t>
        </is>
      </c>
      <c r="P22" s="38" t="inlineStr">
        <is>
          <t>GA</t>
        </is>
      </c>
      <c r="Q22" s="38" t="inlineStr">
        <is>
          <t>M2</t>
        </is>
      </c>
      <c r="R22" s="38" t="inlineStr">
        <is>
          <t>M5</t>
        </is>
      </c>
      <c r="S22" s="38" t="inlineStr">
        <is>
          <t>M3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3792</v>
      </c>
      <c r="AN22" s="154">
        <v>562</v>
      </c>
      <c r="AO22" s="154">
        <v>2042</v>
      </c>
      <c r="AP22" s="154">
        <v>1085</v>
      </c>
      <c r="AQ22" s="154">
        <v>545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2"/>
        <v>0</v>
      </c>
      <c r="D23" s="10">
        <f t="shared" si="3"/>
        <v>0</v>
      </c>
      <c r="E23" s="10">
        <f t="shared" si="4"/>
        <v>1</v>
      </c>
      <c r="F23" s="10">
        <f t="shared" si="5"/>
        <v>1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TE</t>
        </is>
      </c>
      <c r="N23" s="38" t="inlineStr">
        <is>
          <t>A</t>
        </is>
      </c>
      <c r="O23" s="38" t="inlineStr">
        <is>
          <t>G3</t>
        </is>
      </c>
      <c r="P23" s="38" t="inlineStr">
        <is>
          <t>K</t>
        </is>
      </c>
      <c r="Q23" s="38" t="inlineStr">
        <is>
          <t>J</t>
        </is>
      </c>
      <c r="R23" s="38" t="inlineStr">
        <is>
          <t>K</t>
        </is>
      </c>
      <c r="S23" s="24" t="inlineStr">
        <is>
          <t>M5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2066</v>
      </c>
      <c r="AN23" s="37">
        <v>3141</v>
      </c>
      <c r="AO23" s="37">
        <v>1065</v>
      </c>
      <c r="AP23" s="37">
        <v>463</v>
      </c>
      <c r="AQ23" s="37">
        <v>197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2"/>
        <v>0</v>
      </c>
      <c r="D24" s="10">
        <f t="shared" si="3"/>
        <v>0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C1</t>
        </is>
      </c>
      <c r="N24" s="38" t="inlineStr">
        <is>
          <t>Q</t>
        </is>
      </c>
      <c r="O24" s="38" t="inlineStr">
        <is>
          <t>M5</t>
        </is>
      </c>
      <c r="P24" s="38" t="inlineStr">
        <is>
          <t>J</t>
        </is>
      </c>
      <c r="Q24" s="38" t="inlineStr">
        <is>
          <t>G5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3246</v>
      </c>
      <c r="AN24" s="37">
        <v>1116</v>
      </c>
      <c r="AO24" s="37">
        <v>1663</v>
      </c>
      <c r="AP24" s="37">
        <v>1310</v>
      </c>
      <c r="AQ24" s="37">
        <v>476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2"/>
        <v>0</v>
      </c>
      <c r="D25" s="10">
        <f t="shared" si="3"/>
        <v>0</v>
      </c>
      <c r="E25" s="10">
        <f t="shared" si="4"/>
        <v>1</v>
      </c>
      <c r="F25" s="10">
        <f t="shared" si="5"/>
        <v>3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TE</t>
        </is>
      </c>
      <c r="N25" s="38" t="inlineStr">
        <is>
          <t>M2</t>
        </is>
      </c>
      <c r="O25" s="38" t="inlineStr">
        <is>
          <t>GT</t>
        </is>
      </c>
      <c r="P25" s="38" t="inlineStr">
        <is>
          <t>M4</t>
        </is>
      </c>
      <c r="Q25" s="38" t="inlineStr">
        <is>
          <t>K</t>
        </is>
      </c>
      <c r="R25" s="38" t="inlineStr">
        <is>
          <t>G2</t>
        </is>
      </c>
      <c r="S25" s="24" t="inlineStr">
        <is>
          <t>M3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2619</v>
      </c>
      <c r="AN25" s="37">
        <v>2977</v>
      </c>
      <c r="AO25" s="37">
        <v>1525</v>
      </c>
      <c r="AP25" s="37">
        <v>698</v>
      </c>
      <c r="AQ25" s="37">
        <v>288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2"/>
        <v>0</v>
      </c>
      <c r="D26" s="10">
        <f t="shared" si="3"/>
        <v>0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TE</t>
        </is>
      </c>
      <c r="N26" s="38" t="inlineStr">
        <is>
          <t>J</t>
        </is>
      </c>
      <c r="O26" s="38" t="inlineStr">
        <is>
          <t>J</t>
        </is>
      </c>
      <c r="P26" s="38" t="inlineStr">
        <is>
          <t>G4</t>
        </is>
      </c>
      <c r="Q26" s="38" t="inlineStr">
        <is>
          <t>Q</t>
        </is>
      </c>
      <c r="R26" s="38" t="inlineStr">
        <is>
          <t>Q</t>
        </is>
      </c>
      <c r="S26" s="24" t="inlineStr">
        <is>
          <t>A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4079</v>
      </c>
      <c r="AN26" s="37">
        <v>1809</v>
      </c>
      <c r="AO26" s="37">
        <v>2180</v>
      </c>
      <c r="AP26" s="37">
        <v>1440</v>
      </c>
      <c r="AQ26" s="37">
        <v>659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2"/>
        <v>0</v>
      </c>
      <c r="D27" s="10">
        <f t="shared" si="3"/>
        <v>0</v>
      </c>
      <c r="E27" s="10">
        <f t="shared" si="4"/>
        <v>1</v>
      </c>
      <c r="F27" s="10">
        <f t="shared" si="5"/>
        <v>0</v>
      </c>
      <c r="G27" s="10">
        <f t="shared" si="6"/>
        <v>1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A</t>
        </is>
      </c>
      <c r="N27" s="38" t="inlineStr">
        <is>
          <t>M5</t>
        </is>
      </c>
      <c r="O27" s="38" t="inlineStr">
        <is>
          <t>G5</t>
        </is>
      </c>
      <c r="P27" s="38" t="inlineStr">
        <is>
          <t>TE</t>
        </is>
      </c>
      <c r="Q27" s="38" t="inlineStr">
        <is>
          <t>A</t>
        </is>
      </c>
      <c r="R27" s="38" t="inlineStr">
        <is>
          <t>M5</t>
        </is>
      </c>
      <c r="S27" s="24" t="inlineStr">
        <is>
          <t>TE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3381</v>
      </c>
      <c r="AN27" s="37">
        <v>2179</v>
      </c>
      <c r="AO27" s="37">
        <v>1775</v>
      </c>
      <c r="AP27" s="37">
        <v>1006</v>
      </c>
      <c r="AQ27" s="37">
        <v>483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2"/>
        <v>2</v>
      </c>
      <c r="D28" s="153">
        <f t="shared" si="3"/>
        <v>0</v>
      </c>
      <c r="E28" s="153">
        <f t="shared" si="4"/>
        <v>3</v>
      </c>
      <c r="F28" s="153">
        <f t="shared" si="5"/>
        <v>2</v>
      </c>
      <c r="G28" s="153">
        <f t="shared" si="6"/>
        <v>2</v>
      </c>
      <c r="H28" s="153">
        <f t="shared" si="7"/>
        <v>2</v>
      </c>
      <c r="I28" s="153">
        <f t="shared" si="8"/>
        <v>2</v>
      </c>
      <c r="J28" s="151">
        <v>24</v>
      </c>
      <c r="L28" s="15">
        <v>24</v>
      </c>
      <c r="M28" s="38" t="inlineStr">
        <is>
          <t>M6</t>
        </is>
      </c>
      <c r="N28" s="38" t="inlineStr">
        <is>
          <t>A</t>
        </is>
      </c>
      <c r="O28" s="38" t="inlineStr">
        <is>
          <t>M4</t>
        </is>
      </c>
      <c r="P28" s="38" t="inlineStr">
        <is>
          <t>J</t>
        </is>
      </c>
      <c r="Q28" s="38" t="inlineStr">
        <is>
          <t>Q</t>
        </is>
      </c>
      <c r="R28" s="38" t="inlineStr">
        <is>
          <t>GA</t>
        </is>
      </c>
      <c r="S28" s="24" t="inlineStr">
        <is>
          <t>M5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2"/>
        <v>0</v>
      </c>
      <c r="D29" s="153">
        <f t="shared" si="3"/>
        <v>0</v>
      </c>
      <c r="E29" s="153">
        <f t="shared" si="4"/>
        <v>1</v>
      </c>
      <c r="F29" s="153">
        <f t="shared" si="5"/>
        <v>1</v>
      </c>
      <c r="G29" s="153">
        <f t="shared" si="6"/>
        <v>1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Q</t>
        </is>
      </c>
      <c r="N29" s="38" t="inlineStr">
        <is>
          <t>M3</t>
        </is>
      </c>
      <c r="O29" s="38" t="inlineStr">
        <is>
          <t>K</t>
        </is>
      </c>
      <c r="P29" s="38" t="inlineStr">
        <is>
          <t>M6</t>
        </is>
      </c>
      <c r="Q29" s="38" t="inlineStr">
        <is>
          <t>M5</t>
        </is>
      </c>
      <c r="R29" s="38" t="inlineStr">
        <is>
          <t>J</t>
        </is>
      </c>
      <c r="S29" s="24" t="inlineStr">
        <is>
          <t>M5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>
      <c r="A30" s="148"/>
      <c r="B30" s="148"/>
      <c r="C30" s="170">
        <f>SUM(C4:C29)</f>
        <v>121</v>
      </c>
      <c r="D30" s="170">
        <f t="shared" ref="D30:I30" si="16">SUM(D4:D29)</f>
        <v>121</v>
      </c>
      <c r="E30" s="170">
        <f t="shared" si="16"/>
        <v>121</v>
      </c>
      <c r="F30" s="170">
        <f t="shared" si="16"/>
        <v>121</v>
      </c>
      <c r="G30" s="170">
        <f t="shared" si="16"/>
        <v>121</v>
      </c>
      <c r="H30" s="170">
        <f t="shared" si="16"/>
        <v>121</v>
      </c>
      <c r="I30" s="170">
        <f t="shared" si="16"/>
        <v>121</v>
      </c>
      <c r="J30" s="13"/>
      <c r="L30" s="15">
        <v>26</v>
      </c>
      <c r="M30" s="38" t="inlineStr">
        <is>
          <t>TE</t>
        </is>
      </c>
      <c r="N30" s="38" t="inlineStr">
        <is>
          <t>M2</t>
        </is>
      </c>
      <c r="O30" s="38" t="inlineStr">
        <is>
          <t>A</t>
        </is>
      </c>
      <c r="P30" s="38" t="inlineStr">
        <is>
          <t>M3</t>
        </is>
      </c>
      <c r="Q30" s="38" t="inlineStr">
        <is>
          <t>GT</t>
        </is>
      </c>
      <c r="R30" s="38" t="inlineStr">
        <is>
          <t>A</t>
        </is>
      </c>
      <c r="S30" s="24" t="inlineStr">
        <is>
          <t>M3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K</t>
        </is>
      </c>
      <c r="N31" s="38" t="inlineStr">
        <is>
          <t>M5</t>
        </is>
      </c>
      <c r="O31" s="38" t="inlineStr">
        <is>
          <t>J</t>
        </is>
      </c>
      <c r="P31" s="38" t="inlineStr">
        <is>
          <t>Q</t>
        </is>
      </c>
      <c r="Q31" s="38" t="inlineStr">
        <is>
          <t>TE</t>
        </is>
      </c>
      <c r="R31" s="38" t="inlineStr">
        <is>
          <t>M1</t>
        </is>
      </c>
      <c r="S31" s="24" t="inlineStr">
        <is>
          <t>M3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M6</t>
        </is>
      </c>
      <c r="N32" s="38" t="inlineStr">
        <is>
          <t>Q</t>
        </is>
      </c>
      <c r="O32" s="38" t="inlineStr">
        <is>
          <t>J</t>
        </is>
      </c>
      <c r="P32" s="38" t="inlineStr">
        <is>
          <t>TE</t>
        </is>
      </c>
      <c r="Q32" s="38" t="inlineStr">
        <is>
          <t>G5</t>
        </is>
      </c>
      <c r="R32" s="38" t="inlineStr">
        <is>
          <t>M6</t>
        </is>
      </c>
      <c r="S32" s="24" t="inlineStr">
        <is>
          <t>M4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7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inlineStr">
        <is>
          <t>TE</t>
        </is>
      </c>
      <c r="N33" s="38" t="inlineStr">
        <is>
          <t>A</t>
        </is>
      </c>
      <c r="O33" s="38" t="inlineStr">
        <is>
          <t>GJ</t>
        </is>
      </c>
      <c r="P33" s="38" t="inlineStr">
        <is>
          <t>GK</t>
        </is>
      </c>
      <c r="Q33" s="38" t="inlineStr">
        <is>
          <t>M5</t>
        </is>
      </c>
      <c r="R33" s="38" t="inlineStr">
        <is>
          <t>A</t>
        </is>
      </c>
      <c r="S33" s="24" t="inlineStr">
        <is>
          <t>M5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33822</v>
      </c>
      <c r="AN33" s="10">
        <v>42180</v>
      </c>
      <c r="AO33" s="10">
        <v>36435</v>
      </c>
      <c r="AP33" s="10">
        <v>30133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inlineStr">
        <is>
          <t>TE</t>
        </is>
      </c>
      <c r="N34" s="38" t="inlineStr">
        <is>
          <t>J</t>
        </is>
      </c>
      <c r="O34" s="38" t="inlineStr">
        <is>
          <t>GK</t>
        </is>
      </c>
      <c r="P34" s="38" t="inlineStr">
        <is>
          <t>J</t>
        </is>
      </c>
      <c r="Q34" s="38" t="inlineStr">
        <is>
          <t>A</t>
        </is>
      </c>
      <c r="R34" s="38" t="inlineStr">
        <is>
          <t>M4</t>
        </is>
      </c>
      <c r="S34" s="38" t="inlineStr">
        <is>
          <t>A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23735</v>
      </c>
      <c r="AM34" s="37">
        <v>26467</v>
      </c>
      <c r="AN34" s="37">
        <v>26591</v>
      </c>
      <c r="AO34" s="37">
        <v>33273</v>
      </c>
      <c r="AP34" s="37">
        <v>30534</v>
      </c>
      <c r="AQ34" s="37">
        <v>40327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inlineStr">
        <is>
          <t>M1</t>
        </is>
      </c>
      <c r="N35" s="38" t="inlineStr">
        <is>
          <t>WW</t>
        </is>
      </c>
      <c r="O35" s="38" t="inlineStr">
        <is>
          <t>GK</t>
        </is>
      </c>
      <c r="P35" s="38" t="inlineStr">
        <is>
          <t>TE</t>
        </is>
      </c>
      <c r="Q35" s="38" t="inlineStr">
        <is>
          <t>C1</t>
        </is>
      </c>
      <c r="R35" s="38" t="inlineStr">
        <is>
          <t>GJ</t>
        </is>
      </c>
      <c r="S35" s="24" t="inlineStr">
        <is>
          <t>A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7594</v>
      </c>
      <c r="AM35" s="154">
        <v>7794</v>
      </c>
      <c r="AN35" s="154">
        <v>7219</v>
      </c>
      <c r="AO35" s="154">
        <v>10385</v>
      </c>
      <c r="AP35" s="154">
        <v>5182</v>
      </c>
      <c r="AQ35" s="154">
        <v>6105</v>
      </c>
      <c r="AR35" s="154">
        <v>2534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inlineStr">
        <is>
          <t>Q</t>
        </is>
      </c>
      <c r="N36" s="38" t="inlineStr">
        <is>
          <t>M4</t>
        </is>
      </c>
      <c r="O36" s="38" t="inlineStr">
        <is>
          <t>M2</t>
        </is>
      </c>
      <c r="P36" s="38" t="inlineStr">
        <is>
          <t>M2</t>
        </is>
      </c>
      <c r="Q36" s="38" t="inlineStr">
        <is>
          <t>K</t>
        </is>
      </c>
      <c r="R36" s="38" t="inlineStr">
        <is>
          <t>J</t>
        </is>
      </c>
      <c r="S36" s="24" t="inlineStr">
        <is>
          <t>M4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11881</v>
      </c>
      <c r="AM36" s="154">
        <v>13362</v>
      </c>
      <c r="AN36" s="154">
        <v>10584</v>
      </c>
      <c r="AO36" s="154">
        <v>10534</v>
      </c>
      <c r="AP36" s="154">
        <v>9168</v>
      </c>
      <c r="AQ36" s="154">
        <v>13736</v>
      </c>
      <c r="AR36" s="154">
        <v>30361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inlineStr">
        <is>
          <t>Q</t>
        </is>
      </c>
      <c r="N37" s="38" t="inlineStr">
        <is>
          <t>K</t>
        </is>
      </c>
      <c r="O37" s="38" t="inlineStr">
        <is>
          <t>TE</t>
        </is>
      </c>
      <c r="P37" s="38" t="inlineStr">
        <is>
          <t>K</t>
        </is>
      </c>
      <c r="Q37" s="38" t="inlineStr">
        <is>
          <t>M2</t>
        </is>
      </c>
      <c r="R37" s="38" t="inlineStr">
        <is>
          <t>K</t>
        </is>
      </c>
      <c r="S37" s="24" t="inlineStr">
        <is>
          <t>M4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32308</v>
      </c>
      <c r="AM37" s="154">
        <v>53738</v>
      </c>
      <c r="AN37" s="154">
        <v>30721</v>
      </c>
      <c r="AO37" s="154">
        <v>47474</v>
      </c>
      <c r="AP37" s="154">
        <v>4384</v>
      </c>
      <c r="AQ37" s="154">
        <v>15262</v>
      </c>
      <c r="AR37" s="154">
        <v>214109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GT</t>
        </is>
      </c>
      <c r="O38" s="38" t="inlineStr">
        <is>
          <t>M4</t>
        </is>
      </c>
      <c r="P38" s="38" t="inlineStr">
        <is>
          <t>J</t>
        </is>
      </c>
      <c r="Q38" s="38" t="inlineStr">
        <is>
          <t>M5</t>
        </is>
      </c>
      <c r="R38" s="38" t="inlineStr">
        <is>
          <t>M6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95203</v>
      </c>
      <c r="AM38" s="154">
        <v>136835</v>
      </c>
      <c r="AN38" s="154">
        <v>99652</v>
      </c>
      <c r="AO38" s="154">
        <v>122395</v>
      </c>
      <c r="AP38" s="154">
        <v>112802</v>
      </c>
      <c r="AQ38" s="154">
        <v>110392</v>
      </c>
      <c r="AR38" s="154">
        <v>114485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inlineStr">
        <is>
          <t>M6</t>
        </is>
      </c>
      <c r="N39" s="38" t="inlineStr">
        <is>
          <t>Q</t>
        </is>
      </c>
      <c r="O39" s="38" t="inlineStr">
        <is>
          <t>M6</t>
        </is>
      </c>
      <c r="P39" s="38" t="inlineStr">
        <is>
          <t>K</t>
        </is>
      </c>
      <c r="Q39" s="38" t="inlineStr">
        <is>
          <t>J</t>
        </is>
      </c>
      <c r="R39" s="38" t="inlineStr">
        <is>
          <t>GT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147805</v>
      </c>
      <c r="AM39" s="154">
        <v>35044</v>
      </c>
      <c r="AN39" s="154">
        <v>130101</v>
      </c>
      <c r="AO39" s="154">
        <v>34715</v>
      </c>
      <c r="AP39" s="154">
        <v>46237</v>
      </c>
      <c r="AQ39" s="154">
        <v>38154</v>
      </c>
      <c r="AR39" s="154">
        <v>183748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inlineStr">
        <is>
          <t>K</t>
        </is>
      </c>
      <c r="N40" s="195" t="inlineStr">
        <is>
          <t>M2</t>
        </is>
      </c>
      <c r="O40" s="37" t="inlineStr">
        <is>
          <t>M3</t>
        </is>
      </c>
      <c r="P40" s="37" t="inlineStr">
        <is>
          <t>Q</t>
        </is>
      </c>
      <c r="Q40" s="37" t="inlineStr">
        <is>
          <t>Q</t>
        </is>
      </c>
      <c r="R40" s="37" t="inlineStr">
        <is>
          <t>Q</t>
        </is>
      </c>
      <c r="S40" s="37" t="inlineStr">
        <is>
          <t>M3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33683</v>
      </c>
      <c r="AM40" s="154">
        <v>131796</v>
      </c>
      <c r="AN40" s="154">
        <v>30341</v>
      </c>
      <c r="AO40" s="154">
        <v>137675</v>
      </c>
      <c r="AP40" s="154">
        <v>136320</v>
      </c>
      <c r="AQ40" s="154">
        <v>159229</v>
      </c>
      <c r="AR40" s="154">
        <v>67683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inlineStr">
        <is>
          <t>C1</t>
        </is>
      </c>
      <c r="N41" s="38" t="inlineStr">
        <is>
          <t>TE</t>
        </is>
      </c>
      <c r="O41" s="38" t="inlineStr">
        <is>
          <t>M3</t>
        </is>
      </c>
      <c r="P41" s="38" t="inlineStr">
        <is>
          <t>G4</t>
        </is>
      </c>
      <c r="Q41" s="38" t="inlineStr">
        <is>
          <t>J</t>
        </is>
      </c>
      <c r="R41" s="38" t="inlineStr">
        <is>
          <t>G6</t>
        </is>
      </c>
      <c r="S41" s="24" t="inlineStr">
        <is>
          <t>M3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172492</v>
      </c>
      <c r="AM41" s="37">
        <v>71787</v>
      </c>
      <c r="AN41" s="37">
        <v>169505</v>
      </c>
      <c r="AO41" s="37">
        <v>71805</v>
      </c>
      <c r="AP41" s="37">
        <v>58195</v>
      </c>
      <c r="AQ41" s="37">
        <v>57485</v>
      </c>
      <c r="AR41" s="37">
        <v>73049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inlineStr">
        <is>
          <t>A</t>
        </is>
      </c>
      <c r="N42" s="38" t="inlineStr">
        <is>
          <t>M2</t>
        </is>
      </c>
      <c r="O42" s="38" t="inlineStr">
        <is>
          <t>G6</t>
        </is>
      </c>
      <c r="P42" s="38" t="inlineStr">
        <is>
          <t>M6</t>
        </is>
      </c>
      <c r="Q42" s="38" t="inlineStr">
        <is>
          <t>GA</t>
        </is>
      </c>
      <c r="R42" s="38" t="inlineStr">
        <is>
          <t>A</t>
        </is>
      </c>
      <c r="S42" s="24" t="inlineStr">
        <is>
          <t>M4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57365</v>
      </c>
      <c r="AM42" s="37">
        <v>112809</v>
      </c>
      <c r="AN42" s="37">
        <v>60247</v>
      </c>
      <c r="AO42" s="37">
        <v>112158</v>
      </c>
      <c r="AP42" s="37">
        <v>164620</v>
      </c>
      <c r="AQ42" s="37">
        <v>138881</v>
      </c>
      <c r="AR42" s="37">
        <v>73049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inlineStr">
        <is>
          <t>C1</t>
        </is>
      </c>
      <c r="N43" s="38" t="inlineStr">
        <is>
          <t>A</t>
        </is>
      </c>
      <c r="O43" s="38" t="inlineStr">
        <is>
          <t>M6</t>
        </is>
      </c>
      <c r="P43" s="38" t="inlineStr">
        <is>
          <t>J</t>
        </is>
      </c>
      <c r="Q43" s="38" t="inlineStr">
        <is>
          <t>GJ</t>
        </is>
      </c>
      <c r="R43" s="38" t="inlineStr">
        <is>
          <t>J</t>
        </is>
      </c>
      <c r="S43" s="24" t="inlineStr">
        <is>
          <t>M5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177493</v>
      </c>
      <c r="AM43" s="37">
        <v>91009</v>
      </c>
      <c r="AN43" s="37">
        <v>160658</v>
      </c>
      <c r="AO43" s="37">
        <v>102811</v>
      </c>
      <c r="AP43" s="37">
        <v>87691</v>
      </c>
      <c r="AQ43" s="37">
        <v>83939</v>
      </c>
      <c r="AR43" s="37">
        <v>68622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inlineStr">
        <is>
          <t>A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Q</t>
        </is>
      </c>
      <c r="Q44" s="38" t="inlineStr">
        <is>
          <t>M6</t>
        </is>
      </c>
      <c r="R44" s="38" t="inlineStr">
        <is>
          <t>M5</t>
        </is>
      </c>
      <c r="S44" s="24" t="inlineStr">
        <is>
          <t>Q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103405</v>
      </c>
      <c r="AM44" s="37">
        <v>141758</v>
      </c>
      <c r="AN44" s="37">
        <v>97644</v>
      </c>
      <c r="AO44" s="37">
        <v>147022</v>
      </c>
      <c r="AP44" s="37">
        <v>180963</v>
      </c>
      <c r="AQ44" s="37">
        <v>192297</v>
      </c>
      <c r="AR44" s="37">
        <v>106257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inlineStr">
        <is>
          <t>Q</t>
        </is>
      </c>
      <c r="N45" s="38" t="inlineStr">
        <is>
          <t>M6</t>
        </is>
      </c>
      <c r="O45" s="38" t="inlineStr">
        <is>
          <t>M4</t>
        </is>
      </c>
      <c r="P45" s="38" t="inlineStr">
        <is>
          <t>M2</t>
        </is>
      </c>
      <c r="Q45" s="38" t="inlineStr">
        <is>
          <t>A</t>
        </is>
      </c>
      <c r="R45" s="38" t="inlineStr">
        <is>
          <t>M4</t>
        </is>
      </c>
      <c r="S45" s="24" t="inlineStr">
        <is>
          <t>M3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137036</v>
      </c>
      <c r="AM45" s="37">
        <v>117497</v>
      </c>
      <c r="AN45" s="37">
        <v>117618</v>
      </c>
      <c r="AO45" s="37">
        <v>119724</v>
      </c>
      <c r="AP45" s="37">
        <v>126354</v>
      </c>
      <c r="AQ45" s="37">
        <v>140916</v>
      </c>
      <c r="AR45" s="37">
        <v>66103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inlineStr">
        <is>
          <t>M6</t>
        </is>
      </c>
      <c r="N46" s="38" t="inlineStr">
        <is>
          <t>M3</t>
        </is>
      </c>
      <c r="O46" s="38" t="inlineStr">
        <is>
          <t>K</t>
        </is>
      </c>
      <c r="P46" s="38" t="inlineStr">
        <is>
          <t>K</t>
        </is>
      </c>
      <c r="Q46" s="38" t="inlineStr">
        <is>
          <t>M6</t>
        </is>
      </c>
      <c r="R46" s="38" t="inlineStr">
        <is>
          <t>M5</t>
        </is>
      </c>
      <c r="S46" s="24" t="inlineStr">
        <is>
          <t>M3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224</v>
      </c>
      <c r="AN46" s="154">
        <v>134</v>
      </c>
      <c r="AO46" s="154">
        <v>154</v>
      </c>
      <c r="AP46" s="154">
        <v>41</v>
      </c>
      <c r="AQ46" s="154">
        <v>21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M5</t>
        </is>
      </c>
      <c r="O47" s="38" t="inlineStr">
        <is>
          <t>J</t>
        </is>
      </c>
      <c r="P47" s="38" t="inlineStr">
        <is>
          <t>GK</t>
        </is>
      </c>
      <c r="Q47" s="38" t="inlineStr">
        <is>
          <t>GK</t>
        </is>
      </c>
      <c r="R47" s="38" t="inlineStr">
        <is>
          <t>M2</t>
        </is>
      </c>
      <c r="S47" s="24" t="inlineStr">
        <is>
          <t>M6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384</v>
      </c>
      <c r="AN47" s="154">
        <v>196</v>
      </c>
      <c r="AO47" s="154">
        <v>156</v>
      </c>
      <c r="AP47" s="154">
        <v>73</v>
      </c>
      <c r="AQ47" s="154">
        <v>47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J</t>
        </is>
      </c>
      <c r="N48" s="38" t="inlineStr">
        <is>
          <t>Q</t>
        </is>
      </c>
      <c r="O48" s="38" t="inlineStr">
        <is>
          <t>G4</t>
        </is>
      </c>
      <c r="P48" s="38" t="inlineStr">
        <is>
          <t>M3</t>
        </is>
      </c>
      <c r="Q48" s="38" t="inlineStr">
        <is>
          <t>K</t>
        </is>
      </c>
      <c r="R48" s="38" t="inlineStr">
        <is>
          <t>G4</t>
        </is>
      </c>
      <c r="S48" s="24" t="inlineStr">
        <is>
          <t>Q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1546</v>
      </c>
      <c r="AN48" s="154">
        <v>569</v>
      </c>
      <c r="AO48" s="154">
        <v>704</v>
      </c>
      <c r="AP48" s="154">
        <v>35</v>
      </c>
      <c r="AQ48" s="154">
        <v>52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J</t>
        </is>
      </c>
      <c r="N49" s="38" t="inlineStr">
        <is>
          <t>Q</t>
        </is>
      </c>
      <c r="O49" s="38" t="inlineStr">
        <is>
          <t>J</t>
        </is>
      </c>
      <c r="P49" s="38" t="inlineStr">
        <is>
          <t>A</t>
        </is>
      </c>
      <c r="Q49" s="38" t="inlineStr">
        <is>
          <t>M6</t>
        </is>
      </c>
      <c r="R49" s="38" t="inlineStr">
        <is>
          <t>A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3937</v>
      </c>
      <c r="AN49" s="154">
        <v>1846</v>
      </c>
      <c r="AO49" s="154">
        <v>1815</v>
      </c>
      <c r="AP49" s="154">
        <v>898</v>
      </c>
      <c r="AQ49" s="154">
        <v>378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K</t>
        </is>
      </c>
      <c r="N50" s="38" t="inlineStr">
        <is>
          <t>G5</t>
        </is>
      </c>
      <c r="O50" s="38" t="inlineStr">
        <is>
          <t>M5</t>
        </is>
      </c>
      <c r="P50" s="38" t="inlineStr">
        <is>
          <t>J</t>
        </is>
      </c>
      <c r="Q50" s="38" t="inlineStr">
        <is>
          <t>M5</t>
        </is>
      </c>
      <c r="R50" s="38" t="inlineStr">
        <is>
          <t>TE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1008</v>
      </c>
      <c r="AN50" s="154">
        <v>2410</v>
      </c>
      <c r="AO50" s="154">
        <v>515</v>
      </c>
      <c r="AP50" s="154">
        <v>368</v>
      </c>
      <c r="AQ50" s="154">
        <v>131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M6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TE</t>
        </is>
      </c>
      <c r="Q51" s="38" t="inlineStr">
        <is>
          <t>M5</t>
        </is>
      </c>
      <c r="R51" s="38" t="inlineStr">
        <is>
          <t>J</t>
        </is>
      </c>
      <c r="S51" s="24" t="inlineStr">
        <is>
          <t>K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3792</v>
      </c>
      <c r="AN51" s="154">
        <v>562</v>
      </c>
      <c r="AO51" s="154">
        <v>2042</v>
      </c>
      <c r="AP51" s="154">
        <v>1085</v>
      </c>
      <c r="AQ51" s="154">
        <v>545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M6</t>
        </is>
      </c>
      <c r="N52" s="38" t="inlineStr">
        <is>
          <t>G6</t>
        </is>
      </c>
      <c r="O52" s="38" t="inlineStr">
        <is>
          <t>GJ</t>
        </is>
      </c>
      <c r="P52" s="38" t="inlineStr">
        <is>
          <t>M6</t>
        </is>
      </c>
      <c r="Q52" s="38" t="inlineStr">
        <is>
          <t>TE</t>
        </is>
      </c>
      <c r="R52" s="38" t="inlineStr">
        <is>
          <t>GJ</t>
        </is>
      </c>
      <c r="S52" s="24" t="inlineStr">
        <is>
          <t>Q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2066</v>
      </c>
      <c r="AN52" s="37">
        <v>3141</v>
      </c>
      <c r="AO52" s="37">
        <v>1065</v>
      </c>
      <c r="AP52" s="37">
        <v>463</v>
      </c>
      <c r="AQ52" s="37">
        <v>197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TE</t>
        </is>
      </c>
      <c r="N53" s="38" t="inlineStr">
        <is>
          <t>A</t>
        </is>
      </c>
      <c r="O53" s="38" t="inlineStr">
        <is>
          <t>GQ</t>
        </is>
      </c>
      <c r="P53" s="38" t="inlineStr">
        <is>
          <t>M6</t>
        </is>
      </c>
      <c r="Q53" s="38" t="inlineStr">
        <is>
          <t>G4</t>
        </is>
      </c>
      <c r="R53" s="38" t="inlineStr">
        <is>
          <t>M5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3246</v>
      </c>
      <c r="AN53" s="37">
        <v>1116</v>
      </c>
      <c r="AO53" s="37">
        <v>1663</v>
      </c>
      <c r="AP53" s="37">
        <v>1310</v>
      </c>
      <c r="AQ53" s="37">
        <v>476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M3</t>
        </is>
      </c>
      <c r="N54" s="38" t="inlineStr">
        <is>
          <t>TE</t>
        </is>
      </c>
      <c r="O54" s="38" t="inlineStr">
        <is>
          <t>K</t>
        </is>
      </c>
      <c r="P54" s="38" t="inlineStr">
        <is>
          <t>M5</t>
        </is>
      </c>
      <c r="Q54" s="38" t="inlineStr">
        <is>
          <t>J</t>
        </is>
      </c>
      <c r="R54" s="38" t="inlineStr">
        <is>
          <t>C1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2619</v>
      </c>
      <c r="AN54" s="37">
        <v>2977</v>
      </c>
      <c r="AO54" s="37">
        <v>1525</v>
      </c>
      <c r="AP54" s="37">
        <v>698</v>
      </c>
      <c r="AQ54" s="37">
        <v>288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J</t>
        </is>
      </c>
      <c r="N55" s="38" t="inlineStr">
        <is>
          <t>M1</t>
        </is>
      </c>
      <c r="O55" s="38" t="inlineStr">
        <is>
          <t>M4</t>
        </is>
      </c>
      <c r="P55" s="38" t="inlineStr">
        <is>
          <t>G6</t>
        </is>
      </c>
      <c r="Q55" s="38" t="inlineStr">
        <is>
          <t>A</t>
        </is>
      </c>
      <c r="R55" s="38" t="inlineStr">
        <is>
          <t>A</t>
        </is>
      </c>
      <c r="S55" s="24" t="inlineStr">
        <is>
          <t>M3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4079</v>
      </c>
      <c r="AN55" s="37">
        <v>1809</v>
      </c>
      <c r="AO55" s="37">
        <v>2180</v>
      </c>
      <c r="AP55" s="37">
        <v>1440</v>
      </c>
      <c r="AQ55" s="37">
        <v>659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K</t>
        </is>
      </c>
      <c r="N56" s="38" t="inlineStr">
        <is>
          <t>G2</t>
        </is>
      </c>
      <c r="O56" s="38" t="inlineStr">
        <is>
          <t>GA</t>
        </is>
      </c>
      <c r="P56" s="38" t="inlineStr">
        <is>
          <t>M3</t>
        </is>
      </c>
      <c r="Q56" s="38" t="inlineStr">
        <is>
          <t>A</t>
        </is>
      </c>
      <c r="R56" s="38" t="inlineStr">
        <is>
          <t>M2</t>
        </is>
      </c>
      <c r="S56" s="24" t="inlineStr">
        <is>
          <t>M4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3381</v>
      </c>
      <c r="AN56" s="37">
        <v>2179</v>
      </c>
      <c r="AO56" s="37">
        <v>1775</v>
      </c>
      <c r="AP56" s="37">
        <v>1006</v>
      </c>
      <c r="AQ56" s="37">
        <v>483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TE</t>
        </is>
      </c>
      <c r="N57" s="38" t="inlineStr">
        <is>
          <t>GQ</t>
        </is>
      </c>
      <c r="O57" s="38" t="inlineStr">
        <is>
          <t>GA</t>
        </is>
      </c>
      <c r="P57" s="38" t="inlineStr">
        <is>
          <t>J</t>
        </is>
      </c>
      <c r="Q57" s="38" t="inlineStr">
        <is>
          <t>Q</t>
        </is>
      </c>
      <c r="R57" s="38" t="inlineStr">
        <is>
          <t>C1</t>
        </is>
      </c>
      <c r="S57" s="24" t="inlineStr">
        <is>
          <t>M2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K</t>
        </is>
      </c>
      <c r="N58" s="38" t="inlineStr">
        <is>
          <t>M5</t>
        </is>
      </c>
      <c r="O58" s="38" t="inlineStr">
        <is>
          <t>GJ</t>
        </is>
      </c>
      <c r="P58" s="38" t="inlineStr">
        <is>
          <t>M6</t>
        </is>
      </c>
      <c r="Q58" s="38" t="inlineStr">
        <is>
          <t>A</t>
        </is>
      </c>
      <c r="R58" s="38" t="inlineStr">
        <is>
          <t>TE</t>
        </is>
      </c>
      <c r="S58" s="24" t="inlineStr">
        <is>
          <t>J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J</t>
        </is>
      </c>
      <c r="N59" s="38" t="inlineStr">
        <is>
          <t>Q</t>
        </is>
      </c>
      <c r="O59" s="38" t="inlineStr">
        <is>
          <t>M3</t>
        </is>
      </c>
      <c r="P59" s="38" t="inlineStr">
        <is>
          <t>G4</t>
        </is>
      </c>
      <c r="Q59" s="38" t="inlineStr">
        <is>
          <t>M6</t>
        </is>
      </c>
      <c r="R59" s="38" t="inlineStr">
        <is>
          <t>M5</t>
        </is>
      </c>
      <c r="S59" s="24" t="inlineStr">
        <is>
          <t>J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K</t>
        </is>
      </c>
      <c r="N60" s="38" t="inlineStr">
        <is>
          <t>GA</t>
        </is>
      </c>
      <c r="O60" s="38" t="inlineStr">
        <is>
          <t>G6</t>
        </is>
      </c>
      <c r="P60" s="38" t="inlineStr">
        <is>
          <t>K</t>
        </is>
      </c>
      <c r="Q60" s="38" t="inlineStr">
        <is>
          <t>TE</t>
        </is>
      </c>
      <c r="R60" s="38" t="inlineStr">
        <is>
          <t>A</t>
        </is>
      </c>
      <c r="S60" s="24" t="inlineStr">
        <is>
          <t>M5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M6</t>
        </is>
      </c>
      <c r="N61" s="38" t="inlineStr">
        <is>
          <t>Q</t>
        </is>
      </c>
      <c r="O61" s="38" t="inlineStr">
        <is>
          <t>Q</t>
        </is>
      </c>
      <c r="P61" s="38" t="inlineStr">
        <is>
          <t>J</t>
        </is>
      </c>
      <c r="Q61" s="38" t="inlineStr">
        <is>
          <t>A</t>
        </is>
      </c>
      <c r="R61" s="38" t="inlineStr">
        <is>
          <t>M6</t>
        </is>
      </c>
      <c r="S61" s="24" t="inlineStr">
        <is>
          <t>M5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Q</t>
        </is>
      </c>
      <c r="O62" s="38" t="inlineStr">
        <is>
          <t>G5</t>
        </is>
      </c>
      <c r="P62" s="38" t="inlineStr">
        <is>
          <t>M5</t>
        </is>
      </c>
      <c r="Q62" s="38" t="inlineStr">
        <is>
          <t>Q</t>
        </is>
      </c>
      <c r="R62" s="38" t="inlineStr">
        <is>
          <t>K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33822</v>
      </c>
      <c r="AN62" s="10">
        <v>42180</v>
      </c>
      <c r="AO62" s="10">
        <v>36435</v>
      </c>
      <c r="AP62" s="10">
        <v>30133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M4</t>
        </is>
      </c>
      <c r="N63" s="38" t="inlineStr">
        <is>
          <t>A</t>
        </is>
      </c>
      <c r="O63" s="38" t="inlineStr">
        <is>
          <t>G5</t>
        </is>
      </c>
      <c r="P63" s="38" t="inlineStr">
        <is>
          <t>M5</t>
        </is>
      </c>
      <c r="Q63" s="38" t="inlineStr">
        <is>
          <t>M6</t>
        </is>
      </c>
      <c r="R63" s="38" t="inlineStr">
        <is>
          <t>J</t>
        </is>
      </c>
      <c r="S63" s="38" t="inlineStr">
        <is>
          <t>M5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23735</v>
      </c>
      <c r="AM63" s="37">
        <v>26467</v>
      </c>
      <c r="AN63" s="37">
        <v>26591</v>
      </c>
      <c r="AO63" s="37">
        <v>33273</v>
      </c>
      <c r="AP63" s="37">
        <v>30534</v>
      </c>
      <c r="AQ63" s="37">
        <v>40327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K</t>
        </is>
      </c>
      <c r="O64" s="38" t="inlineStr">
        <is>
          <t>GQ</t>
        </is>
      </c>
      <c r="P64" s="38" t="inlineStr">
        <is>
          <t>G3</t>
        </is>
      </c>
      <c r="Q64" s="38" t="inlineStr">
        <is>
          <t>A</t>
        </is>
      </c>
      <c r="R64" s="38" t="inlineStr">
        <is>
          <t>K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7594</v>
      </c>
      <c r="AM64" s="154">
        <v>7794</v>
      </c>
      <c r="AN64" s="154">
        <v>7219</v>
      </c>
      <c r="AO64" s="154">
        <v>10385</v>
      </c>
      <c r="AP64" s="154">
        <v>5182</v>
      </c>
      <c r="AQ64" s="154">
        <v>6105</v>
      </c>
      <c r="AR64" s="154">
        <v>2534</v>
      </c>
      <c r="AS64" s="151">
        <v>2</v>
      </c>
    </row>
    <row r="65" spans="2:45" ht="16.5" customHeight="1">
      <c r="L65" s="14">
        <v>61</v>
      </c>
      <c r="M65" s="38" t="inlineStr">
        <is>
          <t>M4</t>
        </is>
      </c>
      <c r="N65" s="38" t="inlineStr">
        <is>
          <t>G5</t>
        </is>
      </c>
      <c r="O65" s="38" t="inlineStr">
        <is>
          <t>K</t>
        </is>
      </c>
      <c r="P65" s="38" t="inlineStr">
        <is>
          <t>M5</t>
        </is>
      </c>
      <c r="Q65" s="38" t="inlineStr">
        <is>
          <t>M6</t>
        </is>
      </c>
      <c r="R65" s="38" t="inlineStr">
        <is>
          <t>TE</t>
        </is>
      </c>
      <c r="S65" s="24" t="inlineStr">
        <is>
          <t>M5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11881</v>
      </c>
      <c r="AM65" s="154">
        <v>13362</v>
      </c>
      <c r="AN65" s="154">
        <v>10584</v>
      </c>
      <c r="AO65" s="154">
        <v>10534</v>
      </c>
      <c r="AP65" s="154">
        <v>9168</v>
      </c>
      <c r="AQ65" s="154">
        <v>13736</v>
      </c>
      <c r="AR65" s="154">
        <v>30361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M5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M3</t>
        </is>
      </c>
      <c r="Q66" s="38" t="inlineStr">
        <is>
          <t>TE</t>
        </is>
      </c>
      <c r="R66" s="38" t="inlineStr">
        <is>
          <t>GQ</t>
        </is>
      </c>
      <c r="S66" s="24" t="inlineStr">
        <is>
          <t>M6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32308</v>
      </c>
      <c r="AM66" s="154">
        <v>53738</v>
      </c>
      <c r="AN66" s="154">
        <v>30721</v>
      </c>
      <c r="AO66" s="154">
        <v>47474</v>
      </c>
      <c r="AP66" s="154">
        <v>4384</v>
      </c>
      <c r="AQ66" s="154">
        <v>15262</v>
      </c>
      <c r="AR66" s="154">
        <v>214109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inlineStr">
        <is>
          <t>J</t>
        </is>
      </c>
      <c r="N67" s="38" t="inlineStr">
        <is>
          <t>A</t>
        </is>
      </c>
      <c r="O67" s="38" t="inlineStr">
        <is>
          <t>Q</t>
        </is>
      </c>
      <c r="P67" s="38" t="inlineStr">
        <is>
          <t>J</t>
        </is>
      </c>
      <c r="Q67" s="38" t="inlineStr">
        <is>
          <t>TE</t>
        </is>
      </c>
      <c r="R67" s="38" t="inlineStr">
        <is>
          <t>TE</t>
        </is>
      </c>
      <c r="S67" s="24" t="inlineStr">
        <is>
          <t>M6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95203</v>
      </c>
      <c r="AM67" s="154">
        <v>136835</v>
      </c>
      <c r="AN67" s="154">
        <v>99652</v>
      </c>
      <c r="AO67" s="154">
        <v>122395</v>
      </c>
      <c r="AP67" s="154">
        <v>112802</v>
      </c>
      <c r="AQ67" s="154">
        <v>110392</v>
      </c>
      <c r="AR67" s="154">
        <v>114485</v>
      </c>
      <c r="AS67" s="151">
        <v>5</v>
      </c>
    </row>
    <row r="68" spans="2:45" ht="16.5" customHeight="1">
      <c r="B68" s="164">
        <v>1</v>
      </c>
      <c r="C68" s="159">
        <v>50</v>
      </c>
      <c r="L68" s="15">
        <v>64</v>
      </c>
      <c r="M68" s="38" t="inlineStr">
        <is>
          <t>J</t>
        </is>
      </c>
      <c r="N68" s="38" t="inlineStr">
        <is>
          <t>GQ</t>
        </is>
      </c>
      <c r="O68" s="38" t="inlineStr">
        <is>
          <t>GT</t>
        </is>
      </c>
      <c r="P68" s="38" t="inlineStr">
        <is>
          <t>Q</t>
        </is>
      </c>
      <c r="Q68" s="38" t="inlineStr">
        <is>
          <t>A</t>
        </is>
      </c>
      <c r="R68" s="38" t="inlineStr">
        <is>
          <t>M6</t>
        </is>
      </c>
      <c r="S68" s="24" t="inlineStr">
        <is>
          <t>M4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147805</v>
      </c>
      <c r="AM68" s="154">
        <v>35044</v>
      </c>
      <c r="AN68" s="154">
        <v>130101</v>
      </c>
      <c r="AO68" s="154">
        <v>34715</v>
      </c>
      <c r="AP68" s="154">
        <v>46237</v>
      </c>
      <c r="AQ68" s="154">
        <v>38154</v>
      </c>
      <c r="AR68" s="154">
        <v>183748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M4</t>
        </is>
      </c>
      <c r="N69" s="38" t="inlineStr">
        <is>
          <t>Q</t>
        </is>
      </c>
      <c r="O69" s="38" t="inlineStr">
        <is>
          <t>M3</t>
        </is>
      </c>
      <c r="P69" s="38" t="inlineStr">
        <is>
          <t>G2</t>
        </is>
      </c>
      <c r="Q69" s="38" t="inlineStr">
        <is>
          <t>Q</t>
        </is>
      </c>
      <c r="R69" s="38" t="inlineStr">
        <is>
          <t>A</t>
        </is>
      </c>
      <c r="S69" s="24" t="inlineStr">
        <is>
          <t>TE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33683</v>
      </c>
      <c r="AM69" s="154">
        <v>131796</v>
      </c>
      <c r="AN69" s="154">
        <v>30341</v>
      </c>
      <c r="AO69" s="154">
        <v>137675</v>
      </c>
      <c r="AP69" s="154">
        <v>136320</v>
      </c>
      <c r="AQ69" s="154">
        <v>159229</v>
      </c>
      <c r="AR69" s="154">
        <v>67683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inlineStr">
        <is>
          <t>M5</t>
        </is>
      </c>
      <c r="N70" s="38" t="inlineStr">
        <is>
          <t>GK</t>
        </is>
      </c>
      <c r="O70" s="38" t="inlineStr">
        <is>
          <t>M5</t>
        </is>
      </c>
      <c r="P70" s="38" t="inlineStr">
        <is>
          <t>J</t>
        </is>
      </c>
      <c r="Q70" s="38" t="inlineStr">
        <is>
          <t>K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172492</v>
      </c>
      <c r="AM70" s="37">
        <v>71787</v>
      </c>
      <c r="AN70" s="37">
        <v>169505</v>
      </c>
      <c r="AO70" s="37">
        <v>71805</v>
      </c>
      <c r="AP70" s="37">
        <v>58195</v>
      </c>
      <c r="AQ70" s="37">
        <v>57485</v>
      </c>
      <c r="AR70" s="37">
        <v>73049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inlineStr">
        <is>
          <t>M3</t>
        </is>
      </c>
      <c r="N71" s="38" t="inlineStr">
        <is>
          <t>M6</t>
        </is>
      </c>
      <c r="O71" s="38" t="inlineStr">
        <is>
          <t>A</t>
        </is>
      </c>
      <c r="P71" s="38" t="inlineStr">
        <is>
          <t>J</t>
        </is>
      </c>
      <c r="Q71" s="38" t="inlineStr">
        <is>
          <t>M2</t>
        </is>
      </c>
      <c r="R71" s="38" t="inlineStr">
        <is>
          <t>M6</t>
        </is>
      </c>
      <c r="S71" s="24" t="inlineStr">
        <is>
          <t>M2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57365</v>
      </c>
      <c r="AM71" s="37">
        <v>112809</v>
      </c>
      <c r="AN71" s="37">
        <v>60247</v>
      </c>
      <c r="AO71" s="37">
        <v>112158</v>
      </c>
      <c r="AP71" s="37">
        <v>164620</v>
      </c>
      <c r="AQ71" s="37">
        <v>138881</v>
      </c>
      <c r="AR71" s="37">
        <v>73049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K</t>
        </is>
      </c>
      <c r="N72" s="38" t="inlineStr">
        <is>
          <t>Q</t>
        </is>
      </c>
      <c r="O72" s="38" t="inlineStr">
        <is>
          <t>M6</t>
        </is>
      </c>
      <c r="P72" s="38" t="inlineStr">
        <is>
          <t>M5</t>
        </is>
      </c>
      <c r="Q72" s="38" t="inlineStr">
        <is>
          <t>G3</t>
        </is>
      </c>
      <c r="R72" s="38" t="inlineStr">
        <is>
          <t>M4</t>
        </is>
      </c>
      <c r="S72" s="24" t="inlineStr">
        <is>
          <t>M5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177493</v>
      </c>
      <c r="AM72" s="37">
        <v>91009</v>
      </c>
      <c r="AN72" s="37">
        <v>160658</v>
      </c>
      <c r="AO72" s="37">
        <v>102811</v>
      </c>
      <c r="AP72" s="37">
        <v>87691</v>
      </c>
      <c r="AQ72" s="37">
        <v>83939</v>
      </c>
      <c r="AR72" s="37">
        <v>68622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TE</t>
        </is>
      </c>
      <c r="N73" s="38" t="inlineStr">
        <is>
          <t>A</t>
        </is>
      </c>
      <c r="O73" s="38" t="inlineStr">
        <is>
          <t>M1</t>
        </is>
      </c>
      <c r="P73" s="38" t="inlineStr">
        <is>
          <t>GQ</t>
        </is>
      </c>
      <c r="Q73" s="38" t="inlineStr">
        <is>
          <t>GT</t>
        </is>
      </c>
      <c r="R73" s="38" t="inlineStr">
        <is>
          <t>Q</t>
        </is>
      </c>
      <c r="S73" s="24" t="inlineStr">
        <is>
          <t>M3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103405</v>
      </c>
      <c r="AM73" s="37">
        <v>141758</v>
      </c>
      <c r="AN73" s="37">
        <v>97644</v>
      </c>
      <c r="AO73" s="37">
        <v>147022</v>
      </c>
      <c r="AP73" s="37">
        <v>180963</v>
      </c>
      <c r="AQ73" s="37">
        <v>192297</v>
      </c>
      <c r="AR73" s="37">
        <v>106257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M3</t>
        </is>
      </c>
      <c r="N74" s="38" t="inlineStr">
        <is>
          <t>G3</t>
        </is>
      </c>
      <c r="O74" s="38" t="inlineStr">
        <is>
          <t>M2</t>
        </is>
      </c>
      <c r="P74" s="38" t="inlineStr">
        <is>
          <t>M6</t>
        </is>
      </c>
      <c r="Q74" s="38" t="inlineStr">
        <is>
          <t>TE</t>
        </is>
      </c>
      <c r="R74" s="38" t="inlineStr">
        <is>
          <t>K</t>
        </is>
      </c>
      <c r="S74" s="24" t="inlineStr">
        <is>
          <t>Q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137036</v>
      </c>
      <c r="AM74" s="37">
        <v>117497</v>
      </c>
      <c r="AN74" s="37">
        <v>117618</v>
      </c>
      <c r="AO74" s="37">
        <v>119724</v>
      </c>
      <c r="AP74" s="37">
        <v>126354</v>
      </c>
      <c r="AQ74" s="37">
        <v>140916</v>
      </c>
      <c r="AR74" s="37">
        <v>66103</v>
      </c>
      <c r="AS74" s="4">
        <v>12</v>
      </c>
    </row>
    <row r="75" spans="2:45" ht="16.5" customHeight="1">
      <c r="L75" s="14">
        <v>71</v>
      </c>
      <c r="M75" s="38" t="inlineStr">
        <is>
          <t>M4</t>
        </is>
      </c>
      <c r="N75" s="38" t="inlineStr">
        <is>
          <t>GA</t>
        </is>
      </c>
      <c r="O75" s="38" t="inlineStr">
        <is>
          <t>M6</t>
        </is>
      </c>
      <c r="P75" s="38" t="inlineStr">
        <is>
          <t>M6</t>
        </is>
      </c>
      <c r="Q75" s="38" t="inlineStr">
        <is>
          <t>M3</t>
        </is>
      </c>
      <c r="R75" s="38" t="inlineStr">
        <is>
          <t>GQ</t>
        </is>
      </c>
      <c r="S75" s="24" t="inlineStr">
        <is>
          <t>M5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224</v>
      </c>
      <c r="AN75" s="154">
        <v>134</v>
      </c>
      <c r="AO75" s="154">
        <v>154</v>
      </c>
      <c r="AP75" s="154">
        <v>41</v>
      </c>
      <c r="AQ75" s="154">
        <v>21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J</t>
        </is>
      </c>
      <c r="N76" s="38" t="inlineStr">
        <is>
          <t>M6</t>
        </is>
      </c>
      <c r="O76" s="38" t="inlineStr">
        <is>
          <t>M6</t>
        </is>
      </c>
      <c r="P76" s="38" t="inlineStr">
        <is>
          <t>C1</t>
        </is>
      </c>
      <c r="Q76" s="38" t="inlineStr">
        <is>
          <t>G4</t>
        </is>
      </c>
      <c r="R76" s="38" t="inlineStr">
        <is>
          <t>G6</t>
        </is>
      </c>
      <c r="S76" s="24" t="inlineStr">
        <is>
          <t>M5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384</v>
      </c>
      <c r="AN76" s="154">
        <v>196</v>
      </c>
      <c r="AO76" s="154">
        <v>156</v>
      </c>
      <c r="AP76" s="154">
        <v>73</v>
      </c>
      <c r="AQ76" s="154">
        <v>47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A</t>
        </is>
      </c>
      <c r="N77" s="38" t="inlineStr">
        <is>
          <t>G5</t>
        </is>
      </c>
      <c r="O77" s="38" t="inlineStr">
        <is>
          <t>A</t>
        </is>
      </c>
      <c r="P77" s="38" t="inlineStr">
        <is>
          <t>J</t>
        </is>
      </c>
      <c r="Q77" s="38" t="inlineStr">
        <is>
          <t>M2</t>
        </is>
      </c>
      <c r="R77" s="38" t="inlineStr">
        <is>
          <t>J</t>
        </is>
      </c>
      <c r="S77" s="24" t="inlineStr">
        <is>
          <t>TE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1546</v>
      </c>
      <c r="AN77" s="154">
        <v>569</v>
      </c>
      <c r="AO77" s="154">
        <v>704</v>
      </c>
      <c r="AP77" s="154">
        <v>35</v>
      </c>
      <c r="AQ77" s="154">
        <v>52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TE</t>
        </is>
      </c>
      <c r="N78" s="38" t="inlineStr">
        <is>
          <t>Q</t>
        </is>
      </c>
      <c r="O78" s="38" t="inlineStr">
        <is>
          <t>A</t>
        </is>
      </c>
      <c r="P78" s="38" t="inlineStr">
        <is>
          <t>Q</t>
        </is>
      </c>
      <c r="Q78" s="38" t="inlineStr">
        <is>
          <t>J</t>
        </is>
      </c>
      <c r="R78" s="38" t="inlineStr">
        <is>
          <t>M2</t>
        </is>
      </c>
      <c r="S78" s="24" t="inlineStr">
        <is>
          <t>A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3937</v>
      </c>
      <c r="AN78" s="154">
        <v>1846</v>
      </c>
      <c r="AO78" s="154">
        <v>1815</v>
      </c>
      <c r="AP78" s="154">
        <v>898</v>
      </c>
      <c r="AQ78" s="154">
        <v>378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K</t>
        </is>
      </c>
      <c r="N79" s="38" t="inlineStr">
        <is>
          <t>GK</t>
        </is>
      </c>
      <c r="O79" s="38" t="inlineStr">
        <is>
          <t>TE</t>
        </is>
      </c>
      <c r="P79" s="38" t="inlineStr">
        <is>
          <t>K</t>
        </is>
      </c>
      <c r="Q79" s="38" t="inlineStr">
        <is>
          <t>M4</t>
        </is>
      </c>
      <c r="R79" s="38" t="inlineStr">
        <is>
          <t>J</t>
        </is>
      </c>
      <c r="S79" s="24" t="inlineStr">
        <is>
          <t>A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1008</v>
      </c>
      <c r="AN79" s="154">
        <v>2410</v>
      </c>
      <c r="AO79" s="154">
        <v>515</v>
      </c>
      <c r="AP79" s="154">
        <v>368</v>
      </c>
      <c r="AQ79" s="154">
        <v>131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M6</t>
        </is>
      </c>
      <c r="N80" s="38" t="inlineStr">
        <is>
          <t>GT</t>
        </is>
      </c>
      <c r="O80" s="38" t="inlineStr">
        <is>
          <t>M2</t>
        </is>
      </c>
      <c r="P80" s="38" t="inlineStr">
        <is>
          <t>M4</t>
        </is>
      </c>
      <c r="Q80" s="38" t="inlineStr">
        <is>
          <t>M4</t>
        </is>
      </c>
      <c r="R80" s="38" t="inlineStr">
        <is>
          <t>J</t>
        </is>
      </c>
      <c r="S80" s="38" t="inlineStr">
        <is>
          <t>M5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3792</v>
      </c>
      <c r="AN80" s="154">
        <v>562</v>
      </c>
      <c r="AO80" s="154">
        <v>2042</v>
      </c>
      <c r="AP80" s="154">
        <v>1085</v>
      </c>
      <c r="AQ80" s="154">
        <v>545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J</t>
        </is>
      </c>
      <c r="N81" s="38" t="inlineStr">
        <is>
          <t>M5</t>
        </is>
      </c>
      <c r="O81" s="38" t="inlineStr">
        <is>
          <t>M6</t>
        </is>
      </c>
      <c r="P81" s="38" t="inlineStr">
        <is>
          <t>M5</t>
        </is>
      </c>
      <c r="Q81" s="38" t="inlineStr">
        <is>
          <t>Q</t>
        </is>
      </c>
      <c r="R81" s="38" t="inlineStr">
        <is>
          <t>M6</t>
        </is>
      </c>
      <c r="S81" s="24" t="inlineStr">
        <is>
          <t>J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2066</v>
      </c>
      <c r="AN81" s="37">
        <v>3141</v>
      </c>
      <c r="AO81" s="37">
        <v>1065</v>
      </c>
      <c r="AP81" s="37">
        <v>463</v>
      </c>
      <c r="AQ81" s="37">
        <v>197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Q</t>
        </is>
      </c>
      <c r="O82" s="38" t="inlineStr">
        <is>
          <t>M6</t>
        </is>
      </c>
      <c r="P82" s="38" t="inlineStr">
        <is>
          <t>GJ</t>
        </is>
      </c>
      <c r="Q82" s="38" t="inlineStr">
        <is>
          <t>M5</t>
        </is>
      </c>
      <c r="R82" s="38" t="inlineStr">
        <is>
          <t>GK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3246</v>
      </c>
      <c r="AN82" s="37">
        <v>1116</v>
      </c>
      <c r="AO82" s="37">
        <v>1663</v>
      </c>
      <c r="AP82" s="37">
        <v>1310</v>
      </c>
      <c r="AQ82" s="37">
        <v>476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J</t>
        </is>
      </c>
      <c r="N83" s="38" t="inlineStr">
        <is>
          <t>GA</t>
        </is>
      </c>
      <c r="O83" s="38" t="inlineStr">
        <is>
          <t>TE</t>
        </is>
      </c>
      <c r="P83" s="38" t="inlineStr">
        <is>
          <t>GQ</t>
        </is>
      </c>
      <c r="Q83" s="38" t="inlineStr">
        <is>
          <t>GQ</t>
        </is>
      </c>
      <c r="R83" s="38" t="inlineStr">
        <is>
          <t>M2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2619</v>
      </c>
      <c r="AN83" s="37">
        <v>2977</v>
      </c>
      <c r="AO83" s="37">
        <v>1525</v>
      </c>
      <c r="AP83" s="37">
        <v>698</v>
      </c>
      <c r="AQ83" s="37">
        <v>288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J</t>
        </is>
      </c>
      <c r="N84" s="38" t="inlineStr">
        <is>
          <t>GQ</t>
        </is>
      </c>
      <c r="O84" s="38" t="inlineStr">
        <is>
          <t>Q</t>
        </is>
      </c>
      <c r="P84" s="38" t="inlineStr">
        <is>
          <t>M5</t>
        </is>
      </c>
      <c r="Q84" s="38" t="inlineStr">
        <is>
          <t>M6</t>
        </is>
      </c>
      <c r="R84" s="38" t="inlineStr">
        <is>
          <t>G2</t>
        </is>
      </c>
      <c r="S84" s="24" t="inlineStr">
        <is>
          <t>J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4079</v>
      </c>
      <c r="AN84" s="37">
        <v>1809</v>
      </c>
      <c r="AO84" s="37">
        <v>2180</v>
      </c>
      <c r="AP84" s="37">
        <v>1440</v>
      </c>
      <c r="AQ84" s="37">
        <v>659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TE</t>
        </is>
      </c>
      <c r="N85" s="38" t="inlineStr">
        <is>
          <t>M5</t>
        </is>
      </c>
      <c r="O85" s="38" t="inlineStr">
        <is>
          <t>M5</t>
        </is>
      </c>
      <c r="P85" s="38" t="inlineStr">
        <is>
          <t>GJ</t>
        </is>
      </c>
      <c r="Q85" s="38" t="inlineStr">
        <is>
          <t>GA</t>
        </is>
      </c>
      <c r="R85" s="38" t="inlineStr">
        <is>
          <t>M4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3381</v>
      </c>
      <c r="AN85" s="37">
        <v>2179</v>
      </c>
      <c r="AO85" s="37">
        <v>1775</v>
      </c>
      <c r="AP85" s="37">
        <v>1006</v>
      </c>
      <c r="AQ85" s="37">
        <v>483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M5</t>
        </is>
      </c>
      <c r="N86" s="38" t="inlineStr">
        <is>
          <t>Q</t>
        </is>
      </c>
      <c r="O86" s="38" t="inlineStr">
        <is>
          <t>M4</t>
        </is>
      </c>
      <c r="P86" s="38" t="inlineStr">
        <is>
          <t>M2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M3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K</t>
        </is>
      </c>
      <c r="N87" s="38" t="inlineStr">
        <is>
          <t>TE</t>
        </is>
      </c>
      <c r="O87" s="38" t="inlineStr">
        <is>
          <t>M4</t>
        </is>
      </c>
      <c r="P87" s="38" t="inlineStr">
        <is>
          <t>M3</t>
        </is>
      </c>
      <c r="Q87" s="38" t="inlineStr">
        <is>
          <t>K</t>
        </is>
      </c>
      <c r="R87" s="38" t="inlineStr">
        <is>
          <t>K</t>
        </is>
      </c>
      <c r="S87" s="24" t="inlineStr">
        <is>
          <t>M3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TE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M5</t>
        </is>
      </c>
      <c r="R88" s="38" t="inlineStr">
        <is>
          <t>K</t>
        </is>
      </c>
      <c r="S88" s="24" t="inlineStr">
        <is>
          <t>TE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M5</t>
        </is>
      </c>
      <c r="N89" s="38" t="inlineStr">
        <is>
          <t>GQ</t>
        </is>
      </c>
      <c r="O89" s="38" t="inlineStr">
        <is>
          <t>J</t>
        </is>
      </c>
      <c r="P89" s="38" t="inlineStr">
        <is>
          <t>A</t>
        </is>
      </c>
      <c r="Q89" s="38" t="inlineStr">
        <is>
          <t>M3</t>
        </is>
      </c>
      <c r="R89" s="38" t="inlineStr">
        <is>
          <t>M4</t>
        </is>
      </c>
      <c r="S89" s="24" t="inlineStr">
        <is>
          <t>M3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C1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GJ</t>
        </is>
      </c>
      <c r="Q90" s="38" t="inlineStr">
        <is>
          <t>M5</t>
        </is>
      </c>
      <c r="R90" s="38" t="inlineStr">
        <is>
          <t>K</t>
        </is>
      </c>
      <c r="S90" s="24" t="inlineStr">
        <is>
          <t>M6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A</t>
        </is>
      </c>
      <c r="N91" s="38" t="inlineStr">
        <is>
          <t>A</t>
        </is>
      </c>
      <c r="O91" s="38" t="inlineStr">
        <is>
          <t>G6</t>
        </is>
      </c>
      <c r="P91" s="38" t="inlineStr">
        <is>
          <t>A</t>
        </is>
      </c>
      <c r="Q91" s="38" t="inlineStr">
        <is>
          <t>Q</t>
        </is>
      </c>
      <c r="R91" s="38" t="inlineStr">
        <is>
          <t>M4</t>
        </is>
      </c>
      <c r="S91" s="24" t="inlineStr">
        <is>
          <t>TE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33822</v>
      </c>
      <c r="AN91" s="10">
        <v>42180</v>
      </c>
      <c r="AO91" s="10">
        <v>36435</v>
      </c>
      <c r="AP91" s="10">
        <v>30133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Q</t>
        </is>
      </c>
      <c r="O92" s="38" t="inlineStr">
        <is>
          <t>M5</t>
        </is>
      </c>
      <c r="P92" s="38" t="inlineStr">
        <is>
          <t>M6</t>
        </is>
      </c>
      <c r="Q92" s="38" t="inlineStr">
        <is>
          <t>M6</t>
        </is>
      </c>
      <c r="R92" s="38" t="inlineStr">
        <is>
          <t>M4</t>
        </is>
      </c>
      <c r="S92" s="24" t="inlineStr">
        <is>
          <t>K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23735</v>
      </c>
      <c r="AM92" s="37">
        <v>26467</v>
      </c>
      <c r="AN92" s="37">
        <v>26591</v>
      </c>
      <c r="AO92" s="37">
        <v>33273</v>
      </c>
      <c r="AP92" s="37">
        <v>30534</v>
      </c>
      <c r="AQ92" s="37">
        <v>40327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M6</t>
        </is>
      </c>
      <c r="N93" s="38" t="inlineStr">
        <is>
          <t>A</t>
        </is>
      </c>
      <c r="O93" s="38" t="inlineStr">
        <is>
          <t>M2</t>
        </is>
      </c>
      <c r="P93" s="38" t="inlineStr">
        <is>
          <t>M6</t>
        </is>
      </c>
      <c r="Q93" s="38" t="inlineStr">
        <is>
          <t>GQ</t>
        </is>
      </c>
      <c r="R93" s="38" t="inlineStr">
        <is>
          <t>J</t>
        </is>
      </c>
      <c r="S93" s="24" t="inlineStr">
        <is>
          <t>A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7594</v>
      </c>
      <c r="AM93" s="154">
        <v>7794</v>
      </c>
      <c r="AN93" s="154">
        <v>7219</v>
      </c>
      <c r="AO93" s="154">
        <v>10385</v>
      </c>
      <c r="AP93" s="154">
        <v>5182</v>
      </c>
      <c r="AQ93" s="154">
        <v>6105</v>
      </c>
      <c r="AR93" s="154">
        <v>2534</v>
      </c>
      <c r="AS93" s="151">
        <v>2</v>
      </c>
    </row>
    <row r="94" spans="12:45">
      <c r="L94" s="15">
        <v>90</v>
      </c>
      <c r="M94" s="38" t="inlineStr">
        <is>
          <t>K</t>
        </is>
      </c>
      <c r="N94" s="38" t="inlineStr">
        <is>
          <t>M2</t>
        </is>
      </c>
      <c r="O94" s="38" t="inlineStr">
        <is>
          <t>G4</t>
        </is>
      </c>
      <c r="P94" s="38" t="inlineStr">
        <is>
          <t>K</t>
        </is>
      </c>
      <c r="Q94" s="38" t="inlineStr">
        <is>
          <t>M4</t>
        </is>
      </c>
      <c r="R94" s="38" t="inlineStr">
        <is>
          <t>J</t>
        </is>
      </c>
      <c r="S94" s="24" t="inlineStr">
        <is>
          <t>Q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11881</v>
      </c>
      <c r="AM94" s="154">
        <v>13362</v>
      </c>
      <c r="AN94" s="154">
        <v>10584</v>
      </c>
      <c r="AO94" s="154">
        <v>10534</v>
      </c>
      <c r="AP94" s="154">
        <v>9168</v>
      </c>
      <c r="AQ94" s="154">
        <v>13736</v>
      </c>
      <c r="AR94" s="154">
        <v>30361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GT</t>
        </is>
      </c>
      <c r="O95" s="38" t="inlineStr">
        <is>
          <t>TE</t>
        </is>
      </c>
      <c r="P95" s="38" t="inlineStr">
        <is>
          <t>TE</t>
        </is>
      </c>
      <c r="Q95" s="38" t="inlineStr">
        <is>
          <t>Q</t>
        </is>
      </c>
      <c r="R95" s="38" t="inlineStr">
        <is>
          <t>J</t>
        </is>
      </c>
      <c r="S95" s="24" t="inlineStr">
        <is>
          <t>M3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32308</v>
      </c>
      <c r="AM95" s="154">
        <v>53738</v>
      </c>
      <c r="AN95" s="154">
        <v>30721</v>
      </c>
      <c r="AO95" s="154">
        <v>47474</v>
      </c>
      <c r="AP95" s="154">
        <v>4384</v>
      </c>
      <c r="AQ95" s="154">
        <v>15262</v>
      </c>
      <c r="AR95" s="154">
        <v>214109</v>
      </c>
      <c r="AS95" s="151">
        <v>4</v>
      </c>
    </row>
    <row r="96" spans="12:45">
      <c r="L96" s="15">
        <v>92</v>
      </c>
      <c r="M96" s="38" t="inlineStr">
        <is>
          <t>J</t>
        </is>
      </c>
      <c r="N96" s="38" t="inlineStr">
        <is>
          <t>J</t>
        </is>
      </c>
      <c r="O96" s="38" t="inlineStr">
        <is>
          <t>A</t>
        </is>
      </c>
      <c r="P96" s="38" t="inlineStr">
        <is>
          <t>M6</t>
        </is>
      </c>
      <c r="Q96" s="38" t="inlineStr">
        <is>
          <t>M5</t>
        </is>
      </c>
      <c r="R96" s="38" t="inlineStr">
        <is>
          <t>Q</t>
        </is>
      </c>
      <c r="S96" s="24" t="inlineStr">
        <is>
          <t>M3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95203</v>
      </c>
      <c r="AM96" s="154">
        <v>136835</v>
      </c>
      <c r="AN96" s="154">
        <v>99652</v>
      </c>
      <c r="AO96" s="154">
        <v>122395</v>
      </c>
      <c r="AP96" s="154">
        <v>112802</v>
      </c>
      <c r="AQ96" s="154">
        <v>110392</v>
      </c>
      <c r="AR96" s="154">
        <v>114485</v>
      </c>
      <c r="AS96" s="151">
        <v>5</v>
      </c>
    </row>
    <row r="97" spans="12:45">
      <c r="L97" s="14">
        <v>93</v>
      </c>
      <c r="M97" s="38" t="inlineStr">
        <is>
          <t>Q</t>
        </is>
      </c>
      <c r="N97" s="38" t="inlineStr">
        <is>
          <t>M3</t>
        </is>
      </c>
      <c r="O97" s="38" t="inlineStr">
        <is>
          <t>J</t>
        </is>
      </c>
      <c r="P97" s="38" t="inlineStr">
        <is>
          <t>M2</t>
        </is>
      </c>
      <c r="Q97" s="38" t="inlineStr">
        <is>
          <t>M5</t>
        </is>
      </c>
      <c r="R97" s="38" t="inlineStr">
        <is>
          <t>M5</t>
        </is>
      </c>
      <c r="S97" s="24" t="inlineStr">
        <is>
          <t>M5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147805</v>
      </c>
      <c r="AM97" s="154">
        <v>35044</v>
      </c>
      <c r="AN97" s="154">
        <v>130101</v>
      </c>
      <c r="AO97" s="154">
        <v>34715</v>
      </c>
      <c r="AP97" s="154">
        <v>46237</v>
      </c>
      <c r="AQ97" s="154">
        <v>38154</v>
      </c>
      <c r="AR97" s="154">
        <v>183748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GA</t>
        </is>
      </c>
      <c r="O98" s="38" t="inlineStr">
        <is>
          <t>GT</t>
        </is>
      </c>
      <c r="P98" s="38" t="inlineStr">
        <is>
          <t>GJ</t>
        </is>
      </c>
      <c r="Q98" s="38" t="inlineStr">
        <is>
          <t>TE</t>
        </is>
      </c>
      <c r="R98" s="38" t="inlineStr">
        <is>
          <t>TE</t>
        </is>
      </c>
      <c r="S98" s="24" t="inlineStr">
        <is>
          <t>M5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33683</v>
      </c>
      <c r="AM98" s="154">
        <v>131796</v>
      </c>
      <c r="AN98" s="154">
        <v>30341</v>
      </c>
      <c r="AO98" s="154">
        <v>137675</v>
      </c>
      <c r="AP98" s="154">
        <v>136320</v>
      </c>
      <c r="AQ98" s="154">
        <v>159229</v>
      </c>
      <c r="AR98" s="154">
        <v>67683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G5</t>
        </is>
      </c>
      <c r="O99" s="38" t="inlineStr">
        <is>
          <t>A</t>
        </is>
      </c>
      <c r="P99" s="38" t="inlineStr">
        <is>
          <t>A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Q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172492</v>
      </c>
      <c r="AM99" s="37">
        <v>71787</v>
      </c>
      <c r="AN99" s="37">
        <v>169505</v>
      </c>
      <c r="AO99" s="37">
        <v>71805</v>
      </c>
      <c r="AP99" s="37">
        <v>58195</v>
      </c>
      <c r="AQ99" s="37">
        <v>57485</v>
      </c>
      <c r="AR99" s="37">
        <v>73049</v>
      </c>
      <c r="AS99" s="4">
        <v>8</v>
      </c>
    </row>
    <row r="100" spans="12:45">
      <c r="L100" s="15">
        <v>96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GT</t>
        </is>
      </c>
      <c r="Q100" s="38" t="inlineStr">
        <is>
          <t>G2</t>
        </is>
      </c>
      <c r="R100" s="38" t="inlineStr">
        <is>
          <t>G6</t>
        </is>
      </c>
      <c r="S100" s="24" t="inlineStr">
        <is>
          <t>M3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57365</v>
      </c>
      <c r="AM100" s="37">
        <v>112809</v>
      </c>
      <c r="AN100" s="37">
        <v>60247</v>
      </c>
      <c r="AO100" s="37">
        <v>112158</v>
      </c>
      <c r="AP100" s="37">
        <v>164620</v>
      </c>
      <c r="AQ100" s="37">
        <v>138881</v>
      </c>
      <c r="AR100" s="37">
        <v>73049</v>
      </c>
      <c r="AS100" s="4">
        <v>9</v>
      </c>
    </row>
    <row r="101" spans="12:45">
      <c r="L101" s="14">
        <v>97</v>
      </c>
      <c r="M101" s="38" t="inlineStr">
        <is>
          <t>M6</t>
        </is>
      </c>
      <c r="N101" s="38" t="inlineStr">
        <is>
          <t>GJ</t>
        </is>
      </c>
      <c r="O101" s="38" t="inlineStr">
        <is>
          <t>G4</t>
        </is>
      </c>
      <c r="P101" s="38" t="inlineStr">
        <is>
          <t>GK</t>
        </is>
      </c>
      <c r="Q101" s="38" t="inlineStr">
        <is>
          <t>GT</t>
        </is>
      </c>
      <c r="R101" s="38" t="inlineStr">
        <is>
          <t>G6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177493</v>
      </c>
      <c r="AM101" s="37">
        <v>91009</v>
      </c>
      <c r="AN101" s="37">
        <v>160658</v>
      </c>
      <c r="AO101" s="37">
        <v>102811</v>
      </c>
      <c r="AP101" s="37">
        <v>87691</v>
      </c>
      <c r="AQ101" s="37">
        <v>83939</v>
      </c>
      <c r="AR101" s="37">
        <v>68622</v>
      </c>
      <c r="AS101" s="4">
        <v>10</v>
      </c>
    </row>
    <row r="102" spans="12:45">
      <c r="L102" s="15">
        <v>98</v>
      </c>
      <c r="M102" s="38" t="inlineStr">
        <is>
          <t>J</t>
        </is>
      </c>
      <c r="N102" s="38" t="inlineStr">
        <is>
          <t>Q</t>
        </is>
      </c>
      <c r="O102" s="38" t="inlineStr">
        <is>
          <t>M4</t>
        </is>
      </c>
      <c r="P102" s="38" t="inlineStr">
        <is>
          <t>M4</t>
        </is>
      </c>
      <c r="Q102" s="38" t="inlineStr">
        <is>
          <t>M6</t>
        </is>
      </c>
      <c r="R102" s="38" t="inlineStr">
        <is>
          <t>M2</t>
        </is>
      </c>
      <c r="S102" s="24" t="inlineStr">
        <is>
          <t>J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103405</v>
      </c>
      <c r="AM102" s="37">
        <v>141758</v>
      </c>
      <c r="AN102" s="37">
        <v>97644</v>
      </c>
      <c r="AO102" s="37">
        <v>147022</v>
      </c>
      <c r="AP102" s="37">
        <v>180963</v>
      </c>
      <c r="AQ102" s="37">
        <v>192297</v>
      </c>
      <c r="AR102" s="37">
        <v>106257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G4</t>
        </is>
      </c>
      <c r="O103" s="38" t="inlineStr">
        <is>
          <t>TE</t>
        </is>
      </c>
      <c r="P103" s="38" t="inlineStr">
        <is>
          <t>M5</t>
        </is>
      </c>
      <c r="Q103" s="38" t="inlineStr">
        <is>
          <t>J</t>
        </is>
      </c>
      <c r="R103" s="38" t="inlineStr">
        <is>
          <t>M6</t>
        </is>
      </c>
      <c r="S103" s="24" t="inlineStr">
        <is>
          <t>M5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137036</v>
      </c>
      <c r="AM103" s="37">
        <v>117497</v>
      </c>
      <c r="AN103" s="37">
        <v>117618</v>
      </c>
      <c r="AO103" s="37">
        <v>119724</v>
      </c>
      <c r="AP103" s="37">
        <v>126354</v>
      </c>
      <c r="AQ103" s="37">
        <v>140916</v>
      </c>
      <c r="AR103" s="37">
        <v>66103</v>
      </c>
      <c r="AS103" s="4">
        <v>12</v>
      </c>
    </row>
    <row r="104" spans="12:45">
      <c r="L104" s="15">
        <v>100</v>
      </c>
      <c r="M104" s="38" t="inlineStr">
        <is>
          <t>TE</t>
        </is>
      </c>
      <c r="N104" s="38" t="inlineStr">
        <is>
          <t>M3</t>
        </is>
      </c>
      <c r="O104" s="38" t="inlineStr">
        <is>
          <t>M2</t>
        </is>
      </c>
      <c r="P104" s="38" t="inlineStr">
        <is>
          <t>M4</t>
        </is>
      </c>
      <c r="Q104" s="38" t="inlineStr">
        <is>
          <t>M1</t>
        </is>
      </c>
      <c r="R104" s="38" t="inlineStr">
        <is>
          <t>M3</t>
        </is>
      </c>
      <c r="S104" s="24" t="inlineStr">
        <is>
          <t>J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224</v>
      </c>
      <c r="AN104" s="154">
        <v>134</v>
      </c>
      <c r="AO104" s="154">
        <v>154</v>
      </c>
      <c r="AP104" s="154">
        <v>41</v>
      </c>
      <c r="AQ104" s="154">
        <v>21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TE</t>
        </is>
      </c>
      <c r="N105" s="38" t="inlineStr">
        <is>
          <t>A</t>
        </is>
      </c>
      <c r="O105" s="38" t="inlineStr">
        <is>
          <t>Q</t>
        </is>
      </c>
      <c r="P105" s="38" t="inlineStr">
        <is>
          <t>GJ</t>
        </is>
      </c>
      <c r="Q105" s="38" t="inlineStr">
        <is>
          <t>GT</t>
        </is>
      </c>
      <c r="R105" s="38" t="inlineStr">
        <is>
          <t>K</t>
        </is>
      </c>
      <c r="S105" s="24" t="inlineStr">
        <is>
          <t>A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384</v>
      </c>
      <c r="AN105" s="154">
        <v>196</v>
      </c>
      <c r="AO105" s="154">
        <v>156</v>
      </c>
      <c r="AP105" s="154">
        <v>73</v>
      </c>
      <c r="AQ105" s="154">
        <v>47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Q</t>
        </is>
      </c>
      <c r="O106" s="38" t="inlineStr">
        <is>
          <t>K</t>
        </is>
      </c>
      <c r="P106" s="38" t="inlineStr">
        <is>
          <t>G2</t>
        </is>
      </c>
      <c r="Q106" s="38" t="inlineStr">
        <is>
          <t>TE</t>
        </is>
      </c>
      <c r="R106" s="38" t="inlineStr">
        <is>
          <t>M6</t>
        </is>
      </c>
      <c r="S106" s="24" t="inlineStr">
        <is>
          <t>M3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1546</v>
      </c>
      <c r="AN106" s="154">
        <v>569</v>
      </c>
      <c r="AO106" s="154">
        <v>704</v>
      </c>
      <c r="AP106" s="154">
        <v>35</v>
      </c>
      <c r="AQ106" s="154">
        <v>52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TE</t>
        </is>
      </c>
      <c r="O107" s="38" t="inlineStr">
        <is>
          <t>TE</t>
        </is>
      </c>
      <c r="P107" s="38" t="inlineStr">
        <is>
          <t>M3</t>
        </is>
      </c>
      <c r="Q107" s="38" t="inlineStr">
        <is>
          <t>Q</t>
        </is>
      </c>
      <c r="R107" s="38" t="inlineStr">
        <is>
          <t>GK</t>
        </is>
      </c>
      <c r="S107" s="24" t="inlineStr">
        <is>
          <t>M1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3937</v>
      </c>
      <c r="AN107" s="154">
        <v>1846</v>
      </c>
      <c r="AO107" s="154">
        <v>1815</v>
      </c>
      <c r="AP107" s="154">
        <v>898</v>
      </c>
      <c r="AQ107" s="154">
        <v>378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M3</t>
        </is>
      </c>
      <c r="N108" s="38" t="inlineStr">
        <is>
          <t>TE</t>
        </is>
      </c>
      <c r="O108" s="38" t="inlineStr">
        <is>
          <t>M4</t>
        </is>
      </c>
      <c r="P108" s="38" t="inlineStr">
        <is>
          <t>G5</t>
        </is>
      </c>
      <c r="Q108" s="38" t="inlineStr">
        <is>
          <t>C1</t>
        </is>
      </c>
      <c r="R108" s="38" t="inlineStr">
        <is>
          <t>M3</t>
        </is>
      </c>
      <c r="S108" s="24" t="inlineStr">
        <is>
          <t>J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1008</v>
      </c>
      <c r="AN108" s="154">
        <v>2410</v>
      </c>
      <c r="AO108" s="154">
        <v>515</v>
      </c>
      <c r="AP108" s="154">
        <v>368</v>
      </c>
      <c r="AQ108" s="154">
        <v>131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J</t>
        </is>
      </c>
      <c r="N109" s="38" t="inlineStr">
        <is>
          <t>G2</t>
        </is>
      </c>
      <c r="O109" s="38" t="inlineStr">
        <is>
          <t>Q</t>
        </is>
      </c>
      <c r="P109" s="38" t="inlineStr">
        <is>
          <t>M3</t>
        </is>
      </c>
      <c r="Q109" s="38" t="inlineStr">
        <is>
          <t>G3</t>
        </is>
      </c>
      <c r="R109" s="38" t="inlineStr">
        <is>
          <t>M2</t>
        </is>
      </c>
      <c r="S109" s="24" t="inlineStr">
        <is>
          <t>K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3792</v>
      </c>
      <c r="AN109" s="154">
        <v>562</v>
      </c>
      <c r="AO109" s="154">
        <v>2042</v>
      </c>
      <c r="AP109" s="154">
        <v>1085</v>
      </c>
      <c r="AQ109" s="154">
        <v>545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TE</t>
        </is>
      </c>
      <c r="O110" s="38" t="inlineStr">
        <is>
          <t>M6</t>
        </is>
      </c>
      <c r="P110" s="38" t="inlineStr">
        <is>
          <t>G3</t>
        </is>
      </c>
      <c r="Q110" s="38" t="inlineStr">
        <is>
          <t>GA</t>
        </is>
      </c>
      <c r="R110" s="38" t="inlineStr">
        <is>
          <t>K</t>
        </is>
      </c>
      <c r="S110" s="24" t="inlineStr">
        <is>
          <t>M2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2066</v>
      </c>
      <c r="AN110" s="37">
        <v>3141</v>
      </c>
      <c r="AO110" s="37">
        <v>1065</v>
      </c>
      <c r="AP110" s="37">
        <v>463</v>
      </c>
      <c r="AQ110" s="37">
        <v>197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M5</t>
        </is>
      </c>
      <c r="N111" s="38" t="inlineStr">
        <is>
          <t>M2</t>
        </is>
      </c>
      <c r="O111" s="38" t="inlineStr">
        <is>
          <t>WW</t>
        </is>
      </c>
      <c r="P111" s="38" t="inlineStr">
        <is>
          <t>A</t>
        </is>
      </c>
      <c r="Q111" s="38" t="inlineStr">
        <is>
          <t>M4</t>
        </is>
      </c>
      <c r="R111" s="38" t="inlineStr">
        <is>
          <t>M3</t>
        </is>
      </c>
      <c r="S111" s="24" t="inlineStr">
        <is>
          <t>M6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3246</v>
      </c>
      <c r="AN111" s="37">
        <v>1116</v>
      </c>
      <c r="AO111" s="37">
        <v>1663</v>
      </c>
      <c r="AP111" s="37">
        <v>1310</v>
      </c>
      <c r="AQ111" s="37">
        <v>476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M2</t>
        </is>
      </c>
      <c r="N112" s="38" t="inlineStr">
        <is>
          <t>M4</t>
        </is>
      </c>
      <c r="O112" s="38" t="inlineStr">
        <is>
          <t>GQ</t>
        </is>
      </c>
      <c r="P112" s="38" t="inlineStr">
        <is>
          <t>M4</t>
        </is>
      </c>
      <c r="Q112" s="38" t="inlineStr">
        <is>
          <t>M3</t>
        </is>
      </c>
      <c r="R112" s="38" t="inlineStr">
        <is>
          <t>M6</t>
        </is>
      </c>
      <c r="S112" s="24" t="inlineStr">
        <is>
          <t>M3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2619</v>
      </c>
      <c r="AN112" s="37">
        <v>2977</v>
      </c>
      <c r="AO112" s="37">
        <v>1525</v>
      </c>
      <c r="AP112" s="37">
        <v>698</v>
      </c>
      <c r="AQ112" s="37">
        <v>288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M4</t>
        </is>
      </c>
      <c r="N113" s="38" t="inlineStr">
        <is>
          <t>GA</t>
        </is>
      </c>
      <c r="O113" s="38" t="inlineStr">
        <is>
          <t>GK</t>
        </is>
      </c>
      <c r="P113" s="38" t="inlineStr">
        <is>
          <t>M4</t>
        </is>
      </c>
      <c r="Q113" s="38" t="inlineStr">
        <is>
          <t>M4</t>
        </is>
      </c>
      <c r="R113" s="38" t="inlineStr">
        <is>
          <t>M6</t>
        </is>
      </c>
      <c r="S113" s="38" t="inlineStr">
        <is>
          <t>Q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4079</v>
      </c>
      <c r="AN113" s="37">
        <v>1809</v>
      </c>
      <c r="AO113" s="37">
        <v>2180</v>
      </c>
      <c r="AP113" s="37">
        <v>1440</v>
      </c>
      <c r="AQ113" s="37">
        <v>659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K</t>
        </is>
      </c>
      <c r="N114" s="38" t="inlineStr">
        <is>
          <t>G3</t>
        </is>
      </c>
      <c r="O114" s="38" t="inlineStr">
        <is>
          <t>J</t>
        </is>
      </c>
      <c r="P114" s="38" t="inlineStr">
        <is>
          <t>Q</t>
        </is>
      </c>
      <c r="Q114" s="38" t="inlineStr">
        <is>
          <t>J</t>
        </is>
      </c>
      <c r="R114" s="38" t="inlineStr">
        <is>
          <t>M6</t>
        </is>
      </c>
      <c r="S114" s="24" t="inlineStr">
        <is>
          <t>Q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3381</v>
      </c>
      <c r="AN114" s="37">
        <v>2179</v>
      </c>
      <c r="AO114" s="37">
        <v>1775</v>
      </c>
      <c r="AP114" s="37">
        <v>1006</v>
      </c>
      <c r="AQ114" s="37">
        <v>483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J</t>
        </is>
      </c>
      <c r="N115" s="38" t="inlineStr">
        <is>
          <t>GA</t>
        </is>
      </c>
      <c r="O115" s="38" t="inlineStr">
        <is>
          <t>M4</t>
        </is>
      </c>
      <c r="P115" s="38" t="inlineStr">
        <is>
          <t>M4</t>
        </is>
      </c>
      <c r="Q115" s="38" t="inlineStr">
        <is>
          <t>M2</t>
        </is>
      </c>
      <c r="R115" s="38" t="inlineStr">
        <is>
          <t>M4</t>
        </is>
      </c>
      <c r="S115" s="24" t="inlineStr">
        <is>
          <t>TE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K</t>
        </is>
      </c>
      <c r="N116" s="38" t="inlineStr">
        <is>
          <t>M5</t>
        </is>
      </c>
      <c r="O116" s="38" t="inlineStr">
        <is>
          <t>GT</t>
        </is>
      </c>
      <c r="P116" s="38" t="inlineStr">
        <is>
          <t>A</t>
        </is>
      </c>
      <c r="Q116" s="38" t="inlineStr">
        <is>
          <t>M4</t>
        </is>
      </c>
      <c r="R116" s="38" t="inlineStr">
        <is>
          <t>M6</t>
        </is>
      </c>
      <c r="S116" s="24" t="inlineStr">
        <is>
          <t>K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J</t>
        </is>
      </c>
      <c r="N117" s="38" t="inlineStr">
        <is>
          <t>M4</t>
        </is>
      </c>
      <c r="O117" s="38" t="inlineStr">
        <is>
          <t>K</t>
        </is>
      </c>
      <c r="P117" s="38" t="inlineStr">
        <is>
          <t>TE</t>
        </is>
      </c>
      <c r="Q117" s="38" t="inlineStr">
        <is>
          <t>K</t>
        </is>
      </c>
      <c r="R117" s="38" t="inlineStr">
        <is>
          <t>M6</t>
        </is>
      </c>
      <c r="S117" s="24" t="inlineStr">
        <is>
          <t>K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M2</t>
        </is>
      </c>
      <c r="N118" s="38" t="inlineStr">
        <is>
          <t>G3</t>
        </is>
      </c>
      <c r="O118" s="38" t="inlineStr">
        <is>
          <t>TE</t>
        </is>
      </c>
      <c r="P118" s="38" t="inlineStr">
        <is>
          <t>M6</t>
        </is>
      </c>
      <c r="Q118" s="38" t="inlineStr">
        <is>
          <t>M2</t>
        </is>
      </c>
      <c r="R118" s="38" t="inlineStr">
        <is>
          <t>J</t>
        </is>
      </c>
      <c r="S118" s="24" t="inlineStr">
        <is>
          <t>M4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J</t>
        </is>
      </c>
      <c r="N119" s="38" t="inlineStr">
        <is>
          <t>M5</t>
        </is>
      </c>
      <c r="O119" s="38" t="inlineStr">
        <is>
          <t>C1</t>
        </is>
      </c>
      <c r="P119" s="38" t="inlineStr">
        <is>
          <t>A</t>
        </is>
      </c>
      <c r="Q119" s="38" t="inlineStr">
        <is>
          <t>A</t>
        </is>
      </c>
      <c r="R119" s="38" t="inlineStr">
        <is>
          <t>TE</t>
        </is>
      </c>
      <c r="S119" s="24" t="inlineStr">
        <is>
          <t>K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K</t>
        </is>
      </c>
      <c r="N120" s="38" t="inlineStr">
        <is>
          <t>A</t>
        </is>
      </c>
      <c r="O120" s="38" t="inlineStr">
        <is>
          <t>A</t>
        </is>
      </c>
      <c r="P120" s="38" t="inlineStr">
        <is>
          <t>M4</t>
        </is>
      </c>
      <c r="Q120" s="38" t="inlineStr">
        <is>
          <t>M5</t>
        </is>
      </c>
      <c r="R120" s="38" t="inlineStr">
        <is>
          <t>Q</t>
        </is>
      </c>
      <c r="S120" s="24" t="inlineStr">
        <is>
          <t>M4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33822</v>
      </c>
      <c r="AN120" s="10">
        <v>42180</v>
      </c>
      <c r="AO120" s="10">
        <v>36435</v>
      </c>
      <c r="AP120" s="10">
        <v>30133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J</t>
        </is>
      </c>
      <c r="N121" s="38" t="inlineStr">
        <is>
          <t>GQ</t>
        </is>
      </c>
      <c r="O121" s="38" t="inlineStr">
        <is>
          <t>Q</t>
        </is>
      </c>
      <c r="P121" s="38" t="inlineStr">
        <is>
          <t>M2</t>
        </is>
      </c>
      <c r="Q121" s="38" t="inlineStr">
        <is>
          <t>GQ</t>
        </is>
      </c>
      <c r="R121" s="38" t="inlineStr">
        <is>
          <t>M5</t>
        </is>
      </c>
      <c r="S121" s="24" t="inlineStr">
        <is>
          <t>J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23735</v>
      </c>
      <c r="AM121" s="37">
        <v>26467</v>
      </c>
      <c r="AN121" s="37">
        <v>26591</v>
      </c>
      <c r="AO121" s="37">
        <v>33273</v>
      </c>
      <c r="AP121" s="37">
        <v>30534</v>
      </c>
      <c r="AQ121" s="37">
        <v>40327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Q</t>
        </is>
      </c>
      <c r="O122" s="38" t="inlineStr">
        <is>
          <t>GJ</t>
        </is>
      </c>
      <c r="P122" s="38" t="inlineStr">
        <is>
          <t>M4</t>
        </is>
      </c>
      <c r="Q122" s="38" t="inlineStr">
        <is>
          <t>GQ</t>
        </is>
      </c>
      <c r="R122" s="38" t="inlineStr">
        <is>
          <t>G3</t>
        </is>
      </c>
      <c r="S122" s="24" t="inlineStr">
        <is>
          <t>M5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7594</v>
      </c>
      <c r="AM122" s="154">
        <v>7794</v>
      </c>
      <c r="AN122" s="154">
        <v>7219</v>
      </c>
      <c r="AO122" s="154">
        <v>10385</v>
      </c>
      <c r="AP122" s="154">
        <v>5182</v>
      </c>
      <c r="AQ122" s="154">
        <v>6105</v>
      </c>
      <c r="AR122" s="154">
        <v>2534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Q</t>
        </is>
      </c>
      <c r="O123" s="38" t="inlineStr">
        <is>
          <t>G2</t>
        </is>
      </c>
      <c r="P123" s="38" t="inlineStr">
        <is>
          <t>TE</t>
        </is>
      </c>
      <c r="Q123" s="38" t="inlineStr">
        <is>
          <t>A</t>
        </is>
      </c>
      <c r="R123" s="38" t="inlineStr">
        <is>
          <t>M1</t>
        </is>
      </c>
      <c r="S123" s="24" t="inlineStr">
        <is>
          <t>M3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11881</v>
      </c>
      <c r="AM123" s="154">
        <v>13362</v>
      </c>
      <c r="AN123" s="154">
        <v>10584</v>
      </c>
      <c r="AO123" s="154">
        <v>10534</v>
      </c>
      <c r="AP123" s="154">
        <v>9168</v>
      </c>
      <c r="AQ123" s="154">
        <v>13736</v>
      </c>
      <c r="AR123" s="154">
        <v>30361</v>
      </c>
      <c r="AS123" s="151">
        <v>3</v>
      </c>
    </row>
    <row r="124" spans="12:46">
      <c r="L124" s="15">
        <v>120</v>
      </c>
      <c r="M124" s="38" t="inlineStr">
        <is>
          <t>M4</t>
        </is>
      </c>
      <c r="N124" s="38" t="inlineStr">
        <is>
          <t>M4</t>
        </is>
      </c>
      <c r="O124" s="38" t="inlineStr">
        <is>
          <t>K</t>
        </is>
      </c>
      <c r="P124" s="38" t="inlineStr">
        <is>
          <t>G4</t>
        </is>
      </c>
      <c r="Q124" s="38" t="inlineStr">
        <is>
          <t>M3</t>
        </is>
      </c>
      <c r="R124" s="38" t="inlineStr">
        <is>
          <t>M6</t>
        </is>
      </c>
      <c r="S124" s="24" t="inlineStr">
        <is>
          <t>M4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32308</v>
      </c>
      <c r="AM124" s="154">
        <v>53738</v>
      </c>
      <c r="AN124" s="154">
        <v>30721</v>
      </c>
      <c r="AO124" s="154">
        <v>47474</v>
      </c>
      <c r="AP124" s="154">
        <v>4384</v>
      </c>
      <c r="AQ124" s="154">
        <v>15262</v>
      </c>
      <c r="AR124" s="154">
        <v>214109</v>
      </c>
      <c r="AS124" s="151">
        <v>4</v>
      </c>
    </row>
    <row r="125" spans="12:46">
      <c r="M125" t="inlineStr">
        <is>
          <t>K</t>
        </is>
      </c>
      <c r="N125" t="inlineStr">
        <is>
          <t>Q</t>
        </is>
      </c>
      <c r="O125" t="inlineStr">
        <is>
          <t>TE</t>
        </is>
      </c>
      <c r="P125" t="inlineStr">
        <is>
          <t>Q</t>
        </is>
      </c>
      <c r="Q125" t="inlineStr">
        <is>
          <t>GQ</t>
        </is>
      </c>
      <c r="R125" t="inlineStr">
        <is>
          <t>K</t>
        </is>
      </c>
      <c r="S125" t="inlineStr">
        <is>
          <t>Q</t>
        </is>
      </c>
      <c r="U125">
        <f>VLOOKUP(M125, $A$4:$J$29, 9, 0)</f>
      </c>
      <c r="V125">
        <f>VLOOKUP(N125, $A$4:$J$29, 9, 0)</f>
      </c>
      <c r="W125">
        <f>VLOOKUP(O125, $A$4:$J$29, 9, 0)</f>
      </c>
      <c r="X125">
        <f>VLOOKUP(P125, $A$4:$J$29, 9, 0)</f>
      </c>
      <c r="Y125">
        <f>VLOOKUP(Q125, $A$4:$J$29, 9, 0)</f>
      </c>
      <c r="Z125">
        <f>VLOOKUP(R125, $A$4:$J$29, 9, 0)</f>
      </c>
      <c r="AA125">
        <f>VLOOKUP(S125, $A$4:$J$29, 9, 0)</f>
      </c>
      <c r="AC125" s="31">
        <v>1</v>
      </c>
      <c r="AD125" s="31">
        <v>1</v>
      </c>
      <c r="AE125" s="31">
        <v>1</v>
      </c>
      <c r="AF125" s="31">
        <v>1</v>
      </c>
      <c r="AG125" s="31">
        <v>1</v>
      </c>
      <c r="AH125" s="31">
        <v>1</v>
      </c>
      <c r="AI125" s="31">
        <v>1</v>
      </c>
      <c r="AK125" s="154" t="s">
        <v>18</v>
      </c>
      <c r="AL125" s="154">
        <v>95203</v>
      </c>
      <c r="AM125" s="154">
        <v>136835</v>
      </c>
      <c r="AN125" s="154">
        <v>99652</v>
      </c>
      <c r="AO125" s="154">
        <v>122395</v>
      </c>
      <c r="AP125" s="154">
        <v>112802</v>
      </c>
      <c r="AQ125" s="154">
        <v>110392</v>
      </c>
      <c r="AR125" s="154">
        <v>114485</v>
      </c>
      <c r="AS125" s="151">
        <v>5</v>
      </c>
    </row>
    <row r="126" spans="12:46">
      <c r="M126" t="inlineStr">
        <is>
          <t>TE</t>
        </is>
      </c>
      <c r="N126" t="inlineStr">
        <is>
          <t>TE</t>
        </is>
      </c>
      <c r="O126" t="inlineStr">
        <is>
          <t>Q</t>
        </is>
      </c>
      <c r="P126" t="inlineStr">
        <is>
          <t>M6</t>
        </is>
      </c>
      <c r="Q126" t="inlineStr">
        <is>
          <t>A</t>
        </is>
      </c>
      <c r="R126" t="inlineStr">
        <is>
          <t>TE</t>
        </is>
      </c>
      <c r="S126" t="inlineStr">
        <is>
          <t>M3</t>
        </is>
      </c>
      <c r="U126">
        <f>VLOOKUP(M126, $A$4:$J$29, 9, 0)</f>
      </c>
      <c r="V126">
        <f>VLOOKUP(N126, $A$4:$J$29, 9, 0)</f>
      </c>
      <c r="W126">
        <f>VLOOKUP(O126, $A$4:$J$29, 9, 0)</f>
      </c>
      <c r="X126">
        <f>VLOOKUP(P126, $A$4:$J$29, 9, 0)</f>
      </c>
      <c r="Y126">
        <f>VLOOKUP(Q126, $A$4:$J$29, 9, 0)</f>
      </c>
      <c r="Z126">
        <f>VLOOKUP(R126, $A$4:$J$29, 9, 0)</f>
      </c>
      <c r="AA126">
        <f>VLOOKUP(S126, $A$4:$J$29, 9, 0)</f>
      </c>
      <c r="AC126">
        <v>1</v>
      </c>
      <c r="AD126">
        <v>1</v>
      </c>
      <c r="AE126">
        <v>1</v>
      </c>
      <c r="AF126">
        <v>1</v>
      </c>
      <c r="AG126">
        <v>1</v>
      </c>
      <c r="AH126">
        <v>1</v>
      </c>
      <c r="AI126">
        <v>1</v>
      </c>
      <c r="AK126" s="154" t="s">
        <v>64</v>
      </c>
      <c r="AL126" s="154">
        <v>147805</v>
      </c>
      <c r="AM126" s="154">
        <v>35044</v>
      </c>
      <c r="AN126" s="154">
        <v>130101</v>
      </c>
      <c r="AO126" s="154">
        <v>34715</v>
      </c>
      <c r="AP126" s="154">
        <v>46237</v>
      </c>
      <c r="AQ126" s="154">
        <v>38154</v>
      </c>
      <c r="AR126" s="154">
        <v>183748</v>
      </c>
      <c r="AS126" s="151">
        <v>6</v>
      </c>
    </row>
    <row r="127" spans="12:46">
      <c r="M127" t="inlineStr">
        <is>
          <t>K</t>
        </is>
      </c>
      <c r="N127" t="inlineStr">
        <is>
          <t>Q</t>
        </is>
      </c>
      <c r="O127" t="inlineStr">
        <is>
          <t>A</t>
        </is>
      </c>
      <c r="P127" t="inlineStr">
        <is>
          <t>M4</t>
        </is>
      </c>
      <c r="Q127" t="inlineStr">
        <is>
          <t>TE</t>
        </is>
      </c>
      <c r="R127" t="inlineStr">
        <is>
          <t>K</t>
        </is>
      </c>
      <c r="S127" t="inlineStr">
        <is>
          <t>K</t>
        </is>
      </c>
      <c r="U127">
        <f>VLOOKUP(M127, $A$4:$J$29, 9, 0)</f>
      </c>
      <c r="V127">
        <f>VLOOKUP(N127, $A$4:$J$29, 9, 0)</f>
      </c>
      <c r="W127">
        <f>VLOOKUP(O127, $A$4:$J$29, 9, 0)</f>
      </c>
      <c r="X127">
        <f>VLOOKUP(P127, $A$4:$J$29, 9, 0)</f>
      </c>
      <c r="Y127">
        <f>VLOOKUP(Q127, $A$4:$J$29, 9, 0)</f>
      </c>
      <c r="Z127">
        <f>VLOOKUP(R127, $A$4:$J$29, 9, 0)</f>
      </c>
      <c r="AA127">
        <f>VLOOKUP(S127, $A$4:$J$29, 9, 0)</f>
      </c>
      <c r="AC127">
        <v>1</v>
      </c>
      <c r="AD127">
        <v>1</v>
      </c>
      <c r="AE127">
        <v>1</v>
      </c>
      <c r="AF127">
        <v>1</v>
      </c>
      <c r="AG127">
        <v>1</v>
      </c>
      <c r="AH127">
        <v>1</v>
      </c>
      <c r="AI127">
        <v>1</v>
      </c>
      <c r="AK127" s="154" t="s">
        <v>89</v>
      </c>
      <c r="AL127" s="154">
        <v>33683</v>
      </c>
      <c r="AM127" s="154">
        <v>131796</v>
      </c>
      <c r="AN127" s="154">
        <v>30341</v>
      </c>
      <c r="AO127" s="154">
        <v>137675</v>
      </c>
      <c r="AP127" s="154">
        <v>136320</v>
      </c>
      <c r="AQ127" s="154">
        <v>159229</v>
      </c>
      <c r="AR127" s="154">
        <v>67683</v>
      </c>
      <c r="AS127" s="151">
        <v>7</v>
      </c>
    </row>
    <row r="128" spans="12:46">
      <c r="M128" t="inlineStr">
        <is>
          <t>K</t>
        </is>
      </c>
      <c r="N128" t="inlineStr">
        <is>
          <t>G6</t>
        </is>
      </c>
      <c r="O128" t="inlineStr">
        <is>
          <t>TE</t>
        </is>
      </c>
      <c r="P128" t="inlineStr">
        <is>
          <t>J</t>
        </is>
      </c>
      <c r="Q128" t="inlineStr">
        <is>
          <t>M2</t>
        </is>
      </c>
      <c r="R128" t="inlineStr">
        <is>
          <t>J</t>
        </is>
      </c>
      <c r="S128" t="inlineStr">
        <is>
          <t>M3</t>
        </is>
      </c>
      <c r="U128">
        <f>VLOOKUP(M128, $A$4:$J$29, 9, 0)</f>
      </c>
      <c r="V128">
        <f>VLOOKUP(N128, $A$4:$J$29, 9, 0)</f>
      </c>
      <c r="W128">
        <f>VLOOKUP(O128, $A$4:$J$29, 9, 0)</f>
      </c>
      <c r="X128">
        <f>VLOOKUP(P128, $A$4:$J$29, 9, 0)</f>
      </c>
      <c r="Y128">
        <f>VLOOKUP(Q128, $A$4:$J$29, 9, 0)</f>
      </c>
      <c r="Z128">
        <f>VLOOKUP(R128, $A$4:$J$29, 9, 0)</f>
      </c>
      <c r="AA128">
        <f>VLOOKUP(S128, $A$4:$J$29, 9, 0)</f>
      </c>
      <c r="AC128">
        <v>1</v>
      </c>
      <c r="AD128">
        <v>1</v>
      </c>
      <c r="AE128">
        <v>1</v>
      </c>
      <c r="AF128">
        <v>1</v>
      </c>
      <c r="AG128">
        <v>1</v>
      </c>
      <c r="AH128">
        <v>1</v>
      </c>
      <c r="AI128">
        <v>1</v>
      </c>
      <c r="AK128" s="37" t="s">
        <v>24</v>
      </c>
      <c r="AL128" s="37">
        <v>172492</v>
      </c>
      <c r="AM128" s="37">
        <v>71787</v>
      </c>
      <c r="AN128" s="37">
        <v>169505</v>
      </c>
      <c r="AO128" s="37">
        <v>71805</v>
      </c>
      <c r="AP128" s="37">
        <v>58195</v>
      </c>
      <c r="AQ128" s="37">
        <v>57485</v>
      </c>
      <c r="AR128" s="37">
        <v>73049</v>
      </c>
      <c r="AS128" s="4">
        <v>8</v>
      </c>
      <c r="AT128" s="9"/>
    </row>
    <row r="129" spans="37:46">
      <c r="M129" t="inlineStr">
        <is>
          <t>M6</t>
        </is>
      </c>
      <c r="N129" t="inlineStr">
        <is>
          <t>M4</t>
        </is>
      </c>
      <c r="O129" t="inlineStr">
        <is>
          <t>K</t>
        </is>
      </c>
      <c r="P129" t="inlineStr">
        <is>
          <t>C1</t>
        </is>
      </c>
      <c r="Q129" t="inlineStr">
        <is>
          <t>Q</t>
        </is>
      </c>
      <c r="R129" t="inlineStr">
        <is>
          <t>M4</t>
        </is>
      </c>
      <c r="S129" t="inlineStr">
        <is>
          <t>M5</t>
        </is>
      </c>
      <c r="U129">
        <f>VLOOKUP(M129, $A$4:$J$29, 9, 0)</f>
      </c>
      <c r="V129">
        <f>VLOOKUP(N129, $A$4:$J$29, 9, 0)</f>
      </c>
      <c r="W129">
        <f>VLOOKUP(O129, $A$4:$J$29, 9, 0)</f>
      </c>
      <c r="X129">
        <f>VLOOKUP(P129, $A$4:$J$29, 9, 0)</f>
      </c>
      <c r="Y129">
        <f>VLOOKUP(Q129, $A$4:$J$29, 9, 0)</f>
      </c>
      <c r="Z129">
        <f>VLOOKUP(R129, $A$4:$J$29, 9, 0)</f>
      </c>
      <c r="AA129">
        <f>VLOOKUP(S129, $A$4:$J$29, 9, 0)</f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K129" s="37" t="s">
        <v>26</v>
      </c>
      <c r="AL129" s="37">
        <v>57365</v>
      </c>
      <c r="AM129" s="37">
        <v>112809</v>
      </c>
      <c r="AN129" s="37">
        <v>60247</v>
      </c>
      <c r="AO129" s="37">
        <v>112158</v>
      </c>
      <c r="AP129" s="37">
        <v>164620</v>
      </c>
      <c r="AQ129" s="37">
        <v>138881</v>
      </c>
      <c r="AR129" s="37">
        <v>73049</v>
      </c>
      <c r="AS129" s="4">
        <v>9</v>
      </c>
      <c r="AT129" s="9"/>
    </row>
    <row r="130" spans="37:46">
      <c r="M130" t="inlineStr">
        <is>
          <t>A</t>
        </is>
      </c>
      <c r="N130" t="inlineStr">
        <is>
          <t>GQ</t>
        </is>
      </c>
      <c r="O130" t="inlineStr">
        <is>
          <t>C1</t>
        </is>
      </c>
      <c r="P130" t="inlineStr">
        <is>
          <t>J</t>
        </is>
      </c>
      <c r="Q130" t="inlineStr">
        <is>
          <t>G5</t>
        </is>
      </c>
      <c r="R130" t="inlineStr">
        <is>
          <t>M3</t>
        </is>
      </c>
      <c r="S130" t="inlineStr">
        <is>
          <t>J</t>
        </is>
      </c>
      <c r="U130">
        <f>VLOOKUP(M130, $A$4:$J$29, 9, 0)</f>
      </c>
      <c r="V130">
        <f>VLOOKUP(N130, $A$4:$J$29, 9, 0)</f>
      </c>
      <c r="W130">
        <f>VLOOKUP(O130, $A$4:$J$29, 9, 0)</f>
      </c>
      <c r="X130">
        <f>VLOOKUP(P130, $A$4:$J$29, 9, 0)</f>
      </c>
      <c r="Y130">
        <f>VLOOKUP(Q130, $A$4:$J$29, 9, 0)</f>
      </c>
      <c r="Z130">
        <f>VLOOKUP(R130, $A$4:$J$29, 9, 0)</f>
      </c>
      <c r="AA130">
        <f>VLOOKUP(S130, $A$4:$J$29, 9, 0)</f>
      </c>
      <c r="AC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K130" s="37" t="s">
        <v>27</v>
      </c>
      <c r="AL130" s="37">
        <v>177493</v>
      </c>
      <c r="AM130" s="37">
        <v>91009</v>
      </c>
      <c r="AN130" s="37">
        <v>160658</v>
      </c>
      <c r="AO130" s="37">
        <v>102811</v>
      </c>
      <c r="AP130" s="37">
        <v>87691</v>
      </c>
      <c r="AQ130" s="37">
        <v>83939</v>
      </c>
      <c r="AR130" s="37">
        <v>68622</v>
      </c>
      <c r="AS130" s="4">
        <v>10</v>
      </c>
      <c r="AT130" s="9"/>
    </row>
    <row r="131" spans="37:46">
      <c r="M131" t="inlineStr">
        <is>
          <t>M2</t>
        </is>
      </c>
      <c r="N131" t="inlineStr">
        <is>
          <t>G5</t>
        </is>
      </c>
      <c r="O131" t="inlineStr">
        <is>
          <t>J</t>
        </is>
      </c>
      <c r="P131" t="inlineStr">
        <is>
          <t>K</t>
        </is>
      </c>
      <c r="Q131" t="inlineStr">
        <is>
          <t>J</t>
        </is>
      </c>
      <c r="R131" t="inlineStr">
        <is>
          <t>M4</t>
        </is>
      </c>
      <c r="S131" t="inlineStr">
        <is>
          <t>K</t>
        </is>
      </c>
      <c r="U131">
        <f>VLOOKUP(M131, $A$4:$J$29, 9, 0)</f>
      </c>
      <c r="V131">
        <f>VLOOKUP(N131, $A$4:$J$29, 9, 0)</f>
      </c>
      <c r="W131">
        <f>VLOOKUP(O131, $A$4:$J$29, 9, 0)</f>
      </c>
      <c r="X131">
        <f>VLOOKUP(P131, $A$4:$J$29, 9, 0)</f>
      </c>
      <c r="Y131">
        <f>VLOOKUP(Q131, $A$4:$J$29, 9, 0)</f>
      </c>
      <c r="Z131">
        <f>VLOOKUP(R131, $A$4:$J$29, 9, 0)</f>
      </c>
      <c r="AA131">
        <f>VLOOKUP(S131, $A$4:$J$29, 9, 0)</f>
      </c>
      <c r="AC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K131" s="37" t="s">
        <v>28</v>
      </c>
      <c r="AL131" s="37">
        <v>103405</v>
      </c>
      <c r="AM131" s="37">
        <v>141758</v>
      </c>
      <c r="AN131" s="37">
        <v>97644</v>
      </c>
      <c r="AO131" s="37">
        <v>147022</v>
      </c>
      <c r="AP131" s="37">
        <v>180963</v>
      </c>
      <c r="AQ131" s="37">
        <v>192297</v>
      </c>
      <c r="AR131" s="37">
        <v>106257</v>
      </c>
      <c r="AS131" s="4">
        <v>11</v>
      </c>
      <c r="AT131" s="9"/>
    </row>
    <row r="132" spans="37:46">
      <c r="M132" t="inlineStr">
        <is>
          <t>TE</t>
        </is>
      </c>
      <c r="N132" t="inlineStr">
        <is>
          <t>M5</t>
        </is>
      </c>
      <c r="O132" t="inlineStr">
        <is>
          <t>M2</t>
        </is>
      </c>
      <c r="P132" t="inlineStr">
        <is>
          <t>M3</t>
        </is>
      </c>
      <c r="Q132" t="inlineStr">
        <is>
          <t>M2</t>
        </is>
      </c>
      <c r="R132" t="inlineStr">
        <is>
          <t>M4</t>
        </is>
      </c>
      <c r="S132" t="inlineStr">
        <is>
          <t>M5</t>
        </is>
      </c>
      <c r="U132">
        <f>VLOOKUP(M132, $A$4:$J$29, 9, 0)</f>
      </c>
      <c r="V132">
        <f>VLOOKUP(N132, $A$4:$J$29, 9, 0)</f>
      </c>
      <c r="W132">
        <f>VLOOKUP(O132, $A$4:$J$29, 9, 0)</f>
      </c>
      <c r="X132">
        <f>VLOOKUP(P132, $A$4:$J$29, 9, 0)</f>
      </c>
      <c r="Y132">
        <f>VLOOKUP(Q132, $A$4:$J$29, 9, 0)</f>
      </c>
      <c r="Z132">
        <f>VLOOKUP(R132, $A$4:$J$29, 9, 0)</f>
      </c>
      <c r="AA132">
        <f>VLOOKUP(S132, $A$4:$J$29, 9, 0)</f>
      </c>
      <c r="AC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K132" s="37" t="s">
        <v>29</v>
      </c>
      <c r="AL132" s="37">
        <v>137036</v>
      </c>
      <c r="AM132" s="37">
        <v>117497</v>
      </c>
      <c r="AN132" s="37">
        <v>117618</v>
      </c>
      <c r="AO132" s="37">
        <v>119724</v>
      </c>
      <c r="AP132" s="37">
        <v>126354</v>
      </c>
      <c r="AQ132" s="37">
        <v>140916</v>
      </c>
      <c r="AR132" s="37">
        <v>66103</v>
      </c>
      <c r="AS132" s="4">
        <v>12</v>
      </c>
      <c r="AT132" s="9"/>
    </row>
    <row r="133" spans="37:46">
      <c r="M133" t="inlineStr">
        <is>
          <t>M5</t>
        </is>
      </c>
      <c r="N133" t="inlineStr">
        <is>
          <t>TE</t>
        </is>
      </c>
      <c r="O133" t="inlineStr">
        <is>
          <t>G3</t>
        </is>
      </c>
      <c r="P133" t="inlineStr">
        <is>
          <t>K</t>
        </is>
      </c>
      <c r="Q133" t="inlineStr">
        <is>
          <t>TE</t>
        </is>
      </c>
      <c r="R133" t="inlineStr">
        <is>
          <t>J</t>
        </is>
      </c>
      <c r="S133" t="inlineStr">
        <is>
          <t>M5</t>
        </is>
      </c>
      <c r="U133">
        <f>VLOOKUP(M133, $A$4:$J$29, 9, 0)</f>
      </c>
      <c r="V133">
        <f>VLOOKUP(N133, $A$4:$J$29, 9, 0)</f>
      </c>
      <c r="W133">
        <f>VLOOKUP(O133, $A$4:$J$29, 9, 0)</f>
      </c>
      <c r="X133">
        <f>VLOOKUP(P133, $A$4:$J$29, 9, 0)</f>
      </c>
      <c r="Y133">
        <f>VLOOKUP(Q133, $A$4:$J$29, 9, 0)</f>
      </c>
      <c r="Z133">
        <f>VLOOKUP(R133, $A$4:$J$29, 9, 0)</f>
      </c>
      <c r="AA133">
        <f>VLOOKUP(S133, $A$4:$J$29, 9, 0)</f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K133" s="154" t="s">
        <v>222</v>
      </c>
      <c r="AL133" s="154">
        <v>0</v>
      </c>
      <c r="AM133" s="154">
        <v>224</v>
      </c>
      <c r="AN133" s="154">
        <v>134</v>
      </c>
      <c r="AO133" s="154">
        <v>154</v>
      </c>
      <c r="AP133" s="154">
        <v>41</v>
      </c>
      <c r="AQ133" s="154">
        <v>21</v>
      </c>
      <c r="AR133" s="154">
        <v>0</v>
      </c>
      <c r="AS133" s="151">
        <v>13</v>
      </c>
      <c r="AT133" s="9"/>
    </row>
    <row r="134" spans="37:46">
      <c r="M134" t="inlineStr">
        <is>
          <t>M3</t>
        </is>
      </c>
      <c r="N134" t="inlineStr">
        <is>
          <t>C1</t>
        </is>
      </c>
      <c r="O134" t="inlineStr">
        <is>
          <t>K</t>
        </is>
      </c>
      <c r="P134" t="inlineStr">
        <is>
          <t>G5</t>
        </is>
      </c>
      <c r="Q134" t="inlineStr">
        <is>
          <t>GA</t>
        </is>
      </c>
      <c r="R134" t="inlineStr">
        <is>
          <t>M5</t>
        </is>
      </c>
      <c r="S134" t="inlineStr">
        <is>
          <t>J</t>
        </is>
      </c>
      <c r="U134">
        <f>VLOOKUP(M134, $A$4:$J$29, 9, 0)</f>
      </c>
      <c r="V134">
        <f>VLOOKUP(N134, $A$4:$J$29, 9, 0)</f>
      </c>
      <c r="W134">
        <f>VLOOKUP(O134, $A$4:$J$29, 9, 0)</f>
      </c>
      <c r="X134">
        <f>VLOOKUP(P134, $A$4:$J$29, 9, 0)</f>
      </c>
      <c r="Y134">
        <f>VLOOKUP(Q134, $A$4:$J$29, 9, 0)</f>
      </c>
      <c r="Z134">
        <f>VLOOKUP(R134, $A$4:$J$29, 9, 0)</f>
      </c>
      <c r="AA134">
        <f>VLOOKUP(S134, $A$4:$J$29, 9, 0)</f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1</v>
      </c>
      <c r="AI134">
        <v>1</v>
      </c>
      <c r="AK134" s="154" t="s">
        <v>224</v>
      </c>
      <c r="AL134" s="154">
        <v>0</v>
      </c>
      <c r="AM134" s="154">
        <v>384</v>
      </c>
      <c r="AN134" s="154">
        <v>196</v>
      </c>
      <c r="AO134" s="154">
        <v>156</v>
      </c>
      <c r="AP134" s="154">
        <v>73</v>
      </c>
      <c r="AQ134" s="154">
        <v>47</v>
      </c>
      <c r="AR134" s="154">
        <v>0</v>
      </c>
      <c r="AS134" s="151">
        <v>14</v>
      </c>
      <c r="AT134" s="9"/>
    </row>
    <row r="135" spans="37:46">
      <c r="M135" t="inlineStr">
        <is>
          <t>K</t>
        </is>
      </c>
      <c r="N135" t="inlineStr">
        <is>
          <t>G5</t>
        </is>
      </c>
      <c r="O135" t="inlineStr">
        <is>
          <t>M4</t>
        </is>
      </c>
      <c r="P135" t="inlineStr">
        <is>
          <t>M4</t>
        </is>
      </c>
      <c r="Q135" t="inlineStr">
        <is>
          <t>TE</t>
        </is>
      </c>
      <c r="R135" t="inlineStr">
        <is>
          <t>K</t>
        </is>
      </c>
      <c r="S135" t="inlineStr">
        <is>
          <t>M4</t>
        </is>
      </c>
      <c r="U135">
        <f>VLOOKUP(M135, $A$4:$J$29, 9, 0)</f>
      </c>
      <c r="V135">
        <f>VLOOKUP(N135, $A$4:$J$29, 9, 0)</f>
      </c>
      <c r="W135">
        <f>VLOOKUP(O135, $A$4:$J$29, 9, 0)</f>
      </c>
      <c r="X135">
        <f>VLOOKUP(P135, $A$4:$J$29, 9, 0)</f>
      </c>
      <c r="Y135">
        <f>VLOOKUP(Q135, $A$4:$J$29, 9, 0)</f>
      </c>
      <c r="Z135">
        <f>VLOOKUP(R135, $A$4:$J$29, 9, 0)</f>
      </c>
      <c r="AA135">
        <f>VLOOKUP(S135, $A$4:$J$29, 9, 0)</f>
      </c>
      <c r="AC135">
        <v>1</v>
      </c>
      <c r="AD135">
        <v>1</v>
      </c>
      <c r="AE135">
        <v>1</v>
      </c>
      <c r="AF135">
        <v>1</v>
      </c>
      <c r="AG135">
        <v>1</v>
      </c>
      <c r="AH135">
        <v>1</v>
      </c>
      <c r="AI135">
        <v>1</v>
      </c>
      <c r="AK135" s="154" t="s">
        <v>226</v>
      </c>
      <c r="AL135" s="154">
        <v>0</v>
      </c>
      <c r="AM135" s="154">
        <v>1546</v>
      </c>
      <c r="AN135" s="154">
        <v>569</v>
      </c>
      <c r="AO135" s="154">
        <v>704</v>
      </c>
      <c r="AP135" s="154">
        <v>35</v>
      </c>
      <c r="AQ135" s="154">
        <v>52</v>
      </c>
      <c r="AR135" s="154">
        <v>0</v>
      </c>
      <c r="AS135" s="151">
        <v>15</v>
      </c>
      <c r="AT135" s="9"/>
    </row>
    <row r="136" spans="37:46">
      <c r="M136" t="inlineStr">
        <is>
          <t>J</t>
        </is>
      </c>
      <c r="N136" t="inlineStr">
        <is>
          <t>TE</t>
        </is>
      </c>
      <c r="O136" t="inlineStr">
        <is>
          <t>GQ</t>
        </is>
      </c>
      <c r="P136" t="inlineStr">
        <is>
          <t>M6</t>
        </is>
      </c>
      <c r="Q136" t="inlineStr">
        <is>
          <t>G5</t>
        </is>
      </c>
      <c r="R136" t="inlineStr">
        <is>
          <t>J</t>
        </is>
      </c>
      <c r="S136" t="inlineStr">
        <is>
          <t>M3</t>
        </is>
      </c>
      <c r="U136">
        <f>VLOOKUP(M136, $A$4:$J$29, 9, 0)</f>
      </c>
      <c r="V136">
        <f>VLOOKUP(N136, $A$4:$J$29, 9, 0)</f>
      </c>
      <c r="W136">
        <f>VLOOKUP(O136, $A$4:$J$29, 9, 0)</f>
      </c>
      <c r="X136">
        <f>VLOOKUP(P136, $A$4:$J$29, 9, 0)</f>
      </c>
      <c r="Y136">
        <f>VLOOKUP(Q136, $A$4:$J$29, 9, 0)</f>
      </c>
      <c r="Z136">
        <f>VLOOKUP(R136, $A$4:$J$29, 9, 0)</f>
      </c>
      <c r="AA136">
        <f>VLOOKUP(S136, $A$4:$J$29, 9, 0)</f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1</v>
      </c>
      <c r="AI136">
        <v>1</v>
      </c>
      <c r="AK136" s="154" t="s">
        <v>228</v>
      </c>
      <c r="AL136" s="154">
        <v>0</v>
      </c>
      <c r="AM136" s="154">
        <v>3937</v>
      </c>
      <c r="AN136" s="154">
        <v>1846</v>
      </c>
      <c r="AO136" s="154">
        <v>1815</v>
      </c>
      <c r="AP136" s="154">
        <v>898</v>
      </c>
      <c r="AQ136" s="154">
        <v>378</v>
      </c>
      <c r="AR136" s="154">
        <v>0</v>
      </c>
      <c r="AS136" s="151">
        <v>16</v>
      </c>
      <c r="AT136" s="9"/>
    </row>
    <row r="137" spans="37:46">
      <c r="M137" t="inlineStr">
        <is>
          <t>J</t>
        </is>
      </c>
      <c r="N137" t="inlineStr">
        <is>
          <t>GQ</t>
        </is>
      </c>
      <c r="O137" t="inlineStr">
        <is>
          <t>G6</t>
        </is>
      </c>
      <c r="P137" t="inlineStr">
        <is>
          <t>J</t>
        </is>
      </c>
      <c r="Q137" t="inlineStr">
        <is>
          <t>M4</t>
        </is>
      </c>
      <c r="R137" t="inlineStr">
        <is>
          <t>TE</t>
        </is>
      </c>
      <c r="S137" t="inlineStr">
        <is>
          <t>M5</t>
        </is>
      </c>
      <c r="U137">
        <f>VLOOKUP(M137, $A$4:$J$29, 9, 0)</f>
      </c>
      <c r="V137">
        <f>VLOOKUP(N137, $A$4:$J$29, 9, 0)</f>
      </c>
      <c r="W137">
        <f>VLOOKUP(O137, $A$4:$J$29, 9, 0)</f>
      </c>
      <c r="X137">
        <f>VLOOKUP(P137, $A$4:$J$29, 9, 0)</f>
      </c>
      <c r="Y137">
        <f>VLOOKUP(Q137, $A$4:$J$29, 9, 0)</f>
      </c>
      <c r="Z137">
        <f>VLOOKUP(R137, $A$4:$J$29, 9, 0)</f>
      </c>
      <c r="AA137">
        <f>VLOOKUP(S137, $A$4:$J$29, 9, 0)</f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K137" s="154" t="s">
        <v>230</v>
      </c>
      <c r="AL137" s="154">
        <v>0</v>
      </c>
      <c r="AM137" s="154">
        <v>1008</v>
      </c>
      <c r="AN137" s="154">
        <v>2410</v>
      </c>
      <c r="AO137" s="154">
        <v>515</v>
      </c>
      <c r="AP137" s="154">
        <v>368</v>
      </c>
      <c r="AQ137" s="154">
        <v>131</v>
      </c>
      <c r="AR137" s="154">
        <v>0</v>
      </c>
      <c r="AS137" s="151">
        <v>17</v>
      </c>
      <c r="AT137" s="9"/>
    </row>
    <row r="138" spans="37:46">
      <c r="M138" t="inlineStr">
        <is>
          <t>M5</t>
        </is>
      </c>
      <c r="N138" t="inlineStr">
        <is>
          <t>M2</t>
        </is>
      </c>
      <c r="O138" t="inlineStr">
        <is>
          <t>M5</t>
        </is>
      </c>
      <c r="P138" t="inlineStr">
        <is>
          <t>GA</t>
        </is>
      </c>
      <c r="Q138" t="inlineStr">
        <is>
          <t>M5</t>
        </is>
      </c>
      <c r="R138" t="inlineStr">
        <is>
          <t>J</t>
        </is>
      </c>
      <c r="S138" t="inlineStr">
        <is>
          <t>M4</t>
        </is>
      </c>
      <c r="U138">
        <f>VLOOKUP(M138, $A$4:$J$29, 9, 0)</f>
      </c>
      <c r="V138">
        <f>VLOOKUP(N138, $A$4:$J$29, 9, 0)</f>
      </c>
      <c r="W138">
        <f>VLOOKUP(O138, $A$4:$J$29, 9, 0)</f>
      </c>
      <c r="X138">
        <f>VLOOKUP(P138, $A$4:$J$29, 9, 0)</f>
      </c>
      <c r="Y138">
        <f>VLOOKUP(Q138, $A$4:$J$29, 9, 0)</f>
      </c>
      <c r="Z138">
        <f>VLOOKUP(R138, $A$4:$J$29, 9, 0)</f>
      </c>
      <c r="AA138">
        <f>VLOOKUP(S138, $A$4:$J$29, 9, 0)</f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K138" s="154" t="s">
        <v>232</v>
      </c>
      <c r="AL138" s="154">
        <v>0</v>
      </c>
      <c r="AM138" s="154">
        <v>3792</v>
      </c>
      <c r="AN138" s="154">
        <v>562</v>
      </c>
      <c r="AO138" s="154">
        <v>2042</v>
      </c>
      <c r="AP138" s="154">
        <v>1085</v>
      </c>
      <c r="AQ138" s="154">
        <v>545</v>
      </c>
      <c r="AR138" s="154">
        <v>0</v>
      </c>
      <c r="AS138" s="151">
        <v>18</v>
      </c>
      <c r="AT138" s="9"/>
    </row>
    <row r="139" spans="37:46">
      <c r="M139" t="inlineStr">
        <is>
          <t>C1</t>
        </is>
      </c>
      <c r="N139" t="inlineStr">
        <is>
          <t>M3</t>
        </is>
      </c>
      <c r="O139" t="inlineStr">
        <is>
          <t>Q</t>
        </is>
      </c>
      <c r="P139" t="inlineStr">
        <is>
          <t>Q</t>
        </is>
      </c>
      <c r="Q139" t="inlineStr">
        <is>
          <t>A</t>
        </is>
      </c>
      <c r="R139" t="inlineStr">
        <is>
          <t>M3</t>
        </is>
      </c>
      <c r="S139" t="inlineStr">
        <is>
          <t>M6</t>
        </is>
      </c>
      <c r="U139">
        <f>VLOOKUP(M139, $A$4:$J$29, 9, 0)</f>
      </c>
      <c r="V139">
        <f>VLOOKUP(N139, $A$4:$J$29, 9, 0)</f>
      </c>
      <c r="W139">
        <f>VLOOKUP(O139, $A$4:$J$29, 9, 0)</f>
      </c>
      <c r="X139">
        <f>VLOOKUP(P139, $A$4:$J$29, 9, 0)</f>
      </c>
      <c r="Y139">
        <f>VLOOKUP(Q139, $A$4:$J$29, 9, 0)</f>
      </c>
      <c r="Z139">
        <f>VLOOKUP(R139, $A$4:$J$29, 9, 0)</f>
      </c>
      <c r="AA139">
        <f>VLOOKUP(S139, $A$4:$J$29, 9, 0)</f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1</v>
      </c>
      <c r="AI139">
        <v>1</v>
      </c>
      <c r="AK139" s="37" t="s">
        <v>234</v>
      </c>
      <c r="AL139" s="37">
        <v>0</v>
      </c>
      <c r="AM139" s="37">
        <v>2066</v>
      </c>
      <c r="AN139" s="37">
        <v>3141</v>
      </c>
      <c r="AO139" s="37">
        <v>1065</v>
      </c>
      <c r="AP139" s="37">
        <v>463</v>
      </c>
      <c r="AQ139" s="37">
        <v>197</v>
      </c>
      <c r="AR139" s="37">
        <v>0</v>
      </c>
      <c r="AS139" s="4">
        <v>19</v>
      </c>
      <c r="AT139" s="9"/>
    </row>
    <row r="140" spans="37:46">
      <c r="M140" t="inlineStr">
        <is>
          <t>TE</t>
        </is>
      </c>
      <c r="N140" t="inlineStr">
        <is>
          <t>GT</t>
        </is>
      </c>
      <c r="O140" t="inlineStr">
        <is>
          <t>Q</t>
        </is>
      </c>
      <c r="P140" t="inlineStr">
        <is>
          <t>M5</t>
        </is>
      </c>
      <c r="Q140" t="inlineStr">
        <is>
          <t>GJ</t>
        </is>
      </c>
      <c r="R140" t="inlineStr">
        <is>
          <t>Q</t>
        </is>
      </c>
      <c r="S140" t="inlineStr">
        <is>
          <t>M3</t>
        </is>
      </c>
      <c r="U140">
        <f>VLOOKUP(M140, $A$4:$J$29, 9, 0)</f>
      </c>
      <c r="V140">
        <f>VLOOKUP(N140, $A$4:$J$29, 9, 0)</f>
      </c>
      <c r="W140">
        <f>VLOOKUP(O140, $A$4:$J$29, 9, 0)</f>
      </c>
      <c r="X140">
        <f>VLOOKUP(P140, $A$4:$J$29, 9, 0)</f>
      </c>
      <c r="Y140">
        <f>VLOOKUP(Q140, $A$4:$J$29, 9, 0)</f>
      </c>
      <c r="Z140">
        <f>VLOOKUP(R140, $A$4:$J$29, 9, 0)</f>
      </c>
      <c r="AA140">
        <f>VLOOKUP(S140, $A$4:$J$29, 9, 0)</f>
      </c>
      <c r="AC140">
        <v>1</v>
      </c>
      <c r="AD140">
        <v>1</v>
      </c>
      <c r="AE140">
        <v>1</v>
      </c>
      <c r="AF140">
        <v>1</v>
      </c>
      <c r="AG140">
        <v>1</v>
      </c>
      <c r="AH140">
        <v>1</v>
      </c>
      <c r="AI140">
        <v>1</v>
      </c>
      <c r="AK140" s="37" t="s">
        <v>236</v>
      </c>
      <c r="AL140" s="37">
        <v>0</v>
      </c>
      <c r="AM140" s="37">
        <v>3246</v>
      </c>
      <c r="AN140" s="37">
        <v>1116</v>
      </c>
      <c r="AO140" s="37">
        <v>1663</v>
      </c>
      <c r="AP140" s="37">
        <v>1310</v>
      </c>
      <c r="AQ140" s="37">
        <v>476</v>
      </c>
      <c r="AR140" s="37">
        <v>0</v>
      </c>
      <c r="AS140" s="4">
        <v>20</v>
      </c>
      <c r="AT140" s="9"/>
    </row>
    <row r="141" spans="37:46">
      <c r="M141" t="inlineStr">
        <is>
          <t>A</t>
        </is>
      </c>
      <c r="N141" t="inlineStr">
        <is>
          <t>TE</t>
        </is>
      </c>
      <c r="O141" t="inlineStr">
        <is>
          <t>M2</t>
        </is>
      </c>
      <c r="P141" t="inlineStr">
        <is>
          <t>M2</t>
        </is>
      </c>
      <c r="Q141" t="inlineStr">
        <is>
          <t>M3</t>
        </is>
      </c>
      <c r="R141" t="inlineStr">
        <is>
          <t>GJ</t>
        </is>
      </c>
      <c r="S141" t="inlineStr">
        <is>
          <t>A</t>
        </is>
      </c>
      <c r="U141">
        <f>VLOOKUP(M141, $A$4:$J$29, 9, 0)</f>
      </c>
      <c r="V141">
        <f>VLOOKUP(N141, $A$4:$J$29, 9, 0)</f>
      </c>
      <c r="W141">
        <f>VLOOKUP(O141, $A$4:$J$29, 9, 0)</f>
      </c>
      <c r="X141">
        <f>VLOOKUP(P141, $A$4:$J$29, 9, 0)</f>
      </c>
      <c r="Y141">
        <f>VLOOKUP(Q141, $A$4:$J$29, 9, 0)</f>
      </c>
      <c r="Z141">
        <f>VLOOKUP(R141, $A$4:$J$29, 9, 0)</f>
      </c>
      <c r="AA141">
        <f>VLOOKUP(S141, $A$4:$J$29, 9, 0)</f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1</v>
      </c>
      <c r="AI141">
        <v>1</v>
      </c>
      <c r="AK141" s="37" t="s">
        <v>238</v>
      </c>
      <c r="AL141" s="37">
        <v>0</v>
      </c>
      <c r="AM141" s="37">
        <v>2619</v>
      </c>
      <c r="AN141" s="37">
        <v>2977</v>
      </c>
      <c r="AO141" s="37">
        <v>1525</v>
      </c>
      <c r="AP141" s="37">
        <v>698</v>
      </c>
      <c r="AQ141" s="37">
        <v>288</v>
      </c>
      <c r="AR141" s="37">
        <v>0</v>
      </c>
      <c r="AS141" s="4">
        <v>21</v>
      </c>
      <c r="AT141" s="9"/>
    </row>
    <row r="142" spans="37:46">
      <c r="M142" t="inlineStr">
        <is>
          <t>TE</t>
        </is>
      </c>
      <c r="N142" t="inlineStr">
        <is>
          <t>M3</t>
        </is>
      </c>
      <c r="O142" t="inlineStr">
        <is>
          <t>M3</t>
        </is>
      </c>
      <c r="P142" t="inlineStr">
        <is>
          <t>A</t>
        </is>
      </c>
      <c r="Q142" t="inlineStr">
        <is>
          <t>M3</t>
        </is>
      </c>
      <c r="R142" t="inlineStr">
        <is>
          <t>M4</t>
        </is>
      </c>
      <c r="S142" t="inlineStr">
        <is>
          <t>M4</t>
        </is>
      </c>
      <c r="U142">
        <f>VLOOKUP(M142, $A$4:$J$29, 9, 0)</f>
      </c>
      <c r="V142">
        <f>VLOOKUP(N142, $A$4:$J$29, 9, 0)</f>
      </c>
      <c r="W142">
        <f>VLOOKUP(O142, $A$4:$J$29, 9, 0)</f>
      </c>
      <c r="X142">
        <f>VLOOKUP(P142, $A$4:$J$29, 9, 0)</f>
      </c>
      <c r="Y142">
        <f>VLOOKUP(Q142, $A$4:$J$29, 9, 0)</f>
      </c>
      <c r="Z142">
        <f>VLOOKUP(R142, $A$4:$J$29, 9, 0)</f>
      </c>
      <c r="AA142">
        <f>VLOOKUP(S142, $A$4:$J$29, 9, 0)</f>
      </c>
      <c r="AC142">
        <v>1</v>
      </c>
      <c r="AD142">
        <v>1</v>
      </c>
      <c r="AE142">
        <v>1</v>
      </c>
      <c r="AF142">
        <v>1</v>
      </c>
      <c r="AG142">
        <v>1</v>
      </c>
      <c r="AH142">
        <v>1</v>
      </c>
      <c r="AI142">
        <v>1</v>
      </c>
      <c r="AK142" s="37" t="s">
        <v>240</v>
      </c>
      <c r="AL142" s="37">
        <v>0</v>
      </c>
      <c r="AM142" s="37">
        <v>4079</v>
      </c>
      <c r="AN142" s="37">
        <v>1809</v>
      </c>
      <c r="AO142" s="37">
        <v>2180</v>
      </c>
      <c r="AP142" s="37">
        <v>1440</v>
      </c>
      <c r="AQ142" s="37">
        <v>659</v>
      </c>
      <c r="AR142" s="37">
        <v>0</v>
      </c>
      <c r="AS142" s="4">
        <v>22</v>
      </c>
      <c r="AT142" s="9"/>
    </row>
    <row r="143" spans="37:46">
      <c r="M143" t="inlineStr">
        <is>
          <t>M3</t>
        </is>
      </c>
      <c r="N143" t="inlineStr">
        <is>
          <t>M4</t>
        </is>
      </c>
      <c r="O143" t="inlineStr">
        <is>
          <t>TE</t>
        </is>
      </c>
      <c r="P143" t="inlineStr">
        <is>
          <t>G6</t>
        </is>
      </c>
      <c r="Q143" t="inlineStr">
        <is>
          <t>Q</t>
        </is>
      </c>
      <c r="R143" t="inlineStr">
        <is>
          <t>GJ</t>
        </is>
      </c>
      <c r="S143" t="inlineStr">
        <is>
          <t>M6</t>
        </is>
      </c>
      <c r="U143">
        <f>VLOOKUP(M143, $A$4:$J$29, 9, 0)</f>
      </c>
      <c r="V143">
        <f>VLOOKUP(N143, $A$4:$J$29, 9, 0)</f>
      </c>
      <c r="W143">
        <f>VLOOKUP(O143, $A$4:$J$29, 9, 0)</f>
      </c>
      <c r="X143">
        <f>VLOOKUP(P143, $A$4:$J$29, 9, 0)</f>
      </c>
      <c r="Y143">
        <f>VLOOKUP(Q143, $A$4:$J$29, 9, 0)</f>
      </c>
      <c r="Z143">
        <f>VLOOKUP(R143, $A$4:$J$29, 9, 0)</f>
      </c>
      <c r="AA143">
        <f>VLOOKUP(S143, $A$4:$J$29, 9, 0)</f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K143" s="37" t="s">
        <v>242</v>
      </c>
      <c r="AL143" s="37">
        <v>0</v>
      </c>
      <c r="AM143" s="37">
        <v>3381</v>
      </c>
      <c r="AN143" s="37">
        <v>2179</v>
      </c>
      <c r="AO143" s="37">
        <v>1775</v>
      </c>
      <c r="AP143" s="37">
        <v>1006</v>
      </c>
      <c r="AQ143" s="37">
        <v>483</v>
      </c>
      <c r="AR143" s="37">
        <v>0</v>
      </c>
      <c r="AS143" s="4">
        <v>23</v>
      </c>
      <c r="AT143" s="9"/>
    </row>
    <row r="144" spans="37:46">
      <c r="M144" t="inlineStr">
        <is>
          <t>M6</t>
        </is>
      </c>
      <c r="N144" t="inlineStr">
        <is>
          <t>M5</t>
        </is>
      </c>
      <c r="O144" t="inlineStr">
        <is>
          <t>J</t>
        </is>
      </c>
      <c r="P144" t="inlineStr">
        <is>
          <t>TE</t>
        </is>
      </c>
      <c r="Q144" t="inlineStr">
        <is>
          <t>G2</t>
        </is>
      </c>
      <c r="R144" t="inlineStr">
        <is>
          <t>TE</t>
        </is>
      </c>
      <c r="S144" t="inlineStr">
        <is>
          <t>M6</t>
        </is>
      </c>
      <c r="U144">
        <f>VLOOKUP(M144, $A$4:$J$29, 9, 0)</f>
      </c>
      <c r="V144">
        <f>VLOOKUP(N144, $A$4:$J$29, 9, 0)</f>
      </c>
      <c r="W144">
        <f>VLOOKUP(O144, $A$4:$J$29, 9, 0)</f>
      </c>
      <c r="X144">
        <f>VLOOKUP(P144, $A$4:$J$29, 9, 0)</f>
      </c>
      <c r="Y144">
        <f>VLOOKUP(Q144, $A$4:$J$29, 9, 0)</f>
      </c>
      <c r="Z144">
        <f>VLOOKUP(R144, $A$4:$J$29, 9, 0)</f>
      </c>
      <c r="AA144">
        <f>VLOOKUP(S144, $A$4:$J$29, 9, 0)</f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M145" t="inlineStr">
        <is>
          <t>K</t>
        </is>
      </c>
      <c r="N145" t="inlineStr">
        <is>
          <t>M5</t>
        </is>
      </c>
      <c r="O145" t="inlineStr">
        <is>
          <t>G2</t>
        </is>
      </c>
      <c r="P145" t="inlineStr">
        <is>
          <t>J</t>
        </is>
      </c>
      <c r="Q145" t="inlineStr">
        <is>
          <t>K</t>
        </is>
      </c>
      <c r="R145" t="inlineStr">
        <is>
          <t>GT</t>
        </is>
      </c>
      <c r="S145" t="inlineStr">
        <is>
          <t>M4</t>
        </is>
      </c>
      <c r="U145">
        <f>VLOOKUP(M145, $A$4:$J$29, 9, 0)</f>
      </c>
      <c r="V145">
        <f>VLOOKUP(N145, $A$4:$J$29, 9, 0)</f>
      </c>
      <c r="W145">
        <f>VLOOKUP(O145, $A$4:$J$29, 9, 0)</f>
      </c>
      <c r="X145">
        <f>VLOOKUP(P145, $A$4:$J$29, 9, 0)</f>
      </c>
      <c r="Y145">
        <f>VLOOKUP(Q145, $A$4:$J$29, 9, 0)</f>
      </c>
      <c r="Z145">
        <f>VLOOKUP(R145, $A$4:$J$29, 9, 0)</f>
      </c>
      <c r="AA145">
        <f>VLOOKUP(S145, $A$4:$J$29, 9, 0)</f>
      </c>
      <c r="AC145">
        <v>1</v>
      </c>
      <c r="AD145">
        <v>1</v>
      </c>
      <c r="AE145">
        <v>1</v>
      </c>
      <c r="AF145">
        <v>1</v>
      </c>
      <c r="AG145">
        <v>1</v>
      </c>
      <c r="AH145">
        <v>1</v>
      </c>
      <c r="AI145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M146" t="inlineStr">
        <is>
          <t>K</t>
        </is>
      </c>
      <c r="N146" t="inlineStr">
        <is>
          <t>Q</t>
        </is>
      </c>
      <c r="O146" t="inlineStr">
        <is>
          <t>M3</t>
        </is>
      </c>
      <c r="P146" t="inlineStr">
        <is>
          <t>A</t>
        </is>
      </c>
      <c r="Q146" t="inlineStr">
        <is>
          <t>G2</t>
        </is>
      </c>
      <c r="R146" t="inlineStr">
        <is>
          <t>M6</t>
        </is>
      </c>
      <c r="S146" t="inlineStr">
        <is>
          <t>M3</t>
        </is>
      </c>
      <c r="U146">
        <f>VLOOKUP(M146, $A$4:$J$29, 9, 0)</f>
      </c>
      <c r="V146">
        <f>VLOOKUP(N146, $A$4:$J$29, 9, 0)</f>
      </c>
      <c r="W146">
        <f>VLOOKUP(O146, $A$4:$J$29, 9, 0)</f>
      </c>
      <c r="X146">
        <f>VLOOKUP(P146, $A$4:$J$29, 9, 0)</f>
      </c>
      <c r="Y146">
        <f>VLOOKUP(Q146, $A$4:$J$29, 9, 0)</f>
      </c>
      <c r="Z146">
        <f>VLOOKUP(R146, $A$4:$J$29, 9, 0)</f>
      </c>
      <c r="AA146">
        <f>VLOOKUP(S146, $A$4:$J$29, 9, 0)</f>
      </c>
      <c r="AC146">
        <v>1</v>
      </c>
      <c r="AD146">
        <v>1</v>
      </c>
      <c r="AE146">
        <v>1</v>
      </c>
      <c r="AF146">
        <v>1</v>
      </c>
      <c r="AG146">
        <v>1</v>
      </c>
      <c r="AH146">
        <v>1</v>
      </c>
      <c r="AI146">
        <v>1</v>
      </c>
      <c r="AT146" s="9"/>
    </row>
    <row r="147" spans="37:46">
      <c r="M147" t="inlineStr">
        <is>
          <t>Q</t>
        </is>
      </c>
      <c r="N147" t="inlineStr">
        <is>
          <t>GT</t>
        </is>
      </c>
      <c r="O147" t="inlineStr">
        <is>
          <t>M6</t>
        </is>
      </c>
      <c r="P147" t="inlineStr">
        <is>
          <t>TE</t>
        </is>
      </c>
      <c r="Q147" t="inlineStr">
        <is>
          <t>TE</t>
        </is>
      </c>
      <c r="R147" t="inlineStr">
        <is>
          <t>G4</t>
        </is>
      </c>
      <c r="S147" t="inlineStr">
        <is>
          <t>J</t>
        </is>
      </c>
      <c r="U147">
        <f>VLOOKUP(M147, $A$4:$J$29, 9, 0)</f>
      </c>
      <c r="V147">
        <f>VLOOKUP(N147, $A$4:$J$29, 9, 0)</f>
      </c>
      <c r="W147">
        <f>VLOOKUP(O147, $A$4:$J$29, 9, 0)</f>
      </c>
      <c r="X147">
        <f>VLOOKUP(P147, $A$4:$J$29, 9, 0)</f>
      </c>
      <c r="Y147">
        <f>VLOOKUP(Q147, $A$4:$J$29, 9, 0)</f>
      </c>
      <c r="Z147">
        <f>VLOOKUP(R147, $A$4:$J$29, 9, 0)</f>
      </c>
      <c r="AA147">
        <f>VLOOKUP(S147, $A$4:$J$29, 9, 0)</f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O147" s="9"/>
      <c r="AP147" s="9"/>
      <c r="AQ147" s="9"/>
      <c r="AR147" s="9"/>
      <c r="AS147" s="9"/>
      <c r="AT147" s="9"/>
    </row>
    <row r="148" spans="37:46">
      <c r="M148" t="inlineStr">
        <is>
          <t>K</t>
        </is>
      </c>
      <c r="N148" t="inlineStr">
        <is>
          <t>M5</t>
        </is>
      </c>
      <c r="O148" t="inlineStr">
        <is>
          <t>Q</t>
        </is>
      </c>
      <c r="P148" t="inlineStr">
        <is>
          <t>M2</t>
        </is>
      </c>
      <c r="Q148" t="inlineStr">
        <is>
          <t>Q</t>
        </is>
      </c>
      <c r="R148" t="inlineStr">
        <is>
          <t>A</t>
        </is>
      </c>
      <c r="S148" t="inlineStr">
        <is>
          <t>TE</t>
        </is>
      </c>
      <c r="U148">
        <f>VLOOKUP(M148, $A$4:$J$29, 9, 0)</f>
      </c>
      <c r="V148">
        <f>VLOOKUP(N148, $A$4:$J$29, 9, 0)</f>
      </c>
      <c r="W148">
        <f>VLOOKUP(O148, $A$4:$J$29, 9, 0)</f>
      </c>
      <c r="X148">
        <f>VLOOKUP(P148, $A$4:$J$29, 9, 0)</f>
      </c>
      <c r="Y148">
        <f>VLOOKUP(Q148, $A$4:$J$29, 9, 0)</f>
      </c>
      <c r="Z148">
        <f>VLOOKUP(R148, $A$4:$J$29, 9, 0)</f>
      </c>
      <c r="AA148">
        <f>VLOOKUP(S148, $A$4:$J$29, 9, 0)</f>
      </c>
      <c r="AC148">
        <v>1</v>
      </c>
      <c r="AD148">
        <v>1</v>
      </c>
      <c r="AE148">
        <v>1</v>
      </c>
      <c r="AF148">
        <v>1</v>
      </c>
      <c r="AG148">
        <v>1</v>
      </c>
      <c r="AH148">
        <v>1</v>
      </c>
      <c r="AI148">
        <v>1</v>
      </c>
      <c r="AO148" s="9"/>
      <c r="AP148" s="9"/>
      <c r="AQ148" s="9"/>
      <c r="AR148" s="9"/>
      <c r="AS148" s="9"/>
      <c r="AT148" s="9"/>
    </row>
    <row r="149" spans="37:46">
      <c r="M149" t="inlineStr">
        <is>
          <t>M3</t>
        </is>
      </c>
      <c r="N149" t="inlineStr">
        <is>
          <t>M2</t>
        </is>
      </c>
      <c r="O149" t="inlineStr">
        <is>
          <t>G2</t>
        </is>
      </c>
      <c r="P149" t="inlineStr">
        <is>
          <t>M2</t>
        </is>
      </c>
      <c r="Q149" t="inlineStr">
        <is>
          <t>M2</t>
        </is>
      </c>
      <c r="R149" t="inlineStr">
        <is>
          <t>M2</t>
        </is>
      </c>
      <c r="S149" t="inlineStr">
        <is>
          <t>J</t>
        </is>
      </c>
      <c r="U149">
        <f>VLOOKUP(M149, $A$4:$J$29, 9, 0)</f>
      </c>
      <c r="V149">
        <f>VLOOKUP(N149, $A$4:$J$29, 9, 0)</f>
      </c>
      <c r="W149">
        <f>VLOOKUP(O149, $A$4:$J$29, 9, 0)</f>
      </c>
      <c r="X149">
        <f>VLOOKUP(P149, $A$4:$J$29, 9, 0)</f>
      </c>
      <c r="Y149">
        <f>VLOOKUP(Q149, $A$4:$J$29, 9, 0)</f>
      </c>
      <c r="Z149">
        <f>VLOOKUP(R149, $A$4:$J$29, 9, 0)</f>
      </c>
      <c r="AA149">
        <f>VLOOKUP(S149, $A$4:$J$29, 9, 0)</f>
      </c>
      <c r="AC149">
        <v>1</v>
      </c>
      <c r="AD149">
        <v>1</v>
      </c>
      <c r="AE149">
        <v>1</v>
      </c>
      <c r="AF149">
        <v>1</v>
      </c>
      <c r="AG149">
        <v>1</v>
      </c>
      <c r="AH149">
        <v>1</v>
      </c>
      <c r="AI149">
        <v>1</v>
      </c>
      <c r="AO149" s="9"/>
      <c r="AP149" s="9"/>
      <c r="AQ149" s="9"/>
      <c r="AR149" s="9"/>
      <c r="AS149" s="9"/>
      <c r="AT149" s="9"/>
    </row>
    <row r="150" spans="37:46">
      <c r="M150" t="inlineStr">
        <is>
          <t>Q</t>
        </is>
      </c>
      <c r="N150" t="inlineStr">
        <is>
          <t>TE</t>
        </is>
      </c>
      <c r="O150" t="inlineStr">
        <is>
          <t>GQ</t>
        </is>
      </c>
      <c r="P150" t="inlineStr">
        <is>
          <t>Q</t>
        </is>
      </c>
      <c r="Q150" t="inlineStr">
        <is>
          <t>TE</t>
        </is>
      </c>
      <c r="R150" t="inlineStr">
        <is>
          <t>M5</t>
        </is>
      </c>
      <c r="S150" t="inlineStr">
        <is>
          <t>M3</t>
        </is>
      </c>
      <c r="U150">
        <f>VLOOKUP(M150, $A$4:$J$29, 9, 0)</f>
      </c>
      <c r="V150">
        <f>VLOOKUP(N150, $A$4:$J$29, 9, 0)</f>
      </c>
      <c r="W150">
        <f>VLOOKUP(O150, $A$4:$J$29, 9, 0)</f>
      </c>
      <c r="X150">
        <f>VLOOKUP(P150, $A$4:$J$29, 9, 0)</f>
      </c>
      <c r="Y150">
        <f>VLOOKUP(Q150, $A$4:$J$29, 9, 0)</f>
      </c>
      <c r="Z150">
        <f>VLOOKUP(R150, $A$4:$J$29, 9, 0)</f>
      </c>
      <c r="AA150">
        <f>VLOOKUP(S150, $A$4:$J$29, 9, 0)</f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O150" s="9"/>
      <c r="AP150" s="9"/>
      <c r="AQ150" s="9"/>
      <c r="AR150" s="9"/>
      <c r="AS150" s="9"/>
      <c r="AT150" s="9"/>
    </row>
    <row r="151" spans="37:46">
      <c r="M151" t="inlineStr">
        <is>
          <t>TE</t>
        </is>
      </c>
      <c r="N151" t="inlineStr">
        <is>
          <t>GT</t>
        </is>
      </c>
      <c r="O151" t="inlineStr">
        <is>
          <t>M6</t>
        </is>
      </c>
      <c r="P151" t="inlineStr">
        <is>
          <t>J</t>
        </is>
      </c>
      <c r="Q151" t="inlineStr">
        <is>
          <t>Q</t>
        </is>
      </c>
      <c r="R151" t="inlineStr">
        <is>
          <t>Q</t>
        </is>
      </c>
      <c r="S151" t="inlineStr">
        <is>
          <t>M3</t>
        </is>
      </c>
      <c r="U151">
        <f>VLOOKUP(M151, $A$4:$J$29, 9, 0)</f>
      </c>
      <c r="V151">
        <f>VLOOKUP(N151, $A$4:$J$29, 9, 0)</f>
      </c>
      <c r="W151">
        <f>VLOOKUP(O151, $A$4:$J$29, 9, 0)</f>
      </c>
      <c r="X151">
        <f>VLOOKUP(P151, $A$4:$J$29, 9, 0)</f>
      </c>
      <c r="Y151">
        <f>VLOOKUP(Q151, $A$4:$J$29, 9, 0)</f>
      </c>
      <c r="Z151">
        <f>VLOOKUP(R151, $A$4:$J$29, 9, 0)</f>
      </c>
      <c r="AA151">
        <f>VLOOKUP(S151, $A$4:$J$29, 9, 0)</f>
      </c>
      <c r="AC151">
        <v>1</v>
      </c>
      <c r="AD151">
        <v>1</v>
      </c>
      <c r="AE151">
        <v>1</v>
      </c>
      <c r="AF151">
        <v>1</v>
      </c>
      <c r="AG151">
        <v>1</v>
      </c>
      <c r="AH151">
        <v>1</v>
      </c>
      <c r="AI151">
        <v>1</v>
      </c>
      <c r="AO151" s="9"/>
      <c r="AP151" s="9"/>
      <c r="AQ151" s="9"/>
      <c r="AR151" s="9"/>
      <c r="AS151" s="9"/>
      <c r="AT151" s="9"/>
    </row>
    <row r="152" spans="37:46">
      <c r="M152" t="inlineStr">
        <is>
          <t>K</t>
        </is>
      </c>
      <c r="N152" t="inlineStr">
        <is>
          <t>M5</t>
        </is>
      </c>
      <c r="O152" t="inlineStr">
        <is>
          <t>M5</t>
        </is>
      </c>
      <c r="P152" t="inlineStr">
        <is>
          <t>K</t>
        </is>
      </c>
      <c r="Q152" t="inlineStr">
        <is>
          <t>Q</t>
        </is>
      </c>
      <c r="R152" t="inlineStr">
        <is>
          <t>M2</t>
        </is>
      </c>
      <c r="S152" t="inlineStr">
        <is>
          <t>A</t>
        </is>
      </c>
      <c r="U152">
        <f>VLOOKUP(M152, $A$4:$J$29, 9, 0)</f>
      </c>
      <c r="V152">
        <f>VLOOKUP(N152, $A$4:$J$29, 9, 0)</f>
      </c>
      <c r="W152">
        <f>VLOOKUP(O152, $A$4:$J$29, 9, 0)</f>
      </c>
      <c r="X152">
        <f>VLOOKUP(P152, $A$4:$J$29, 9, 0)</f>
      </c>
      <c r="Y152">
        <f>VLOOKUP(Q152, $A$4:$J$29, 9, 0)</f>
      </c>
      <c r="Z152">
        <f>VLOOKUP(R152, $A$4:$J$29, 9, 0)</f>
      </c>
      <c r="AA152">
        <f>VLOOKUP(S152, $A$4:$J$29, 9, 0)</f>
      </c>
      <c r="AC152">
        <v>1</v>
      </c>
      <c r="AD152">
        <v>1</v>
      </c>
      <c r="AE152">
        <v>1</v>
      </c>
      <c r="AF152">
        <v>1</v>
      </c>
      <c r="AG152">
        <v>1</v>
      </c>
      <c r="AH152">
        <v>1</v>
      </c>
      <c r="AI152">
        <v>1</v>
      </c>
      <c r="AO152" s="9"/>
      <c r="AP152" s="9"/>
      <c r="AQ152" s="9"/>
      <c r="AR152" s="9"/>
      <c r="AS152" s="9"/>
      <c r="AT152" s="9"/>
    </row>
    <row r="153" spans="37:46">
      <c r="M153" t="inlineStr">
        <is>
          <t>M6</t>
        </is>
      </c>
      <c r="N153" t="inlineStr">
        <is>
          <t>K</t>
        </is>
      </c>
      <c r="O153" t="inlineStr">
        <is>
          <t>GA</t>
        </is>
      </c>
      <c r="P153" t="inlineStr">
        <is>
          <t>J</t>
        </is>
      </c>
      <c r="Q153" t="inlineStr">
        <is>
          <t>M2</t>
        </is>
      </c>
      <c r="R153" t="inlineStr">
        <is>
          <t>GK</t>
        </is>
      </c>
      <c r="S153" t="inlineStr">
        <is>
          <t>M3</t>
        </is>
      </c>
      <c r="U153">
        <f>VLOOKUP(M153, $A$4:$J$29, 9, 0)</f>
      </c>
      <c r="V153">
        <f>VLOOKUP(N153, $A$4:$J$29, 9, 0)</f>
      </c>
      <c r="W153">
        <f>VLOOKUP(O153, $A$4:$J$29, 9, 0)</f>
      </c>
      <c r="X153">
        <f>VLOOKUP(P153, $A$4:$J$29, 9, 0)</f>
      </c>
      <c r="Y153">
        <f>VLOOKUP(Q153, $A$4:$J$29, 9, 0)</f>
      </c>
      <c r="Z153">
        <f>VLOOKUP(R153, $A$4:$J$29, 9, 0)</f>
      </c>
      <c r="AA153">
        <f>VLOOKUP(S153, $A$4:$J$29, 9, 0)</f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opLeftCell="A4" zoomScaleNormal="100" workbookViewId="0">
      <selection activeCell="O4" sqref="O4:O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M6</t>
        </is>
      </c>
      <c r="O4" s="156" t="inlineStr">
        <is>
          <t>Q</t>
        </is>
      </c>
      <c r="P4" s="156" t="inlineStr">
        <is>
          <t>M5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J</t>
        </is>
      </c>
      <c r="O5" s="38" t="inlineStr">
        <is>
          <t>Q</t>
        </is>
      </c>
      <c r="P5" s="38" t="inlineStr">
        <is>
          <t>A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0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TE</t>
        </is>
      </c>
      <c r="O6" s="38" t="inlineStr">
        <is>
          <t>Q</t>
        </is>
      </c>
      <c r="P6" s="38" t="inlineStr">
        <is>
          <t>A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0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Q</t>
        </is>
      </c>
      <c r="O7" s="38" t="inlineStr">
        <is>
          <t>Q</t>
        </is>
      </c>
      <c r="P7" s="38" t="inlineStr">
        <is>
          <t>A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0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TE</t>
        </is>
      </c>
      <c r="O8" s="38" t="inlineStr">
        <is>
          <t>Q</t>
        </is>
      </c>
      <c r="P8" s="38" t="inlineStr">
        <is>
          <t>Q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0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M2</t>
        </is>
      </c>
      <c r="O9" s="38" t="inlineStr">
        <is>
          <t>Q</t>
        </is>
      </c>
      <c r="P9" s="38" t="inlineStr">
        <is>
          <t>Q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0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M2</t>
        </is>
      </c>
      <c r="O10" s="38" t="inlineStr">
        <is>
          <t>Q</t>
        </is>
      </c>
      <c r="P10" s="38" t="inlineStr">
        <is>
          <t>Q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0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M6</t>
        </is>
      </c>
      <c r="O11" s="38" t="inlineStr">
        <is>
          <t>Q</t>
        </is>
      </c>
      <c r="P11" s="38" t="inlineStr">
        <is>
          <t>TE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0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M6</t>
        </is>
      </c>
      <c r="O12" s="38" t="inlineStr">
        <is>
          <t>Q</t>
        </is>
      </c>
      <c r="P12" s="38" t="inlineStr">
        <is>
          <t>M5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0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G5</t>
        </is>
      </c>
      <c r="O13" s="38" t="inlineStr">
        <is>
          <t>Q</t>
        </is>
      </c>
      <c r="P13" s="38" t="inlineStr">
        <is>
          <t>Q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121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M5</t>
        </is>
      </c>
      <c r="O14" s="38" t="inlineStr">
        <is>
          <t>Q</t>
        </is>
      </c>
      <c r="P14" s="38" t="inlineStr">
        <is>
          <t>G5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0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TE</t>
        </is>
      </c>
      <c r="N15" s="38" t="inlineStr">
        <is>
          <t>M5</t>
        </is>
      </c>
      <c r="O15" s="38" t="inlineStr">
        <is>
          <t>Q</t>
        </is>
      </c>
      <c r="P15" s="38" t="inlineStr">
        <is>
          <t>GA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16</v>
      </c>
      <c r="E16" s="10">
        <f t="shared" si="1"/>
        <v>0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Q</t>
        </is>
      </c>
      <c r="P16" s="38" t="inlineStr">
        <is>
          <t>A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Q</t>
        </is>
      </c>
      <c r="O17" s="38" t="inlineStr">
        <is>
          <t>Q</t>
        </is>
      </c>
      <c r="P17" s="38" t="inlineStr">
        <is>
          <t>A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0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G6</t>
        </is>
      </c>
      <c r="O18" s="38" t="inlineStr">
        <is>
          <t>Q</t>
        </is>
      </c>
      <c r="P18" s="38" t="inlineStr">
        <is>
          <t>M6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M6</t>
        </is>
      </c>
      <c r="O19" s="38" t="inlineStr">
        <is>
          <t>Q</t>
        </is>
      </c>
      <c r="P19" s="38" t="inlineStr">
        <is>
          <t>G6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0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M5</t>
        </is>
      </c>
      <c r="O20" s="38" t="inlineStr">
        <is>
          <t>Q</t>
        </is>
      </c>
      <c r="P20" s="38" t="inlineStr">
        <is>
          <t>Q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M5</t>
        </is>
      </c>
      <c r="O21" s="38" t="inlineStr">
        <is>
          <t>Q</t>
        </is>
      </c>
      <c r="P21" s="38" t="inlineStr">
        <is>
          <t>G2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0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GT</t>
        </is>
      </c>
      <c r="O22" s="38" t="inlineStr">
        <is>
          <t>Q</t>
        </is>
      </c>
      <c r="P22" s="38" t="inlineStr">
        <is>
          <t>M3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0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Q</t>
        </is>
      </c>
      <c r="O23" s="38" t="inlineStr">
        <is>
          <t>Q</t>
        </is>
      </c>
      <c r="P23" s="38" t="inlineStr">
        <is>
          <t>M3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0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Q</t>
        </is>
      </c>
      <c r="O24" s="38" t="inlineStr">
        <is>
          <t>Q</t>
        </is>
      </c>
      <c r="P24" s="38" t="inlineStr">
        <is>
          <t>Q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Q</t>
        </is>
      </c>
      <c r="O25" s="38" t="inlineStr">
        <is>
          <t>Q</t>
        </is>
      </c>
      <c r="P25" s="38" t="inlineStr">
        <is>
          <t>TE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0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TE</t>
        </is>
      </c>
      <c r="O26" s="38" t="inlineStr">
        <is>
          <t>Q</t>
        </is>
      </c>
      <c r="P26" s="38" t="inlineStr">
        <is>
          <t>TE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0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Q</t>
        </is>
      </c>
      <c r="P27" s="38" t="inlineStr">
        <is>
          <t>TE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TE</t>
        </is>
      </c>
      <c r="O28" s="38" t="inlineStr">
        <is>
          <t>Q</t>
        </is>
      </c>
      <c r="P28" s="38" t="inlineStr">
        <is>
          <t>M5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M6</t>
        </is>
      </c>
      <c r="O29" s="38" t="inlineStr">
        <is>
          <t>Q</t>
        </is>
      </c>
      <c r="P29" s="38" t="inlineStr">
        <is>
          <t>M5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M6</t>
        </is>
      </c>
      <c r="O30" s="38" t="inlineStr">
        <is>
          <t>Q</t>
        </is>
      </c>
      <c r="P30" s="38" t="inlineStr">
        <is>
          <t>Q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A</t>
        </is>
      </c>
      <c r="O31" s="38" t="inlineStr">
        <is>
          <t>Q</t>
        </is>
      </c>
      <c r="P31" s="38" t="inlineStr">
        <is>
          <t>Q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A</t>
        </is>
      </c>
      <c r="O32" s="38" t="inlineStr">
        <is>
          <t>Q</t>
        </is>
      </c>
      <c r="P32" s="38" t="inlineStr">
        <is>
          <t>G3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A</t>
        </is>
      </c>
      <c r="O33" s="38" t="inlineStr">
        <is>
          <t>Q</t>
        </is>
      </c>
      <c r="P33" s="38" t="inlineStr">
        <is>
          <t>Q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J</t>
        </is>
      </c>
      <c r="O34" s="38" t="inlineStr">
        <is>
          <t>Q</t>
        </is>
      </c>
      <c r="P34" s="38" t="inlineStr">
        <is>
          <t>K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Q</t>
        </is>
      </c>
      <c r="O35" s="38" t="inlineStr">
        <is>
          <t>Q</t>
        </is>
      </c>
      <c r="P35" s="38" t="inlineStr">
        <is>
          <t>GK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</v>
      </c>
      <c r="AM35" s="154">
        <v>1</v>
      </c>
      <c r="AN35" s="154">
        <v>1</v>
      </c>
      <c r="AO35" s="154">
        <v>1</v>
      </c>
      <c r="AP35" s="154">
        <v>1</v>
      </c>
      <c r="AQ35" s="154">
        <v>1</v>
      </c>
      <c r="AR35" s="154">
        <v>0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Q</t>
        </is>
      </c>
      <c r="O36" s="38" t="inlineStr">
        <is>
          <t>Q</t>
        </is>
      </c>
      <c r="P36" s="38" t="inlineStr">
        <is>
          <t>A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M5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1</v>
      </c>
      <c r="AM36" s="154">
        <v>70</v>
      </c>
      <c r="AN36" s="154">
        <v>1</v>
      </c>
      <c r="AO36" s="154">
        <v>70</v>
      </c>
      <c r="AP36" s="154">
        <v>1</v>
      </c>
      <c r="AQ36" s="154">
        <v>1</v>
      </c>
      <c r="AR36" s="154">
        <v>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Q</t>
        </is>
      </c>
      <c r="O37" s="38" t="inlineStr">
        <is>
          <t>Q</t>
        </is>
      </c>
      <c r="P37" s="38" t="inlineStr">
        <is>
          <t>Q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</v>
      </c>
      <c r="AM37" s="154">
        <v>1</v>
      </c>
      <c r="AN37" s="154">
        <v>5</v>
      </c>
      <c r="AO37" s="154">
        <v>1</v>
      </c>
      <c r="AP37" s="154">
        <v>1</v>
      </c>
      <c r="AQ37" s="154">
        <v>70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M5</t>
        </is>
      </c>
      <c r="O38" s="38" t="inlineStr">
        <is>
          <t>Q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</v>
      </c>
      <c r="AM38" s="154">
        <v>70</v>
      </c>
      <c r="AN38" s="154">
        <v>1</v>
      </c>
      <c r="AO38" s="154">
        <v>1</v>
      </c>
      <c r="AP38" s="154">
        <v>1</v>
      </c>
      <c r="AQ38" s="154">
        <v>70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GK</t>
        </is>
      </c>
      <c r="O39" s="38" t="inlineStr">
        <is>
          <t>Q</t>
        </is>
      </c>
      <c r="P39" s="38" t="inlineStr">
        <is>
          <t>M5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</v>
      </c>
      <c r="AM39" s="154">
        <v>1</v>
      </c>
      <c r="AN39" s="154">
        <v>70</v>
      </c>
      <c r="AO39" s="154">
        <v>1</v>
      </c>
      <c r="AP39" s="154">
        <v>70</v>
      </c>
      <c r="AQ39" s="154">
        <v>1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inlineStr">
        <is>
          <t>TE</t>
        </is>
      </c>
      <c r="N40" s="37" t="inlineStr">
        <is>
          <t>TE</t>
        </is>
      </c>
      <c r="O40" s="195" t="inlineStr">
        <is>
          <t>Q</t>
        </is>
      </c>
      <c r="P40" s="37" t="inlineStr">
        <is>
          <t>M5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1</v>
      </c>
      <c r="AM40" s="154">
        <v>70</v>
      </c>
      <c r="AN40" s="154">
        <v>1</v>
      </c>
      <c r="AO40" s="154">
        <v>1</v>
      </c>
      <c r="AP40" s="154">
        <v>1</v>
      </c>
      <c r="AQ40" s="154">
        <v>70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TE</t>
        </is>
      </c>
      <c r="O41" s="38" t="inlineStr">
        <is>
          <t>Q</t>
        </is>
      </c>
      <c r="P41" s="38" t="inlineStr">
        <is>
          <t>M5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</v>
      </c>
      <c r="AM41" s="37">
        <v>1</v>
      </c>
      <c r="AN41" s="37">
        <v>1</v>
      </c>
      <c r="AO41" s="37">
        <v>1</v>
      </c>
      <c r="AP41" s="37">
        <v>70</v>
      </c>
      <c r="AQ41" s="37">
        <v>1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TE</t>
        </is>
      </c>
      <c r="O42" s="38" t="inlineStr">
        <is>
          <t>Q</t>
        </is>
      </c>
      <c r="P42" s="38" t="inlineStr">
        <is>
          <t>Q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</v>
      </c>
      <c r="AM42" s="37">
        <v>1</v>
      </c>
      <c r="AN42" s="37">
        <v>1</v>
      </c>
      <c r="AO42" s="37">
        <v>70</v>
      </c>
      <c r="AP42" s="37">
        <v>1</v>
      </c>
      <c r="AQ42" s="37">
        <v>70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GA</t>
        </is>
      </c>
      <c r="O43" s="38" t="inlineStr">
        <is>
          <t>Q</t>
        </is>
      </c>
      <c r="P43" s="38" t="inlineStr">
        <is>
          <t>M5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</v>
      </c>
      <c r="AM43" s="37">
        <v>1</v>
      </c>
      <c r="AN43" s="37">
        <v>5</v>
      </c>
      <c r="AO43" s="37">
        <v>1</v>
      </c>
      <c r="AP43" s="37">
        <v>1</v>
      </c>
      <c r="AQ43" s="37">
        <v>1</v>
      </c>
      <c r="AR43" s="37">
        <v>3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A</t>
        </is>
      </c>
      <c r="O44" s="38" t="inlineStr">
        <is>
          <t>Q</t>
        </is>
      </c>
      <c r="P44" s="38" t="inlineStr">
        <is>
          <t>TE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</v>
      </c>
      <c r="AM44" s="37">
        <v>70</v>
      </c>
      <c r="AN44" s="37">
        <v>1</v>
      </c>
      <c r="AO44" s="37">
        <v>1</v>
      </c>
      <c r="AP44" s="37">
        <v>1</v>
      </c>
      <c r="AQ44" s="37">
        <v>1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A</t>
        </is>
      </c>
      <c r="O45" s="38" t="inlineStr">
        <is>
          <t>Q</t>
        </is>
      </c>
      <c r="P45" s="38" t="inlineStr">
        <is>
          <t>TE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70</v>
      </c>
      <c r="AM45" s="37">
        <v>1</v>
      </c>
      <c r="AN45" s="37">
        <v>1</v>
      </c>
      <c r="AO45" s="37">
        <v>1</v>
      </c>
      <c r="AP45" s="37">
        <v>1</v>
      </c>
      <c r="AQ45" s="37">
        <v>1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M2</t>
        </is>
      </c>
      <c r="O46" s="38" t="inlineStr">
        <is>
          <t>Q</t>
        </is>
      </c>
      <c r="P46" s="38" t="inlineStr">
        <is>
          <t>TE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0</v>
      </c>
      <c r="AN46" s="154">
        <v>0</v>
      </c>
      <c r="AO46" s="154">
        <v>0</v>
      </c>
      <c r="AP46" s="154">
        <v>0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M2</t>
        </is>
      </c>
      <c r="O47" s="38" t="inlineStr">
        <is>
          <t>Q</t>
        </is>
      </c>
      <c r="P47" s="38" t="inlineStr">
        <is>
          <t>Q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1</v>
      </c>
      <c r="AN47" s="154">
        <v>1</v>
      </c>
      <c r="AO47" s="154">
        <v>1</v>
      </c>
      <c r="AP47" s="154">
        <v>1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G4</t>
        </is>
      </c>
      <c r="O48" s="38" t="inlineStr">
        <is>
          <t>Q</t>
        </is>
      </c>
      <c r="P48" s="38" t="inlineStr">
        <is>
          <t>Q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</v>
      </c>
      <c r="AN48" s="154">
        <v>1</v>
      </c>
      <c r="AO48" s="154">
        <v>1</v>
      </c>
      <c r="AP48" s="154">
        <v>1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Q</t>
        </is>
      </c>
      <c r="O49" s="38" t="inlineStr">
        <is>
          <t>Q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1</v>
      </c>
      <c r="AN49" s="154">
        <v>1</v>
      </c>
      <c r="AO49" s="154">
        <v>1</v>
      </c>
      <c r="AP49" s="154">
        <v>1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A</t>
        </is>
      </c>
      <c r="O50" s="38" t="inlineStr">
        <is>
          <t>Q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</v>
      </c>
      <c r="AN50" s="154">
        <v>1</v>
      </c>
      <c r="AO50" s="154">
        <v>1</v>
      </c>
      <c r="AP50" s="154">
        <v>2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</v>
      </c>
      <c r="AN51" s="154">
        <v>1</v>
      </c>
      <c r="AO51" s="154">
        <v>1</v>
      </c>
      <c r="AP51" s="154">
        <v>1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1</v>
      </c>
      <c r="AN52" s="37">
        <v>1</v>
      </c>
      <c r="AO52" s="37">
        <v>1</v>
      </c>
      <c r="AP52" s="37">
        <v>1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M5</t>
        </is>
      </c>
      <c r="O53" s="38" t="inlineStr">
        <is>
          <t>Q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</v>
      </c>
      <c r="AN53" s="37">
        <v>1</v>
      </c>
      <c r="AO53" s="37">
        <v>1</v>
      </c>
      <c r="AP53" s="37">
        <v>1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M5</t>
        </is>
      </c>
      <c r="O54" s="38" t="inlineStr">
        <is>
          <t>Q</t>
        </is>
      </c>
      <c r="P54" s="38" t="inlineStr">
        <is>
          <t>M3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</v>
      </c>
      <c r="AN54" s="37">
        <v>1</v>
      </c>
      <c r="AO54" s="37">
        <v>1</v>
      </c>
      <c r="AP54" s="37">
        <v>1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G5</t>
        </is>
      </c>
      <c r="O55" s="38" t="inlineStr">
        <is>
          <t>Q</t>
        </is>
      </c>
      <c r="P55" s="38" t="inlineStr">
        <is>
          <t>M3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1</v>
      </c>
      <c r="AN55" s="37">
        <v>1</v>
      </c>
      <c r="AO55" s="37">
        <v>1</v>
      </c>
      <c r="AP55" s="37">
        <v>1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Q</t>
        </is>
      </c>
      <c r="O56" s="38" t="inlineStr">
        <is>
          <t>Q</t>
        </is>
      </c>
      <c r="P56" s="38" t="inlineStr">
        <is>
          <t>J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</v>
      </c>
      <c r="AN56" s="37">
        <v>1</v>
      </c>
      <c r="AO56" s="37">
        <v>1</v>
      </c>
      <c r="AP56" s="37">
        <v>1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Q</t>
        </is>
      </c>
      <c r="O57" s="38" t="inlineStr">
        <is>
          <t>Q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TE</t>
        </is>
      </c>
      <c r="O58" s="38" t="inlineStr">
        <is>
          <t>Q</t>
        </is>
      </c>
      <c r="P58" s="38" t="inlineStr">
        <is>
          <t>M5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2</v>
      </c>
      <c r="AK58" s="154" t="s">
        <v>256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J</t>
        </is>
      </c>
      <c r="O59" s="38" t="inlineStr">
        <is>
          <t>Q</t>
        </is>
      </c>
      <c r="P59" s="38" t="inlineStr">
        <is>
          <t>M5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J</t>
        </is>
      </c>
      <c r="O60" s="38" t="inlineStr">
        <is>
          <t>Q</t>
        </is>
      </c>
      <c r="P60" s="38" t="inlineStr">
        <is>
          <t>G5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Q</t>
        </is>
      </c>
      <c r="O61" s="38" t="inlineStr">
        <is>
          <t>Q</t>
        </is>
      </c>
      <c r="P61" s="38" t="inlineStr">
        <is>
          <t>M4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G2</t>
        </is>
      </c>
      <c r="O62" s="38" t="inlineStr">
        <is>
          <t>Q</t>
        </is>
      </c>
      <c r="P62" s="38" t="inlineStr">
        <is>
          <t>A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M5</t>
        </is>
      </c>
      <c r="O63" s="38" t="inlineStr">
        <is>
          <t>Q</t>
        </is>
      </c>
      <c r="P63" s="38" t="inlineStr">
        <is>
          <t>M3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G5</t>
        </is>
      </c>
      <c r="O64" s="38" t="inlineStr">
        <is>
          <t>Q</t>
        </is>
      </c>
      <c r="P64" s="38" t="inlineStr">
        <is>
          <t>M3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</v>
      </c>
      <c r="AM64" s="154">
        <v>1</v>
      </c>
      <c r="AN64" s="154">
        <v>1</v>
      </c>
      <c r="AO64" s="154">
        <v>1</v>
      </c>
      <c r="AP64" s="154">
        <v>1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M3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70</v>
      </c>
      <c r="AN65" s="154">
        <v>1</v>
      </c>
      <c r="AO65" s="154">
        <v>70</v>
      </c>
      <c r="AP65" s="154">
        <v>1</v>
      </c>
      <c r="AQ65" s="154">
        <v>1</v>
      </c>
      <c r="AR65" s="154">
        <v>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A</t>
        </is>
      </c>
      <c r="O66" s="38" t="inlineStr">
        <is>
          <t>Q</t>
        </is>
      </c>
      <c r="P66" s="38" t="inlineStr">
        <is>
          <t>Q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</v>
      </c>
      <c r="AM66" s="154">
        <v>1</v>
      </c>
      <c r="AN66" s="154">
        <v>5</v>
      </c>
      <c r="AO66" s="154">
        <v>1</v>
      </c>
      <c r="AP66" s="154">
        <v>1</v>
      </c>
      <c r="AQ66" s="154">
        <v>70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100</v>
      </c>
      <c r="L67" s="14">
        <v>63</v>
      </c>
      <c r="M67" s="38" t="inlineStr">
        <is>
          <t>TE</t>
        </is>
      </c>
      <c r="N67" s="38" t="inlineStr">
        <is>
          <t>M5</t>
        </is>
      </c>
      <c r="O67" s="38" t="inlineStr">
        <is>
          <t>Q</t>
        </is>
      </c>
      <c r="P67" s="38" t="inlineStr">
        <is>
          <t>Q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70</v>
      </c>
      <c r="AN67" s="154">
        <v>1</v>
      </c>
      <c r="AO67" s="154">
        <v>1</v>
      </c>
      <c r="AP67" s="154">
        <v>1</v>
      </c>
      <c r="AQ67" s="154">
        <v>70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inlineStr">
        <is>
          <t>M3</t>
        </is>
      </c>
      <c r="N68" s="38" t="inlineStr">
        <is>
          <t>Q</t>
        </is>
      </c>
      <c r="O68" s="38" t="inlineStr">
        <is>
          <t>Q</t>
        </is>
      </c>
      <c r="P68" s="38" t="inlineStr">
        <is>
          <t>TE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5</v>
      </c>
      <c r="AM68" s="154">
        <v>1</v>
      </c>
      <c r="AN68" s="154">
        <v>70</v>
      </c>
      <c r="AO68" s="154">
        <v>1</v>
      </c>
      <c r="AP68" s="154">
        <v>70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Q</t>
        </is>
      </c>
      <c r="N69" s="38" t="inlineStr">
        <is>
          <t>Q</t>
        </is>
      </c>
      <c r="O69" s="38" t="inlineStr">
        <is>
          <t>Q</t>
        </is>
      </c>
      <c r="P69" s="38" t="inlineStr">
        <is>
          <t>TE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70</v>
      </c>
      <c r="AN69" s="154">
        <v>1</v>
      </c>
      <c r="AO69" s="154">
        <v>1</v>
      </c>
      <c r="AP69" s="154">
        <v>1</v>
      </c>
      <c r="AQ69" s="154">
        <v>70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inlineStr">
        <is>
          <t>Q</t>
        </is>
      </c>
      <c r="N70" s="38" t="inlineStr">
        <is>
          <t>TE</t>
        </is>
      </c>
      <c r="O70" s="38" t="inlineStr">
        <is>
          <t>Q</t>
        </is>
      </c>
      <c r="P70" s="38" t="inlineStr">
        <is>
          <t>TE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70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5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Q</t>
        </is>
      </c>
      <c r="P71" s="38" t="inlineStr">
        <is>
          <t>K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1</v>
      </c>
      <c r="AN71" s="37">
        <v>1</v>
      </c>
      <c r="AO71" s="37">
        <v>70</v>
      </c>
      <c r="AP71" s="37">
        <v>1</v>
      </c>
      <c r="AQ71" s="37">
        <v>70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Q</t>
        </is>
      </c>
      <c r="O72" s="38" t="inlineStr">
        <is>
          <t>Q</t>
        </is>
      </c>
      <c r="P72" s="38" t="inlineStr">
        <is>
          <t>G5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</v>
      </c>
      <c r="AM72" s="37">
        <v>1</v>
      </c>
      <c r="AN72" s="37">
        <v>5</v>
      </c>
      <c r="AO72" s="37">
        <v>1</v>
      </c>
      <c r="AP72" s="37">
        <v>1</v>
      </c>
      <c r="AQ72" s="37">
        <v>1</v>
      </c>
      <c r="AR72" s="37">
        <v>3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Q</t>
        </is>
      </c>
      <c r="O73" s="38" t="inlineStr">
        <is>
          <t>Q</t>
        </is>
      </c>
      <c r="P73" s="38" t="inlineStr">
        <is>
          <t>M5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70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GJ</t>
        </is>
      </c>
      <c r="O74" s="38" t="inlineStr">
        <is>
          <t>Q</t>
        </is>
      </c>
      <c r="P74" s="38" t="inlineStr">
        <is>
          <t>M5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70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J</t>
        </is>
      </c>
      <c r="O75" s="38" t="inlineStr">
        <is>
          <t>Q</t>
        </is>
      </c>
      <c r="P75" s="38" t="inlineStr">
        <is>
          <t>A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0</v>
      </c>
      <c r="AN75" s="154">
        <v>0</v>
      </c>
      <c r="AO75" s="154">
        <v>0</v>
      </c>
      <c r="AP75" s="154">
        <v>0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G6</t>
        </is>
      </c>
      <c r="O76" s="38" t="inlineStr">
        <is>
          <t>Q</t>
        </is>
      </c>
      <c r="P76" s="38" t="inlineStr">
        <is>
          <t>M5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1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A</t>
        </is>
      </c>
      <c r="O77" s="38" t="inlineStr">
        <is>
          <t>Q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1</v>
      </c>
      <c r="AN77" s="154">
        <v>1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MY</t>
        </is>
      </c>
      <c r="O78" s="38" t="inlineStr">
        <is>
          <t>Q</t>
        </is>
      </c>
      <c r="P78" s="38" t="inlineStr">
        <is>
          <t>J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MY</t>
        </is>
      </c>
      <c r="O79" s="38" t="inlineStr">
        <is>
          <t>Q</t>
        </is>
      </c>
      <c r="P79" s="38" t="inlineStr">
        <is>
          <t>GJ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1</v>
      </c>
      <c r="AN79" s="154">
        <v>1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M6</t>
        </is>
      </c>
      <c r="O80" s="38" t="inlineStr">
        <is>
          <t>Q</t>
        </is>
      </c>
      <c r="P80" s="38" t="inlineStr">
        <is>
          <t>TE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1</v>
      </c>
      <c r="AN80" s="154">
        <v>1</v>
      </c>
      <c r="AO80" s="154">
        <v>1</v>
      </c>
      <c r="AP80" s="154">
        <v>1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M6</t>
        </is>
      </c>
      <c r="O81" s="38" t="inlineStr">
        <is>
          <t>Q</t>
        </is>
      </c>
      <c r="P81" s="38" t="inlineStr">
        <is>
          <t>TE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1</v>
      </c>
      <c r="AN81" s="37">
        <v>1</v>
      </c>
      <c r="AO81" s="37">
        <v>1</v>
      </c>
      <c r="AP81" s="37">
        <v>1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M2</t>
        </is>
      </c>
      <c r="O82" s="38" t="inlineStr">
        <is>
          <t>Q</t>
        </is>
      </c>
      <c r="P82" s="38" t="inlineStr">
        <is>
          <t>A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</v>
      </c>
      <c r="AN82" s="37">
        <v>1</v>
      </c>
      <c r="AO82" s="37">
        <v>1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M2</t>
        </is>
      </c>
      <c r="O83" s="38" t="inlineStr">
        <is>
          <t>Q</t>
        </is>
      </c>
      <c r="P83" s="38" t="inlineStr">
        <is>
          <t>G4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</v>
      </c>
      <c r="AN83" s="37">
        <v>1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K</t>
        </is>
      </c>
      <c r="O84" s="38" t="inlineStr">
        <is>
          <t>Q</t>
        </is>
      </c>
      <c r="P84" s="38" t="inlineStr">
        <is>
          <t>M4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K</t>
        </is>
      </c>
      <c r="O85" s="38" t="inlineStr">
        <is>
          <t>Q</t>
        </is>
      </c>
      <c r="P85" s="38" t="inlineStr">
        <is>
          <t>M5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Q</t>
        </is>
      </c>
      <c r="O86" s="38" t="inlineStr">
        <is>
          <t>Q</t>
        </is>
      </c>
      <c r="P86" s="38" t="inlineStr">
        <is>
          <t>Q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Q</t>
        </is>
      </c>
      <c r="O87" s="38" t="inlineStr">
        <is>
          <t>Q</t>
        </is>
      </c>
      <c r="P87" s="38" t="inlineStr">
        <is>
          <t>M4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3</v>
      </c>
      <c r="AK87" s="154" t="s">
        <v>256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M5</t>
        </is>
      </c>
      <c r="O88" s="38" t="inlineStr">
        <is>
          <t>Q</t>
        </is>
      </c>
      <c r="P88" s="38" t="inlineStr">
        <is>
          <t>Q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A</t>
        </is>
      </c>
      <c r="O89" s="38" t="inlineStr">
        <is>
          <t>Q</t>
        </is>
      </c>
      <c r="P89" s="38" t="inlineStr">
        <is>
          <t>Q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TE</t>
        </is>
      </c>
      <c r="O90" s="38" t="inlineStr">
        <is>
          <t>Q</t>
        </is>
      </c>
      <c r="P90" s="38" t="inlineStr">
        <is>
          <t>Q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TE</t>
        </is>
      </c>
      <c r="O91" s="38" t="inlineStr">
        <is>
          <t>Q</t>
        </is>
      </c>
      <c r="P91" s="38" t="inlineStr">
        <is>
          <t>TE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M3</t>
        </is>
      </c>
      <c r="O92" s="38" t="inlineStr">
        <is>
          <t>Q</t>
        </is>
      </c>
      <c r="P92" s="38" t="inlineStr">
        <is>
          <t>TE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M2</t>
        </is>
      </c>
      <c r="O93" s="38" t="inlineStr">
        <is>
          <t>Q</t>
        </is>
      </c>
      <c r="P93" s="38" t="inlineStr">
        <is>
          <t>TE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</v>
      </c>
      <c r="AM93" s="154">
        <v>1</v>
      </c>
      <c r="AN93" s="154">
        <v>1</v>
      </c>
      <c r="AO93" s="154">
        <v>1</v>
      </c>
      <c r="AP93" s="154">
        <v>1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M2</t>
        </is>
      </c>
      <c r="O94" s="38" t="inlineStr">
        <is>
          <t>Q</t>
        </is>
      </c>
      <c r="P94" s="38" t="inlineStr">
        <is>
          <t>M5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70</v>
      </c>
      <c r="AN94" s="154">
        <v>1</v>
      </c>
      <c r="AO94" s="154">
        <v>70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A</t>
        </is>
      </c>
      <c r="O95" s="38" t="inlineStr">
        <is>
          <t>Q</t>
        </is>
      </c>
      <c r="P95" s="38" t="inlineStr">
        <is>
          <t>M5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1</v>
      </c>
      <c r="AM95" s="154">
        <v>1</v>
      </c>
      <c r="AN95" s="154">
        <v>5</v>
      </c>
      <c r="AO95" s="154">
        <v>1</v>
      </c>
      <c r="AP95" s="154">
        <v>1</v>
      </c>
      <c r="AQ95" s="154">
        <v>70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M5</t>
        </is>
      </c>
      <c r="O96" s="38" t="inlineStr">
        <is>
          <t>Q</t>
        </is>
      </c>
      <c r="P96" s="38" t="inlineStr">
        <is>
          <t>M5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70</v>
      </c>
      <c r="AN96" s="154">
        <v>1</v>
      </c>
      <c r="AO96" s="154">
        <v>1</v>
      </c>
      <c r="AP96" s="154">
        <v>1</v>
      </c>
      <c r="AQ96" s="154">
        <v>70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M4</t>
        </is>
      </c>
      <c r="O97" s="38" t="inlineStr">
        <is>
          <t>Q</t>
        </is>
      </c>
      <c r="P97" s="38" t="inlineStr">
        <is>
          <t>TE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5</v>
      </c>
      <c r="AM97" s="154">
        <v>1</v>
      </c>
      <c r="AN97" s="154">
        <v>70</v>
      </c>
      <c r="AO97" s="154">
        <v>1</v>
      </c>
      <c r="AP97" s="154">
        <v>70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G2</t>
        </is>
      </c>
      <c r="O98" s="38" t="inlineStr">
        <is>
          <t>Q</t>
        </is>
      </c>
      <c r="P98" s="38" t="inlineStr">
        <is>
          <t>TE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70</v>
      </c>
      <c r="AN98" s="154">
        <v>1</v>
      </c>
      <c r="AO98" s="154">
        <v>1</v>
      </c>
      <c r="AP98" s="154">
        <v>1</v>
      </c>
      <c r="AQ98" s="154">
        <v>70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M5</t>
        </is>
      </c>
      <c r="O99" s="38" t="inlineStr">
        <is>
          <t>Q</t>
        </is>
      </c>
      <c r="P99" s="38" t="inlineStr">
        <is>
          <t>G6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</v>
      </c>
      <c r="AM99" s="37">
        <v>1</v>
      </c>
      <c r="AN99" s="37">
        <v>1</v>
      </c>
      <c r="AO99" s="37">
        <v>1</v>
      </c>
      <c r="AP99" s="37">
        <v>70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M5</t>
        </is>
      </c>
      <c r="O100" s="38" t="inlineStr">
        <is>
          <t>Q</t>
        </is>
      </c>
      <c r="P100" s="38" t="inlineStr">
        <is>
          <t>M6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70</v>
      </c>
      <c r="AP100" s="37">
        <v>1</v>
      </c>
      <c r="AQ100" s="37">
        <v>70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M2</t>
        </is>
      </c>
      <c r="O101" s="38" t="inlineStr">
        <is>
          <t>Q</t>
        </is>
      </c>
      <c r="P101" s="38" t="inlineStr">
        <is>
          <t>M6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</v>
      </c>
      <c r="AM101" s="37">
        <v>1</v>
      </c>
      <c r="AN101" s="37">
        <v>5</v>
      </c>
      <c r="AO101" s="37">
        <v>1</v>
      </c>
      <c r="AP101" s="37">
        <v>1</v>
      </c>
      <c r="AQ101" s="37">
        <v>1</v>
      </c>
      <c r="AR101" s="37">
        <v>3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M6</t>
        </is>
      </c>
      <c r="O102" s="38" t="inlineStr">
        <is>
          <t>Q</t>
        </is>
      </c>
      <c r="P102" s="38" t="inlineStr">
        <is>
          <t>Q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70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G6</t>
        </is>
      </c>
      <c r="O103" s="38" t="inlineStr">
        <is>
          <t>Q</t>
        </is>
      </c>
      <c r="P103" s="38" t="inlineStr">
        <is>
          <t>Q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70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M5</t>
        </is>
      </c>
      <c r="O104" s="38" t="inlineStr">
        <is>
          <t>Q</t>
        </is>
      </c>
      <c r="P104" s="38" t="inlineStr">
        <is>
          <t>GQ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0</v>
      </c>
      <c r="AN104" s="154">
        <v>0</v>
      </c>
      <c r="AO104" s="154">
        <v>0</v>
      </c>
      <c r="AP104" s="154">
        <v>0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MY</t>
        </is>
      </c>
      <c r="O105" s="38" t="inlineStr">
        <is>
          <t>Q</t>
        </is>
      </c>
      <c r="P105" s="38" t="inlineStr">
        <is>
          <t>M5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GM</t>
        </is>
      </c>
      <c r="O106" s="38" t="inlineStr">
        <is>
          <t>Q</t>
        </is>
      </c>
      <c r="P106" s="38" t="inlineStr">
        <is>
          <t>A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M5</t>
        </is>
      </c>
      <c r="O107" s="38" t="inlineStr">
        <is>
          <t>Q</t>
        </is>
      </c>
      <c r="P107" s="38" t="inlineStr">
        <is>
          <t>Q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M5</t>
        </is>
      </c>
      <c r="O108" s="38" t="inlineStr">
        <is>
          <t>Q</t>
        </is>
      </c>
      <c r="P108" s="38" t="inlineStr">
        <is>
          <t>Q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1</v>
      </c>
      <c r="AN108" s="154">
        <v>1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TE</t>
        </is>
      </c>
      <c r="O109" s="38" t="inlineStr">
        <is>
          <t>Q</t>
        </is>
      </c>
      <c r="P109" s="38" t="inlineStr">
        <is>
          <t>M3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1</v>
      </c>
      <c r="AN109" s="154">
        <v>1</v>
      </c>
      <c r="AO109" s="154">
        <v>1</v>
      </c>
      <c r="AP109" s="154">
        <v>1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Q</t>
        </is>
      </c>
      <c r="O110" s="38" t="inlineStr">
        <is>
          <t>Q</t>
        </is>
      </c>
      <c r="P110" s="38" t="inlineStr">
        <is>
          <t>M5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</v>
      </c>
      <c r="AN110" s="37">
        <v>1</v>
      </c>
      <c r="AO110" s="37">
        <v>1</v>
      </c>
      <c r="AP110" s="37">
        <v>1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Q</t>
        </is>
      </c>
      <c r="O111" s="38" t="inlineStr">
        <is>
          <t>Q</t>
        </is>
      </c>
      <c r="P111" s="38" t="inlineStr">
        <is>
          <t>J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</v>
      </c>
      <c r="AN111" s="37">
        <v>1</v>
      </c>
      <c r="AO111" s="37">
        <v>1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M2</t>
        </is>
      </c>
      <c r="O112" s="38" t="inlineStr">
        <is>
          <t>Q</t>
        </is>
      </c>
      <c r="P112" s="38" t="inlineStr">
        <is>
          <t>TE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1</v>
      </c>
      <c r="AN112" s="37">
        <v>1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A</t>
        </is>
      </c>
      <c r="O113" s="38" t="inlineStr">
        <is>
          <t>Q</t>
        </is>
      </c>
      <c r="P113" s="38" t="inlineStr">
        <is>
          <t>M5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M5</t>
        </is>
      </c>
      <c r="O114" s="38" t="inlineStr">
        <is>
          <t>Q</t>
        </is>
      </c>
      <c r="P114" s="38" t="inlineStr">
        <is>
          <t>M5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Q</t>
        </is>
      </c>
      <c r="O115" s="38" t="inlineStr">
        <is>
          <t>Q</t>
        </is>
      </c>
      <c r="P115" s="38" t="inlineStr">
        <is>
          <t>K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Q</t>
        </is>
      </c>
      <c r="O116" s="38" t="inlineStr">
        <is>
          <t>Q</t>
        </is>
      </c>
      <c r="P116" s="38" t="inlineStr">
        <is>
          <t>GT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M2</t>
        </is>
      </c>
      <c r="O117" s="38" t="inlineStr">
        <is>
          <t>Q</t>
        </is>
      </c>
      <c r="P117" s="38" t="inlineStr">
        <is>
          <t>J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M2</t>
        </is>
      </c>
      <c r="O118" s="38" t="inlineStr">
        <is>
          <t>Q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M6</t>
        </is>
      </c>
      <c r="O119" s="38" t="inlineStr">
        <is>
          <t>Q</t>
        </is>
      </c>
      <c r="P119" s="38" t="inlineStr">
        <is>
          <t>G5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TE</t>
        </is>
      </c>
      <c r="O120" s="38" t="inlineStr">
        <is>
          <t>Q</t>
        </is>
      </c>
      <c r="P120" s="38" t="inlineStr">
        <is>
          <t>M5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TE</t>
        </is>
      </c>
      <c r="O121" s="38" t="inlineStr">
        <is>
          <t>Q</t>
        </is>
      </c>
      <c r="P121" s="38" t="inlineStr">
        <is>
          <t>Q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GQ</t>
        </is>
      </c>
      <c r="O122" s="38" t="inlineStr">
        <is>
          <t>Q</t>
        </is>
      </c>
      <c r="P122" s="38" t="inlineStr">
        <is>
          <t>Q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Q</t>
        </is>
      </c>
      <c r="O123" s="38" t="inlineStr">
        <is>
          <t>Q</t>
        </is>
      </c>
      <c r="P123" s="38" t="inlineStr">
        <is>
          <t>M5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TE</t>
        </is>
      </c>
      <c r="O124" s="38" t="inlineStr">
        <is>
          <t>Q</t>
        </is>
      </c>
      <c r="P124" s="38" t="inlineStr">
        <is>
          <t>M5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256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opLeftCell="A4" zoomScaleNormal="100" workbookViewId="0">
      <selection activeCell="P4" sqref="P4:P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M4</t>
        </is>
      </c>
      <c r="N4" s="156" t="inlineStr">
        <is>
          <t>Q</t>
        </is>
      </c>
      <c r="O4" s="156" t="inlineStr">
        <is>
          <t>J</t>
        </is>
      </c>
      <c r="P4" s="156" t="inlineStr">
        <is>
          <t>A</t>
        </is>
      </c>
      <c r="Q4" s="156" t="inlineStr">
        <is>
          <t>GQ</t>
        </is>
      </c>
      <c r="R4" s="156" t="inlineStr">
        <is>
          <t>C1</t>
        </is>
      </c>
      <c r="S4" s="157" t="inlineStr">
        <is>
          <t>M3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J</t>
        </is>
      </c>
      <c r="N5" s="38" t="inlineStr">
        <is>
          <t>GA</t>
        </is>
      </c>
      <c r="O5" s="38" t="inlineStr">
        <is>
          <t>M6</t>
        </is>
      </c>
      <c r="P5" s="38" t="inlineStr">
        <is>
          <t>K</t>
        </is>
      </c>
      <c r="Q5" s="38" t="inlineStr">
        <is>
          <t>K</t>
        </is>
      </c>
      <c r="R5" s="38" t="inlineStr">
        <is>
          <t>K</t>
        </is>
      </c>
      <c r="S5" s="24" t="inlineStr">
        <is>
          <t>TE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2</v>
      </c>
      <c r="D6" s="153">
        <f t="shared" si="1"/>
        <v>2</v>
      </c>
      <c r="E6" s="153">
        <f t="shared" si="1"/>
        <v>2</v>
      </c>
      <c r="F6" s="153">
        <f t="shared" si="1"/>
        <v>0</v>
      </c>
      <c r="G6" s="153">
        <f t="shared" si="1"/>
        <v>2</v>
      </c>
      <c r="H6" s="153">
        <f t="shared" si="1"/>
        <v>4</v>
      </c>
      <c r="I6" s="153">
        <f t="shared" si="1"/>
        <v>6</v>
      </c>
      <c r="J6" s="151">
        <v>2</v>
      </c>
      <c r="L6" s="15">
        <v>2</v>
      </c>
      <c r="M6" s="38" t="inlineStr">
        <is>
          <t>M4</t>
        </is>
      </c>
      <c r="N6" s="38" t="inlineStr">
        <is>
          <t>J</t>
        </is>
      </c>
      <c r="O6" s="38" t="inlineStr">
        <is>
          <t>M4</t>
        </is>
      </c>
      <c r="P6" s="38" t="inlineStr">
        <is>
          <t>GA</t>
        </is>
      </c>
      <c r="Q6" s="38" t="inlineStr">
        <is>
          <t>M4</t>
        </is>
      </c>
      <c r="R6" s="38" t="inlineStr">
        <is>
          <t>A</t>
        </is>
      </c>
      <c r="S6" s="24" t="inlineStr">
        <is>
          <t>K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6058</v>
      </c>
      <c r="AN6" s="154">
        <v>4974</v>
      </c>
      <c r="AO6" s="154">
        <v>43123</v>
      </c>
      <c r="AP6" s="154">
        <v>17088</v>
      </c>
      <c r="AQ6" s="154">
        <v>0</v>
      </c>
      <c r="AR6" s="154">
        <v>136359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3</v>
      </c>
      <c r="D7" s="153">
        <f t="shared" si="1"/>
        <v>10</v>
      </c>
      <c r="E7" s="153">
        <f t="shared" si="1"/>
        <v>7</v>
      </c>
      <c r="F7" s="153">
        <f t="shared" si="1"/>
        <v>0</v>
      </c>
      <c r="G7" s="153">
        <f t="shared" si="1"/>
        <v>8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M6</t>
        </is>
      </c>
      <c r="N7" s="38" t="inlineStr">
        <is>
          <t>M5</t>
        </is>
      </c>
      <c r="O7" s="38" t="inlineStr">
        <is>
          <t>M1</t>
        </is>
      </c>
      <c r="P7" s="38" t="inlineStr">
        <is>
          <t>TE</t>
        </is>
      </c>
      <c r="Q7" s="38" t="inlineStr">
        <is>
          <t>M6</t>
        </is>
      </c>
      <c r="R7" s="38" t="inlineStr">
        <is>
          <t>M5</t>
        </is>
      </c>
      <c r="S7" s="24" t="inlineStr">
        <is>
          <t>M1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18173</v>
      </c>
      <c r="AN7" s="154">
        <v>18477</v>
      </c>
      <c r="AO7" s="154">
        <v>18866</v>
      </c>
      <c r="AP7" s="154">
        <v>17088</v>
      </c>
      <c r="AQ7" s="154">
        <v>0</v>
      </c>
      <c r="AR7" s="154">
        <v>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3</v>
      </c>
      <c r="E8" s="153">
        <f t="shared" si="1"/>
        <v>3</v>
      </c>
      <c r="F8" s="153">
        <f t="shared" si="1"/>
        <v>0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TE</t>
        </is>
      </c>
      <c r="Q8" s="38" t="inlineStr">
        <is>
          <t>TE</t>
        </is>
      </c>
      <c r="R8" s="38" t="inlineStr">
        <is>
          <t>A</t>
        </is>
      </c>
      <c r="S8" s="24" t="inlineStr">
        <is>
          <t>TE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37212</v>
      </c>
      <c r="AN8" s="154">
        <v>62536</v>
      </c>
      <c r="AO8" s="154">
        <v>26952</v>
      </c>
      <c r="AP8" s="154">
        <v>22783</v>
      </c>
      <c r="AQ8" s="154">
        <v>15867</v>
      </c>
      <c r="AR8" s="154">
        <v>90912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6</v>
      </c>
      <c r="E9" s="153">
        <f t="shared" si="1"/>
        <v>14</v>
      </c>
      <c r="F9" s="153">
        <f t="shared" si="1"/>
        <v>0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M4</t>
        </is>
      </c>
      <c r="N9" s="38" t="inlineStr">
        <is>
          <t>M6</t>
        </is>
      </c>
      <c r="O9" s="38" t="inlineStr">
        <is>
          <t>Q</t>
        </is>
      </c>
      <c r="P9" s="38" t="inlineStr">
        <is>
          <t>M5</t>
        </is>
      </c>
      <c r="Q9" s="38" t="inlineStr">
        <is>
          <t>M2</t>
        </is>
      </c>
      <c r="R9" s="38" t="inlineStr">
        <is>
          <t>M2</t>
        </is>
      </c>
      <c r="S9" s="24" t="inlineStr">
        <is>
          <t>TE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146251</v>
      </c>
      <c r="AN9" s="154">
        <v>29136</v>
      </c>
      <c r="AO9" s="154">
        <v>35037</v>
      </c>
      <c r="AP9" s="154">
        <v>142395</v>
      </c>
      <c r="AQ9" s="154">
        <v>31733</v>
      </c>
      <c r="AR9" s="154">
        <v>68189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12</v>
      </c>
      <c r="E10" s="153">
        <f t="shared" si="1"/>
        <v>5</v>
      </c>
      <c r="F10" s="153">
        <f t="shared" si="1"/>
        <v>0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J</t>
        </is>
      </c>
      <c r="N10" s="38" t="inlineStr">
        <is>
          <t>M5</t>
        </is>
      </c>
      <c r="O10" s="38" t="inlineStr">
        <is>
          <t>M4</t>
        </is>
      </c>
      <c r="P10" s="38" t="inlineStr">
        <is>
          <t>A</t>
        </is>
      </c>
      <c r="Q10" s="38" t="inlineStr">
        <is>
          <t>M6</t>
        </is>
      </c>
      <c r="R10" s="38" t="inlineStr">
        <is>
          <t>Q</t>
        </is>
      </c>
      <c r="S10" s="24" t="inlineStr">
        <is>
          <t>M5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32020</v>
      </c>
      <c r="AN10" s="154">
        <v>122230</v>
      </c>
      <c r="AO10" s="154">
        <v>202138</v>
      </c>
      <c r="AP10" s="154">
        <v>11392</v>
      </c>
      <c r="AQ10" s="154">
        <v>158665</v>
      </c>
      <c r="AR10" s="154">
        <v>159083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10</v>
      </c>
      <c r="F11" s="153">
        <f t="shared" si="1"/>
        <v>0</v>
      </c>
      <c r="G11" s="153">
        <f t="shared" si="1"/>
        <v>27</v>
      </c>
      <c r="H11" s="153">
        <f t="shared" si="1"/>
        <v>3</v>
      </c>
      <c r="I11" s="153">
        <f t="shared" si="1"/>
        <v>5</v>
      </c>
      <c r="J11" s="151">
        <v>7</v>
      </c>
      <c r="L11" s="14">
        <v>7</v>
      </c>
      <c r="M11" s="38" t="inlineStr">
        <is>
          <t>M5</t>
        </is>
      </c>
      <c r="N11" s="38" t="inlineStr">
        <is>
          <t>TE</t>
        </is>
      </c>
      <c r="O11" s="38" t="inlineStr">
        <is>
          <t>J</t>
        </is>
      </c>
      <c r="P11" s="38" t="inlineStr">
        <is>
          <t>M5</t>
        </is>
      </c>
      <c r="Q11" s="38" t="inlineStr">
        <is>
          <t>TE</t>
        </is>
      </c>
      <c r="R11" s="38" t="inlineStr">
        <is>
          <t>A</t>
        </is>
      </c>
      <c r="S11" s="24" t="inlineStr">
        <is>
          <t>M1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158367</v>
      </c>
      <c r="AN11" s="154">
        <v>75327</v>
      </c>
      <c r="AO11" s="154">
        <v>18866</v>
      </c>
      <c r="AP11" s="154">
        <v>250615</v>
      </c>
      <c r="AQ11" s="154">
        <v>47599</v>
      </c>
      <c r="AR11" s="154">
        <v>30304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8</v>
      </c>
      <c r="D12" s="10">
        <f t="shared" si="1"/>
        <v>12</v>
      </c>
      <c r="E12" s="10">
        <f t="shared" si="1"/>
        <v>11</v>
      </c>
      <c r="F12" s="10">
        <f t="shared" si="1"/>
        <v>0</v>
      </c>
      <c r="G12" s="10">
        <f t="shared" si="1"/>
        <v>2</v>
      </c>
      <c r="H12" s="10">
        <f t="shared" si="1"/>
        <v>27</v>
      </c>
      <c r="I12" s="10">
        <f t="shared" si="1"/>
        <v>8</v>
      </c>
      <c r="J12" s="4">
        <v>8</v>
      </c>
      <c r="L12" s="15">
        <v>8</v>
      </c>
      <c r="M12" s="38" t="inlineStr">
        <is>
          <t>K</t>
        </is>
      </c>
      <c r="N12" s="38" t="inlineStr">
        <is>
          <t>A</t>
        </is>
      </c>
      <c r="O12" s="38" t="inlineStr">
        <is>
          <t>M6</t>
        </is>
      </c>
      <c r="P12" s="38" t="inlineStr">
        <is>
          <t>M5</t>
        </is>
      </c>
      <c r="Q12" s="38" t="inlineStr">
        <is>
          <t>GK</t>
        </is>
      </c>
      <c r="R12" s="38" t="inlineStr">
        <is>
          <t>M6</t>
        </is>
      </c>
      <c r="S12" s="24" t="inlineStr">
        <is>
          <t>TE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64904</v>
      </c>
      <c r="AN12" s="37">
        <v>184055</v>
      </c>
      <c r="AO12" s="37">
        <v>199443</v>
      </c>
      <c r="AP12" s="37">
        <v>28479</v>
      </c>
      <c r="AQ12" s="37">
        <v>253864</v>
      </c>
      <c r="AR12" s="37">
        <v>37885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17</v>
      </c>
      <c r="D13" s="10">
        <f t="shared" si="1"/>
        <v>2</v>
      </c>
      <c r="E13" s="10">
        <f t="shared" si="1"/>
        <v>18</v>
      </c>
      <c r="F13" s="10">
        <f t="shared" si="1"/>
        <v>0</v>
      </c>
      <c r="G13" s="10">
        <f t="shared" si="1"/>
        <v>16</v>
      </c>
      <c r="H13" s="10">
        <f t="shared" si="1"/>
        <v>6</v>
      </c>
      <c r="I13" s="10">
        <f t="shared" si="1"/>
        <v>7</v>
      </c>
      <c r="J13" s="4">
        <v>9</v>
      </c>
      <c r="L13" s="14">
        <v>9</v>
      </c>
      <c r="M13" s="38" t="inlineStr">
        <is>
          <t>M6</t>
        </is>
      </c>
      <c r="N13" s="38" t="inlineStr">
        <is>
          <t>Q</t>
        </is>
      </c>
      <c r="O13" s="38" t="inlineStr">
        <is>
          <t>A</t>
        </is>
      </c>
      <c r="P13" s="38" t="inlineStr">
        <is>
          <t>Q</t>
        </is>
      </c>
      <c r="Q13" s="38" t="inlineStr">
        <is>
          <t>Q</t>
        </is>
      </c>
      <c r="R13" s="38" t="inlineStr">
        <is>
          <t>M4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109905</v>
      </c>
      <c r="AN13" s="37">
        <v>38374</v>
      </c>
      <c r="AO13" s="37">
        <v>48513</v>
      </c>
      <c r="AP13" s="37">
        <v>176570</v>
      </c>
      <c r="AQ13" s="37">
        <v>15866</v>
      </c>
      <c r="AR13" s="37">
        <v>37885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23</v>
      </c>
      <c r="E14" s="10">
        <f t="shared" si="1"/>
        <v>2</v>
      </c>
      <c r="F14" s="10">
        <f t="shared" si="1"/>
        <v>0</v>
      </c>
      <c r="G14" s="10">
        <f t="shared" si="1"/>
        <v>7</v>
      </c>
      <c r="H14" s="10">
        <f t="shared" si="1"/>
        <v>22</v>
      </c>
      <c r="I14" s="10">
        <f t="shared" si="1"/>
        <v>11</v>
      </c>
      <c r="J14" s="4">
        <v>10</v>
      </c>
      <c r="L14" s="15">
        <v>10</v>
      </c>
      <c r="M14" s="38" t="inlineStr">
        <is>
          <t>Q</t>
        </is>
      </c>
      <c r="N14" s="38" t="inlineStr">
        <is>
          <t>Q</t>
        </is>
      </c>
      <c r="O14" s="38" t="inlineStr">
        <is>
          <t>TE</t>
        </is>
      </c>
      <c r="P14" s="38" t="inlineStr">
        <is>
          <t>A</t>
        </is>
      </c>
      <c r="Q14" s="38" t="inlineStr">
        <is>
          <t>J</t>
        </is>
      </c>
      <c r="R14" s="38" t="inlineStr">
        <is>
          <t>J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118558</v>
      </c>
      <c r="AN14" s="37">
        <v>151366</v>
      </c>
      <c r="AO14" s="37">
        <v>159015</v>
      </c>
      <c r="AP14" s="37">
        <v>28479</v>
      </c>
      <c r="AQ14" s="37">
        <v>206264</v>
      </c>
      <c r="AR14" s="37">
        <v>83332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17</v>
      </c>
      <c r="D15" s="10">
        <f t="shared" si="1"/>
        <v>5</v>
      </c>
      <c r="E15" s="10">
        <f t="shared" si="1"/>
        <v>29</v>
      </c>
      <c r="F15" s="10">
        <f t="shared" si="1"/>
        <v>121</v>
      </c>
      <c r="G15" s="10">
        <f t="shared" si="1"/>
        <v>19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M4</t>
        </is>
      </c>
      <c r="N15" s="38" t="inlineStr">
        <is>
          <t>M2</t>
        </is>
      </c>
      <c r="O15" s="38" t="inlineStr">
        <is>
          <t>A</t>
        </is>
      </c>
      <c r="P15" s="38" t="inlineStr">
        <is>
          <t>A</t>
        </is>
      </c>
      <c r="Q15" s="38" t="inlineStr">
        <is>
          <t>A</t>
        </is>
      </c>
      <c r="R15" s="38" t="inlineStr">
        <is>
          <t>M6</t>
        </is>
      </c>
      <c r="S15" s="24" t="inlineStr">
        <is>
          <t>M5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130674</v>
      </c>
      <c r="AN15" s="37">
        <v>112991</v>
      </c>
      <c r="AO15" s="37">
        <v>43123</v>
      </c>
      <c r="AP15" s="37">
        <v>205048</v>
      </c>
      <c r="AQ15" s="37">
        <v>47599</v>
      </c>
      <c r="AR15" s="37">
        <v>45447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26</v>
      </c>
      <c r="D16" s="10">
        <f t="shared" si="1"/>
        <v>15</v>
      </c>
      <c r="E16" s="10">
        <f t="shared" si="1"/>
        <v>5</v>
      </c>
      <c r="F16" s="10">
        <f t="shared" si="1"/>
        <v>0</v>
      </c>
      <c r="G16" s="10">
        <f t="shared" si="1"/>
        <v>5</v>
      </c>
      <c r="H16" s="10">
        <f t="shared" si="1"/>
        <v>20</v>
      </c>
      <c r="I16" s="10">
        <f t="shared" si="1"/>
        <v>16</v>
      </c>
      <c r="J16" s="4">
        <v>12</v>
      </c>
      <c r="L16" s="15">
        <v>12</v>
      </c>
      <c r="M16" s="38" t="inlineStr">
        <is>
          <t>K</t>
        </is>
      </c>
      <c r="N16" s="38" t="inlineStr">
        <is>
          <t>TE</t>
        </is>
      </c>
      <c r="O16" s="38" t="inlineStr">
        <is>
          <t>M6</t>
        </is>
      </c>
      <c r="P16" s="38" t="inlineStr">
        <is>
          <t>Q</t>
        </is>
      </c>
      <c r="Q16" s="38" t="inlineStr">
        <is>
          <t>M4</t>
        </is>
      </c>
      <c r="R16" s="38" t="inlineStr">
        <is>
          <t>M6</t>
        </is>
      </c>
      <c r="S16" s="24" t="inlineStr">
        <is>
          <t>Q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145385</v>
      </c>
      <c r="AN16" s="37">
        <v>159893</v>
      </c>
      <c r="AO16" s="37">
        <v>161710</v>
      </c>
      <c r="AP16" s="37">
        <v>34175</v>
      </c>
      <c r="AQ16" s="37">
        <v>206264</v>
      </c>
      <c r="AR16" s="37">
        <v>310604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J</t>
        </is>
      </c>
      <c r="N17" s="38" t="inlineStr">
        <is>
          <t>Q</t>
        </is>
      </c>
      <c r="O17" s="38" t="inlineStr">
        <is>
          <t>M3</t>
        </is>
      </c>
      <c r="P17" s="38" t="inlineStr">
        <is>
          <t>M5</t>
        </is>
      </c>
      <c r="Q17" s="38" t="inlineStr">
        <is>
          <t>G6</t>
        </is>
      </c>
      <c r="R17" s="38" t="inlineStr">
        <is>
          <t>M4</t>
        </is>
      </c>
      <c r="S17" s="24" t="inlineStr">
        <is>
          <t>M6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77</v>
      </c>
      <c r="AN17" s="154">
        <v>80</v>
      </c>
      <c r="AO17" s="154">
        <v>355</v>
      </c>
      <c r="AP17" s="154">
        <v>55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0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J</t>
        </is>
      </c>
      <c r="N18" s="38" t="inlineStr">
        <is>
          <t>A</t>
        </is>
      </c>
      <c r="O18" s="38" t="inlineStr">
        <is>
          <t>M4</t>
        </is>
      </c>
      <c r="P18" s="38" t="inlineStr">
        <is>
          <t>TE</t>
        </is>
      </c>
      <c r="Q18" s="38" t="inlineStr">
        <is>
          <t>TE</t>
        </is>
      </c>
      <c r="R18" s="38" t="inlineStr">
        <is>
          <t>M5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232</v>
      </c>
      <c r="AN18" s="154">
        <v>296</v>
      </c>
      <c r="AO18" s="154">
        <v>156</v>
      </c>
      <c r="AP18" s="154">
        <v>55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1</v>
      </c>
      <c r="E19" s="153">
        <f t="shared" si="1"/>
        <v>1</v>
      </c>
      <c r="F19" s="153">
        <f t="shared" si="1"/>
        <v>0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M6</t>
        </is>
      </c>
      <c r="N19" s="38" t="inlineStr">
        <is>
          <t>A</t>
        </is>
      </c>
      <c r="O19" s="38" t="inlineStr">
        <is>
          <t>M6</t>
        </is>
      </c>
      <c r="P19" s="38" t="inlineStr">
        <is>
          <t>A</t>
        </is>
      </c>
      <c r="Q19" s="38" t="inlineStr">
        <is>
          <t>A</t>
        </is>
      </c>
      <c r="R19" s="38" t="inlineStr">
        <is>
          <t>Q</t>
        </is>
      </c>
      <c r="S19" s="24" t="inlineStr">
        <is>
          <t>TE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474</v>
      </c>
      <c r="AN19" s="154">
        <v>1002</v>
      </c>
      <c r="AO19" s="154">
        <v>222</v>
      </c>
      <c r="AP19" s="154">
        <v>74</v>
      </c>
      <c r="AQ19" s="154">
        <v>7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1</v>
      </c>
      <c r="F20" s="153">
        <f t="shared" ref="F20:F29" si="5">COUNTIF(P$4:P$304,$A20)</f>
        <v>0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Q</t>
        </is>
      </c>
      <c r="N20" s="38" t="inlineStr">
        <is>
          <t>Q</t>
        </is>
      </c>
      <c r="O20" s="38" t="inlineStr">
        <is>
          <t>Q</t>
        </is>
      </c>
      <c r="P20" s="38" t="inlineStr">
        <is>
          <t>A</t>
        </is>
      </c>
      <c r="Q20" s="38" t="inlineStr">
        <is>
          <t>M5</t>
        </is>
      </c>
      <c r="R20" s="38" t="inlineStr">
        <is>
          <t>J</t>
        </is>
      </c>
      <c r="S20" s="24" t="inlineStr">
        <is>
          <t>M1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1865</v>
      </c>
      <c r="AN20" s="154">
        <v>467</v>
      </c>
      <c r="AO20" s="154">
        <v>289</v>
      </c>
      <c r="AP20" s="154">
        <v>462</v>
      </c>
      <c r="AQ20" s="154">
        <v>13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3</v>
      </c>
      <c r="F21" s="153">
        <f t="shared" si="5"/>
        <v>0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J</t>
        </is>
      </c>
      <c r="N21" s="38" t="inlineStr">
        <is>
          <t>J</t>
        </is>
      </c>
      <c r="O21" s="38" t="inlineStr">
        <is>
          <t>M2</t>
        </is>
      </c>
      <c r="P21" s="38" t="inlineStr">
        <is>
          <t>A</t>
        </is>
      </c>
      <c r="Q21" s="38" t="inlineStr">
        <is>
          <t>J</t>
        </is>
      </c>
      <c r="R21" s="38" t="inlineStr">
        <is>
          <t>A</t>
        </is>
      </c>
      <c r="S21" s="24" t="inlineStr">
        <is>
          <t>M1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408</v>
      </c>
      <c r="AN21" s="154">
        <v>1958</v>
      </c>
      <c r="AO21" s="154">
        <v>1666</v>
      </c>
      <c r="AP21" s="154">
        <v>37</v>
      </c>
      <c r="AQ21" s="154">
        <v>65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2</v>
      </c>
      <c r="F22" s="153">
        <f t="shared" si="5"/>
        <v>0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K</t>
        </is>
      </c>
      <c r="N22" s="38" t="inlineStr">
        <is>
          <t>M5</t>
        </is>
      </c>
      <c r="O22" s="38" t="inlineStr">
        <is>
          <t>K</t>
        </is>
      </c>
      <c r="P22" s="38" t="inlineStr">
        <is>
          <t>A</t>
        </is>
      </c>
      <c r="Q22" s="38" t="inlineStr">
        <is>
          <t>J</t>
        </is>
      </c>
      <c r="R22" s="38" t="inlineStr">
        <is>
          <t>M1</t>
        </is>
      </c>
      <c r="S22" s="38" t="inlineStr">
        <is>
          <t>M1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2019</v>
      </c>
      <c r="AN22" s="154">
        <v>1207</v>
      </c>
      <c r="AO22" s="154">
        <v>156</v>
      </c>
      <c r="AP22" s="154">
        <v>814</v>
      </c>
      <c r="AQ22" s="154">
        <v>20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1</v>
      </c>
      <c r="F23" s="10">
        <f t="shared" si="5"/>
        <v>0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K</t>
        </is>
      </c>
      <c r="N23" s="38" t="inlineStr">
        <is>
          <t>GK</t>
        </is>
      </c>
      <c r="O23" s="38" t="inlineStr">
        <is>
          <t>K</t>
        </is>
      </c>
      <c r="P23" s="38" t="inlineStr">
        <is>
          <t>J</t>
        </is>
      </c>
      <c r="Q23" s="38" t="inlineStr">
        <is>
          <t>M4</t>
        </is>
      </c>
      <c r="R23" s="38" t="inlineStr">
        <is>
          <t>M4</t>
        </is>
      </c>
      <c r="S23" s="24" t="inlineStr">
        <is>
          <t>M5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828</v>
      </c>
      <c r="AN23" s="37">
        <v>2949</v>
      </c>
      <c r="AO23" s="37">
        <v>1644</v>
      </c>
      <c r="AP23" s="37">
        <v>92</v>
      </c>
      <c r="AQ23" s="37">
        <v>104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0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M6</t>
        </is>
      </c>
      <c r="N24" s="38" t="inlineStr">
        <is>
          <t>M5</t>
        </is>
      </c>
      <c r="O24" s="38" t="inlineStr">
        <is>
          <t>M2</t>
        </is>
      </c>
      <c r="P24" s="38" t="inlineStr">
        <is>
          <t>K</t>
        </is>
      </c>
      <c r="Q24" s="38" t="inlineStr">
        <is>
          <t>K</t>
        </is>
      </c>
      <c r="R24" s="38" t="inlineStr">
        <is>
          <t>GA</t>
        </is>
      </c>
      <c r="S24" s="24" t="inlineStr">
        <is>
          <t>J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1401</v>
      </c>
      <c r="AN24" s="37">
        <v>615</v>
      </c>
      <c r="AO24" s="37">
        <v>400</v>
      </c>
      <c r="AP24" s="37">
        <v>573</v>
      </c>
      <c r="AQ24" s="37">
        <v>7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0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M4</t>
        </is>
      </c>
      <c r="N25" s="38" t="inlineStr">
        <is>
          <t>M2</t>
        </is>
      </c>
      <c r="O25" s="38" t="inlineStr">
        <is>
          <t>K</t>
        </is>
      </c>
      <c r="P25" s="38" t="inlineStr">
        <is>
          <t>M3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M1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1512</v>
      </c>
      <c r="AN25" s="37">
        <v>2425</v>
      </c>
      <c r="AO25" s="37">
        <v>1311</v>
      </c>
      <c r="AP25" s="37">
        <v>92</v>
      </c>
      <c r="AQ25" s="37">
        <v>85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J</t>
        </is>
      </c>
      <c r="N26" s="38" t="inlineStr">
        <is>
          <t>TE</t>
        </is>
      </c>
      <c r="O26" s="38" t="inlineStr">
        <is>
          <t>GK</t>
        </is>
      </c>
      <c r="P26" s="38" t="inlineStr">
        <is>
          <t>TE</t>
        </is>
      </c>
      <c r="Q26" s="38" t="inlineStr">
        <is>
          <t>M4</t>
        </is>
      </c>
      <c r="R26" s="38" t="inlineStr">
        <is>
          <t>GQ</t>
        </is>
      </c>
      <c r="S26" s="24" t="inlineStr">
        <is>
          <t>TE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1666</v>
      </c>
      <c r="AN26" s="37">
        <v>1810</v>
      </c>
      <c r="AO26" s="37">
        <v>355</v>
      </c>
      <c r="AP26" s="37">
        <v>666</v>
      </c>
      <c r="AQ26" s="37">
        <v>20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0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K</t>
        </is>
      </c>
      <c r="P27" s="38" t="inlineStr">
        <is>
          <t>A</t>
        </is>
      </c>
      <c r="Q27" s="38" t="inlineStr">
        <is>
          <t>A</t>
        </is>
      </c>
      <c r="R27" s="38" t="inlineStr">
        <is>
          <t>Q</t>
        </is>
      </c>
      <c r="S27" s="24" t="inlineStr">
        <is>
          <t>A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1854</v>
      </c>
      <c r="AN27" s="37">
        <v>2561</v>
      </c>
      <c r="AO27" s="37">
        <v>1333</v>
      </c>
      <c r="AP27" s="37">
        <v>111</v>
      </c>
      <c r="AQ27" s="37">
        <v>85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2</v>
      </c>
      <c r="D28" s="153">
        <f t="shared" si="3"/>
        <v>5</v>
      </c>
      <c r="E28" s="153">
        <f t="shared" si="4"/>
        <v>2</v>
      </c>
      <c r="F28" s="153">
        <f t="shared" si="5"/>
        <v>0</v>
      </c>
      <c r="G28" s="153">
        <f t="shared" si="6"/>
        <v>2</v>
      </c>
      <c r="H28" s="153">
        <f t="shared" si="7"/>
        <v>2</v>
      </c>
      <c r="I28" s="153">
        <f t="shared" si="8"/>
        <v>3</v>
      </c>
      <c r="J28" s="151">
        <v>24</v>
      </c>
      <c r="L28" s="15">
        <v>24</v>
      </c>
      <c r="M28" s="38" t="inlineStr">
        <is>
          <t>K</t>
        </is>
      </c>
      <c r="N28" s="38" t="inlineStr">
        <is>
          <t>M1</t>
        </is>
      </c>
      <c r="O28" s="38" t="inlineStr">
        <is>
          <t>G6</t>
        </is>
      </c>
      <c r="P28" s="38" t="inlineStr">
        <is>
          <t>M5</t>
        </is>
      </c>
      <c r="Q28" s="38" t="inlineStr">
        <is>
          <t>GJ</t>
        </is>
      </c>
      <c r="R28" s="38" t="inlineStr">
        <is>
          <t>M4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M5</t>
        </is>
      </c>
      <c r="O29" s="38" t="inlineStr">
        <is>
          <t>K</t>
        </is>
      </c>
      <c r="P29" s="38" t="inlineStr">
        <is>
          <t>GK</t>
        </is>
      </c>
      <c r="Q29" s="38" t="inlineStr">
        <is>
          <t>J</t>
        </is>
      </c>
      <c r="R29" s="38" t="inlineStr">
        <is>
          <t>M5</t>
        </is>
      </c>
      <c r="S29" s="24" t="inlineStr">
        <is>
          <t>Q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K</t>
        </is>
      </c>
      <c r="N30" s="38" t="inlineStr">
        <is>
          <t>TE</t>
        </is>
      </c>
      <c r="O30" s="38" t="inlineStr">
        <is>
          <t>M3</t>
        </is>
      </c>
      <c r="P30" s="38" t="inlineStr">
        <is>
          <t>M2</t>
        </is>
      </c>
      <c r="Q30" s="38" t="inlineStr">
        <is>
          <t>J</t>
        </is>
      </c>
      <c r="R30" s="38" t="inlineStr">
        <is>
          <t>M5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C1</t>
        </is>
      </c>
      <c r="N31" s="38" t="inlineStr">
        <is>
          <t>TE</t>
        </is>
      </c>
      <c r="O31" s="38" t="inlineStr">
        <is>
          <t>A</t>
        </is>
      </c>
      <c r="P31" s="38" t="inlineStr">
        <is>
          <t>M3</t>
        </is>
      </c>
      <c r="Q31" s="38" t="inlineStr">
        <is>
          <t>K</t>
        </is>
      </c>
      <c r="R31" s="38" t="inlineStr">
        <is>
          <t>M6</t>
        </is>
      </c>
      <c r="S31" s="24" t="inlineStr">
        <is>
          <t>M5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K</t>
        </is>
      </c>
      <c r="N32" s="38" t="inlineStr">
        <is>
          <t>J</t>
        </is>
      </c>
      <c r="O32" s="38" t="inlineStr">
        <is>
          <t>K</t>
        </is>
      </c>
      <c r="P32" s="38" t="inlineStr">
        <is>
          <t>Q</t>
        </is>
      </c>
      <c r="Q32" s="38" t="inlineStr">
        <is>
          <t>GJ</t>
        </is>
      </c>
      <c r="R32" s="38" t="inlineStr">
        <is>
          <t>J</t>
        </is>
      </c>
      <c r="S32" s="24" t="inlineStr">
        <is>
          <t>TE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J</t>
        </is>
      </c>
      <c r="N33" s="38" t="inlineStr">
        <is>
          <t>Q</t>
        </is>
      </c>
      <c r="O33" s="38" t="inlineStr">
        <is>
          <t>M6</t>
        </is>
      </c>
      <c r="P33" s="38" t="inlineStr">
        <is>
          <t>Q</t>
        </is>
      </c>
      <c r="Q33" s="38" t="inlineStr">
        <is>
          <t>M2</t>
        </is>
      </c>
      <c r="R33" s="38" t="inlineStr">
        <is>
          <t>M5</t>
        </is>
      </c>
      <c r="S33" s="24" t="inlineStr">
        <is>
          <t>Q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K</t>
        </is>
      </c>
      <c r="N34" s="38" t="inlineStr">
        <is>
          <t>M4</t>
        </is>
      </c>
      <c r="O34" s="38" t="inlineStr">
        <is>
          <t>K</t>
        </is>
      </c>
      <c r="P34" s="38" t="inlineStr">
        <is>
          <t>Q</t>
        </is>
      </c>
      <c r="Q34" s="38" t="inlineStr">
        <is>
          <t>GQ</t>
        </is>
      </c>
      <c r="R34" s="38" t="inlineStr">
        <is>
          <t>J</t>
        </is>
      </c>
      <c r="S34" s="38" t="inlineStr">
        <is>
          <t>TE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J</t>
        </is>
      </c>
      <c r="N35" s="38" t="inlineStr">
        <is>
          <t>M5</t>
        </is>
      </c>
      <c r="O35" s="38" t="inlineStr">
        <is>
          <t>J</t>
        </is>
      </c>
      <c r="P35" s="38" t="inlineStr">
        <is>
          <t>M4</t>
        </is>
      </c>
      <c r="Q35" s="38" t="inlineStr">
        <is>
          <t>J</t>
        </is>
      </c>
      <c r="R35" s="38" t="inlineStr">
        <is>
          <t>M6</t>
        </is>
      </c>
      <c r="S35" s="24" t="inlineStr">
        <is>
          <t>TE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6058</v>
      </c>
      <c r="AN35" s="154">
        <v>4974</v>
      </c>
      <c r="AO35" s="154">
        <v>43123</v>
      </c>
      <c r="AP35" s="154">
        <v>17088</v>
      </c>
      <c r="AQ35" s="154">
        <v>0</v>
      </c>
      <c r="AR35" s="154">
        <v>136359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K</t>
        </is>
      </c>
      <c r="N36" s="38" t="inlineStr">
        <is>
          <t>K</t>
        </is>
      </c>
      <c r="O36" s="38" t="inlineStr">
        <is>
          <t>TE</t>
        </is>
      </c>
      <c r="P36" s="38" t="inlineStr">
        <is>
          <t>Q</t>
        </is>
      </c>
      <c r="Q36" s="38" t="inlineStr">
        <is>
          <t>TE</t>
        </is>
      </c>
      <c r="R36" s="38" t="inlineStr">
        <is>
          <t>M6</t>
        </is>
      </c>
      <c r="S36" s="24" t="inlineStr">
        <is>
          <t>K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18173</v>
      </c>
      <c r="AN36" s="154">
        <v>18477</v>
      </c>
      <c r="AO36" s="154">
        <v>18866</v>
      </c>
      <c r="AP36" s="154">
        <v>17088</v>
      </c>
      <c r="AQ36" s="154">
        <v>0</v>
      </c>
      <c r="AR36" s="154">
        <v>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M6</t>
        </is>
      </c>
      <c r="N37" s="38" t="inlineStr">
        <is>
          <t>M5</t>
        </is>
      </c>
      <c r="O37" s="38" t="inlineStr">
        <is>
          <t>GA</t>
        </is>
      </c>
      <c r="P37" s="38" t="inlineStr">
        <is>
          <t>A</t>
        </is>
      </c>
      <c r="Q37" s="38" t="inlineStr">
        <is>
          <t>M5</t>
        </is>
      </c>
      <c r="R37" s="38" t="inlineStr">
        <is>
          <t>Q</t>
        </is>
      </c>
      <c r="S37" s="24" t="inlineStr">
        <is>
          <t>TE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37212</v>
      </c>
      <c r="AN37" s="154">
        <v>62536</v>
      </c>
      <c r="AO37" s="154">
        <v>26952</v>
      </c>
      <c r="AP37" s="154">
        <v>22783</v>
      </c>
      <c r="AQ37" s="154">
        <v>15867</v>
      </c>
      <c r="AR37" s="154">
        <v>90912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C1</t>
        </is>
      </c>
      <c r="N38" s="38" t="inlineStr">
        <is>
          <t>GT</t>
        </is>
      </c>
      <c r="O38" s="38" t="inlineStr">
        <is>
          <t>Q</t>
        </is>
      </c>
      <c r="P38" s="38" t="inlineStr">
        <is>
          <t>M3</t>
        </is>
      </c>
      <c r="Q38" s="38" t="inlineStr">
        <is>
          <t>J</t>
        </is>
      </c>
      <c r="R38" s="38" t="inlineStr">
        <is>
          <t>M3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146251</v>
      </c>
      <c r="AN38" s="154">
        <v>29136</v>
      </c>
      <c r="AO38" s="154">
        <v>35037</v>
      </c>
      <c r="AP38" s="154">
        <v>142395</v>
      </c>
      <c r="AQ38" s="154">
        <v>31733</v>
      </c>
      <c r="AR38" s="154">
        <v>68189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K</t>
        </is>
      </c>
      <c r="N39" s="38" t="inlineStr">
        <is>
          <t>K</t>
        </is>
      </c>
      <c r="O39" s="38" t="inlineStr">
        <is>
          <t>Q</t>
        </is>
      </c>
      <c r="P39" s="38" t="inlineStr">
        <is>
          <t>TE</t>
        </is>
      </c>
      <c r="Q39" s="38" t="inlineStr">
        <is>
          <t>M5</t>
        </is>
      </c>
      <c r="R39" s="38" t="inlineStr">
        <is>
          <t>K</t>
        </is>
      </c>
      <c r="S39" s="24" t="inlineStr">
        <is>
          <t>TE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32020</v>
      </c>
      <c r="AN39" s="154">
        <v>122230</v>
      </c>
      <c r="AO39" s="154">
        <v>202138</v>
      </c>
      <c r="AP39" s="154">
        <v>11392</v>
      </c>
      <c r="AQ39" s="154">
        <v>158665</v>
      </c>
      <c r="AR39" s="154">
        <v>159083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A</t>
        </is>
      </c>
      <c r="N40" s="37" t="inlineStr">
        <is>
          <t>A</t>
        </is>
      </c>
      <c r="O40" s="37" t="inlineStr">
        <is>
          <t>K</t>
        </is>
      </c>
      <c r="P40" s="195" t="inlineStr">
        <is>
          <t>G4</t>
        </is>
      </c>
      <c r="Q40" s="37" t="inlineStr">
        <is>
          <t>G5</t>
        </is>
      </c>
      <c r="R40" s="37" t="inlineStr">
        <is>
          <t>M4</t>
        </is>
      </c>
      <c r="S40" s="37" t="inlineStr">
        <is>
          <t>M5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158367</v>
      </c>
      <c r="AN40" s="154">
        <v>75327</v>
      </c>
      <c r="AO40" s="154">
        <v>18866</v>
      </c>
      <c r="AP40" s="154">
        <v>250615</v>
      </c>
      <c r="AQ40" s="154">
        <v>47599</v>
      </c>
      <c r="AR40" s="154">
        <v>30304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M2</t>
        </is>
      </c>
      <c r="Q41" s="38" t="inlineStr">
        <is>
          <t>M3</t>
        </is>
      </c>
      <c r="R41" s="38" t="inlineStr">
        <is>
          <t>M6</t>
        </is>
      </c>
      <c r="S41" s="24" t="inlineStr">
        <is>
          <t>TE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64904</v>
      </c>
      <c r="AN41" s="37">
        <v>184055</v>
      </c>
      <c r="AO41" s="37">
        <v>199443</v>
      </c>
      <c r="AP41" s="37">
        <v>28479</v>
      </c>
      <c r="AQ41" s="37">
        <v>253864</v>
      </c>
      <c r="AR41" s="37">
        <v>37885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J</t>
        </is>
      </c>
      <c r="N42" s="38" t="inlineStr">
        <is>
          <t>TE</t>
        </is>
      </c>
      <c r="O42" s="38" t="inlineStr">
        <is>
          <t>K</t>
        </is>
      </c>
      <c r="P42" s="38" t="inlineStr">
        <is>
          <t>J</t>
        </is>
      </c>
      <c r="Q42" s="38" t="inlineStr">
        <is>
          <t>A</t>
        </is>
      </c>
      <c r="R42" s="38" t="inlineStr">
        <is>
          <t>K</t>
        </is>
      </c>
      <c r="S42" s="24" t="inlineStr">
        <is>
          <t>TE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109905</v>
      </c>
      <c r="AN42" s="37">
        <v>38374</v>
      </c>
      <c r="AO42" s="37">
        <v>48513</v>
      </c>
      <c r="AP42" s="37">
        <v>176570</v>
      </c>
      <c r="AQ42" s="37">
        <v>15866</v>
      </c>
      <c r="AR42" s="37">
        <v>37885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K</t>
        </is>
      </c>
      <c r="N43" s="38" t="inlineStr">
        <is>
          <t>TE</t>
        </is>
      </c>
      <c r="O43" s="38" t="inlineStr">
        <is>
          <t>GK</t>
        </is>
      </c>
      <c r="P43" s="38" t="inlineStr">
        <is>
          <t>J</t>
        </is>
      </c>
      <c r="Q43" s="38" t="inlineStr">
        <is>
          <t>GT</t>
        </is>
      </c>
      <c r="R43" s="38" t="inlineStr">
        <is>
          <t>A</t>
        </is>
      </c>
      <c r="S43" s="24" t="inlineStr">
        <is>
          <t>M3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118558</v>
      </c>
      <c r="AN43" s="37">
        <v>151366</v>
      </c>
      <c r="AO43" s="37">
        <v>159015</v>
      </c>
      <c r="AP43" s="37">
        <v>28479</v>
      </c>
      <c r="AQ43" s="37">
        <v>206264</v>
      </c>
      <c r="AR43" s="37">
        <v>83332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M6</t>
        </is>
      </c>
      <c r="N44" s="38" t="inlineStr">
        <is>
          <t>GQ</t>
        </is>
      </c>
      <c r="O44" s="38" t="inlineStr">
        <is>
          <t>K</t>
        </is>
      </c>
      <c r="P44" s="38" t="inlineStr">
        <is>
          <t>K</t>
        </is>
      </c>
      <c r="Q44" s="38" t="inlineStr">
        <is>
          <t>TE</t>
        </is>
      </c>
      <c r="R44" s="38" t="inlineStr">
        <is>
          <t>M5</t>
        </is>
      </c>
      <c r="S44" s="24" t="inlineStr">
        <is>
          <t>A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130674</v>
      </c>
      <c r="AN44" s="37">
        <v>112991</v>
      </c>
      <c r="AO44" s="37">
        <v>43123</v>
      </c>
      <c r="AP44" s="37">
        <v>205048</v>
      </c>
      <c r="AQ44" s="37">
        <v>47599</v>
      </c>
      <c r="AR44" s="37">
        <v>45447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J</t>
        </is>
      </c>
      <c r="N45" s="38" t="inlineStr">
        <is>
          <t>A</t>
        </is>
      </c>
      <c r="O45" s="38" t="inlineStr">
        <is>
          <t>M5</t>
        </is>
      </c>
      <c r="P45" s="38" t="inlineStr">
        <is>
          <t>K</t>
        </is>
      </c>
      <c r="Q45" s="38" t="inlineStr">
        <is>
          <t>A</t>
        </is>
      </c>
      <c r="R45" s="38" t="inlineStr">
        <is>
          <t>M6</t>
        </is>
      </c>
      <c r="S45" s="24" t="inlineStr">
        <is>
          <t>M3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145385</v>
      </c>
      <c r="AN45" s="37">
        <v>159893</v>
      </c>
      <c r="AO45" s="37">
        <v>161710</v>
      </c>
      <c r="AP45" s="37">
        <v>34175</v>
      </c>
      <c r="AQ45" s="37">
        <v>206264</v>
      </c>
      <c r="AR45" s="37">
        <v>310604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M6</t>
        </is>
      </c>
      <c r="N46" s="38" t="inlineStr">
        <is>
          <t>G6</t>
        </is>
      </c>
      <c r="O46" s="38" t="inlineStr">
        <is>
          <t>J</t>
        </is>
      </c>
      <c r="P46" s="38" t="inlineStr">
        <is>
          <t>M2</t>
        </is>
      </c>
      <c r="Q46" s="38" t="inlineStr">
        <is>
          <t>M5</t>
        </is>
      </c>
      <c r="R46" s="38" t="inlineStr">
        <is>
          <t>K</t>
        </is>
      </c>
      <c r="S46" s="24" t="inlineStr">
        <is>
          <t>TE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77</v>
      </c>
      <c r="AN46" s="154">
        <v>80</v>
      </c>
      <c r="AO46" s="154">
        <v>355</v>
      </c>
      <c r="AP46" s="154">
        <v>55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M6</t>
        </is>
      </c>
      <c r="N47" s="38" t="inlineStr">
        <is>
          <t>J</t>
        </is>
      </c>
      <c r="O47" s="38" t="inlineStr">
        <is>
          <t>M4</t>
        </is>
      </c>
      <c r="P47" s="38" t="inlineStr">
        <is>
          <t>M1</t>
        </is>
      </c>
      <c r="Q47" s="38" t="inlineStr">
        <is>
          <t>G4</t>
        </is>
      </c>
      <c r="R47" s="38" t="inlineStr">
        <is>
          <t>Q</t>
        </is>
      </c>
      <c r="S47" s="24" t="inlineStr">
        <is>
          <t>TE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232</v>
      </c>
      <c r="AN47" s="154">
        <v>296</v>
      </c>
      <c r="AO47" s="154">
        <v>156</v>
      </c>
      <c r="AP47" s="154">
        <v>55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M6</t>
        </is>
      </c>
      <c r="N48" s="38" t="inlineStr">
        <is>
          <t>TE</t>
        </is>
      </c>
      <c r="O48" s="38" t="inlineStr">
        <is>
          <t>K</t>
        </is>
      </c>
      <c r="P48" s="38" t="inlineStr">
        <is>
          <t>TE</t>
        </is>
      </c>
      <c r="Q48" s="38" t="inlineStr">
        <is>
          <t>M4</t>
        </is>
      </c>
      <c r="R48" s="38" t="inlineStr">
        <is>
          <t>GJ</t>
        </is>
      </c>
      <c r="S48" s="24" t="inlineStr">
        <is>
          <t>M4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474</v>
      </c>
      <c r="AN48" s="154">
        <v>1002</v>
      </c>
      <c r="AO48" s="154">
        <v>222</v>
      </c>
      <c r="AP48" s="154">
        <v>74</v>
      </c>
      <c r="AQ48" s="154">
        <v>7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M5</t>
        </is>
      </c>
      <c r="O49" s="38" t="inlineStr">
        <is>
          <t>GJ</t>
        </is>
      </c>
      <c r="P49" s="38" t="inlineStr">
        <is>
          <t>TE</t>
        </is>
      </c>
      <c r="Q49" s="38" t="inlineStr">
        <is>
          <t>M4</t>
        </is>
      </c>
      <c r="R49" s="38" t="inlineStr">
        <is>
          <t>J</t>
        </is>
      </c>
      <c r="S49" s="24" t="inlineStr">
        <is>
          <t>TE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1865</v>
      </c>
      <c r="AN49" s="154">
        <v>467</v>
      </c>
      <c r="AO49" s="154">
        <v>289</v>
      </c>
      <c r="AP49" s="154">
        <v>462</v>
      </c>
      <c r="AQ49" s="154">
        <v>13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M5</t>
        </is>
      </c>
      <c r="O50" s="38" t="inlineStr">
        <is>
          <t>M6</t>
        </is>
      </c>
      <c r="P50" s="38" t="inlineStr">
        <is>
          <t>M6</t>
        </is>
      </c>
      <c r="Q50" s="38" t="inlineStr">
        <is>
          <t>A</t>
        </is>
      </c>
      <c r="R50" s="38" t="inlineStr">
        <is>
          <t>M6</t>
        </is>
      </c>
      <c r="S50" s="24" t="inlineStr">
        <is>
          <t>Q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408</v>
      </c>
      <c r="AN50" s="154">
        <v>1958</v>
      </c>
      <c r="AO50" s="154">
        <v>1666</v>
      </c>
      <c r="AP50" s="154">
        <v>37</v>
      </c>
      <c r="AQ50" s="154">
        <v>65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M6</t>
        </is>
      </c>
      <c r="N51" s="38" t="inlineStr">
        <is>
          <t>Q</t>
        </is>
      </c>
      <c r="O51" s="38" t="inlineStr">
        <is>
          <t>TE</t>
        </is>
      </c>
      <c r="P51" s="38" t="inlineStr">
        <is>
          <t>M5</t>
        </is>
      </c>
      <c r="Q51" s="38" t="inlineStr">
        <is>
          <t>M5</t>
        </is>
      </c>
      <c r="R51" s="38" t="inlineStr">
        <is>
          <t>A</t>
        </is>
      </c>
      <c r="S51" s="24" t="inlineStr">
        <is>
          <t>M5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2019</v>
      </c>
      <c r="AN51" s="154">
        <v>1207</v>
      </c>
      <c r="AO51" s="154">
        <v>156</v>
      </c>
      <c r="AP51" s="154">
        <v>814</v>
      </c>
      <c r="AQ51" s="154">
        <v>20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J</t>
        </is>
      </c>
      <c r="N52" s="38" t="inlineStr">
        <is>
          <t>TE</t>
        </is>
      </c>
      <c r="O52" s="38" t="inlineStr">
        <is>
          <t>J</t>
        </is>
      </c>
      <c r="P52" s="38" t="inlineStr">
        <is>
          <t>Q</t>
        </is>
      </c>
      <c r="Q52" s="38" t="inlineStr">
        <is>
          <t>K</t>
        </is>
      </c>
      <c r="R52" s="38" t="inlineStr">
        <is>
          <t>A</t>
        </is>
      </c>
      <c r="S52" s="24" t="inlineStr">
        <is>
          <t>Q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828</v>
      </c>
      <c r="AN52" s="37">
        <v>2949</v>
      </c>
      <c r="AO52" s="37">
        <v>1644</v>
      </c>
      <c r="AP52" s="37">
        <v>92</v>
      </c>
      <c r="AQ52" s="37">
        <v>104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TE</t>
        </is>
      </c>
      <c r="O53" s="38" t="inlineStr">
        <is>
          <t>M3</t>
        </is>
      </c>
      <c r="P53" s="38" t="inlineStr">
        <is>
          <t>M6</t>
        </is>
      </c>
      <c r="Q53" s="38" t="inlineStr">
        <is>
          <t>Q</t>
        </is>
      </c>
      <c r="R53" s="38" t="inlineStr">
        <is>
          <t>TE</t>
        </is>
      </c>
      <c r="S53" s="24" t="inlineStr">
        <is>
          <t>M6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1401</v>
      </c>
      <c r="AN53" s="37">
        <v>615</v>
      </c>
      <c r="AO53" s="37">
        <v>400</v>
      </c>
      <c r="AP53" s="37">
        <v>573</v>
      </c>
      <c r="AQ53" s="37">
        <v>7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M3</t>
        </is>
      </c>
      <c r="N54" s="38" t="inlineStr">
        <is>
          <t>GQ</t>
        </is>
      </c>
      <c r="O54" s="38" t="inlineStr">
        <is>
          <t>A</t>
        </is>
      </c>
      <c r="P54" s="38" t="inlineStr">
        <is>
          <t>J</t>
        </is>
      </c>
      <c r="Q54" s="38" t="inlineStr">
        <is>
          <t>J</t>
        </is>
      </c>
      <c r="R54" s="38" t="inlineStr">
        <is>
          <t>M4</t>
        </is>
      </c>
      <c r="S54" s="24" t="inlineStr">
        <is>
          <t>TE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1512</v>
      </c>
      <c r="AN54" s="37">
        <v>2425</v>
      </c>
      <c r="AO54" s="37">
        <v>1311</v>
      </c>
      <c r="AP54" s="37">
        <v>92</v>
      </c>
      <c r="AQ54" s="37">
        <v>85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M1</t>
        </is>
      </c>
      <c r="N55" s="38" t="inlineStr">
        <is>
          <t>GA</t>
        </is>
      </c>
      <c r="O55" s="38" t="inlineStr">
        <is>
          <t>J</t>
        </is>
      </c>
      <c r="P55" s="38" t="inlineStr">
        <is>
          <t>TE</t>
        </is>
      </c>
      <c r="Q55" s="38" t="inlineStr">
        <is>
          <t>G6</t>
        </is>
      </c>
      <c r="R55" s="38" t="inlineStr">
        <is>
          <t>J</t>
        </is>
      </c>
      <c r="S55" s="24" t="inlineStr">
        <is>
          <t>TE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1666</v>
      </c>
      <c r="AN55" s="37">
        <v>1810</v>
      </c>
      <c r="AO55" s="37">
        <v>355</v>
      </c>
      <c r="AP55" s="37">
        <v>666</v>
      </c>
      <c r="AQ55" s="37">
        <v>20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TE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K</t>
        </is>
      </c>
      <c r="Q56" s="38" t="inlineStr">
        <is>
          <t>J</t>
        </is>
      </c>
      <c r="R56" s="38" t="inlineStr">
        <is>
          <t>M6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1854</v>
      </c>
      <c r="AN56" s="37">
        <v>2561</v>
      </c>
      <c r="AO56" s="37">
        <v>1333</v>
      </c>
      <c r="AP56" s="37">
        <v>111</v>
      </c>
      <c r="AQ56" s="37">
        <v>85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K</t>
        </is>
      </c>
      <c r="N57" s="38" t="inlineStr">
        <is>
          <t>G5</t>
        </is>
      </c>
      <c r="O57" s="38" t="inlineStr">
        <is>
          <t>M6</t>
        </is>
      </c>
      <c r="P57" s="38" t="inlineStr">
        <is>
          <t>Q</t>
        </is>
      </c>
      <c r="Q57" s="38" t="inlineStr">
        <is>
          <t>M5</t>
        </is>
      </c>
      <c r="R57" s="38" t="inlineStr">
        <is>
          <t>M4</t>
        </is>
      </c>
      <c r="S57" s="24" t="inlineStr">
        <is>
          <t>Q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M1</t>
        </is>
      </c>
      <c r="N58" s="38" t="inlineStr">
        <is>
          <t>M5</t>
        </is>
      </c>
      <c r="O58" s="38" t="inlineStr">
        <is>
          <t>M3</t>
        </is>
      </c>
      <c r="P58" s="38" t="inlineStr">
        <is>
          <t>M6</t>
        </is>
      </c>
      <c r="Q58" s="38" t="inlineStr">
        <is>
          <t>G5</t>
        </is>
      </c>
      <c r="R58" s="38" t="inlineStr">
        <is>
          <t>K</t>
        </is>
      </c>
      <c r="S58" s="24" t="inlineStr">
        <is>
          <t>J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A</t>
        </is>
      </c>
      <c r="O59" s="38" t="inlineStr">
        <is>
          <t>J</t>
        </is>
      </c>
      <c r="P59" s="38" t="inlineStr">
        <is>
          <t>Q</t>
        </is>
      </c>
      <c r="Q59" s="38" t="inlineStr">
        <is>
          <t>TE</t>
        </is>
      </c>
      <c r="R59" s="38" t="inlineStr">
        <is>
          <t>J</t>
        </is>
      </c>
      <c r="S59" s="24" t="inlineStr">
        <is>
          <t>TE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M6</t>
        </is>
      </c>
      <c r="N60" s="38" t="inlineStr">
        <is>
          <t>G5</t>
        </is>
      </c>
      <c r="O60" s="38" t="inlineStr">
        <is>
          <t>M4</t>
        </is>
      </c>
      <c r="P60" s="38" t="inlineStr">
        <is>
          <t>A</t>
        </is>
      </c>
      <c r="Q60" s="38" t="inlineStr">
        <is>
          <t>A</t>
        </is>
      </c>
      <c r="R60" s="38" t="inlineStr">
        <is>
          <t>J</t>
        </is>
      </c>
      <c r="S60" s="24" t="inlineStr">
        <is>
          <t>K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M4</t>
        </is>
      </c>
      <c r="N61" s="38" t="inlineStr">
        <is>
          <t>GT</t>
        </is>
      </c>
      <c r="O61" s="38" t="inlineStr">
        <is>
          <t>TE</t>
        </is>
      </c>
      <c r="P61" s="38" t="inlineStr">
        <is>
          <t>A</t>
        </is>
      </c>
      <c r="Q61" s="38" t="inlineStr">
        <is>
          <t>Q</t>
        </is>
      </c>
      <c r="R61" s="38" t="inlineStr">
        <is>
          <t>J</t>
        </is>
      </c>
      <c r="S61" s="24" t="inlineStr">
        <is>
          <t>TE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M4</t>
        </is>
      </c>
      <c r="N62" s="38" t="inlineStr">
        <is>
          <t>Q</t>
        </is>
      </c>
      <c r="O62" s="38" t="inlineStr">
        <is>
          <t>M6</t>
        </is>
      </c>
      <c r="P62" s="38" t="inlineStr">
        <is>
          <t>Q</t>
        </is>
      </c>
      <c r="Q62" s="38" t="inlineStr">
        <is>
          <t>K</t>
        </is>
      </c>
      <c r="R62" s="38" t="inlineStr">
        <is>
          <t>A</t>
        </is>
      </c>
      <c r="S62" s="24" t="inlineStr">
        <is>
          <t>TE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M6</t>
        </is>
      </c>
      <c r="N63" s="38" t="inlineStr">
        <is>
          <t>Q</t>
        </is>
      </c>
      <c r="O63" s="38" t="inlineStr">
        <is>
          <t>J</t>
        </is>
      </c>
      <c r="P63" s="38" t="inlineStr">
        <is>
          <t>Q</t>
        </is>
      </c>
      <c r="Q63" s="38" t="inlineStr">
        <is>
          <t>A</t>
        </is>
      </c>
      <c r="R63" s="38" t="inlineStr">
        <is>
          <t>J</t>
        </is>
      </c>
      <c r="S63" s="38" t="inlineStr">
        <is>
          <t>TE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GJ</t>
        </is>
      </c>
      <c r="O64" s="38" t="inlineStr">
        <is>
          <t>TE</t>
        </is>
      </c>
      <c r="P64" s="38" t="inlineStr">
        <is>
          <t>M4</t>
        </is>
      </c>
      <c r="Q64" s="38" t="inlineStr">
        <is>
          <t>M6</t>
        </is>
      </c>
      <c r="R64" s="38" t="inlineStr">
        <is>
          <t>M4</t>
        </is>
      </c>
      <c r="S64" s="24" t="inlineStr">
        <is>
          <t>M1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6058</v>
      </c>
      <c r="AN64" s="154">
        <v>4974</v>
      </c>
      <c r="AO64" s="154">
        <v>43123</v>
      </c>
      <c r="AP64" s="154">
        <v>17088</v>
      </c>
      <c r="AQ64" s="154">
        <v>0</v>
      </c>
      <c r="AR64" s="154">
        <v>136359</v>
      </c>
      <c r="AS64" s="151">
        <v>2</v>
      </c>
    </row>
    <row r="65" spans="2:45" ht="16.5" customHeight="1">
      <c r="L65" s="14">
        <v>61</v>
      </c>
      <c r="M65" s="38" t="inlineStr">
        <is>
          <t>K</t>
        </is>
      </c>
      <c r="N65" s="38" t="inlineStr">
        <is>
          <t>TE</t>
        </is>
      </c>
      <c r="O65" s="38" t="inlineStr">
        <is>
          <t>A</t>
        </is>
      </c>
      <c r="P65" s="38" t="inlineStr">
        <is>
          <t>G5</t>
        </is>
      </c>
      <c r="Q65" s="38" t="inlineStr">
        <is>
          <t>M5</t>
        </is>
      </c>
      <c r="R65" s="38" t="inlineStr">
        <is>
          <t>TE</t>
        </is>
      </c>
      <c r="S65" s="24" t="inlineStr">
        <is>
          <t>TE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18173</v>
      </c>
      <c r="AN65" s="154">
        <v>18477</v>
      </c>
      <c r="AO65" s="154">
        <v>18866</v>
      </c>
      <c r="AP65" s="154">
        <v>17088</v>
      </c>
      <c r="AQ65" s="154">
        <v>0</v>
      </c>
      <c r="AR65" s="154">
        <v>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J</t>
        </is>
      </c>
      <c r="N66" s="38" t="inlineStr">
        <is>
          <t>GT</t>
        </is>
      </c>
      <c r="O66" s="38" t="inlineStr">
        <is>
          <t>G4</t>
        </is>
      </c>
      <c r="P66" s="38" t="inlineStr">
        <is>
          <t>TE</t>
        </is>
      </c>
      <c r="Q66" s="38" t="inlineStr">
        <is>
          <t>GA</t>
        </is>
      </c>
      <c r="R66" s="38" t="inlineStr">
        <is>
          <t>Q</t>
        </is>
      </c>
      <c r="S66" s="24" t="inlineStr">
        <is>
          <t>M3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37212</v>
      </c>
      <c r="AN66" s="154">
        <v>62536</v>
      </c>
      <c r="AO66" s="154">
        <v>26952</v>
      </c>
      <c r="AP66" s="154">
        <v>22783</v>
      </c>
      <c r="AQ66" s="154">
        <v>15867</v>
      </c>
      <c r="AR66" s="154">
        <v>90912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inlineStr">
        <is>
          <t>M6</t>
        </is>
      </c>
      <c r="N67" s="38" t="inlineStr">
        <is>
          <t>J</t>
        </is>
      </c>
      <c r="O67" s="38" t="inlineStr">
        <is>
          <t>Q</t>
        </is>
      </c>
      <c r="P67" s="38" t="inlineStr">
        <is>
          <t>TE</t>
        </is>
      </c>
      <c r="Q67" s="38" t="inlineStr">
        <is>
          <t>TE</t>
        </is>
      </c>
      <c r="R67" s="38" t="inlineStr">
        <is>
          <t>K</t>
        </is>
      </c>
      <c r="S67" s="24" t="inlineStr">
        <is>
          <t>M4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146251</v>
      </c>
      <c r="AN67" s="154">
        <v>29136</v>
      </c>
      <c r="AO67" s="154">
        <v>35037</v>
      </c>
      <c r="AP67" s="154">
        <v>142395</v>
      </c>
      <c r="AQ67" s="154">
        <v>31733</v>
      </c>
      <c r="AR67" s="154">
        <v>68189</v>
      </c>
      <c r="AS67" s="151">
        <v>5</v>
      </c>
    </row>
    <row r="68" spans="2:45" ht="16.5" customHeight="1">
      <c r="B68" s="164">
        <v>1</v>
      </c>
      <c r="C68" s="159">
        <v>120</v>
      </c>
      <c r="L68" s="15">
        <v>64</v>
      </c>
      <c r="M68" s="38" t="inlineStr">
        <is>
          <t>K</t>
        </is>
      </c>
      <c r="N68" s="38" t="inlineStr">
        <is>
          <t>M5</t>
        </is>
      </c>
      <c r="O68" s="38" t="inlineStr">
        <is>
          <t>J</t>
        </is>
      </c>
      <c r="P68" s="38" t="inlineStr">
        <is>
          <t>M6</t>
        </is>
      </c>
      <c r="Q68" s="38" t="inlineStr">
        <is>
          <t>J</t>
        </is>
      </c>
      <c r="R68" s="38" t="inlineStr">
        <is>
          <t>M3</t>
        </is>
      </c>
      <c r="S68" s="24" t="inlineStr">
        <is>
          <t>M3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32020</v>
      </c>
      <c r="AN68" s="154">
        <v>122230</v>
      </c>
      <c r="AO68" s="154">
        <v>202138</v>
      </c>
      <c r="AP68" s="154">
        <v>11392</v>
      </c>
      <c r="AQ68" s="154">
        <v>158665</v>
      </c>
      <c r="AR68" s="154">
        <v>159083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M5</t>
        </is>
      </c>
      <c r="N69" s="38" t="inlineStr">
        <is>
          <t>M4</t>
        </is>
      </c>
      <c r="O69" s="38" t="inlineStr">
        <is>
          <t>M4</t>
        </is>
      </c>
      <c r="P69" s="38" t="inlineStr">
        <is>
          <t>M4</t>
        </is>
      </c>
      <c r="Q69" s="38" t="inlineStr">
        <is>
          <t>M4</t>
        </is>
      </c>
      <c r="R69" s="38" t="inlineStr">
        <is>
          <t>A</t>
        </is>
      </c>
      <c r="S69" s="24" t="inlineStr">
        <is>
          <t>M3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158367</v>
      </c>
      <c r="AN69" s="154">
        <v>75327</v>
      </c>
      <c r="AO69" s="154">
        <v>18866</v>
      </c>
      <c r="AP69" s="154">
        <v>250615</v>
      </c>
      <c r="AQ69" s="154">
        <v>47599</v>
      </c>
      <c r="AR69" s="154">
        <v>30304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inlineStr">
        <is>
          <t>M6</t>
        </is>
      </c>
      <c r="N70" s="38" t="inlineStr">
        <is>
          <t>A</t>
        </is>
      </c>
      <c r="O70" s="38" t="inlineStr">
        <is>
          <t>M5</t>
        </is>
      </c>
      <c r="P70" s="38" t="inlineStr">
        <is>
          <t>Q</t>
        </is>
      </c>
      <c r="Q70" s="38" t="inlineStr">
        <is>
          <t>M4</t>
        </is>
      </c>
      <c r="R70" s="38" t="inlineStr">
        <is>
          <t>M4</t>
        </is>
      </c>
      <c r="S70" s="24" t="inlineStr">
        <is>
          <t>M3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64904</v>
      </c>
      <c r="AN70" s="37">
        <v>184055</v>
      </c>
      <c r="AO70" s="37">
        <v>199443</v>
      </c>
      <c r="AP70" s="37">
        <v>28479</v>
      </c>
      <c r="AQ70" s="37">
        <v>253864</v>
      </c>
      <c r="AR70" s="37">
        <v>37885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K</t>
        </is>
      </c>
      <c r="P71" s="38" t="inlineStr">
        <is>
          <t>M4</t>
        </is>
      </c>
      <c r="Q71" s="38" t="inlineStr">
        <is>
          <t>M6</t>
        </is>
      </c>
      <c r="R71" s="38" t="inlineStr">
        <is>
          <t>Q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109905</v>
      </c>
      <c r="AN71" s="37">
        <v>38374</v>
      </c>
      <c r="AO71" s="37">
        <v>48513</v>
      </c>
      <c r="AP71" s="37">
        <v>176570</v>
      </c>
      <c r="AQ71" s="37">
        <v>15866</v>
      </c>
      <c r="AR71" s="37">
        <v>37885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M6</t>
        </is>
      </c>
      <c r="N72" s="38" t="inlineStr">
        <is>
          <t>M5</t>
        </is>
      </c>
      <c r="O72" s="38" t="inlineStr">
        <is>
          <t>M6</t>
        </is>
      </c>
      <c r="P72" s="38" t="inlineStr">
        <is>
          <t>GA</t>
        </is>
      </c>
      <c r="Q72" s="38" t="inlineStr">
        <is>
          <t>Q</t>
        </is>
      </c>
      <c r="R72" s="38" t="inlineStr">
        <is>
          <t>M6</t>
        </is>
      </c>
      <c r="S72" s="24" t="inlineStr">
        <is>
          <t>M5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118558</v>
      </c>
      <c r="AN72" s="37">
        <v>151366</v>
      </c>
      <c r="AO72" s="37">
        <v>159015</v>
      </c>
      <c r="AP72" s="37">
        <v>28479</v>
      </c>
      <c r="AQ72" s="37">
        <v>206264</v>
      </c>
      <c r="AR72" s="37">
        <v>83332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Q</t>
        </is>
      </c>
      <c r="Q73" s="38" t="inlineStr">
        <is>
          <t>TE</t>
        </is>
      </c>
      <c r="R73" s="38" t="inlineStr">
        <is>
          <t>A</t>
        </is>
      </c>
      <c r="S73" s="24" t="inlineStr">
        <is>
          <t>M1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130674</v>
      </c>
      <c r="AN73" s="37">
        <v>112991</v>
      </c>
      <c r="AO73" s="37">
        <v>43123</v>
      </c>
      <c r="AP73" s="37">
        <v>205048</v>
      </c>
      <c r="AQ73" s="37">
        <v>47599</v>
      </c>
      <c r="AR73" s="37">
        <v>45447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J</t>
        </is>
      </c>
      <c r="N74" s="38" t="inlineStr">
        <is>
          <t>A</t>
        </is>
      </c>
      <c r="O74" s="38" t="inlineStr">
        <is>
          <t>M6</t>
        </is>
      </c>
      <c r="P74" s="38" t="inlineStr">
        <is>
          <t>GQ</t>
        </is>
      </c>
      <c r="Q74" s="38" t="inlineStr">
        <is>
          <t>M3</t>
        </is>
      </c>
      <c r="R74" s="38" t="inlineStr">
        <is>
          <t>TE</t>
        </is>
      </c>
      <c r="S74" s="24" t="inlineStr">
        <is>
          <t>M4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145385</v>
      </c>
      <c r="AN74" s="37">
        <v>159893</v>
      </c>
      <c r="AO74" s="37">
        <v>161710</v>
      </c>
      <c r="AP74" s="37">
        <v>34175</v>
      </c>
      <c r="AQ74" s="37">
        <v>206264</v>
      </c>
      <c r="AR74" s="37">
        <v>310604</v>
      </c>
      <c r="AS74" s="4">
        <v>12</v>
      </c>
    </row>
    <row r="75" spans="2:45" ht="16.5" customHeight="1">
      <c r="L75" s="14">
        <v>71</v>
      </c>
      <c r="M75" s="38" t="inlineStr">
        <is>
          <t>K</t>
        </is>
      </c>
      <c r="N75" s="38" t="inlineStr">
        <is>
          <t>Q</t>
        </is>
      </c>
      <c r="O75" s="38" t="inlineStr">
        <is>
          <t>K</t>
        </is>
      </c>
      <c r="P75" s="38" t="inlineStr">
        <is>
          <t>K</t>
        </is>
      </c>
      <c r="Q75" s="38" t="inlineStr">
        <is>
          <t>M5</t>
        </is>
      </c>
      <c r="R75" s="38" t="inlineStr">
        <is>
          <t>M1</t>
        </is>
      </c>
      <c r="S75" s="24" t="inlineStr">
        <is>
          <t>TE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77</v>
      </c>
      <c r="AN75" s="154">
        <v>80</v>
      </c>
      <c r="AO75" s="154">
        <v>355</v>
      </c>
      <c r="AP75" s="154">
        <v>55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M6</t>
        </is>
      </c>
      <c r="N76" s="38" t="inlineStr">
        <is>
          <t>M6</t>
        </is>
      </c>
      <c r="O76" s="38" t="inlineStr">
        <is>
          <t>J</t>
        </is>
      </c>
      <c r="P76" s="38" t="inlineStr">
        <is>
          <t>M4</t>
        </is>
      </c>
      <c r="Q76" s="38" t="inlineStr">
        <is>
          <t>M2</t>
        </is>
      </c>
      <c r="R76" s="38" t="inlineStr">
        <is>
          <t>K</t>
        </is>
      </c>
      <c r="S76" s="24" t="inlineStr">
        <is>
          <t>M5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232</v>
      </c>
      <c r="AN76" s="154">
        <v>296</v>
      </c>
      <c r="AO76" s="154">
        <v>156</v>
      </c>
      <c r="AP76" s="154">
        <v>55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M6</t>
        </is>
      </c>
      <c r="N77" s="38" t="inlineStr">
        <is>
          <t>G5</t>
        </is>
      </c>
      <c r="O77" s="38" t="inlineStr">
        <is>
          <t>M4</t>
        </is>
      </c>
      <c r="P77" s="38" t="inlineStr">
        <is>
          <t>M6</t>
        </is>
      </c>
      <c r="Q77" s="38" t="inlineStr">
        <is>
          <t>M4</t>
        </is>
      </c>
      <c r="R77" s="38" t="inlineStr">
        <is>
          <t>TE</t>
        </is>
      </c>
      <c r="S77" s="24" t="inlineStr">
        <is>
          <t>TE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474</v>
      </c>
      <c r="AN77" s="154">
        <v>1002</v>
      </c>
      <c r="AO77" s="154">
        <v>222</v>
      </c>
      <c r="AP77" s="154">
        <v>74</v>
      </c>
      <c r="AQ77" s="154">
        <v>7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K</t>
        </is>
      </c>
      <c r="N78" s="38" t="inlineStr">
        <is>
          <t>M6</t>
        </is>
      </c>
      <c r="O78" s="38" t="inlineStr">
        <is>
          <t>J</t>
        </is>
      </c>
      <c r="P78" s="38" t="inlineStr">
        <is>
          <t>G2</t>
        </is>
      </c>
      <c r="Q78" s="38" t="inlineStr">
        <is>
          <t>M5</t>
        </is>
      </c>
      <c r="R78" s="38" t="inlineStr">
        <is>
          <t>TE</t>
        </is>
      </c>
      <c r="S78" s="24" t="inlineStr">
        <is>
          <t>M1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1865</v>
      </c>
      <c r="AN78" s="154">
        <v>467</v>
      </c>
      <c r="AO78" s="154">
        <v>289</v>
      </c>
      <c r="AP78" s="154">
        <v>462</v>
      </c>
      <c r="AQ78" s="154">
        <v>13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M2</t>
        </is>
      </c>
      <c r="N79" s="38" t="inlineStr">
        <is>
          <t>Q</t>
        </is>
      </c>
      <c r="O79" s="38" t="inlineStr">
        <is>
          <t>M4</t>
        </is>
      </c>
      <c r="P79" s="38" t="inlineStr">
        <is>
          <t>GT</t>
        </is>
      </c>
      <c r="Q79" s="38" t="inlineStr">
        <is>
          <t>TE</t>
        </is>
      </c>
      <c r="R79" s="38" t="inlineStr">
        <is>
          <t>J</t>
        </is>
      </c>
      <c r="S79" s="24" t="inlineStr">
        <is>
          <t>M1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408</v>
      </c>
      <c r="AN79" s="154">
        <v>1958</v>
      </c>
      <c r="AO79" s="154">
        <v>1666</v>
      </c>
      <c r="AP79" s="154">
        <v>37</v>
      </c>
      <c r="AQ79" s="154">
        <v>65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J</t>
        </is>
      </c>
      <c r="N80" s="38" t="inlineStr">
        <is>
          <t>M5</t>
        </is>
      </c>
      <c r="O80" s="38" t="inlineStr">
        <is>
          <t>M4</t>
        </is>
      </c>
      <c r="P80" s="38" t="inlineStr">
        <is>
          <t>A</t>
        </is>
      </c>
      <c r="Q80" s="38" t="inlineStr">
        <is>
          <t>M3</t>
        </is>
      </c>
      <c r="R80" s="38" t="inlineStr">
        <is>
          <t>Q</t>
        </is>
      </c>
      <c r="S80" s="38" t="inlineStr">
        <is>
          <t>M5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2019</v>
      </c>
      <c r="AN80" s="154">
        <v>1207</v>
      </c>
      <c r="AO80" s="154">
        <v>156</v>
      </c>
      <c r="AP80" s="154">
        <v>814</v>
      </c>
      <c r="AQ80" s="154">
        <v>20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K</t>
        </is>
      </c>
      <c r="N81" s="38" t="inlineStr">
        <is>
          <t>Q</t>
        </is>
      </c>
      <c r="O81" s="38" t="inlineStr">
        <is>
          <t>TE</t>
        </is>
      </c>
      <c r="P81" s="38" t="inlineStr">
        <is>
          <t>G6</t>
        </is>
      </c>
      <c r="Q81" s="38" t="inlineStr">
        <is>
          <t>M5</t>
        </is>
      </c>
      <c r="R81" s="38" t="inlineStr">
        <is>
          <t>Q</t>
        </is>
      </c>
      <c r="S81" s="24" t="inlineStr">
        <is>
          <t>A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828</v>
      </c>
      <c r="AN81" s="37">
        <v>2949</v>
      </c>
      <c r="AO81" s="37">
        <v>1644</v>
      </c>
      <c r="AP81" s="37">
        <v>92</v>
      </c>
      <c r="AQ81" s="37">
        <v>104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A</t>
        </is>
      </c>
      <c r="O82" s="38" t="inlineStr">
        <is>
          <t>M6</t>
        </is>
      </c>
      <c r="P82" s="38" t="inlineStr">
        <is>
          <t>M5</t>
        </is>
      </c>
      <c r="Q82" s="38" t="inlineStr">
        <is>
          <t>J</t>
        </is>
      </c>
      <c r="R82" s="38" t="inlineStr">
        <is>
          <t>TE</t>
        </is>
      </c>
      <c r="S82" s="24" t="inlineStr">
        <is>
          <t>M1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1401</v>
      </c>
      <c r="AN82" s="37">
        <v>615</v>
      </c>
      <c r="AO82" s="37">
        <v>400</v>
      </c>
      <c r="AP82" s="37">
        <v>573</v>
      </c>
      <c r="AQ82" s="37">
        <v>7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K</t>
        </is>
      </c>
      <c r="N83" s="38" t="inlineStr">
        <is>
          <t>Q</t>
        </is>
      </c>
      <c r="O83" s="38" t="inlineStr">
        <is>
          <t>M3</t>
        </is>
      </c>
      <c r="P83" s="38" t="inlineStr">
        <is>
          <t>G3</t>
        </is>
      </c>
      <c r="Q83" s="38" t="inlineStr">
        <is>
          <t>M5</t>
        </is>
      </c>
      <c r="R83" s="38" t="inlineStr">
        <is>
          <t>K</t>
        </is>
      </c>
      <c r="S83" s="24" t="inlineStr">
        <is>
          <t>M5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1512</v>
      </c>
      <c r="AN83" s="37">
        <v>2425</v>
      </c>
      <c r="AO83" s="37">
        <v>1311</v>
      </c>
      <c r="AP83" s="37">
        <v>92</v>
      </c>
      <c r="AQ83" s="37">
        <v>85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J</t>
        </is>
      </c>
      <c r="N84" s="38" t="inlineStr">
        <is>
          <t>A</t>
        </is>
      </c>
      <c r="O84" s="38" t="inlineStr">
        <is>
          <t>M5</t>
        </is>
      </c>
      <c r="P84" s="38" t="inlineStr">
        <is>
          <t>M2</t>
        </is>
      </c>
      <c r="Q84" s="38" t="inlineStr">
        <is>
          <t>K</t>
        </is>
      </c>
      <c r="R84" s="38" t="inlineStr">
        <is>
          <t>K</t>
        </is>
      </c>
      <c r="S84" s="24" t="inlineStr">
        <is>
          <t>Q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1666</v>
      </c>
      <c r="AN84" s="37">
        <v>1810</v>
      </c>
      <c r="AO84" s="37">
        <v>355</v>
      </c>
      <c r="AP84" s="37">
        <v>666</v>
      </c>
      <c r="AQ84" s="37">
        <v>20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A</t>
        </is>
      </c>
      <c r="O85" s="38" t="inlineStr">
        <is>
          <t>A</t>
        </is>
      </c>
      <c r="P85" s="38" t="inlineStr">
        <is>
          <t>M4</t>
        </is>
      </c>
      <c r="Q85" s="38" t="inlineStr">
        <is>
          <t>K</t>
        </is>
      </c>
      <c r="R85" s="38" t="inlineStr">
        <is>
          <t>M5</t>
        </is>
      </c>
      <c r="S85" s="24" t="inlineStr">
        <is>
          <t>M1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1854</v>
      </c>
      <c r="AN85" s="37">
        <v>2561</v>
      </c>
      <c r="AO85" s="37">
        <v>1333</v>
      </c>
      <c r="AP85" s="37">
        <v>111</v>
      </c>
      <c r="AQ85" s="37">
        <v>85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M6</t>
        </is>
      </c>
      <c r="N86" s="38" t="inlineStr">
        <is>
          <t>M2</t>
        </is>
      </c>
      <c r="O86" s="38" t="inlineStr">
        <is>
          <t>J</t>
        </is>
      </c>
      <c r="P86" s="38" t="inlineStr">
        <is>
          <t>G5</t>
        </is>
      </c>
      <c r="Q86" s="38" t="inlineStr">
        <is>
          <t>A</t>
        </is>
      </c>
      <c r="R86" s="38" t="inlineStr">
        <is>
          <t>M3</t>
        </is>
      </c>
      <c r="S86" s="24" t="inlineStr">
        <is>
          <t>M1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M6</t>
        </is>
      </c>
      <c r="N87" s="38" t="inlineStr">
        <is>
          <t>C1</t>
        </is>
      </c>
      <c r="O87" s="38" t="inlineStr">
        <is>
          <t>GT</t>
        </is>
      </c>
      <c r="P87" s="38" t="inlineStr">
        <is>
          <t>TE</t>
        </is>
      </c>
      <c r="Q87" s="38" t="inlineStr">
        <is>
          <t>TE</t>
        </is>
      </c>
      <c r="R87" s="38" t="inlineStr">
        <is>
          <t>A</t>
        </is>
      </c>
      <c r="S87" s="24" t="inlineStr">
        <is>
          <t>M4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GQ</t>
        </is>
      </c>
      <c r="O88" s="38" t="inlineStr">
        <is>
          <t>M1</t>
        </is>
      </c>
      <c r="P88" s="38" t="inlineStr">
        <is>
          <t>M5</t>
        </is>
      </c>
      <c r="Q88" s="38" t="inlineStr">
        <is>
          <t>M6</t>
        </is>
      </c>
      <c r="R88" s="38" t="inlineStr">
        <is>
          <t>Q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M4</t>
        </is>
      </c>
      <c r="N89" s="38" t="inlineStr">
        <is>
          <t>A</t>
        </is>
      </c>
      <c r="O89" s="38" t="inlineStr">
        <is>
          <t>K</t>
        </is>
      </c>
      <c r="P89" s="38" t="inlineStr">
        <is>
          <t>M5</t>
        </is>
      </c>
      <c r="Q89" s="38" t="inlineStr">
        <is>
          <t>M6</t>
        </is>
      </c>
      <c r="R89" s="38" t="inlineStr">
        <is>
          <t>K</t>
        </is>
      </c>
      <c r="S89" s="24" t="inlineStr">
        <is>
          <t>M1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M4</t>
        </is>
      </c>
      <c r="N90" s="38" t="inlineStr">
        <is>
          <t>TE</t>
        </is>
      </c>
      <c r="O90" s="38" t="inlineStr">
        <is>
          <t>K</t>
        </is>
      </c>
      <c r="P90" s="38" t="inlineStr">
        <is>
          <t>Q</t>
        </is>
      </c>
      <c r="Q90" s="38" t="inlineStr">
        <is>
          <t>M1</t>
        </is>
      </c>
      <c r="R90" s="38" t="inlineStr">
        <is>
          <t>TE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J</t>
        </is>
      </c>
      <c r="N91" s="38" t="inlineStr">
        <is>
          <t>M5</t>
        </is>
      </c>
      <c r="O91" s="38" t="inlineStr">
        <is>
          <t>M4</t>
        </is>
      </c>
      <c r="P91" s="38" t="inlineStr">
        <is>
          <t>M4</t>
        </is>
      </c>
      <c r="Q91" s="38" t="inlineStr">
        <is>
          <t>M6</t>
        </is>
      </c>
      <c r="R91" s="38" t="inlineStr">
        <is>
          <t>K</t>
        </is>
      </c>
      <c r="S91" s="24" t="inlineStr">
        <is>
          <t>J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M2</t>
        </is>
      </c>
      <c r="N92" s="38" t="inlineStr">
        <is>
          <t>A</t>
        </is>
      </c>
      <c r="O92" s="38" t="inlineStr">
        <is>
          <t>C1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K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M6</t>
        </is>
      </c>
      <c r="N93" s="38" t="inlineStr">
        <is>
          <t>M6</t>
        </is>
      </c>
      <c r="O93" s="38" t="inlineStr">
        <is>
          <t>J</t>
        </is>
      </c>
      <c r="P93" s="38" t="inlineStr">
        <is>
          <t>GJ</t>
        </is>
      </c>
      <c r="Q93" s="38" t="inlineStr">
        <is>
          <t>J</t>
        </is>
      </c>
      <c r="R93" s="38" t="inlineStr">
        <is>
          <t>M5</t>
        </is>
      </c>
      <c r="S93" s="24" t="inlineStr">
        <is>
          <t>J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6058</v>
      </c>
      <c r="AN93" s="154">
        <v>4974</v>
      </c>
      <c r="AO93" s="154">
        <v>43123</v>
      </c>
      <c r="AP93" s="154">
        <v>17088</v>
      </c>
      <c r="AQ93" s="154">
        <v>0</v>
      </c>
      <c r="AR93" s="154">
        <v>136359</v>
      </c>
      <c r="AS93" s="151">
        <v>2</v>
      </c>
    </row>
    <row r="94" spans="12:45">
      <c r="L94" s="15">
        <v>90</v>
      </c>
      <c r="M94" s="38" t="inlineStr">
        <is>
          <t>J</t>
        </is>
      </c>
      <c r="N94" s="38" t="inlineStr">
        <is>
          <t>TE</t>
        </is>
      </c>
      <c r="O94" s="38" t="inlineStr">
        <is>
          <t>M4</t>
        </is>
      </c>
      <c r="P94" s="38" t="inlineStr">
        <is>
          <t>GT</t>
        </is>
      </c>
      <c r="Q94" s="38" t="inlineStr">
        <is>
          <t>Q</t>
        </is>
      </c>
      <c r="R94" s="38" t="inlineStr">
        <is>
          <t>M5</t>
        </is>
      </c>
      <c r="S94" s="24" t="inlineStr">
        <is>
          <t>M3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18173</v>
      </c>
      <c r="AN94" s="154">
        <v>18477</v>
      </c>
      <c r="AO94" s="154">
        <v>18866</v>
      </c>
      <c r="AP94" s="154">
        <v>17088</v>
      </c>
      <c r="AQ94" s="154">
        <v>0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M6</t>
        </is>
      </c>
      <c r="N95" s="38" t="inlineStr">
        <is>
          <t>J</t>
        </is>
      </c>
      <c r="O95" s="38" t="inlineStr">
        <is>
          <t>J</t>
        </is>
      </c>
      <c r="P95" s="38" t="inlineStr">
        <is>
          <t>M6</t>
        </is>
      </c>
      <c r="Q95" s="38" t="inlineStr">
        <is>
          <t>J</t>
        </is>
      </c>
      <c r="R95" s="38" t="inlineStr">
        <is>
          <t>M2</t>
        </is>
      </c>
      <c r="S95" s="24" t="inlineStr">
        <is>
          <t>A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37212</v>
      </c>
      <c r="AN95" s="154">
        <v>62536</v>
      </c>
      <c r="AO95" s="154">
        <v>26952</v>
      </c>
      <c r="AP95" s="154">
        <v>22783</v>
      </c>
      <c r="AQ95" s="154">
        <v>15867</v>
      </c>
      <c r="AR95" s="154">
        <v>90912</v>
      </c>
      <c r="AS95" s="151">
        <v>4</v>
      </c>
    </row>
    <row r="96" spans="12:45">
      <c r="L96" s="15">
        <v>92</v>
      </c>
      <c r="M96" s="38" t="inlineStr">
        <is>
          <t>M6</t>
        </is>
      </c>
      <c r="N96" s="38" t="inlineStr">
        <is>
          <t>A</t>
        </is>
      </c>
      <c r="O96" s="38" t="inlineStr">
        <is>
          <t>TE</t>
        </is>
      </c>
      <c r="P96" s="38" t="inlineStr">
        <is>
          <t>TE</t>
        </is>
      </c>
      <c r="Q96" s="38" t="inlineStr">
        <is>
          <t>A</t>
        </is>
      </c>
      <c r="R96" s="38" t="inlineStr">
        <is>
          <t>M4</t>
        </is>
      </c>
      <c r="S96" s="24" t="inlineStr">
        <is>
          <t>M5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146251</v>
      </c>
      <c r="AN96" s="154">
        <v>29136</v>
      </c>
      <c r="AO96" s="154">
        <v>35037</v>
      </c>
      <c r="AP96" s="154">
        <v>142395</v>
      </c>
      <c r="AQ96" s="154">
        <v>31733</v>
      </c>
      <c r="AR96" s="154">
        <v>68189</v>
      </c>
      <c r="AS96" s="151">
        <v>5</v>
      </c>
    </row>
    <row r="97" spans="12:45">
      <c r="L97" s="14">
        <v>93</v>
      </c>
      <c r="M97" s="38" t="inlineStr">
        <is>
          <t>M6</t>
        </is>
      </c>
      <c r="N97" s="38" t="inlineStr">
        <is>
          <t>K</t>
        </is>
      </c>
      <c r="O97" s="38" t="inlineStr">
        <is>
          <t>M1</t>
        </is>
      </c>
      <c r="P97" s="38" t="inlineStr">
        <is>
          <t>K</t>
        </is>
      </c>
      <c r="Q97" s="38" t="inlineStr">
        <is>
          <t>A</t>
        </is>
      </c>
      <c r="R97" s="38" t="inlineStr">
        <is>
          <t>M4</t>
        </is>
      </c>
      <c r="S97" s="24" t="inlineStr">
        <is>
          <t>M3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32020</v>
      </c>
      <c r="AN97" s="154">
        <v>122230</v>
      </c>
      <c r="AO97" s="154">
        <v>202138</v>
      </c>
      <c r="AP97" s="154">
        <v>11392</v>
      </c>
      <c r="AQ97" s="154">
        <v>158665</v>
      </c>
      <c r="AR97" s="154">
        <v>159083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M5</t>
        </is>
      </c>
      <c r="O98" s="38" t="inlineStr">
        <is>
          <t>M6</t>
        </is>
      </c>
      <c r="P98" s="38" t="inlineStr">
        <is>
          <t>A</t>
        </is>
      </c>
      <c r="Q98" s="38" t="inlineStr">
        <is>
          <t>M6</t>
        </is>
      </c>
      <c r="R98" s="38" t="inlineStr">
        <is>
          <t>TE</t>
        </is>
      </c>
      <c r="S98" s="24" t="inlineStr">
        <is>
          <t>M6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158367</v>
      </c>
      <c r="AN98" s="154">
        <v>75327</v>
      </c>
      <c r="AO98" s="154">
        <v>18866</v>
      </c>
      <c r="AP98" s="154">
        <v>250615</v>
      </c>
      <c r="AQ98" s="154">
        <v>47599</v>
      </c>
      <c r="AR98" s="154">
        <v>30304</v>
      </c>
      <c r="AS98" s="151">
        <v>7</v>
      </c>
    </row>
    <row r="99" spans="12:45">
      <c r="L99" s="14">
        <v>95</v>
      </c>
      <c r="M99" s="38" t="inlineStr">
        <is>
          <t>J</t>
        </is>
      </c>
      <c r="N99" s="38" t="inlineStr">
        <is>
          <t>GA</t>
        </is>
      </c>
      <c r="O99" s="38" t="inlineStr">
        <is>
          <t>TE</t>
        </is>
      </c>
      <c r="P99" s="38" t="inlineStr">
        <is>
          <t>A</t>
        </is>
      </c>
      <c r="Q99" s="38" t="inlineStr">
        <is>
          <t>TE</t>
        </is>
      </c>
      <c r="R99" s="38" t="inlineStr">
        <is>
          <t>K</t>
        </is>
      </c>
      <c r="S99" s="24" t="inlineStr">
        <is>
          <t>TE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64904</v>
      </c>
      <c r="AN99" s="37">
        <v>184055</v>
      </c>
      <c r="AO99" s="37">
        <v>199443</v>
      </c>
      <c r="AP99" s="37">
        <v>28479</v>
      </c>
      <c r="AQ99" s="37">
        <v>253864</v>
      </c>
      <c r="AR99" s="37">
        <v>37885</v>
      </c>
      <c r="AS99" s="4">
        <v>8</v>
      </c>
    </row>
    <row r="100" spans="12:45">
      <c r="L100" s="15">
        <v>96</v>
      </c>
      <c r="M100" s="38" t="inlineStr">
        <is>
          <t>J</t>
        </is>
      </c>
      <c r="N100" s="38" t="inlineStr">
        <is>
          <t>A</t>
        </is>
      </c>
      <c r="O100" s="38" t="inlineStr">
        <is>
          <t>J</t>
        </is>
      </c>
      <c r="P100" s="38" t="inlineStr">
        <is>
          <t>A</t>
        </is>
      </c>
      <c r="Q100" s="38" t="inlineStr">
        <is>
          <t>Q</t>
        </is>
      </c>
      <c r="R100" s="38" t="inlineStr">
        <is>
          <t>TE</t>
        </is>
      </c>
      <c r="S100" s="24" t="inlineStr">
        <is>
          <t>M5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109905</v>
      </c>
      <c r="AN100" s="37">
        <v>38374</v>
      </c>
      <c r="AO100" s="37">
        <v>48513</v>
      </c>
      <c r="AP100" s="37">
        <v>176570</v>
      </c>
      <c r="AQ100" s="37">
        <v>15866</v>
      </c>
      <c r="AR100" s="37">
        <v>37885</v>
      </c>
      <c r="AS100" s="4">
        <v>9</v>
      </c>
    </row>
    <row r="101" spans="12:45">
      <c r="L101" s="14">
        <v>97</v>
      </c>
      <c r="M101" s="38" t="inlineStr">
        <is>
          <t>K</t>
        </is>
      </c>
      <c r="N101" s="38" t="inlineStr">
        <is>
          <t>TE</t>
        </is>
      </c>
      <c r="O101" s="38" t="inlineStr">
        <is>
          <t>GJ</t>
        </is>
      </c>
      <c r="P101" s="38" t="inlineStr">
        <is>
          <t>M1</t>
        </is>
      </c>
      <c r="Q101" s="38" t="inlineStr">
        <is>
          <t>M4</t>
        </is>
      </c>
      <c r="R101" s="38" t="inlineStr">
        <is>
          <t>GK</t>
        </is>
      </c>
      <c r="S101" s="24" t="inlineStr">
        <is>
          <t>M4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118558</v>
      </c>
      <c r="AN101" s="37">
        <v>151366</v>
      </c>
      <c r="AO101" s="37">
        <v>159015</v>
      </c>
      <c r="AP101" s="37">
        <v>28479</v>
      </c>
      <c r="AQ101" s="37">
        <v>206264</v>
      </c>
      <c r="AR101" s="37">
        <v>83332</v>
      </c>
      <c r="AS101" s="4">
        <v>10</v>
      </c>
    </row>
    <row r="102" spans="12:45">
      <c r="L102" s="15">
        <v>98</v>
      </c>
      <c r="M102" s="38" t="inlineStr">
        <is>
          <t>M6</t>
        </is>
      </c>
      <c r="N102" s="38" t="inlineStr">
        <is>
          <t>K</t>
        </is>
      </c>
      <c r="O102" s="38" t="inlineStr">
        <is>
          <t>M5</t>
        </is>
      </c>
      <c r="P102" s="38" t="inlineStr">
        <is>
          <t>J</t>
        </is>
      </c>
      <c r="Q102" s="38" t="inlineStr">
        <is>
          <t>Q</t>
        </is>
      </c>
      <c r="R102" s="38" t="inlineStr">
        <is>
          <t>J</t>
        </is>
      </c>
      <c r="S102" s="24" t="inlineStr">
        <is>
          <t>TE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130674</v>
      </c>
      <c r="AN102" s="37">
        <v>112991</v>
      </c>
      <c r="AO102" s="37">
        <v>43123</v>
      </c>
      <c r="AP102" s="37">
        <v>205048</v>
      </c>
      <c r="AQ102" s="37">
        <v>47599</v>
      </c>
      <c r="AR102" s="37">
        <v>45447</v>
      </c>
      <c r="AS102" s="4">
        <v>11</v>
      </c>
    </row>
    <row r="103" spans="12:45">
      <c r="L103" s="14">
        <v>99</v>
      </c>
      <c r="M103" s="38" t="inlineStr">
        <is>
          <t>K</t>
        </is>
      </c>
      <c r="N103" s="38" t="inlineStr">
        <is>
          <t>TE</t>
        </is>
      </c>
      <c r="O103" s="38" t="inlineStr">
        <is>
          <t>Q</t>
        </is>
      </c>
      <c r="P103" s="38" t="inlineStr">
        <is>
          <t>Q</t>
        </is>
      </c>
      <c r="Q103" s="38" t="inlineStr">
        <is>
          <t>A</t>
        </is>
      </c>
      <c r="R103" s="38" t="inlineStr">
        <is>
          <t>M5</t>
        </is>
      </c>
      <c r="S103" s="24" t="inlineStr">
        <is>
          <t>TE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145385</v>
      </c>
      <c r="AN103" s="37">
        <v>159893</v>
      </c>
      <c r="AO103" s="37">
        <v>161710</v>
      </c>
      <c r="AP103" s="37">
        <v>34175</v>
      </c>
      <c r="AQ103" s="37">
        <v>206264</v>
      </c>
      <c r="AR103" s="37">
        <v>310604</v>
      </c>
      <c r="AS103" s="4">
        <v>12</v>
      </c>
    </row>
    <row r="104" spans="12:45">
      <c r="L104" s="15">
        <v>100</v>
      </c>
      <c r="M104" s="38" t="inlineStr">
        <is>
          <t>J</t>
        </is>
      </c>
      <c r="N104" s="38" t="inlineStr">
        <is>
          <t>J</t>
        </is>
      </c>
      <c r="O104" s="38" t="inlineStr">
        <is>
          <t>A</t>
        </is>
      </c>
      <c r="P104" s="38" t="inlineStr">
        <is>
          <t>M5</t>
        </is>
      </c>
      <c r="Q104" s="38" t="inlineStr">
        <is>
          <t>M6</t>
        </is>
      </c>
      <c r="R104" s="38" t="inlineStr">
        <is>
          <t>M4</t>
        </is>
      </c>
      <c r="S104" s="24" t="inlineStr">
        <is>
          <t>J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77</v>
      </c>
      <c r="AN104" s="154">
        <v>80</v>
      </c>
      <c r="AO104" s="154">
        <v>355</v>
      </c>
      <c r="AP104" s="154">
        <v>55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M3</t>
        </is>
      </c>
      <c r="N105" s="38" t="inlineStr">
        <is>
          <t>A</t>
        </is>
      </c>
      <c r="O105" s="38" t="inlineStr">
        <is>
          <t>M6</t>
        </is>
      </c>
      <c r="P105" s="38" t="inlineStr">
        <is>
          <t>M5</t>
        </is>
      </c>
      <c r="Q105" s="38" t="inlineStr">
        <is>
          <t>M1</t>
        </is>
      </c>
      <c r="R105" s="38" t="inlineStr">
        <is>
          <t>K</t>
        </is>
      </c>
      <c r="S105" s="24" t="inlineStr">
        <is>
          <t>M4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232</v>
      </c>
      <c r="AN105" s="154">
        <v>296</v>
      </c>
      <c r="AO105" s="154">
        <v>156</v>
      </c>
      <c r="AP105" s="154">
        <v>55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J</t>
        </is>
      </c>
      <c r="N106" s="38" t="inlineStr">
        <is>
          <t>M4</t>
        </is>
      </c>
      <c r="O106" s="38" t="inlineStr">
        <is>
          <t>M6</t>
        </is>
      </c>
      <c r="P106" s="38" t="inlineStr">
        <is>
          <t>TE</t>
        </is>
      </c>
      <c r="Q106" s="38" t="inlineStr">
        <is>
          <t>K</t>
        </is>
      </c>
      <c r="R106" s="38" t="inlineStr">
        <is>
          <t>K</t>
        </is>
      </c>
      <c r="S106" s="24" t="inlineStr">
        <is>
          <t>K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474</v>
      </c>
      <c r="AN106" s="154">
        <v>1002</v>
      </c>
      <c r="AO106" s="154">
        <v>222</v>
      </c>
      <c r="AP106" s="154">
        <v>74</v>
      </c>
      <c r="AQ106" s="154">
        <v>7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J</t>
        </is>
      </c>
      <c r="N107" s="38" t="inlineStr">
        <is>
          <t>Q</t>
        </is>
      </c>
      <c r="O107" s="38" t="inlineStr">
        <is>
          <t>J</t>
        </is>
      </c>
      <c r="P107" s="38" t="inlineStr">
        <is>
          <t>TE</t>
        </is>
      </c>
      <c r="Q107" s="38" t="inlineStr">
        <is>
          <t>A</t>
        </is>
      </c>
      <c r="R107" s="38" t="inlineStr">
        <is>
          <t>M4</t>
        </is>
      </c>
      <c r="S107" s="24" t="inlineStr">
        <is>
          <t>M1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1865</v>
      </c>
      <c r="AN107" s="154">
        <v>467</v>
      </c>
      <c r="AO107" s="154">
        <v>289</v>
      </c>
      <c r="AP107" s="154">
        <v>462</v>
      </c>
      <c r="AQ107" s="154">
        <v>13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M6</t>
        </is>
      </c>
      <c r="N108" s="38" t="inlineStr">
        <is>
          <t>M3</t>
        </is>
      </c>
      <c r="O108" s="38" t="inlineStr">
        <is>
          <t>M5</t>
        </is>
      </c>
      <c r="P108" s="38" t="inlineStr">
        <is>
          <t>M5</t>
        </is>
      </c>
      <c r="Q108" s="38" t="inlineStr">
        <is>
          <t>K</t>
        </is>
      </c>
      <c r="R108" s="38" t="inlineStr">
        <is>
          <t>M5</t>
        </is>
      </c>
      <c r="S108" s="24" t="inlineStr">
        <is>
          <t>TE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408</v>
      </c>
      <c r="AN108" s="154">
        <v>1958</v>
      </c>
      <c r="AO108" s="154">
        <v>1666</v>
      </c>
      <c r="AP108" s="154">
        <v>37</v>
      </c>
      <c r="AQ108" s="154">
        <v>65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M4</t>
        </is>
      </c>
      <c r="N109" s="38" t="inlineStr">
        <is>
          <t>Q</t>
        </is>
      </c>
      <c r="O109" s="38" t="inlineStr">
        <is>
          <t>A</t>
        </is>
      </c>
      <c r="P109" s="38" t="inlineStr">
        <is>
          <t>TE</t>
        </is>
      </c>
      <c r="Q109" s="38" t="inlineStr">
        <is>
          <t>Q</t>
        </is>
      </c>
      <c r="R109" s="38" t="inlineStr">
        <is>
          <t>A</t>
        </is>
      </c>
      <c r="S109" s="24" t="inlineStr">
        <is>
          <t>M5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2019</v>
      </c>
      <c r="AN109" s="154">
        <v>1207</v>
      </c>
      <c r="AO109" s="154">
        <v>156</v>
      </c>
      <c r="AP109" s="154">
        <v>814</v>
      </c>
      <c r="AQ109" s="154">
        <v>20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J</t>
        </is>
      </c>
      <c r="N110" s="38" t="inlineStr">
        <is>
          <t>M1</t>
        </is>
      </c>
      <c r="O110" s="38" t="inlineStr">
        <is>
          <t>G6</t>
        </is>
      </c>
      <c r="P110" s="38" t="inlineStr">
        <is>
          <t>J</t>
        </is>
      </c>
      <c r="Q110" s="38" t="inlineStr">
        <is>
          <t>K</t>
        </is>
      </c>
      <c r="R110" s="38" t="inlineStr">
        <is>
          <t>G4</t>
        </is>
      </c>
      <c r="S110" s="24" t="inlineStr">
        <is>
          <t>M5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828</v>
      </c>
      <c r="AN110" s="37">
        <v>2949</v>
      </c>
      <c r="AO110" s="37">
        <v>1644</v>
      </c>
      <c r="AP110" s="37">
        <v>92</v>
      </c>
      <c r="AQ110" s="37">
        <v>104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K</t>
        </is>
      </c>
      <c r="N111" s="38" t="inlineStr">
        <is>
          <t>Q</t>
        </is>
      </c>
      <c r="O111" s="38" t="inlineStr">
        <is>
          <t>K</t>
        </is>
      </c>
      <c r="P111" s="38" t="inlineStr">
        <is>
          <t>M6</t>
        </is>
      </c>
      <c r="Q111" s="38" t="inlineStr">
        <is>
          <t>J</t>
        </is>
      </c>
      <c r="R111" s="38" t="inlineStr">
        <is>
          <t>Q</t>
        </is>
      </c>
      <c r="S111" s="24" t="inlineStr">
        <is>
          <t>M5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1401</v>
      </c>
      <c r="AN111" s="37">
        <v>615</v>
      </c>
      <c r="AO111" s="37">
        <v>400</v>
      </c>
      <c r="AP111" s="37">
        <v>573</v>
      </c>
      <c r="AQ111" s="37">
        <v>7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M6</t>
        </is>
      </c>
      <c r="N112" s="38" t="inlineStr">
        <is>
          <t>Q</t>
        </is>
      </c>
      <c r="O112" s="38" t="inlineStr">
        <is>
          <t>TE</t>
        </is>
      </c>
      <c r="P112" s="38" t="inlineStr">
        <is>
          <t>J</t>
        </is>
      </c>
      <c r="Q112" s="38" t="inlineStr">
        <is>
          <t>Q</t>
        </is>
      </c>
      <c r="R112" s="38" t="inlineStr">
        <is>
          <t>M6</t>
        </is>
      </c>
      <c r="S112" s="24" t="inlineStr">
        <is>
          <t>TE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1512</v>
      </c>
      <c r="AN112" s="37">
        <v>2425</v>
      </c>
      <c r="AO112" s="37">
        <v>1311</v>
      </c>
      <c r="AP112" s="37">
        <v>92</v>
      </c>
      <c r="AQ112" s="37">
        <v>85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K</t>
        </is>
      </c>
      <c r="N113" s="38" t="inlineStr">
        <is>
          <t>TE</t>
        </is>
      </c>
      <c r="O113" s="38" t="inlineStr">
        <is>
          <t>M2</t>
        </is>
      </c>
      <c r="P113" s="38" t="inlineStr">
        <is>
          <t>M5</t>
        </is>
      </c>
      <c r="Q113" s="38" t="inlineStr">
        <is>
          <t>A</t>
        </is>
      </c>
      <c r="R113" s="38" t="inlineStr">
        <is>
          <t>J</t>
        </is>
      </c>
      <c r="S113" s="38" t="inlineStr">
        <is>
          <t>Q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1666</v>
      </c>
      <c r="AN113" s="37">
        <v>1810</v>
      </c>
      <c r="AO113" s="37">
        <v>355</v>
      </c>
      <c r="AP113" s="37">
        <v>666</v>
      </c>
      <c r="AQ113" s="37">
        <v>20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M6</t>
        </is>
      </c>
      <c r="N114" s="38" t="inlineStr">
        <is>
          <t>TE</t>
        </is>
      </c>
      <c r="O114" s="38" t="inlineStr">
        <is>
          <t>J</t>
        </is>
      </c>
      <c r="P114" s="38" t="inlineStr">
        <is>
          <t>M5</t>
        </is>
      </c>
      <c r="Q114" s="38" t="inlineStr">
        <is>
          <t>GT</t>
        </is>
      </c>
      <c r="R114" s="38" t="inlineStr">
        <is>
          <t>M5</t>
        </is>
      </c>
      <c r="S114" s="24" t="inlineStr">
        <is>
          <t>M6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1854</v>
      </c>
      <c r="AN114" s="37">
        <v>2561</v>
      </c>
      <c r="AO114" s="37">
        <v>1333</v>
      </c>
      <c r="AP114" s="37">
        <v>111</v>
      </c>
      <c r="AQ114" s="37">
        <v>85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A</t>
        </is>
      </c>
      <c r="N115" s="38" t="inlineStr">
        <is>
          <t>J</t>
        </is>
      </c>
      <c r="O115" s="38" t="inlineStr">
        <is>
          <t>J</t>
        </is>
      </c>
      <c r="P115" s="38" t="inlineStr">
        <is>
          <t>M1</t>
        </is>
      </c>
      <c r="Q115" s="38" t="inlineStr">
        <is>
          <t>M6</t>
        </is>
      </c>
      <c r="R115" s="38" t="inlineStr">
        <is>
          <t>J</t>
        </is>
      </c>
      <c r="S115" s="24" t="inlineStr">
        <is>
          <t>M5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J</t>
        </is>
      </c>
      <c r="N116" s="38" t="inlineStr">
        <is>
          <t>A</t>
        </is>
      </c>
      <c r="O116" s="38" t="inlineStr">
        <is>
          <t>A</t>
        </is>
      </c>
      <c r="P116" s="38" t="inlineStr">
        <is>
          <t>K</t>
        </is>
      </c>
      <c r="Q116" s="38" t="inlineStr">
        <is>
          <t>K</t>
        </is>
      </c>
      <c r="R116" s="38" t="inlineStr">
        <is>
          <t>G6</t>
        </is>
      </c>
      <c r="S116" s="24" t="inlineStr">
        <is>
          <t>TE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M6</t>
        </is>
      </c>
      <c r="N117" s="38" t="inlineStr">
        <is>
          <t>M3</t>
        </is>
      </c>
      <c r="O117" s="38" t="inlineStr">
        <is>
          <t>M6</t>
        </is>
      </c>
      <c r="P117" s="38" t="inlineStr">
        <is>
          <t>A</t>
        </is>
      </c>
      <c r="Q117" s="38" t="inlineStr">
        <is>
          <t>M4</t>
        </is>
      </c>
      <c r="R117" s="38" t="inlineStr">
        <is>
          <t>M6</t>
        </is>
      </c>
      <c r="S117" s="24" t="inlineStr">
        <is>
          <t>TE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M6</t>
        </is>
      </c>
      <c r="N118" s="38" t="inlineStr">
        <is>
          <t>Q</t>
        </is>
      </c>
      <c r="O118" s="38" t="inlineStr">
        <is>
          <t>M4</t>
        </is>
      </c>
      <c r="P118" s="38" t="inlineStr">
        <is>
          <t>M6</t>
        </is>
      </c>
      <c r="Q118" s="38" t="inlineStr">
        <is>
          <t>M6</t>
        </is>
      </c>
      <c r="R118" s="38" t="inlineStr">
        <is>
          <t>TE</t>
        </is>
      </c>
      <c r="S118" s="24" t="inlineStr">
        <is>
          <t>M5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K</t>
        </is>
      </c>
      <c r="N119" s="38" t="inlineStr">
        <is>
          <t>K</t>
        </is>
      </c>
      <c r="O119" s="38" t="inlineStr">
        <is>
          <t>M6</t>
        </is>
      </c>
      <c r="P119" s="38" t="inlineStr">
        <is>
          <t>TE</t>
        </is>
      </c>
      <c r="Q119" s="38" t="inlineStr">
        <is>
          <t>TE</t>
        </is>
      </c>
      <c r="R119" s="38" t="inlineStr">
        <is>
          <t>TE</t>
        </is>
      </c>
      <c r="S119" s="24" t="inlineStr">
        <is>
          <t>A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J</t>
        </is>
      </c>
      <c r="N120" s="38" t="inlineStr">
        <is>
          <t>M5</t>
        </is>
      </c>
      <c r="O120" s="38" t="inlineStr">
        <is>
          <t>K</t>
        </is>
      </c>
      <c r="P120" s="38" t="inlineStr">
        <is>
          <t>J</t>
        </is>
      </c>
      <c r="Q120" s="38" t="inlineStr">
        <is>
          <t>K</t>
        </is>
      </c>
      <c r="R120" s="38" t="inlineStr">
        <is>
          <t>M5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K</t>
        </is>
      </c>
      <c r="N121" s="38" t="inlineStr">
        <is>
          <t>M3</t>
        </is>
      </c>
      <c r="O121" s="38" t="inlineStr">
        <is>
          <t>G5</t>
        </is>
      </c>
      <c r="P121" s="38" t="inlineStr">
        <is>
          <t>M5</t>
        </is>
      </c>
      <c r="Q121" s="38" t="inlineStr">
        <is>
          <t>GA</t>
        </is>
      </c>
      <c r="R121" s="38" t="inlineStr">
        <is>
          <t>G5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K</t>
        </is>
      </c>
      <c r="N122" s="38" t="inlineStr">
        <is>
          <t>M1</t>
        </is>
      </c>
      <c r="O122" s="38" t="inlineStr">
        <is>
          <t>K</t>
        </is>
      </c>
      <c r="P122" s="38" t="inlineStr">
        <is>
          <t>GQ</t>
        </is>
      </c>
      <c r="Q122" s="38" t="inlineStr">
        <is>
          <t>GK</t>
        </is>
      </c>
      <c r="R122" s="38" t="inlineStr">
        <is>
          <t>M6</t>
        </is>
      </c>
      <c r="S122" s="24" t="inlineStr">
        <is>
          <t>M1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6058</v>
      </c>
      <c r="AN122" s="154">
        <v>4974</v>
      </c>
      <c r="AO122" s="154">
        <v>43123</v>
      </c>
      <c r="AP122" s="154">
        <v>17088</v>
      </c>
      <c r="AQ122" s="154">
        <v>0</v>
      </c>
      <c r="AR122" s="154">
        <v>136359</v>
      </c>
      <c r="AS122" s="151">
        <v>2</v>
      </c>
    </row>
    <row r="123" spans="12:46">
      <c r="L123" s="14">
        <v>119</v>
      </c>
      <c r="M123" s="38" t="inlineStr">
        <is>
          <t>J</t>
        </is>
      </c>
      <c r="N123" s="38" t="inlineStr">
        <is>
          <t>A</t>
        </is>
      </c>
      <c r="O123" s="38" t="inlineStr">
        <is>
          <t>M2</t>
        </is>
      </c>
      <c r="P123" s="38" t="inlineStr">
        <is>
          <t>A</t>
        </is>
      </c>
      <c r="Q123" s="38" t="inlineStr">
        <is>
          <t>J</t>
        </is>
      </c>
      <c r="R123" s="38" t="inlineStr">
        <is>
          <t>K</t>
        </is>
      </c>
      <c r="S123" s="24" t="inlineStr">
        <is>
          <t>M4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18173</v>
      </c>
      <c r="AN123" s="154">
        <v>18477</v>
      </c>
      <c r="AO123" s="154">
        <v>18866</v>
      </c>
      <c r="AP123" s="154">
        <v>17088</v>
      </c>
      <c r="AQ123" s="154">
        <v>0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J</t>
        </is>
      </c>
      <c r="N124" s="38" t="inlineStr">
        <is>
          <t>M6</t>
        </is>
      </c>
      <c r="O124" s="38" t="inlineStr">
        <is>
          <t>TE</t>
        </is>
      </c>
      <c r="P124" s="38" t="inlineStr">
        <is>
          <t>TE</t>
        </is>
      </c>
      <c r="Q124" s="38" t="inlineStr">
        <is>
          <t>Q</t>
        </is>
      </c>
      <c r="R124" s="38" t="inlineStr">
        <is>
          <t>J</t>
        </is>
      </c>
      <c r="S124" s="24" t="inlineStr">
        <is>
          <t>Q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50952</v>
      </c>
      <c r="AM124" s="154">
        <v>37212</v>
      </c>
      <c r="AN124" s="154">
        <v>62536</v>
      </c>
      <c r="AO124" s="154">
        <v>26952</v>
      </c>
      <c r="AP124" s="154">
        <v>22783</v>
      </c>
      <c r="AQ124" s="154">
        <v>15867</v>
      </c>
      <c r="AR124" s="154">
        <v>90912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33035</v>
      </c>
      <c r="AM125" s="154">
        <v>146251</v>
      </c>
      <c r="AN125" s="154">
        <v>29136</v>
      </c>
      <c r="AO125" s="154">
        <v>35037</v>
      </c>
      <c r="AP125" s="154">
        <v>142395</v>
      </c>
      <c r="AQ125" s="154">
        <v>31733</v>
      </c>
      <c r="AR125" s="154">
        <v>68189</v>
      </c>
      <c r="AS125" s="151">
        <v>5</v>
      </c>
    </row>
    <row r="126" spans="12:46">
      <c r="AK126" s="154" t="s">
        <v>64</v>
      </c>
      <c r="AL126" s="154">
        <v>147256</v>
      </c>
      <c r="AM126" s="154">
        <v>32020</v>
      </c>
      <c r="AN126" s="154">
        <v>122230</v>
      </c>
      <c r="AO126" s="154">
        <v>202138</v>
      </c>
      <c r="AP126" s="154">
        <v>11392</v>
      </c>
      <c r="AQ126" s="154">
        <v>158665</v>
      </c>
      <c r="AR126" s="154">
        <v>159083</v>
      </c>
      <c r="AS126" s="151">
        <v>6</v>
      </c>
    </row>
    <row r="127" spans="12:46">
      <c r="AK127" s="154" t="s">
        <v>89</v>
      </c>
      <c r="AL127" s="154">
        <v>95745</v>
      </c>
      <c r="AM127" s="154">
        <v>158367</v>
      </c>
      <c r="AN127" s="154">
        <v>75327</v>
      </c>
      <c r="AO127" s="154">
        <v>18866</v>
      </c>
      <c r="AP127" s="154">
        <v>250615</v>
      </c>
      <c r="AQ127" s="154">
        <v>47599</v>
      </c>
      <c r="AR127" s="154">
        <v>30304</v>
      </c>
      <c r="AS127" s="151">
        <v>7</v>
      </c>
    </row>
    <row r="128" spans="12:46">
      <c r="AK128" s="37" t="s">
        <v>24</v>
      </c>
      <c r="AL128" s="37">
        <v>160134</v>
      </c>
      <c r="AM128" s="37">
        <v>64904</v>
      </c>
      <c r="AN128" s="37">
        <v>184055</v>
      </c>
      <c r="AO128" s="37">
        <v>199443</v>
      </c>
      <c r="AP128" s="37">
        <v>28479</v>
      </c>
      <c r="AQ128" s="37">
        <v>253864</v>
      </c>
      <c r="AR128" s="37">
        <v>37885</v>
      </c>
      <c r="AS128" s="4">
        <v>8</v>
      </c>
      <c r="AT128" s="9"/>
    </row>
    <row r="129" spans="37:46">
      <c r="AK129" s="37" t="s">
        <v>26</v>
      </c>
      <c r="AL129" s="37">
        <v>45353</v>
      </c>
      <c r="AM129" s="37">
        <v>109905</v>
      </c>
      <c r="AN129" s="37">
        <v>38374</v>
      </c>
      <c r="AO129" s="37">
        <v>48513</v>
      </c>
      <c r="AP129" s="37">
        <v>176570</v>
      </c>
      <c r="AQ129" s="37">
        <v>15866</v>
      </c>
      <c r="AR129" s="37">
        <v>37885</v>
      </c>
      <c r="AS129" s="4">
        <v>9</v>
      </c>
      <c r="AT129" s="9"/>
    </row>
    <row r="130" spans="37:46">
      <c r="AK130" s="37" t="s">
        <v>27</v>
      </c>
      <c r="AL130" s="37">
        <v>180851</v>
      </c>
      <c r="AM130" s="37">
        <v>118558</v>
      </c>
      <c r="AN130" s="37">
        <v>151366</v>
      </c>
      <c r="AO130" s="37">
        <v>159015</v>
      </c>
      <c r="AP130" s="37">
        <v>28479</v>
      </c>
      <c r="AQ130" s="37">
        <v>206264</v>
      </c>
      <c r="AR130" s="37">
        <v>83332</v>
      </c>
      <c r="AS130" s="4">
        <v>10</v>
      </c>
      <c r="AT130" s="9"/>
    </row>
    <row r="131" spans="37:46">
      <c r="AK131" s="37" t="s">
        <v>28</v>
      </c>
      <c r="AL131" s="37">
        <v>98544</v>
      </c>
      <c r="AM131" s="37">
        <v>130674</v>
      </c>
      <c r="AN131" s="37">
        <v>112991</v>
      </c>
      <c r="AO131" s="37">
        <v>43123</v>
      </c>
      <c r="AP131" s="37">
        <v>205048</v>
      </c>
      <c r="AQ131" s="37">
        <v>47599</v>
      </c>
      <c r="AR131" s="37">
        <v>45447</v>
      </c>
      <c r="AS131" s="4">
        <v>11</v>
      </c>
      <c r="AT131" s="9"/>
    </row>
    <row r="132" spans="37:46">
      <c r="AK132" s="37" t="s">
        <v>29</v>
      </c>
      <c r="AL132" s="37">
        <v>149496</v>
      </c>
      <c r="AM132" s="37">
        <v>145385</v>
      </c>
      <c r="AN132" s="37">
        <v>159893</v>
      </c>
      <c r="AO132" s="37">
        <v>161710</v>
      </c>
      <c r="AP132" s="37">
        <v>34175</v>
      </c>
      <c r="AQ132" s="37">
        <v>206264</v>
      </c>
      <c r="AR132" s="37">
        <v>310604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77</v>
      </c>
      <c r="AN133" s="154">
        <v>80</v>
      </c>
      <c r="AO133" s="154">
        <v>355</v>
      </c>
      <c r="AP133" s="154">
        <v>55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232</v>
      </c>
      <c r="AN134" s="154">
        <v>296</v>
      </c>
      <c r="AO134" s="154">
        <v>156</v>
      </c>
      <c r="AP134" s="154">
        <v>55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474</v>
      </c>
      <c r="AN135" s="154">
        <v>1002</v>
      </c>
      <c r="AO135" s="154">
        <v>222</v>
      </c>
      <c r="AP135" s="154">
        <v>74</v>
      </c>
      <c r="AQ135" s="154">
        <v>7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1865</v>
      </c>
      <c r="AN136" s="154">
        <v>467</v>
      </c>
      <c r="AO136" s="154">
        <v>289</v>
      </c>
      <c r="AP136" s="154">
        <v>462</v>
      </c>
      <c r="AQ136" s="154">
        <v>13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408</v>
      </c>
      <c r="AN137" s="154">
        <v>1958</v>
      </c>
      <c r="AO137" s="154">
        <v>1666</v>
      </c>
      <c r="AP137" s="154">
        <v>37</v>
      </c>
      <c r="AQ137" s="154">
        <v>65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2019</v>
      </c>
      <c r="AN138" s="154">
        <v>1207</v>
      </c>
      <c r="AO138" s="154">
        <v>156</v>
      </c>
      <c r="AP138" s="154">
        <v>814</v>
      </c>
      <c r="AQ138" s="154">
        <v>20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828</v>
      </c>
      <c r="AN139" s="37">
        <v>2949</v>
      </c>
      <c r="AO139" s="37">
        <v>1644</v>
      </c>
      <c r="AP139" s="37">
        <v>92</v>
      </c>
      <c r="AQ139" s="37">
        <v>104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1401</v>
      </c>
      <c r="AN140" s="37">
        <v>615</v>
      </c>
      <c r="AO140" s="37">
        <v>400</v>
      </c>
      <c r="AP140" s="37">
        <v>573</v>
      </c>
      <c r="AQ140" s="37">
        <v>7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1512</v>
      </c>
      <c r="AN141" s="37">
        <v>2425</v>
      </c>
      <c r="AO141" s="37">
        <v>1311</v>
      </c>
      <c r="AP141" s="37">
        <v>92</v>
      </c>
      <c r="AQ141" s="37">
        <v>85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1666</v>
      </c>
      <c r="AN142" s="37">
        <v>1810</v>
      </c>
      <c r="AO142" s="37">
        <v>355</v>
      </c>
      <c r="AP142" s="37">
        <v>666</v>
      </c>
      <c r="AQ142" s="37">
        <v>20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1854</v>
      </c>
      <c r="AN143" s="37">
        <v>2561</v>
      </c>
      <c r="AO143" s="37">
        <v>1333</v>
      </c>
      <c r="AP143" s="37">
        <v>111</v>
      </c>
      <c r="AQ143" s="37">
        <v>85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topLeftCell="A4" zoomScaleNormal="100" workbookViewId="0">
      <selection activeCell="N4" sqref="N4:N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M1</t>
        </is>
      </c>
      <c r="O4" s="156" t="inlineStr">
        <is>
          <t>K</t>
        </is>
      </c>
      <c r="P4" s="156" t="inlineStr">
        <is>
          <t>M5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M1</t>
        </is>
      </c>
      <c r="O5" s="38" t="inlineStr">
        <is>
          <t>K</t>
        </is>
      </c>
      <c r="P5" s="38" t="inlineStr">
        <is>
          <t>A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121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M1</t>
        </is>
      </c>
      <c r="O6" s="38" t="inlineStr">
        <is>
          <t>M2</t>
        </is>
      </c>
      <c r="P6" s="38" t="inlineStr">
        <is>
          <t>A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0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M1</t>
        </is>
      </c>
      <c r="O7" s="38" t="inlineStr">
        <is>
          <t>A</t>
        </is>
      </c>
      <c r="P7" s="38" t="inlineStr">
        <is>
          <t>A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0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M1</t>
        </is>
      </c>
      <c r="O8" s="38" t="inlineStr">
        <is>
          <t>G3</t>
        </is>
      </c>
      <c r="P8" s="38" t="inlineStr">
        <is>
          <t>Q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0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M1</t>
        </is>
      </c>
      <c r="O9" s="38" t="inlineStr">
        <is>
          <t>M3</t>
        </is>
      </c>
      <c r="P9" s="38" t="inlineStr">
        <is>
          <t>Q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0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M1</t>
        </is>
      </c>
      <c r="O10" s="38" t="inlineStr">
        <is>
          <t>A</t>
        </is>
      </c>
      <c r="P10" s="38" t="inlineStr">
        <is>
          <t>Q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M1</t>
        </is>
      </c>
      <c r="O11" s="38" t="inlineStr">
        <is>
          <t>K</t>
        </is>
      </c>
      <c r="P11" s="38" t="inlineStr">
        <is>
          <t>TE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0</v>
      </c>
      <c r="E12" s="10">
        <f t="shared" si="1"/>
        <v>21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M1</t>
        </is>
      </c>
      <c r="O12" s="38" t="inlineStr">
        <is>
          <t>K</t>
        </is>
      </c>
      <c r="P12" s="38" t="inlineStr">
        <is>
          <t>M5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0</v>
      </c>
      <c r="E13" s="10">
        <f t="shared" si="1"/>
        <v>19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M1</t>
        </is>
      </c>
      <c r="O13" s="38" t="inlineStr">
        <is>
          <t>M3</t>
        </is>
      </c>
      <c r="P13" s="38" t="inlineStr">
        <is>
          <t>Q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0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M1</t>
        </is>
      </c>
      <c r="O14" s="38" t="inlineStr">
        <is>
          <t>J</t>
        </is>
      </c>
      <c r="P14" s="38" t="inlineStr">
        <is>
          <t>G5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0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TE</t>
        </is>
      </c>
      <c r="N15" s="38" t="inlineStr">
        <is>
          <t>M1</t>
        </is>
      </c>
      <c r="O15" s="38" t="inlineStr">
        <is>
          <t>J</t>
        </is>
      </c>
      <c r="P15" s="38" t="inlineStr">
        <is>
          <t>GA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0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M1</t>
        </is>
      </c>
      <c r="O16" s="38" t="inlineStr">
        <is>
          <t>G2</t>
        </is>
      </c>
      <c r="P16" s="38" t="inlineStr">
        <is>
          <t>A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M1</t>
        </is>
      </c>
      <c r="O17" s="38" t="inlineStr">
        <is>
          <t>GQ</t>
        </is>
      </c>
      <c r="P17" s="38" t="inlineStr">
        <is>
          <t>A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M1</t>
        </is>
      </c>
      <c r="O18" s="38" t="inlineStr">
        <is>
          <t>Q</t>
        </is>
      </c>
      <c r="P18" s="38" t="inlineStr">
        <is>
          <t>M6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M1</t>
        </is>
      </c>
      <c r="O19" s="38" t="inlineStr">
        <is>
          <t>M4</t>
        </is>
      </c>
      <c r="P19" s="38" t="inlineStr">
        <is>
          <t>G6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2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M1</t>
        </is>
      </c>
      <c r="O20" s="38" t="inlineStr">
        <is>
          <t>M4</t>
        </is>
      </c>
      <c r="P20" s="38" t="inlineStr">
        <is>
          <t>Q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0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M1</t>
        </is>
      </c>
      <c r="O21" s="38" t="inlineStr">
        <is>
          <t>G4</t>
        </is>
      </c>
      <c r="P21" s="38" t="inlineStr">
        <is>
          <t>G2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0</v>
      </c>
      <c r="E22" s="153">
        <f t="shared" si="4"/>
        <v>1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M1</t>
        </is>
      </c>
      <c r="O22" s="38" t="inlineStr">
        <is>
          <t>K</t>
        </is>
      </c>
      <c r="P22" s="38" t="inlineStr">
        <is>
          <t>M3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0</v>
      </c>
      <c r="E23" s="10">
        <f t="shared" si="4"/>
        <v>2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M1</t>
        </is>
      </c>
      <c r="O23" s="38" t="inlineStr">
        <is>
          <t>A</t>
        </is>
      </c>
      <c r="P23" s="38" t="inlineStr">
        <is>
          <t>M3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0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M1</t>
        </is>
      </c>
      <c r="O24" s="38" t="inlineStr">
        <is>
          <t>GA</t>
        </is>
      </c>
      <c r="P24" s="38" t="inlineStr">
        <is>
          <t>Q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0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M1</t>
        </is>
      </c>
      <c r="O25" s="38" t="inlineStr">
        <is>
          <t>M4</t>
        </is>
      </c>
      <c r="P25" s="38" t="inlineStr">
        <is>
          <t>TE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0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M1</t>
        </is>
      </c>
      <c r="O26" s="38" t="inlineStr">
        <is>
          <t>M4</t>
        </is>
      </c>
      <c r="P26" s="38" t="inlineStr">
        <is>
          <t>TE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M1</t>
        </is>
      </c>
      <c r="O27" s="38" t="inlineStr">
        <is>
          <t>M4</t>
        </is>
      </c>
      <c r="P27" s="38" t="inlineStr">
        <is>
          <t>TE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0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M1</t>
        </is>
      </c>
      <c r="O28" s="38" t="inlineStr">
        <is>
          <t>J</t>
        </is>
      </c>
      <c r="P28" s="38" t="inlineStr">
        <is>
          <t>M5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0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M1</t>
        </is>
      </c>
      <c r="O29" s="38" t="inlineStr">
        <is>
          <t>J</t>
        </is>
      </c>
      <c r="P29" s="38" t="inlineStr">
        <is>
          <t>M5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M1</t>
        </is>
      </c>
      <c r="O30" s="38" t="inlineStr">
        <is>
          <t>M6</t>
        </is>
      </c>
      <c r="P30" s="38" t="inlineStr">
        <is>
          <t>Q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M1</t>
        </is>
      </c>
      <c r="O31" s="38" t="inlineStr">
        <is>
          <t>M3</t>
        </is>
      </c>
      <c r="P31" s="38" t="inlineStr">
        <is>
          <t>Q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M1</t>
        </is>
      </c>
      <c r="O32" s="38" t="inlineStr">
        <is>
          <t>G4</t>
        </is>
      </c>
      <c r="P32" s="38" t="inlineStr">
        <is>
          <t>G3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M1</t>
        </is>
      </c>
      <c r="O33" s="38" t="inlineStr">
        <is>
          <t>M4</t>
        </is>
      </c>
      <c r="P33" s="38" t="inlineStr">
        <is>
          <t>Q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M1</t>
        </is>
      </c>
      <c r="O34" s="38" t="inlineStr">
        <is>
          <t>J</t>
        </is>
      </c>
      <c r="P34" s="38" t="inlineStr">
        <is>
          <t>K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M1</t>
        </is>
      </c>
      <c r="O35" s="38" t="inlineStr">
        <is>
          <t>J</t>
        </is>
      </c>
      <c r="P35" s="38" t="inlineStr">
        <is>
          <t>GK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M1</t>
        </is>
      </c>
      <c r="O36" s="38" t="inlineStr">
        <is>
          <t>A</t>
        </is>
      </c>
      <c r="P36" s="38" t="inlineStr">
        <is>
          <t>A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M5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M1</t>
        </is>
      </c>
      <c r="O37" s="38" t="inlineStr">
        <is>
          <t>J</t>
        </is>
      </c>
      <c r="P37" s="38" t="inlineStr">
        <is>
          <t>Q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M1</t>
        </is>
      </c>
      <c r="O38" s="38" t="inlineStr">
        <is>
          <t>M4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M1</t>
        </is>
      </c>
      <c r="O39" s="38" t="inlineStr">
        <is>
          <t>M4</t>
        </is>
      </c>
      <c r="P39" s="38" t="inlineStr">
        <is>
          <t>M5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TE</t>
        </is>
      </c>
      <c r="N40" s="195" t="inlineStr">
        <is>
          <t>M1</t>
        </is>
      </c>
      <c r="O40" s="37" t="inlineStr">
        <is>
          <t>J</t>
        </is>
      </c>
      <c r="P40" s="37" t="inlineStr">
        <is>
          <t>M5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M1</t>
        </is>
      </c>
      <c r="O41" s="38" t="inlineStr">
        <is>
          <t>J</t>
        </is>
      </c>
      <c r="P41" s="38" t="inlineStr">
        <is>
          <t>M5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M1</t>
        </is>
      </c>
      <c r="O42" s="38" t="inlineStr">
        <is>
          <t>M4</t>
        </is>
      </c>
      <c r="P42" s="38" t="inlineStr">
        <is>
          <t>Q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M1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M1</t>
        </is>
      </c>
      <c r="O44" s="38" t="inlineStr">
        <is>
          <t>J</t>
        </is>
      </c>
      <c r="P44" s="38" t="inlineStr">
        <is>
          <t>TE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M1</t>
        </is>
      </c>
      <c r="O45" s="38" t="inlineStr">
        <is>
          <t>J</t>
        </is>
      </c>
      <c r="P45" s="38" t="inlineStr">
        <is>
          <t>TE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M1</t>
        </is>
      </c>
      <c r="O46" s="38" t="inlineStr">
        <is>
          <t>G6</t>
        </is>
      </c>
      <c r="P46" s="38" t="inlineStr">
        <is>
          <t>TE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M1</t>
        </is>
      </c>
      <c r="O47" s="38" t="inlineStr">
        <is>
          <t>A</t>
        </is>
      </c>
      <c r="P47" s="38" t="inlineStr">
        <is>
          <t>Q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M1</t>
        </is>
      </c>
      <c r="O48" s="38" t="inlineStr">
        <is>
          <t>K</t>
        </is>
      </c>
      <c r="P48" s="38" t="inlineStr">
        <is>
          <t>Q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M1</t>
        </is>
      </c>
      <c r="O49" s="38" t="inlineStr">
        <is>
          <t>GK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M1</t>
        </is>
      </c>
      <c r="O50" s="38" t="inlineStr">
        <is>
          <t>M2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M1</t>
        </is>
      </c>
      <c r="O51" s="38" t="inlineStr">
        <is>
          <t>A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M1</t>
        </is>
      </c>
      <c r="O52" s="38" t="inlineStr">
        <is>
          <t>A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M1</t>
        </is>
      </c>
      <c r="O53" s="38" t="inlineStr">
        <is>
          <t>J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M1</t>
        </is>
      </c>
      <c r="O54" s="38" t="inlineStr">
        <is>
          <t>J</t>
        </is>
      </c>
      <c r="P54" s="38" t="inlineStr">
        <is>
          <t>M3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M1</t>
        </is>
      </c>
      <c r="O55" s="38" t="inlineStr">
        <is>
          <t>M5</t>
        </is>
      </c>
      <c r="P55" s="38" t="inlineStr">
        <is>
          <t>M3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M1</t>
        </is>
      </c>
      <c r="O56" s="38" t="inlineStr">
        <is>
          <t>K</t>
        </is>
      </c>
      <c r="P56" s="38" t="inlineStr">
        <is>
          <t>J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M1</t>
        </is>
      </c>
      <c r="O57" s="38" t="inlineStr">
        <is>
          <t>K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M1</t>
        </is>
      </c>
      <c r="O58" s="38" t="inlineStr">
        <is>
          <t>M4</t>
        </is>
      </c>
      <c r="P58" s="38" t="inlineStr">
        <is>
          <t>M5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M1</t>
        </is>
      </c>
      <c r="O59" s="38" t="inlineStr">
        <is>
          <t>J</t>
        </is>
      </c>
      <c r="P59" s="38" t="inlineStr">
        <is>
          <t>M5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M1</t>
        </is>
      </c>
      <c r="O60" s="38" t="inlineStr">
        <is>
          <t>J</t>
        </is>
      </c>
      <c r="P60" s="38" t="inlineStr">
        <is>
          <t>G5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M1</t>
        </is>
      </c>
      <c r="O61" s="38" t="inlineStr">
        <is>
          <t>TE</t>
        </is>
      </c>
      <c r="P61" s="38" t="inlineStr">
        <is>
          <t>M4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M1</t>
        </is>
      </c>
      <c r="O62" s="38" t="inlineStr">
        <is>
          <t>A</t>
        </is>
      </c>
      <c r="P62" s="38" t="inlineStr">
        <is>
          <t>A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M1</t>
        </is>
      </c>
      <c r="O63" s="38" t="inlineStr">
        <is>
          <t>TE</t>
        </is>
      </c>
      <c r="P63" s="38" t="inlineStr">
        <is>
          <t>M3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M1</t>
        </is>
      </c>
      <c r="O64" s="38" t="inlineStr">
        <is>
          <t>GT</t>
        </is>
      </c>
      <c r="P64" s="38" t="inlineStr">
        <is>
          <t>M3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M1</t>
        </is>
      </c>
      <c r="O65" s="38" t="inlineStr">
        <is>
          <t>K</t>
        </is>
      </c>
      <c r="P65" s="38" t="inlineStr">
        <is>
          <t>M3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M1</t>
        </is>
      </c>
      <c r="O66" s="38" t="inlineStr">
        <is>
          <t>K</t>
        </is>
      </c>
      <c r="P66" s="38" t="inlineStr">
        <is>
          <t>Q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inlineStr">
        <is>
          <t>TE</t>
        </is>
      </c>
      <c r="N67" s="38" t="inlineStr">
        <is>
          <t>M1</t>
        </is>
      </c>
      <c r="O67" s="38" t="inlineStr">
        <is>
          <t>K</t>
        </is>
      </c>
      <c r="P67" s="38" t="inlineStr">
        <is>
          <t>Q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inlineStr">
        <is>
          <t>M3</t>
        </is>
      </c>
      <c r="N68" s="38" t="inlineStr">
        <is>
          <t>M1</t>
        </is>
      </c>
      <c r="O68" s="38" t="inlineStr">
        <is>
          <t>M4</t>
        </is>
      </c>
      <c r="P68" s="38" t="inlineStr">
        <is>
          <t>TE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100</v>
      </c>
      <c r="L69" s="14">
        <v>65</v>
      </c>
      <c r="M69" s="38" t="inlineStr">
        <is>
          <t>Q</t>
        </is>
      </c>
      <c r="N69" s="38" t="inlineStr">
        <is>
          <t>M1</t>
        </is>
      </c>
      <c r="O69" s="38" t="inlineStr">
        <is>
          <t>A</t>
        </is>
      </c>
      <c r="P69" s="38" t="inlineStr">
        <is>
          <t>TE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inlineStr">
        <is>
          <t>Q</t>
        </is>
      </c>
      <c r="N70" s="38" t="inlineStr">
        <is>
          <t>M1</t>
        </is>
      </c>
      <c r="O70" s="38" t="inlineStr">
        <is>
          <t>A</t>
        </is>
      </c>
      <c r="P70" s="38" t="inlineStr">
        <is>
          <t>TE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15</v>
      </c>
      <c r="L71" s="14">
        <v>67</v>
      </c>
      <c r="M71" s="38" t="inlineStr">
        <is>
          <t>M4</t>
        </is>
      </c>
      <c r="N71" s="38" t="inlineStr">
        <is>
          <t>M1</t>
        </is>
      </c>
      <c r="O71" s="38" t="inlineStr">
        <is>
          <t>A</t>
        </is>
      </c>
      <c r="P71" s="38" t="inlineStr">
        <is>
          <t>K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M1</t>
        </is>
      </c>
      <c r="O72" s="38" t="inlineStr">
        <is>
          <t>J</t>
        </is>
      </c>
      <c r="P72" s="38" t="inlineStr">
        <is>
          <t>G5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M1</t>
        </is>
      </c>
      <c r="O73" s="38" t="inlineStr">
        <is>
          <t>J</t>
        </is>
      </c>
      <c r="P73" s="38" t="inlineStr">
        <is>
          <t>M5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M1</t>
        </is>
      </c>
      <c r="O74" s="38" t="inlineStr">
        <is>
          <t>J</t>
        </is>
      </c>
      <c r="P74" s="38" t="inlineStr">
        <is>
          <t>M5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M1</t>
        </is>
      </c>
      <c r="O75" s="38" t="inlineStr">
        <is>
          <t>K</t>
        </is>
      </c>
      <c r="P75" s="38" t="inlineStr">
        <is>
          <t>A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M1</t>
        </is>
      </c>
      <c r="O76" s="38" t="inlineStr">
        <is>
          <t>M4</t>
        </is>
      </c>
      <c r="P76" s="38" t="inlineStr">
        <is>
          <t>M5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M1</t>
        </is>
      </c>
      <c r="O77" s="38" t="inlineStr">
        <is>
          <t>J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M1</t>
        </is>
      </c>
      <c r="O78" s="38" t="inlineStr">
        <is>
          <t>J</t>
        </is>
      </c>
      <c r="P78" s="38" t="inlineStr">
        <is>
          <t>J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M1</t>
        </is>
      </c>
      <c r="O79" s="38" t="inlineStr">
        <is>
          <t>A</t>
        </is>
      </c>
      <c r="P79" s="38" t="inlineStr">
        <is>
          <t>GJ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M1</t>
        </is>
      </c>
      <c r="O80" s="38" t="inlineStr">
        <is>
          <t>K</t>
        </is>
      </c>
      <c r="P80" s="38" t="inlineStr">
        <is>
          <t>TE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M1</t>
        </is>
      </c>
      <c r="O81" s="38" t="inlineStr">
        <is>
          <t>K</t>
        </is>
      </c>
      <c r="P81" s="38" t="inlineStr">
        <is>
          <t>TE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M1</t>
        </is>
      </c>
      <c r="O82" s="38" t="inlineStr">
        <is>
          <t>K</t>
        </is>
      </c>
      <c r="P82" s="38" t="inlineStr">
        <is>
          <t>A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M1</t>
        </is>
      </c>
      <c r="O83" s="38" t="inlineStr">
        <is>
          <t>M4</t>
        </is>
      </c>
      <c r="P83" s="38" t="inlineStr">
        <is>
          <t>G4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M1</t>
        </is>
      </c>
      <c r="O84" s="38" t="inlineStr">
        <is>
          <t>J</t>
        </is>
      </c>
      <c r="P84" s="38" t="inlineStr">
        <is>
          <t>M4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M1</t>
        </is>
      </c>
      <c r="O85" s="38" t="inlineStr">
        <is>
          <t>M2</t>
        </is>
      </c>
      <c r="P85" s="38" t="inlineStr">
        <is>
          <t>M5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M1</t>
        </is>
      </c>
      <c r="O86" s="38" t="inlineStr">
        <is>
          <t>M2</t>
        </is>
      </c>
      <c r="P86" s="38" t="inlineStr">
        <is>
          <t>Q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M1</t>
        </is>
      </c>
      <c r="O87" s="38" t="inlineStr">
        <is>
          <t>M2</t>
        </is>
      </c>
      <c r="P87" s="38" t="inlineStr">
        <is>
          <t>M4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M1</t>
        </is>
      </c>
      <c r="O88" s="38" t="inlineStr">
        <is>
          <t>M4</t>
        </is>
      </c>
      <c r="P88" s="38" t="inlineStr">
        <is>
          <t>Q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M1</t>
        </is>
      </c>
      <c r="O89" s="38" t="inlineStr">
        <is>
          <t>GA</t>
        </is>
      </c>
      <c r="P89" s="38" t="inlineStr">
        <is>
          <t>Q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M1</t>
        </is>
      </c>
      <c r="O90" s="38" t="inlineStr">
        <is>
          <t>A</t>
        </is>
      </c>
      <c r="P90" s="38" t="inlineStr">
        <is>
          <t>Q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M1</t>
        </is>
      </c>
      <c r="O91" s="38" t="inlineStr">
        <is>
          <t>A</t>
        </is>
      </c>
      <c r="P91" s="38" t="inlineStr">
        <is>
          <t>TE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M1</t>
        </is>
      </c>
      <c r="O92" s="38" t="inlineStr">
        <is>
          <t>J</t>
        </is>
      </c>
      <c r="P92" s="38" t="inlineStr">
        <is>
          <t>TE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M1</t>
        </is>
      </c>
      <c r="O93" s="38" t="inlineStr">
        <is>
          <t>J</t>
        </is>
      </c>
      <c r="P93" s="38" t="inlineStr">
        <is>
          <t>TE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M1</t>
        </is>
      </c>
      <c r="O94" s="38" t="inlineStr">
        <is>
          <t>M4</t>
        </is>
      </c>
      <c r="P94" s="38" t="inlineStr">
        <is>
          <t>M5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M1</t>
        </is>
      </c>
      <c r="O95" s="38" t="inlineStr">
        <is>
          <t>J</t>
        </is>
      </c>
      <c r="P95" s="38" t="inlineStr">
        <is>
          <t>M5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M1</t>
        </is>
      </c>
      <c r="O96" s="38" t="inlineStr">
        <is>
          <t>J</t>
        </is>
      </c>
      <c r="P96" s="38" t="inlineStr">
        <is>
          <t>M5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M1</t>
        </is>
      </c>
      <c r="O97" s="38" t="inlineStr">
        <is>
          <t>TE</t>
        </is>
      </c>
      <c r="P97" s="38" t="inlineStr">
        <is>
          <t>TE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M1</t>
        </is>
      </c>
      <c r="O98" s="38" t="inlineStr">
        <is>
          <t>J</t>
        </is>
      </c>
      <c r="P98" s="38" t="inlineStr">
        <is>
          <t>TE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M1</t>
        </is>
      </c>
      <c r="O99" s="38" t="inlineStr">
        <is>
          <t>J</t>
        </is>
      </c>
      <c r="P99" s="38" t="inlineStr">
        <is>
          <t>G6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M1</t>
        </is>
      </c>
      <c r="O100" s="38" t="inlineStr">
        <is>
          <t>J</t>
        </is>
      </c>
      <c r="P100" s="38" t="inlineStr">
        <is>
          <t>M6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M1</t>
        </is>
      </c>
      <c r="O101" s="38" t="inlineStr">
        <is>
          <t>A</t>
        </is>
      </c>
      <c r="P101" s="38" t="inlineStr">
        <is>
          <t>M6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M1</t>
        </is>
      </c>
      <c r="O102" s="38" t="inlineStr">
        <is>
          <t>Q</t>
        </is>
      </c>
      <c r="P102" s="38" t="inlineStr">
        <is>
          <t>Q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M1</t>
        </is>
      </c>
      <c r="O103" s="38" t="inlineStr">
        <is>
          <t>K</t>
        </is>
      </c>
      <c r="P103" s="38" t="inlineStr">
        <is>
          <t>Q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M1</t>
        </is>
      </c>
      <c r="O104" s="38" t="inlineStr">
        <is>
          <t>K</t>
        </is>
      </c>
      <c r="P104" s="38" t="inlineStr">
        <is>
          <t>GQ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M1</t>
        </is>
      </c>
      <c r="O105" s="38" t="inlineStr">
        <is>
          <t>J</t>
        </is>
      </c>
      <c r="P105" s="38" t="inlineStr">
        <is>
          <t>M5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M1</t>
        </is>
      </c>
      <c r="O106" s="38" t="inlineStr">
        <is>
          <t>J</t>
        </is>
      </c>
      <c r="P106" s="38" t="inlineStr">
        <is>
          <t>A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M1</t>
        </is>
      </c>
      <c r="O107" s="38" t="inlineStr">
        <is>
          <t>TE</t>
        </is>
      </c>
      <c r="P107" s="38" t="inlineStr">
        <is>
          <t>Q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M1</t>
        </is>
      </c>
      <c r="O108" s="38" t="inlineStr">
        <is>
          <t>M2</t>
        </is>
      </c>
      <c r="P108" s="38" t="inlineStr">
        <is>
          <t>Q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M1</t>
        </is>
      </c>
      <c r="O109" s="38" t="inlineStr">
        <is>
          <t>M2</t>
        </is>
      </c>
      <c r="P109" s="38" t="inlineStr">
        <is>
          <t>M3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M1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M1</t>
        </is>
      </c>
      <c r="O111" s="38" t="inlineStr">
        <is>
          <t>J</t>
        </is>
      </c>
      <c r="P111" s="38" t="inlineStr">
        <is>
          <t>J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M1</t>
        </is>
      </c>
      <c r="O112" s="38" t="inlineStr">
        <is>
          <t>J</t>
        </is>
      </c>
      <c r="P112" s="38" t="inlineStr">
        <is>
          <t>TE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M1</t>
        </is>
      </c>
      <c r="O113" s="38" t="inlineStr">
        <is>
          <t>A</t>
        </is>
      </c>
      <c r="P113" s="38" t="inlineStr">
        <is>
          <t>M5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M1</t>
        </is>
      </c>
      <c r="O114" s="38" t="inlineStr">
        <is>
          <t>A</t>
        </is>
      </c>
      <c r="P114" s="38" t="inlineStr">
        <is>
          <t>M5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M1</t>
        </is>
      </c>
      <c r="O115" s="38" t="inlineStr">
        <is>
          <t>GJ</t>
        </is>
      </c>
      <c r="P115" s="38" t="inlineStr">
        <is>
          <t>K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M1</t>
        </is>
      </c>
      <c r="O116" s="38" t="inlineStr">
        <is>
          <t>J</t>
        </is>
      </c>
      <c r="P116" s="38" t="inlineStr">
        <is>
          <t>GT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M1</t>
        </is>
      </c>
      <c r="O117" s="38" t="inlineStr">
        <is>
          <t>A</t>
        </is>
      </c>
      <c r="P117" s="38" t="inlineStr">
        <is>
          <t>J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M1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M1</t>
        </is>
      </c>
      <c r="O119" s="38" t="inlineStr">
        <is>
          <t>M4</t>
        </is>
      </c>
      <c r="P119" s="38" t="inlineStr">
        <is>
          <t>G5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M1</t>
        </is>
      </c>
      <c r="O120" s="38" t="inlineStr">
        <is>
          <t>A</t>
        </is>
      </c>
      <c r="P120" s="38" t="inlineStr">
        <is>
          <t>M5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M1</t>
        </is>
      </c>
      <c r="O121" s="38" t="inlineStr">
        <is>
          <t>A</t>
        </is>
      </c>
      <c r="P121" s="38" t="inlineStr">
        <is>
          <t>Q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M1</t>
        </is>
      </c>
      <c r="O122" s="38" t="inlineStr">
        <is>
          <t>J</t>
        </is>
      </c>
      <c r="P122" s="38" t="inlineStr">
        <is>
          <t>Q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M1</t>
        </is>
      </c>
      <c r="O123" s="38" t="inlineStr">
        <is>
          <t>K</t>
        </is>
      </c>
      <c r="P123" s="38" t="inlineStr">
        <is>
          <t>M5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M1</t>
        </is>
      </c>
      <c r="O124" s="38" t="inlineStr">
        <is>
          <t>A</t>
        </is>
      </c>
      <c r="P124" s="38" t="inlineStr">
        <is>
          <t>M5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topLeftCell="A4" zoomScaleNormal="100" workbookViewId="0">
      <selection activeCell="P4" sqref="P4:P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M6</t>
        </is>
      </c>
      <c r="O4" s="156" t="inlineStr">
        <is>
          <t>K</t>
        </is>
      </c>
      <c r="P4" s="156" t="inlineStr">
        <is>
          <t>M2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J</t>
        </is>
      </c>
      <c r="O5" s="38" t="inlineStr">
        <is>
          <t>K</t>
        </is>
      </c>
      <c r="P5" s="38" t="inlineStr">
        <is>
          <t>M2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1</v>
      </c>
      <c r="D6" s="153">
        <f t="shared" si="1"/>
        <v>0</v>
      </c>
      <c r="E6" s="153">
        <f t="shared" si="1"/>
        <v>1</v>
      </c>
      <c r="F6" s="153">
        <f t="shared" si="1"/>
        <v>0</v>
      </c>
      <c r="G6" s="153">
        <f t="shared" si="1"/>
        <v>0</v>
      </c>
      <c r="H6" s="153">
        <f t="shared" si="1"/>
        <v>1</v>
      </c>
      <c r="I6" s="153">
        <f t="shared" si="1"/>
        <v>1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TE</t>
        </is>
      </c>
      <c r="O6" s="38" t="inlineStr">
        <is>
          <t>M2</t>
        </is>
      </c>
      <c r="P6" s="38" t="inlineStr">
        <is>
          <t>M2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121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Q</t>
        </is>
      </c>
      <c r="O7" s="38" t="inlineStr">
        <is>
          <t>A</t>
        </is>
      </c>
      <c r="P7" s="38" t="inlineStr">
        <is>
          <t>M2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0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TE</t>
        </is>
      </c>
      <c r="O8" s="38" t="inlineStr">
        <is>
          <t>G3</t>
        </is>
      </c>
      <c r="P8" s="38" t="inlineStr">
        <is>
          <t>M2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0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M2</t>
        </is>
      </c>
      <c r="O9" s="38" t="inlineStr">
        <is>
          <t>M3</t>
        </is>
      </c>
      <c r="P9" s="38" t="inlineStr">
        <is>
          <t>M2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0</v>
      </c>
      <c r="G10" s="153">
        <f t="shared" si="1"/>
        <v>6</v>
      </c>
      <c r="H10" s="153">
        <f t="shared" si="1"/>
        <v>27</v>
      </c>
      <c r="I10" s="153">
        <f t="shared" si="1"/>
        <v>13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M2</t>
        </is>
      </c>
      <c r="O10" s="38" t="inlineStr">
        <is>
          <t>A</t>
        </is>
      </c>
      <c r="P10" s="38" t="inlineStr">
        <is>
          <t>M2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0</v>
      </c>
      <c r="G11" s="153">
        <f t="shared" si="1"/>
        <v>28</v>
      </c>
      <c r="H11" s="153">
        <f t="shared" si="1"/>
        <v>2</v>
      </c>
      <c r="I11" s="153">
        <f t="shared" si="1"/>
        <v>8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M6</t>
        </is>
      </c>
      <c r="O11" s="38" t="inlineStr">
        <is>
          <t>K</t>
        </is>
      </c>
      <c r="P11" s="38" t="inlineStr">
        <is>
          <t>M2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M6</t>
        </is>
      </c>
      <c r="O12" s="38" t="inlineStr">
        <is>
          <t>M1</t>
        </is>
      </c>
      <c r="P12" s="38" t="inlineStr">
        <is>
          <t>M2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18</v>
      </c>
      <c r="F13" s="10">
        <f t="shared" si="1"/>
        <v>0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G5</t>
        </is>
      </c>
      <c r="O13" s="38" t="inlineStr">
        <is>
          <t>M3</t>
        </is>
      </c>
      <c r="P13" s="38" t="inlineStr">
        <is>
          <t>M2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0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M5</t>
        </is>
      </c>
      <c r="O14" s="38" t="inlineStr">
        <is>
          <t>J</t>
        </is>
      </c>
      <c r="P14" s="38" t="inlineStr">
        <is>
          <t>M2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0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M1</t>
        </is>
      </c>
      <c r="N15" s="38" t="inlineStr">
        <is>
          <t>M5</t>
        </is>
      </c>
      <c r="O15" s="38" t="inlineStr">
        <is>
          <t>J</t>
        </is>
      </c>
      <c r="P15" s="38" t="inlineStr">
        <is>
          <t>M2</t>
        </is>
      </c>
      <c r="Q15" s="38" t="inlineStr">
        <is>
          <t>K</t>
        </is>
      </c>
      <c r="R15" s="38" t="inlineStr">
        <is>
          <t>M1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29</v>
      </c>
      <c r="D16" s="10">
        <f t="shared" si="1"/>
        <v>16</v>
      </c>
      <c r="E16" s="10">
        <f t="shared" si="1"/>
        <v>5</v>
      </c>
      <c r="F16" s="10">
        <f t="shared" si="1"/>
        <v>0</v>
      </c>
      <c r="G16" s="10">
        <f t="shared" si="1"/>
        <v>5</v>
      </c>
      <c r="H16" s="10">
        <f t="shared" si="1"/>
        <v>21</v>
      </c>
      <c r="I16" s="10">
        <f t="shared" si="1"/>
        <v>18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G2</t>
        </is>
      </c>
      <c r="P16" s="38" t="inlineStr">
        <is>
          <t>M2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Q</t>
        </is>
      </c>
      <c r="O17" s="38" t="inlineStr">
        <is>
          <t>GQ</t>
        </is>
      </c>
      <c r="P17" s="38" t="inlineStr">
        <is>
          <t>M2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0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G6</t>
        </is>
      </c>
      <c r="O18" s="38" t="inlineStr">
        <is>
          <t>Q</t>
        </is>
      </c>
      <c r="P18" s="38" t="inlineStr">
        <is>
          <t>M2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0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M6</t>
        </is>
      </c>
      <c r="O19" s="38" t="inlineStr">
        <is>
          <t>M4</t>
        </is>
      </c>
      <c r="P19" s="38" t="inlineStr">
        <is>
          <t>M2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2</v>
      </c>
      <c r="F20" s="153">
        <f t="shared" ref="F20:F29" si="5">COUNTIF(P$4:P$304,$A20)</f>
        <v>0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M5</t>
        </is>
      </c>
      <c r="O20" s="38" t="inlineStr">
        <is>
          <t>M4</t>
        </is>
      </c>
      <c r="P20" s="38" t="inlineStr">
        <is>
          <t>M2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0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M5</t>
        </is>
      </c>
      <c r="O21" s="38" t="inlineStr">
        <is>
          <t>G4</t>
        </is>
      </c>
      <c r="P21" s="38" t="inlineStr">
        <is>
          <t>M2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1</v>
      </c>
      <c r="F22" s="153">
        <f t="shared" si="5"/>
        <v>0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GT</t>
        </is>
      </c>
      <c r="O22" s="38" t="inlineStr">
        <is>
          <t>K</t>
        </is>
      </c>
      <c r="P22" s="38" t="inlineStr">
        <is>
          <t>M2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2</v>
      </c>
      <c r="F23" s="10">
        <f t="shared" si="5"/>
        <v>0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Q</t>
        </is>
      </c>
      <c r="O23" s="38" t="inlineStr">
        <is>
          <t>A</t>
        </is>
      </c>
      <c r="P23" s="38" t="inlineStr">
        <is>
          <t>M2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0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Q</t>
        </is>
      </c>
      <c r="O24" s="38" t="inlineStr">
        <is>
          <t>GA</t>
        </is>
      </c>
      <c r="P24" s="38" t="inlineStr">
        <is>
          <t>M2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0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Q</t>
        </is>
      </c>
      <c r="O25" s="38" t="inlineStr">
        <is>
          <t>M4</t>
        </is>
      </c>
      <c r="P25" s="38" t="inlineStr">
        <is>
          <t>M2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TE</t>
        </is>
      </c>
      <c r="O26" s="38" t="inlineStr">
        <is>
          <t>M4</t>
        </is>
      </c>
      <c r="P26" s="38" t="inlineStr">
        <is>
          <t>M2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0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M4</t>
        </is>
      </c>
      <c r="P27" s="38" t="inlineStr">
        <is>
          <t>M2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TE</t>
        </is>
      </c>
      <c r="O28" s="38" t="inlineStr">
        <is>
          <t>J</t>
        </is>
      </c>
      <c r="P28" s="38" t="inlineStr">
        <is>
          <t>M2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M1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M6</t>
        </is>
      </c>
      <c r="O29" s="38" t="inlineStr">
        <is>
          <t>J</t>
        </is>
      </c>
      <c r="P29" s="38" t="inlineStr">
        <is>
          <t>M2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M6</t>
        </is>
      </c>
      <c r="O30" s="38" t="inlineStr">
        <is>
          <t>M6</t>
        </is>
      </c>
      <c r="P30" s="38" t="inlineStr">
        <is>
          <t>M2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A</t>
        </is>
      </c>
      <c r="O31" s="38" t="inlineStr">
        <is>
          <t>M3</t>
        </is>
      </c>
      <c r="P31" s="38" t="inlineStr">
        <is>
          <t>M2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A</t>
        </is>
      </c>
      <c r="O32" s="38" t="inlineStr">
        <is>
          <t>G4</t>
        </is>
      </c>
      <c r="P32" s="38" t="inlineStr">
        <is>
          <t>M2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A</t>
        </is>
      </c>
      <c r="O33" s="38" t="inlineStr">
        <is>
          <t>M4</t>
        </is>
      </c>
      <c r="P33" s="38" t="inlineStr">
        <is>
          <t>M2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J</t>
        </is>
      </c>
      <c r="O34" s="38" t="inlineStr">
        <is>
          <t>J</t>
        </is>
      </c>
      <c r="P34" s="38" t="inlineStr">
        <is>
          <t>M2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Q</t>
        </is>
      </c>
      <c r="O35" s="38" t="inlineStr">
        <is>
          <t>J</t>
        </is>
      </c>
      <c r="P35" s="38" t="inlineStr">
        <is>
          <t>M2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Q</t>
        </is>
      </c>
      <c r="O36" s="38" t="inlineStr">
        <is>
          <t>A</t>
        </is>
      </c>
      <c r="P36" s="38" t="inlineStr">
        <is>
          <t>M2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M6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Q</t>
        </is>
      </c>
      <c r="O37" s="38" t="inlineStr">
        <is>
          <t>J</t>
        </is>
      </c>
      <c r="P37" s="38" t="inlineStr">
        <is>
          <t>M2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M5</t>
        </is>
      </c>
      <c r="O38" s="38" t="inlineStr">
        <is>
          <t>M4</t>
        </is>
      </c>
      <c r="P38" s="38" t="inlineStr">
        <is>
          <t>M2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GK</t>
        </is>
      </c>
      <c r="O39" s="38" t="inlineStr">
        <is>
          <t>M4</t>
        </is>
      </c>
      <c r="P39" s="38" t="inlineStr">
        <is>
          <t>M2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TE</t>
        </is>
      </c>
      <c r="N40" s="37" t="inlineStr">
        <is>
          <t>TE</t>
        </is>
      </c>
      <c r="O40" s="37" t="inlineStr">
        <is>
          <t>J</t>
        </is>
      </c>
      <c r="P40" s="195" t="inlineStr">
        <is>
          <t>M2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TE</t>
        </is>
      </c>
      <c r="O41" s="38" t="inlineStr">
        <is>
          <t>J</t>
        </is>
      </c>
      <c r="P41" s="38" t="inlineStr">
        <is>
          <t>M2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TE</t>
        </is>
      </c>
      <c r="O42" s="38" t="inlineStr">
        <is>
          <t>M4</t>
        </is>
      </c>
      <c r="P42" s="38" t="inlineStr">
        <is>
          <t>M2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GA</t>
        </is>
      </c>
      <c r="O43" s="38" t="inlineStr">
        <is>
          <t>TE</t>
        </is>
      </c>
      <c r="P43" s="38" t="inlineStr">
        <is>
          <t>M2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A</t>
        </is>
      </c>
      <c r="O44" s="38" t="inlineStr">
        <is>
          <t>J</t>
        </is>
      </c>
      <c r="P44" s="38" t="inlineStr">
        <is>
          <t>M2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A</t>
        </is>
      </c>
      <c r="O45" s="38" t="inlineStr">
        <is>
          <t>J</t>
        </is>
      </c>
      <c r="P45" s="38" t="inlineStr">
        <is>
          <t>M2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M2</t>
        </is>
      </c>
      <c r="O46" s="38" t="inlineStr">
        <is>
          <t>G6</t>
        </is>
      </c>
      <c r="P46" s="38" t="inlineStr">
        <is>
          <t>M2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M2</t>
        </is>
      </c>
      <c r="O47" s="38" t="inlineStr">
        <is>
          <t>A</t>
        </is>
      </c>
      <c r="P47" s="38" t="inlineStr">
        <is>
          <t>M2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G4</t>
        </is>
      </c>
      <c r="O48" s="38" t="inlineStr">
        <is>
          <t>K</t>
        </is>
      </c>
      <c r="P48" s="38" t="inlineStr">
        <is>
          <t>M2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Q</t>
        </is>
      </c>
      <c r="O49" s="38" t="inlineStr">
        <is>
          <t>GK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A</t>
        </is>
      </c>
      <c r="O50" s="38" t="inlineStr">
        <is>
          <t>M2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Q</t>
        </is>
      </c>
      <c r="O51" s="38" t="inlineStr">
        <is>
          <t>A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Q</t>
        </is>
      </c>
      <c r="O52" s="38" t="inlineStr">
        <is>
          <t>A</t>
        </is>
      </c>
      <c r="P52" s="38" t="inlineStr">
        <is>
          <t>M2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M5</t>
        </is>
      </c>
      <c r="O53" s="38" t="inlineStr">
        <is>
          <t>J</t>
        </is>
      </c>
      <c r="P53" s="38" t="inlineStr">
        <is>
          <t>M2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M5</t>
        </is>
      </c>
      <c r="O54" s="38" t="inlineStr">
        <is>
          <t>J</t>
        </is>
      </c>
      <c r="P54" s="38" t="inlineStr">
        <is>
          <t>M2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G5</t>
        </is>
      </c>
      <c r="O55" s="38" t="inlineStr">
        <is>
          <t>M5</t>
        </is>
      </c>
      <c r="P55" s="38" t="inlineStr">
        <is>
          <t>M2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Q</t>
        </is>
      </c>
      <c r="O56" s="38" t="inlineStr">
        <is>
          <t>K</t>
        </is>
      </c>
      <c r="P56" s="38" t="inlineStr">
        <is>
          <t>M2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Q</t>
        </is>
      </c>
      <c r="O57" s="38" t="inlineStr">
        <is>
          <t>K</t>
        </is>
      </c>
      <c r="P57" s="38" t="inlineStr">
        <is>
          <t>M2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TE</t>
        </is>
      </c>
      <c r="O58" s="38" t="inlineStr">
        <is>
          <t>M4</t>
        </is>
      </c>
      <c r="P58" s="38" t="inlineStr">
        <is>
          <t>M2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J</t>
        </is>
      </c>
      <c r="O59" s="38" t="inlineStr">
        <is>
          <t>J</t>
        </is>
      </c>
      <c r="P59" s="38" t="inlineStr">
        <is>
          <t>M2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J</t>
        </is>
      </c>
      <c r="O60" s="38" t="inlineStr">
        <is>
          <t>J</t>
        </is>
      </c>
      <c r="P60" s="38" t="inlineStr">
        <is>
          <t>M2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Q</t>
        </is>
      </c>
      <c r="O61" s="38" t="inlineStr">
        <is>
          <t>TE</t>
        </is>
      </c>
      <c r="P61" s="38" t="inlineStr">
        <is>
          <t>M2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G2</t>
        </is>
      </c>
      <c r="O62" s="38" t="inlineStr">
        <is>
          <t>A</t>
        </is>
      </c>
      <c r="P62" s="38" t="inlineStr">
        <is>
          <t>M2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M5</t>
        </is>
      </c>
      <c r="O63" s="38" t="inlineStr">
        <is>
          <t>TE</t>
        </is>
      </c>
      <c r="P63" s="38" t="inlineStr">
        <is>
          <t>M2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G5</t>
        </is>
      </c>
      <c r="O64" s="38" t="inlineStr">
        <is>
          <t>GT</t>
        </is>
      </c>
      <c r="P64" s="38" t="inlineStr">
        <is>
          <t>M2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A</t>
        </is>
      </c>
      <c r="O65" s="38" t="inlineStr">
        <is>
          <t>K</t>
        </is>
      </c>
      <c r="P65" s="38" t="inlineStr">
        <is>
          <t>M2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A</t>
        </is>
      </c>
      <c r="O66" s="38" t="inlineStr">
        <is>
          <t>K</t>
        </is>
      </c>
      <c r="P66" s="38" t="inlineStr">
        <is>
          <t>M2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500</v>
      </c>
      <c r="L67" s="14">
        <v>63</v>
      </c>
      <c r="M67" s="38" t="inlineStr">
        <is>
          <t>TE</t>
        </is>
      </c>
      <c r="N67" s="38" t="inlineStr">
        <is>
          <t>M5</t>
        </is>
      </c>
      <c r="O67" s="38" t="inlineStr">
        <is>
          <t>K</t>
        </is>
      </c>
      <c r="P67" s="38" t="inlineStr">
        <is>
          <t>M2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200</v>
      </c>
      <c r="L68" s="15">
        <v>64</v>
      </c>
      <c r="M68" s="38" t="inlineStr">
        <is>
          <t>M3</t>
        </is>
      </c>
      <c r="N68" s="38" t="inlineStr">
        <is>
          <t>Q</t>
        </is>
      </c>
      <c r="O68" s="38" t="inlineStr">
        <is>
          <t>M4</t>
        </is>
      </c>
      <c r="P68" s="38" t="inlineStr">
        <is>
          <t>M2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inlineStr">
        <is>
          <t>Q</t>
        </is>
      </c>
      <c r="N69" s="38" t="inlineStr">
        <is>
          <t>Q</t>
        </is>
      </c>
      <c r="O69" s="38" t="inlineStr">
        <is>
          <t>A</t>
        </is>
      </c>
      <c r="P69" s="38" t="inlineStr">
        <is>
          <t>M2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inlineStr">
        <is>
          <t>Q</t>
        </is>
      </c>
      <c r="N70" s="38" t="inlineStr">
        <is>
          <t>TE</t>
        </is>
      </c>
      <c r="O70" s="38" t="inlineStr">
        <is>
          <t>A</t>
        </is>
      </c>
      <c r="P70" s="38" t="inlineStr">
        <is>
          <t>M2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0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M2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Q</t>
        </is>
      </c>
      <c r="O72" s="38" t="inlineStr">
        <is>
          <t>J</t>
        </is>
      </c>
      <c r="P72" s="38" t="inlineStr">
        <is>
          <t>M2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M2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GJ</t>
        </is>
      </c>
      <c r="O74" s="38" t="inlineStr">
        <is>
          <t>J</t>
        </is>
      </c>
      <c r="P74" s="38" t="inlineStr">
        <is>
          <t>M2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J</t>
        </is>
      </c>
      <c r="O75" s="38" t="inlineStr">
        <is>
          <t>K</t>
        </is>
      </c>
      <c r="P75" s="38" t="inlineStr">
        <is>
          <t>M2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G6</t>
        </is>
      </c>
      <c r="O76" s="38" t="inlineStr">
        <is>
          <t>M4</t>
        </is>
      </c>
      <c r="P76" s="38" t="inlineStr">
        <is>
          <t>M2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A</t>
        </is>
      </c>
      <c r="O77" s="38" t="inlineStr">
        <is>
          <t>J</t>
        </is>
      </c>
      <c r="P77" s="38" t="inlineStr">
        <is>
          <t>M2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MY</t>
        </is>
      </c>
      <c r="O78" s="38" t="inlineStr">
        <is>
          <t>J</t>
        </is>
      </c>
      <c r="P78" s="38" t="inlineStr">
        <is>
          <t>M2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MY</t>
        </is>
      </c>
      <c r="O79" s="38" t="inlineStr">
        <is>
          <t>A</t>
        </is>
      </c>
      <c r="P79" s="38" t="inlineStr">
        <is>
          <t>M2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M6</t>
        </is>
      </c>
      <c r="O80" s="38" t="inlineStr">
        <is>
          <t>K</t>
        </is>
      </c>
      <c r="P80" s="38" t="inlineStr">
        <is>
          <t>M2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M6</t>
        </is>
      </c>
      <c r="O81" s="38" t="inlineStr">
        <is>
          <t>K</t>
        </is>
      </c>
      <c r="P81" s="38" t="inlineStr">
        <is>
          <t>M2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M2</t>
        </is>
      </c>
      <c r="O82" s="38" t="inlineStr">
        <is>
          <t>K</t>
        </is>
      </c>
      <c r="P82" s="38" t="inlineStr">
        <is>
          <t>M2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M2</t>
        </is>
      </c>
      <c r="O83" s="38" t="inlineStr">
        <is>
          <t>M4</t>
        </is>
      </c>
      <c r="P83" s="38" t="inlineStr">
        <is>
          <t>M2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K</t>
        </is>
      </c>
      <c r="O84" s="38" t="inlineStr">
        <is>
          <t>J</t>
        </is>
      </c>
      <c r="P84" s="38" t="inlineStr">
        <is>
          <t>M2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K</t>
        </is>
      </c>
      <c r="O85" s="38" t="inlineStr">
        <is>
          <t>M2</t>
        </is>
      </c>
      <c r="P85" s="38" t="inlineStr">
        <is>
          <t>M2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Q</t>
        </is>
      </c>
      <c r="O86" s="38" t="inlineStr">
        <is>
          <t>M2</t>
        </is>
      </c>
      <c r="P86" s="38" t="inlineStr">
        <is>
          <t>M2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Q</t>
        </is>
      </c>
      <c r="O87" s="38" t="inlineStr">
        <is>
          <t>M2</t>
        </is>
      </c>
      <c r="P87" s="38" t="inlineStr">
        <is>
          <t>M2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M5</t>
        </is>
      </c>
      <c r="O88" s="38" t="inlineStr">
        <is>
          <t>M4</t>
        </is>
      </c>
      <c r="P88" s="38" t="inlineStr">
        <is>
          <t>M2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A</t>
        </is>
      </c>
      <c r="O89" s="38" t="inlineStr">
        <is>
          <t>GA</t>
        </is>
      </c>
      <c r="P89" s="38" t="inlineStr">
        <is>
          <t>M2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TE</t>
        </is>
      </c>
      <c r="O90" s="38" t="inlineStr">
        <is>
          <t>A</t>
        </is>
      </c>
      <c r="P90" s="38" t="inlineStr">
        <is>
          <t>M2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TE</t>
        </is>
      </c>
      <c r="O91" s="38" t="inlineStr">
        <is>
          <t>A</t>
        </is>
      </c>
      <c r="P91" s="38" t="inlineStr">
        <is>
          <t>M2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M3</t>
        </is>
      </c>
      <c r="O92" s="38" t="inlineStr">
        <is>
          <t>J</t>
        </is>
      </c>
      <c r="P92" s="38" t="inlineStr">
        <is>
          <t>M2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M2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M2</t>
        </is>
      </c>
      <c r="O94" s="38" t="inlineStr">
        <is>
          <t>M4</t>
        </is>
      </c>
      <c r="P94" s="38" t="inlineStr">
        <is>
          <t>M2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A</t>
        </is>
      </c>
      <c r="O95" s="38" t="inlineStr">
        <is>
          <t>J</t>
        </is>
      </c>
      <c r="P95" s="38" t="inlineStr">
        <is>
          <t>M2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M5</t>
        </is>
      </c>
      <c r="O96" s="38" t="inlineStr">
        <is>
          <t>J</t>
        </is>
      </c>
      <c r="P96" s="38" t="inlineStr">
        <is>
          <t>M2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M4</t>
        </is>
      </c>
      <c r="O97" s="38" t="inlineStr">
        <is>
          <t>TE</t>
        </is>
      </c>
      <c r="P97" s="38" t="inlineStr">
        <is>
          <t>M2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G2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M5</t>
        </is>
      </c>
      <c r="O99" s="38" t="inlineStr">
        <is>
          <t>J</t>
        </is>
      </c>
      <c r="P99" s="38" t="inlineStr">
        <is>
          <t>M2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M5</t>
        </is>
      </c>
      <c r="O100" s="38" t="inlineStr">
        <is>
          <t>J</t>
        </is>
      </c>
      <c r="P100" s="38" t="inlineStr">
        <is>
          <t>M2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M2</t>
        </is>
      </c>
      <c r="O101" s="38" t="inlineStr">
        <is>
          <t>A</t>
        </is>
      </c>
      <c r="P101" s="38" t="inlineStr">
        <is>
          <t>M2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M6</t>
        </is>
      </c>
      <c r="O102" s="38" t="inlineStr">
        <is>
          <t>Q</t>
        </is>
      </c>
      <c r="P102" s="38" t="inlineStr">
        <is>
          <t>M2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G6</t>
        </is>
      </c>
      <c r="O103" s="38" t="inlineStr">
        <is>
          <t>K</t>
        </is>
      </c>
      <c r="P103" s="38" t="inlineStr">
        <is>
          <t>M2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M5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MY</t>
        </is>
      </c>
      <c r="O105" s="38" t="inlineStr">
        <is>
          <t>J</t>
        </is>
      </c>
      <c r="P105" s="38" t="inlineStr">
        <is>
          <t>M2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GM</t>
        </is>
      </c>
      <c r="O106" s="38" t="inlineStr">
        <is>
          <t>J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M5</t>
        </is>
      </c>
      <c r="O107" s="38" t="inlineStr">
        <is>
          <t>TE</t>
        </is>
      </c>
      <c r="P107" s="38" t="inlineStr">
        <is>
          <t>M2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M5</t>
        </is>
      </c>
      <c r="O108" s="38" t="inlineStr">
        <is>
          <t>M2</t>
        </is>
      </c>
      <c r="P108" s="38" t="inlineStr">
        <is>
          <t>M2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TE</t>
        </is>
      </c>
      <c r="O109" s="38" t="inlineStr">
        <is>
          <t>M2</t>
        </is>
      </c>
      <c r="P109" s="38" t="inlineStr">
        <is>
          <t>M2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Q</t>
        </is>
      </c>
      <c r="O110" s="38" t="inlineStr">
        <is>
          <t>J</t>
        </is>
      </c>
      <c r="P110" s="38" t="inlineStr">
        <is>
          <t>M2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Q</t>
        </is>
      </c>
      <c r="O111" s="38" t="inlineStr">
        <is>
          <t>J</t>
        </is>
      </c>
      <c r="P111" s="38" t="inlineStr">
        <is>
          <t>M2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M2</t>
        </is>
      </c>
      <c r="O112" s="38" t="inlineStr">
        <is>
          <t>J</t>
        </is>
      </c>
      <c r="P112" s="38" t="inlineStr">
        <is>
          <t>M2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A</t>
        </is>
      </c>
      <c r="O113" s="38" t="inlineStr">
        <is>
          <t>A</t>
        </is>
      </c>
      <c r="P113" s="38" t="inlineStr">
        <is>
          <t>M2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M5</t>
        </is>
      </c>
      <c r="O114" s="38" t="inlineStr">
        <is>
          <t>A</t>
        </is>
      </c>
      <c r="P114" s="38" t="inlineStr">
        <is>
          <t>M2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Q</t>
        </is>
      </c>
      <c r="O115" s="38" t="inlineStr">
        <is>
          <t>GJ</t>
        </is>
      </c>
      <c r="P115" s="38" t="inlineStr">
        <is>
          <t>M2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Q</t>
        </is>
      </c>
      <c r="O116" s="38" t="inlineStr">
        <is>
          <t>J</t>
        </is>
      </c>
      <c r="P116" s="38" t="inlineStr">
        <is>
          <t>M2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M2</t>
        </is>
      </c>
      <c r="O117" s="38" t="inlineStr">
        <is>
          <t>A</t>
        </is>
      </c>
      <c r="P117" s="38" t="inlineStr">
        <is>
          <t>M2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M2</t>
        </is>
      </c>
      <c r="O118" s="38" t="inlineStr">
        <is>
          <t>K</t>
        </is>
      </c>
      <c r="P118" s="38" t="inlineStr">
        <is>
          <t>M2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M6</t>
        </is>
      </c>
      <c r="O119" s="38" t="inlineStr">
        <is>
          <t>M4</t>
        </is>
      </c>
      <c r="P119" s="38" t="inlineStr">
        <is>
          <t>M2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TE</t>
        </is>
      </c>
      <c r="O120" s="38" t="inlineStr">
        <is>
          <t>A</t>
        </is>
      </c>
      <c r="P120" s="38" t="inlineStr">
        <is>
          <t>M2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TE</t>
        </is>
      </c>
      <c r="O121" s="38" t="inlineStr">
        <is>
          <t>A</t>
        </is>
      </c>
      <c r="P121" s="38" t="inlineStr">
        <is>
          <t>M2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GQ</t>
        </is>
      </c>
      <c r="O122" s="38" t="inlineStr">
        <is>
          <t>J</t>
        </is>
      </c>
      <c r="P122" s="38" t="inlineStr">
        <is>
          <t>M2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Q</t>
        </is>
      </c>
      <c r="O123" s="38" t="inlineStr">
        <is>
          <t>K</t>
        </is>
      </c>
      <c r="P123" s="38" t="inlineStr">
        <is>
          <t>M2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TE</t>
        </is>
      </c>
      <c r="O124" s="38" t="inlineStr">
        <is>
          <t>A</t>
        </is>
      </c>
      <c r="P124" s="38" t="inlineStr">
        <is>
          <t>M2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R4" sqref="R4:R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18</v>
      </c>
      <c r="N4" s="156" t="s">
        <v>234</v>
      </c>
      <c r="O4" s="156" t="s">
        <v>20</v>
      </c>
      <c r="P4" s="156" t="s">
        <v>24</v>
      </c>
      <c r="Q4" s="156" t="s">
        <v>224</v>
      </c>
      <c r="R4" s="156" t="s">
        <v>34</v>
      </c>
      <c r="S4" s="157" t="s">
        <v>89</v>
      </c>
      <c r="U4" s="158">
        <f t="shared" ref="U4:AA19" si="2">VLOOKUP(M4, $A$4:$J$29, 9, 0)</f>
        <v>3</v>
      </c>
      <c r="V4" s="158">
        <f t="shared" si="2"/>
        <v>0</v>
      </c>
      <c r="W4" s="158">
        <f t="shared" si="2"/>
        <v>4</v>
      </c>
      <c r="X4" s="158">
        <f t="shared" si="2"/>
        <v>19</v>
      </c>
      <c r="Y4" s="158">
        <f t="shared" si="2"/>
        <v>0</v>
      </c>
      <c r="Z4" s="158">
        <f t="shared" si="2"/>
        <v>10</v>
      </c>
      <c r="AA4" s="158">
        <f t="shared" si="2"/>
        <v>16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18</v>
      </c>
      <c r="N5" s="38" t="s">
        <v>234</v>
      </c>
      <c r="O5" s="38" t="s">
        <v>29</v>
      </c>
      <c r="P5" s="38" t="s">
        <v>222</v>
      </c>
      <c r="Q5" s="38" t="s">
        <v>224</v>
      </c>
      <c r="R5" s="38" t="s">
        <v>34</v>
      </c>
      <c r="S5" s="24" t="s">
        <v>89</v>
      </c>
      <c r="U5" s="37">
        <f t="shared" si="2"/>
        <v>3</v>
      </c>
      <c r="V5" s="37">
        <f t="shared" si="2"/>
        <v>0</v>
      </c>
      <c r="W5" s="37">
        <f t="shared" si="2"/>
        <v>23</v>
      </c>
      <c r="X5" s="37">
        <f t="shared" si="2"/>
        <v>0</v>
      </c>
      <c r="Y5" s="37">
        <f t="shared" si="2"/>
        <v>0</v>
      </c>
      <c r="Z5" s="37">
        <f t="shared" si="2"/>
        <v>10</v>
      </c>
      <c r="AA5" s="37">
        <f t="shared" si="2"/>
        <v>16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9</v>
      </c>
      <c r="E6" s="153">
        <f t="shared" si="1"/>
        <v>3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4</v>
      </c>
      <c r="J6" s="151">
        <v>2</v>
      </c>
      <c r="L6" s="15">
        <v>2</v>
      </c>
      <c r="M6" s="38" t="s">
        <v>27</v>
      </c>
      <c r="N6" s="38" t="s">
        <v>234</v>
      </c>
      <c r="O6" s="38" t="s">
        <v>29</v>
      </c>
      <c r="P6" s="38" t="s">
        <v>222</v>
      </c>
      <c r="Q6" s="38" t="s">
        <v>224</v>
      </c>
      <c r="R6" s="38" t="s">
        <v>34</v>
      </c>
      <c r="S6" s="24" t="s">
        <v>89</v>
      </c>
      <c r="U6" s="37">
        <f t="shared" si="2"/>
        <v>8</v>
      </c>
      <c r="V6" s="37">
        <f t="shared" si="2"/>
        <v>0</v>
      </c>
      <c r="W6" s="37">
        <f t="shared" si="2"/>
        <v>23</v>
      </c>
      <c r="X6" s="37">
        <f t="shared" si="2"/>
        <v>0</v>
      </c>
      <c r="Y6" s="37">
        <f t="shared" si="2"/>
        <v>0</v>
      </c>
      <c r="Z6" s="37">
        <f t="shared" si="2"/>
        <v>10</v>
      </c>
      <c r="AA6" s="37">
        <f t="shared" si="2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12</v>
      </c>
      <c r="D7" s="153">
        <f t="shared" si="1"/>
        <v>8</v>
      </c>
      <c r="E7" s="153">
        <f t="shared" si="1"/>
        <v>10</v>
      </c>
      <c r="F7" s="153">
        <f t="shared" si="1"/>
        <v>0</v>
      </c>
      <c r="G7" s="153">
        <f t="shared" si="1"/>
        <v>13</v>
      </c>
      <c r="H7" s="153">
        <f t="shared" si="1"/>
        <v>0</v>
      </c>
      <c r="I7" s="153">
        <f t="shared" si="1"/>
        <v>6</v>
      </c>
      <c r="J7" s="151">
        <v>3</v>
      </c>
      <c r="L7" s="14">
        <v>3</v>
      </c>
      <c r="M7" s="38" t="s">
        <v>27</v>
      </c>
      <c r="N7" s="38" t="s">
        <v>20</v>
      </c>
      <c r="O7" s="38" t="s">
        <v>29</v>
      </c>
      <c r="P7" s="38" t="s">
        <v>222</v>
      </c>
      <c r="Q7" s="38" t="s">
        <v>228</v>
      </c>
      <c r="R7" s="38" t="s">
        <v>34</v>
      </c>
      <c r="S7" s="24" t="s">
        <v>89</v>
      </c>
      <c r="U7" s="37">
        <f t="shared" si="2"/>
        <v>8</v>
      </c>
      <c r="V7" s="37">
        <f t="shared" si="2"/>
        <v>4</v>
      </c>
      <c r="W7" s="37">
        <f t="shared" si="2"/>
        <v>23</v>
      </c>
      <c r="X7" s="37">
        <f t="shared" si="2"/>
        <v>0</v>
      </c>
      <c r="Y7" s="37">
        <f t="shared" si="2"/>
        <v>0</v>
      </c>
      <c r="Z7" s="37">
        <f t="shared" si="2"/>
        <v>10</v>
      </c>
      <c r="AA7" s="37">
        <f t="shared" si="2"/>
        <v>16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10</v>
      </c>
      <c r="E8" s="153">
        <f t="shared" si="1"/>
        <v>0</v>
      </c>
      <c r="F8" s="153">
        <f t="shared" si="1"/>
        <v>9</v>
      </c>
      <c r="G8" s="153">
        <f t="shared" si="1"/>
        <v>11</v>
      </c>
      <c r="H8" s="153">
        <f t="shared" si="1"/>
        <v>121</v>
      </c>
      <c r="I8" s="153">
        <f t="shared" si="1"/>
        <v>10</v>
      </c>
      <c r="J8" s="151">
        <v>4</v>
      </c>
      <c r="L8" s="15">
        <v>4</v>
      </c>
      <c r="M8" s="38" t="s">
        <v>28</v>
      </c>
      <c r="N8" s="38" t="s">
        <v>20</v>
      </c>
      <c r="O8" s="38" t="s">
        <v>89</v>
      </c>
      <c r="P8" s="38" t="s">
        <v>24</v>
      </c>
      <c r="Q8" s="38" t="s">
        <v>228</v>
      </c>
      <c r="R8" s="38" t="s">
        <v>34</v>
      </c>
      <c r="S8" s="24" t="s">
        <v>20</v>
      </c>
      <c r="U8" s="37">
        <f t="shared" si="2"/>
        <v>11</v>
      </c>
      <c r="V8" s="37">
        <f t="shared" si="2"/>
        <v>4</v>
      </c>
      <c r="W8" s="37">
        <f t="shared" si="2"/>
        <v>16</v>
      </c>
      <c r="X8" s="37">
        <f t="shared" si="2"/>
        <v>19</v>
      </c>
      <c r="Y8" s="37">
        <f t="shared" si="2"/>
        <v>0</v>
      </c>
      <c r="Z8" s="37">
        <f t="shared" si="2"/>
        <v>10</v>
      </c>
      <c r="AA8" s="37">
        <f t="shared" si="2"/>
        <v>4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15</v>
      </c>
      <c r="D9" s="153">
        <f t="shared" si="1"/>
        <v>1</v>
      </c>
      <c r="E9" s="153">
        <f t="shared" si="1"/>
        <v>9</v>
      </c>
      <c r="F9" s="153">
        <f t="shared" si="1"/>
        <v>2</v>
      </c>
      <c r="G9" s="153">
        <f t="shared" si="1"/>
        <v>10</v>
      </c>
      <c r="H9" s="153">
        <f t="shared" si="1"/>
        <v>0</v>
      </c>
      <c r="I9" s="153">
        <f t="shared" si="1"/>
        <v>3</v>
      </c>
      <c r="J9" s="151">
        <v>5</v>
      </c>
      <c r="L9" s="14">
        <v>5</v>
      </c>
      <c r="M9" s="38" t="s">
        <v>27</v>
      </c>
      <c r="N9" s="38" t="s">
        <v>20</v>
      </c>
      <c r="O9" s="38" t="s">
        <v>89</v>
      </c>
      <c r="P9" s="38" t="s">
        <v>26</v>
      </c>
      <c r="Q9" s="38" t="s">
        <v>27</v>
      </c>
      <c r="R9" s="38" t="s">
        <v>34</v>
      </c>
      <c r="S9" s="24" t="s">
        <v>20</v>
      </c>
      <c r="U9" s="37">
        <f t="shared" si="2"/>
        <v>8</v>
      </c>
      <c r="V9" s="37">
        <f t="shared" si="2"/>
        <v>4</v>
      </c>
      <c r="W9" s="37">
        <f t="shared" si="2"/>
        <v>16</v>
      </c>
      <c r="X9" s="37">
        <f t="shared" si="2"/>
        <v>17</v>
      </c>
      <c r="Y9" s="37">
        <f t="shared" si="2"/>
        <v>8</v>
      </c>
      <c r="Z9" s="37">
        <f t="shared" si="2"/>
        <v>10</v>
      </c>
      <c r="AA9" s="37">
        <f t="shared" si="2"/>
        <v>4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14</v>
      </c>
      <c r="D10" s="153">
        <f t="shared" si="1"/>
        <v>9</v>
      </c>
      <c r="E10" s="153">
        <f t="shared" si="1"/>
        <v>4</v>
      </c>
      <c r="F10" s="153">
        <f t="shared" si="1"/>
        <v>25</v>
      </c>
      <c r="G10" s="153">
        <f t="shared" si="1"/>
        <v>6</v>
      </c>
      <c r="H10" s="153">
        <f t="shared" si="1"/>
        <v>0</v>
      </c>
      <c r="I10" s="153">
        <f t="shared" si="1"/>
        <v>4</v>
      </c>
      <c r="J10" s="151">
        <v>6</v>
      </c>
      <c r="L10" s="15">
        <v>6</v>
      </c>
      <c r="M10" s="38" t="s">
        <v>21</v>
      </c>
      <c r="N10" s="38" t="s">
        <v>17</v>
      </c>
      <c r="O10" s="38" t="s">
        <v>27</v>
      </c>
      <c r="P10" s="38" t="s">
        <v>26</v>
      </c>
      <c r="Q10" s="38" t="s">
        <v>17</v>
      </c>
      <c r="R10" s="38" t="s">
        <v>34</v>
      </c>
      <c r="S10" s="24" t="s">
        <v>20</v>
      </c>
      <c r="U10" s="37">
        <f t="shared" si="2"/>
        <v>6</v>
      </c>
      <c r="V10" s="37">
        <f t="shared" si="2"/>
        <v>10</v>
      </c>
      <c r="W10" s="37">
        <f t="shared" si="2"/>
        <v>8</v>
      </c>
      <c r="X10" s="37">
        <f t="shared" si="2"/>
        <v>17</v>
      </c>
      <c r="Y10" s="37">
        <f t="shared" si="2"/>
        <v>10</v>
      </c>
      <c r="Z10" s="37">
        <f t="shared" si="2"/>
        <v>10</v>
      </c>
      <c r="AA10" s="37">
        <f t="shared" si="2"/>
        <v>4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3</v>
      </c>
      <c r="D11" s="153">
        <f t="shared" si="1"/>
        <v>13</v>
      </c>
      <c r="E11" s="153">
        <f t="shared" si="1"/>
        <v>11</v>
      </c>
      <c r="F11" s="153">
        <f t="shared" si="1"/>
        <v>8</v>
      </c>
      <c r="G11" s="153">
        <f t="shared" si="1"/>
        <v>16</v>
      </c>
      <c r="H11" s="153">
        <f t="shared" si="1"/>
        <v>0</v>
      </c>
      <c r="I11" s="153">
        <f t="shared" si="1"/>
        <v>16</v>
      </c>
      <c r="J11" s="151">
        <v>7</v>
      </c>
      <c r="L11" s="14">
        <v>7</v>
      </c>
      <c r="M11" s="38" t="s">
        <v>18</v>
      </c>
      <c r="N11" s="38" t="s">
        <v>17</v>
      </c>
      <c r="O11" s="38" t="s">
        <v>27</v>
      </c>
      <c r="P11" s="38" t="s">
        <v>26</v>
      </c>
      <c r="Q11" s="38" t="s">
        <v>17</v>
      </c>
      <c r="R11" s="38" t="s">
        <v>34</v>
      </c>
      <c r="S11" s="24" t="s">
        <v>20</v>
      </c>
      <c r="U11" s="37">
        <f t="shared" si="2"/>
        <v>3</v>
      </c>
      <c r="V11" s="37">
        <f t="shared" si="2"/>
        <v>10</v>
      </c>
      <c r="W11" s="37">
        <f t="shared" si="2"/>
        <v>8</v>
      </c>
      <c r="X11" s="37">
        <f t="shared" si="2"/>
        <v>17</v>
      </c>
      <c r="Y11" s="37">
        <f t="shared" si="2"/>
        <v>10</v>
      </c>
      <c r="Z11" s="37">
        <f t="shared" si="2"/>
        <v>10</v>
      </c>
      <c r="AA11" s="37">
        <f t="shared" si="2"/>
        <v>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13</v>
      </c>
      <c r="E12" s="10">
        <f t="shared" si="1"/>
        <v>13</v>
      </c>
      <c r="F12" s="10">
        <f t="shared" si="1"/>
        <v>7</v>
      </c>
      <c r="G12" s="10">
        <f t="shared" si="1"/>
        <v>4</v>
      </c>
      <c r="H12" s="10">
        <f t="shared" si="1"/>
        <v>0</v>
      </c>
      <c r="I12" s="10">
        <f t="shared" si="1"/>
        <v>19</v>
      </c>
      <c r="J12" s="4">
        <v>8</v>
      </c>
      <c r="L12" s="15">
        <v>8</v>
      </c>
      <c r="M12" s="38" t="s">
        <v>18</v>
      </c>
      <c r="N12" s="38" t="s">
        <v>17</v>
      </c>
      <c r="O12" s="38" t="s">
        <v>20</v>
      </c>
      <c r="P12" s="38" t="s">
        <v>232</v>
      </c>
      <c r="Q12" s="38" t="s">
        <v>17</v>
      </c>
      <c r="R12" s="38" t="s">
        <v>34</v>
      </c>
      <c r="S12" s="24" t="s">
        <v>26</v>
      </c>
      <c r="U12" s="37">
        <f t="shared" si="2"/>
        <v>3</v>
      </c>
      <c r="V12" s="37">
        <f t="shared" si="2"/>
        <v>10</v>
      </c>
      <c r="W12" s="37">
        <f t="shared" si="2"/>
        <v>4</v>
      </c>
      <c r="X12" s="37">
        <f t="shared" si="2"/>
        <v>0</v>
      </c>
      <c r="Y12" s="37">
        <f t="shared" si="2"/>
        <v>10</v>
      </c>
      <c r="Z12" s="37">
        <f t="shared" si="2"/>
        <v>10</v>
      </c>
      <c r="AA12" s="37">
        <f t="shared" si="2"/>
        <v>17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10</v>
      </c>
      <c r="D13" s="10">
        <f t="shared" si="1"/>
        <v>7</v>
      </c>
      <c r="E13" s="10">
        <f t="shared" si="1"/>
        <v>24</v>
      </c>
      <c r="F13" s="10">
        <f t="shared" si="1"/>
        <v>15</v>
      </c>
      <c r="G13" s="10">
        <f t="shared" si="1"/>
        <v>10</v>
      </c>
      <c r="H13" s="10">
        <f t="shared" si="1"/>
        <v>0</v>
      </c>
      <c r="I13" s="10">
        <f t="shared" si="1"/>
        <v>17</v>
      </c>
      <c r="J13" s="4">
        <v>9</v>
      </c>
      <c r="L13" s="14">
        <v>9</v>
      </c>
      <c r="M13" s="38" t="s">
        <v>28</v>
      </c>
      <c r="N13" s="38" t="s">
        <v>89</v>
      </c>
      <c r="O13" s="38" t="s">
        <v>21</v>
      </c>
      <c r="P13" s="38" t="s">
        <v>232</v>
      </c>
      <c r="Q13" s="38" t="s">
        <v>64</v>
      </c>
      <c r="R13" s="38" t="s">
        <v>34</v>
      </c>
      <c r="S13" s="24" t="s">
        <v>26</v>
      </c>
      <c r="U13" s="37">
        <f t="shared" si="2"/>
        <v>11</v>
      </c>
      <c r="V13" s="37">
        <f t="shared" si="2"/>
        <v>16</v>
      </c>
      <c r="W13" s="37">
        <f t="shared" si="2"/>
        <v>6</v>
      </c>
      <c r="X13" s="37">
        <f t="shared" si="2"/>
        <v>0</v>
      </c>
      <c r="Y13" s="37">
        <f t="shared" si="2"/>
        <v>4</v>
      </c>
      <c r="Z13" s="37">
        <f t="shared" si="2"/>
        <v>10</v>
      </c>
      <c r="AA13" s="37">
        <f t="shared" si="2"/>
        <v>17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21</v>
      </c>
      <c r="D14" s="10">
        <f t="shared" si="1"/>
        <v>12</v>
      </c>
      <c r="E14" s="10">
        <f t="shared" si="1"/>
        <v>7</v>
      </c>
      <c r="F14" s="10">
        <f t="shared" si="1"/>
        <v>12</v>
      </c>
      <c r="G14" s="10">
        <f t="shared" si="1"/>
        <v>5</v>
      </c>
      <c r="H14" s="10">
        <f t="shared" si="1"/>
        <v>0</v>
      </c>
      <c r="I14" s="10">
        <f t="shared" si="1"/>
        <v>8</v>
      </c>
      <c r="J14" s="4">
        <v>10</v>
      </c>
      <c r="L14" s="15">
        <v>10</v>
      </c>
      <c r="M14" s="38" t="s">
        <v>21</v>
      </c>
      <c r="N14" s="38" t="s">
        <v>89</v>
      </c>
      <c r="O14" s="38" t="s">
        <v>26</v>
      </c>
      <c r="P14" s="38" t="s">
        <v>17</v>
      </c>
      <c r="Q14" s="38" t="s">
        <v>21</v>
      </c>
      <c r="R14" s="38" t="s">
        <v>34</v>
      </c>
      <c r="S14" s="24" t="s">
        <v>26</v>
      </c>
      <c r="U14" s="37">
        <f t="shared" si="2"/>
        <v>6</v>
      </c>
      <c r="V14" s="37">
        <f t="shared" si="2"/>
        <v>16</v>
      </c>
      <c r="W14" s="37">
        <f t="shared" si="2"/>
        <v>17</v>
      </c>
      <c r="X14" s="37">
        <f t="shared" si="2"/>
        <v>10</v>
      </c>
      <c r="Y14" s="37">
        <f t="shared" si="2"/>
        <v>6</v>
      </c>
      <c r="Z14" s="37">
        <f t="shared" si="2"/>
        <v>10</v>
      </c>
      <c r="AA14" s="37">
        <f t="shared" si="2"/>
        <v>17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1</v>
      </c>
      <c r="E15" s="10">
        <f t="shared" si="1"/>
        <v>20</v>
      </c>
      <c r="F15" s="10">
        <f t="shared" si="1"/>
        <v>4</v>
      </c>
      <c r="G15" s="10">
        <f t="shared" si="1"/>
        <v>11</v>
      </c>
      <c r="H15" s="10">
        <f t="shared" si="1"/>
        <v>0</v>
      </c>
      <c r="I15" s="10">
        <f t="shared" si="1"/>
        <v>11</v>
      </c>
      <c r="J15" s="4">
        <v>11</v>
      </c>
      <c r="L15" s="14">
        <v>11</v>
      </c>
      <c r="M15" s="38" t="s">
        <v>64</v>
      </c>
      <c r="N15" s="38" t="s">
        <v>26</v>
      </c>
      <c r="O15" s="38" t="s">
        <v>20</v>
      </c>
      <c r="P15" s="38" t="s">
        <v>17</v>
      </c>
      <c r="Q15" s="38" t="s">
        <v>236</v>
      </c>
      <c r="R15" s="38" t="s">
        <v>34</v>
      </c>
      <c r="S15" s="24" t="s">
        <v>26</v>
      </c>
      <c r="U15" s="37">
        <f t="shared" si="2"/>
        <v>4</v>
      </c>
      <c r="V15" s="37">
        <f t="shared" si="2"/>
        <v>17</v>
      </c>
      <c r="W15" s="37">
        <f t="shared" si="2"/>
        <v>4</v>
      </c>
      <c r="X15" s="37">
        <f t="shared" si="2"/>
        <v>10</v>
      </c>
      <c r="Y15" s="37">
        <f t="shared" si="2"/>
        <v>0</v>
      </c>
      <c r="Z15" s="37">
        <f t="shared" si="2"/>
        <v>10</v>
      </c>
      <c r="AA15" s="37">
        <f t="shared" si="2"/>
        <v>17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18</v>
      </c>
      <c r="D16" s="10">
        <f t="shared" si="1"/>
        <v>7</v>
      </c>
      <c r="E16" s="10">
        <f t="shared" si="1"/>
        <v>11</v>
      </c>
      <c r="F16" s="10">
        <f t="shared" si="1"/>
        <v>11</v>
      </c>
      <c r="G16" s="10">
        <f t="shared" si="1"/>
        <v>1</v>
      </c>
      <c r="H16" s="10">
        <f t="shared" si="1"/>
        <v>0</v>
      </c>
      <c r="I16" s="10">
        <f t="shared" si="1"/>
        <v>23</v>
      </c>
      <c r="J16" s="4">
        <v>12</v>
      </c>
      <c r="L16" s="15">
        <v>12</v>
      </c>
      <c r="M16" s="38" t="s">
        <v>64</v>
      </c>
      <c r="N16" s="38" t="s">
        <v>226</v>
      </c>
      <c r="O16" s="38" t="s">
        <v>228</v>
      </c>
      <c r="P16" s="38" t="s">
        <v>26</v>
      </c>
      <c r="Q16" s="38" t="s">
        <v>236</v>
      </c>
      <c r="R16" s="38" t="s">
        <v>34</v>
      </c>
      <c r="S16" s="24" t="s">
        <v>89</v>
      </c>
      <c r="U16" s="37">
        <f t="shared" si="2"/>
        <v>4</v>
      </c>
      <c r="V16" s="37">
        <f t="shared" si="2"/>
        <v>0</v>
      </c>
      <c r="W16" s="37">
        <f t="shared" si="2"/>
        <v>0</v>
      </c>
      <c r="X16" s="37">
        <f t="shared" si="2"/>
        <v>17</v>
      </c>
      <c r="Y16" s="37">
        <f t="shared" si="2"/>
        <v>0</v>
      </c>
      <c r="Z16" s="37">
        <f t="shared" si="2"/>
        <v>10</v>
      </c>
      <c r="AA16" s="37">
        <f t="shared" si="2"/>
        <v>16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3</v>
      </c>
      <c r="E17" s="153">
        <f t="shared" si="1"/>
        <v>0</v>
      </c>
      <c r="F17" s="153">
        <f t="shared" si="1"/>
        <v>9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28</v>
      </c>
      <c r="N17" s="38" t="s">
        <v>226</v>
      </c>
      <c r="O17" s="38" t="s">
        <v>228</v>
      </c>
      <c r="P17" s="38" t="s">
        <v>89</v>
      </c>
      <c r="Q17" s="38" t="s">
        <v>24</v>
      </c>
      <c r="R17" s="38" t="s">
        <v>34</v>
      </c>
      <c r="S17" s="24" t="s">
        <v>89</v>
      </c>
      <c r="U17" s="37">
        <f t="shared" si="2"/>
        <v>11</v>
      </c>
      <c r="V17" s="37">
        <f t="shared" si="2"/>
        <v>0</v>
      </c>
      <c r="W17" s="37">
        <f t="shared" si="2"/>
        <v>0</v>
      </c>
      <c r="X17" s="37">
        <f t="shared" si="2"/>
        <v>16</v>
      </c>
      <c r="Y17" s="37">
        <f t="shared" si="2"/>
        <v>19</v>
      </c>
      <c r="Z17" s="37">
        <f t="shared" si="2"/>
        <v>10</v>
      </c>
      <c r="AA17" s="37">
        <f t="shared" si="2"/>
        <v>16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0</v>
      </c>
      <c r="F18" s="153">
        <f t="shared" si="1"/>
        <v>0</v>
      </c>
      <c r="G18" s="153">
        <f t="shared" si="1"/>
        <v>10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28</v>
      </c>
      <c r="N18" s="38" t="s">
        <v>26</v>
      </c>
      <c r="O18" s="38" t="s">
        <v>18</v>
      </c>
      <c r="P18" s="38" t="s">
        <v>89</v>
      </c>
      <c r="Q18" s="38" t="s">
        <v>89</v>
      </c>
      <c r="R18" s="38" t="s">
        <v>34</v>
      </c>
      <c r="S18" s="24" t="s">
        <v>89</v>
      </c>
      <c r="U18" s="37">
        <f t="shared" si="2"/>
        <v>11</v>
      </c>
      <c r="V18" s="37">
        <f t="shared" si="2"/>
        <v>17</v>
      </c>
      <c r="W18" s="37">
        <f t="shared" si="2"/>
        <v>3</v>
      </c>
      <c r="X18" s="37">
        <f t="shared" si="2"/>
        <v>16</v>
      </c>
      <c r="Y18" s="37">
        <f t="shared" si="2"/>
        <v>16</v>
      </c>
      <c r="Z18" s="37">
        <f t="shared" si="2"/>
        <v>10</v>
      </c>
      <c r="AA18" s="37">
        <f t="shared" si="2"/>
        <v>16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6</v>
      </c>
      <c r="E19" s="153">
        <f t="shared" si="1"/>
        <v>0</v>
      </c>
      <c r="F19" s="153">
        <f t="shared" si="1"/>
        <v>6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64</v>
      </c>
      <c r="N19" s="38" t="s">
        <v>20</v>
      </c>
      <c r="O19" s="38" t="s">
        <v>26</v>
      </c>
      <c r="P19" s="38" t="s">
        <v>64</v>
      </c>
      <c r="Q19" s="38" t="s">
        <v>228</v>
      </c>
      <c r="R19" s="38" t="s">
        <v>34</v>
      </c>
      <c r="S19" s="24" t="s">
        <v>89</v>
      </c>
      <c r="U19" s="37">
        <f t="shared" si="2"/>
        <v>4</v>
      </c>
      <c r="V19" s="37">
        <f t="shared" si="2"/>
        <v>4</v>
      </c>
      <c r="W19" s="37">
        <f t="shared" si="2"/>
        <v>17</v>
      </c>
      <c r="X19" s="37">
        <f t="shared" si="2"/>
        <v>4</v>
      </c>
      <c r="Y19" s="37">
        <f t="shared" si="2"/>
        <v>0</v>
      </c>
      <c r="Z19" s="37">
        <f t="shared" si="2"/>
        <v>10</v>
      </c>
      <c r="AA19" s="37">
        <f t="shared" si="2"/>
        <v>16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6</v>
      </c>
      <c r="F20" s="153">
        <f t="shared" ref="F20:F29" si="5">COUNTIF(P$4:P$304,$A20)</f>
        <v>1</v>
      </c>
      <c r="G20" s="153">
        <f t="shared" ref="G20:G29" si="6">COUNTIF(Q$4:Q$304,$A20)</f>
        <v>12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18</v>
      </c>
      <c r="N20" s="38" t="s">
        <v>236</v>
      </c>
      <c r="O20" s="38" t="s">
        <v>26</v>
      </c>
      <c r="P20" s="38" t="s">
        <v>64</v>
      </c>
      <c r="Q20" s="38" t="s">
        <v>228</v>
      </c>
      <c r="R20" s="38" t="s">
        <v>34</v>
      </c>
      <c r="S20" s="24" t="s">
        <v>24</v>
      </c>
      <c r="U20" s="37">
        <f t="shared" ref="U20:AA56" si="9">VLOOKUP(M20, $A$4:$J$29, 9, 0)</f>
        <v>3</v>
      </c>
      <c r="V20" s="37">
        <f t="shared" si="9"/>
        <v>0</v>
      </c>
      <c r="W20" s="37">
        <f t="shared" si="9"/>
        <v>17</v>
      </c>
      <c r="X20" s="37">
        <f t="shared" si="9"/>
        <v>4</v>
      </c>
      <c r="Y20" s="37">
        <f t="shared" si="9"/>
        <v>0</v>
      </c>
      <c r="Z20" s="37">
        <f t="shared" si="9"/>
        <v>10</v>
      </c>
      <c r="AA20" s="37">
        <f t="shared" si="9"/>
        <v>19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1</v>
      </c>
      <c r="E21" s="153">
        <f t="shared" si="4"/>
        <v>0</v>
      </c>
      <c r="F21" s="153">
        <f t="shared" si="5"/>
        <v>2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27</v>
      </c>
      <c r="N21" s="38" t="s">
        <v>236</v>
      </c>
      <c r="O21" s="38" t="s">
        <v>26</v>
      </c>
      <c r="P21" s="38" t="s">
        <v>64</v>
      </c>
      <c r="Q21" s="38" t="s">
        <v>21</v>
      </c>
      <c r="R21" s="38" t="s">
        <v>34</v>
      </c>
      <c r="S21" s="24" t="s">
        <v>24</v>
      </c>
      <c r="U21" s="37">
        <f t="shared" si="9"/>
        <v>8</v>
      </c>
      <c r="V21" s="37">
        <f t="shared" si="9"/>
        <v>0</v>
      </c>
      <c r="W21" s="37">
        <f t="shared" si="9"/>
        <v>17</v>
      </c>
      <c r="X21" s="37">
        <f t="shared" si="9"/>
        <v>4</v>
      </c>
      <c r="Y21" s="37">
        <f t="shared" si="9"/>
        <v>6</v>
      </c>
      <c r="Z21" s="37">
        <f t="shared" si="9"/>
        <v>10</v>
      </c>
      <c r="AA21" s="37">
        <f t="shared" si="9"/>
        <v>19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2</v>
      </c>
      <c r="E22" s="153">
        <f t="shared" si="4"/>
        <v>0</v>
      </c>
      <c r="F22" s="153">
        <f t="shared" si="5"/>
        <v>7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27</v>
      </c>
      <c r="N22" s="38" t="s">
        <v>26</v>
      </c>
      <c r="O22" s="38" t="s">
        <v>64</v>
      </c>
      <c r="P22" s="38" t="s">
        <v>226</v>
      </c>
      <c r="Q22" s="38" t="s">
        <v>21</v>
      </c>
      <c r="R22" s="38" t="s">
        <v>34</v>
      </c>
      <c r="S22" s="38" t="s">
        <v>24</v>
      </c>
      <c r="U22" s="37">
        <f t="shared" si="9"/>
        <v>8</v>
      </c>
      <c r="V22" s="37">
        <f t="shared" si="9"/>
        <v>17</v>
      </c>
      <c r="W22" s="37">
        <f t="shared" si="9"/>
        <v>4</v>
      </c>
      <c r="X22" s="37">
        <f t="shared" si="9"/>
        <v>0</v>
      </c>
      <c r="Y22" s="37">
        <f t="shared" si="9"/>
        <v>6</v>
      </c>
      <c r="Z22" s="37">
        <f t="shared" si="9"/>
        <v>10</v>
      </c>
      <c r="AA22" s="37">
        <f t="shared" si="9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6</v>
      </c>
      <c r="E23" s="10">
        <f t="shared" si="4"/>
        <v>1</v>
      </c>
      <c r="F23" s="10">
        <f t="shared" si="5"/>
        <v>0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21</v>
      </c>
      <c r="N23" s="38" t="s">
        <v>89</v>
      </c>
      <c r="O23" s="38" t="s">
        <v>89</v>
      </c>
      <c r="P23" s="38" t="s">
        <v>226</v>
      </c>
      <c r="Q23" s="38" t="s">
        <v>26</v>
      </c>
      <c r="R23" s="38" t="s">
        <v>34</v>
      </c>
      <c r="S23" s="24" t="s">
        <v>24</v>
      </c>
      <c r="U23" s="37">
        <f t="shared" si="9"/>
        <v>6</v>
      </c>
      <c r="V23" s="37">
        <f t="shared" si="9"/>
        <v>16</v>
      </c>
      <c r="W23" s="37">
        <f t="shared" si="9"/>
        <v>16</v>
      </c>
      <c r="X23" s="37">
        <f t="shared" si="9"/>
        <v>0</v>
      </c>
      <c r="Y23" s="37">
        <f t="shared" si="9"/>
        <v>17</v>
      </c>
      <c r="Z23" s="37">
        <f t="shared" si="9"/>
        <v>10</v>
      </c>
      <c r="AA23" s="37">
        <f t="shared" si="9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6</v>
      </c>
      <c r="E24" s="10">
        <f t="shared" si="4"/>
        <v>0</v>
      </c>
      <c r="F24" s="10">
        <f t="shared" si="5"/>
        <v>0</v>
      </c>
      <c r="G24" s="10">
        <f t="shared" si="6"/>
        <v>7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234</v>
      </c>
      <c r="O24" s="38" t="s">
        <v>89</v>
      </c>
      <c r="P24" s="38" t="s">
        <v>64</v>
      </c>
      <c r="Q24" s="38" t="s">
        <v>224</v>
      </c>
      <c r="R24" s="38" t="s">
        <v>34</v>
      </c>
      <c r="S24" s="24" t="s">
        <v>17</v>
      </c>
      <c r="U24" s="37">
        <f t="shared" si="9"/>
        <v>6</v>
      </c>
      <c r="V24" s="37">
        <f t="shared" si="9"/>
        <v>0</v>
      </c>
      <c r="W24" s="37">
        <f t="shared" si="9"/>
        <v>16</v>
      </c>
      <c r="X24" s="37">
        <f t="shared" si="9"/>
        <v>4</v>
      </c>
      <c r="Y24" s="37">
        <f t="shared" si="9"/>
        <v>0</v>
      </c>
      <c r="Z24" s="37">
        <f t="shared" si="9"/>
        <v>10</v>
      </c>
      <c r="AA24" s="37">
        <f t="shared" si="9"/>
        <v>10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18</v>
      </c>
      <c r="N25" s="38" t="s">
        <v>234</v>
      </c>
      <c r="O25" s="38" t="s">
        <v>29</v>
      </c>
      <c r="P25" s="38" t="s">
        <v>222</v>
      </c>
      <c r="Q25" s="38" t="s">
        <v>224</v>
      </c>
      <c r="R25" s="38" t="s">
        <v>34</v>
      </c>
      <c r="S25" s="24" t="s">
        <v>17</v>
      </c>
      <c r="U25" s="37">
        <f t="shared" si="9"/>
        <v>3</v>
      </c>
      <c r="V25" s="37">
        <f t="shared" si="9"/>
        <v>0</v>
      </c>
      <c r="W25" s="37">
        <f t="shared" si="9"/>
        <v>23</v>
      </c>
      <c r="X25" s="37">
        <f t="shared" si="9"/>
        <v>0</v>
      </c>
      <c r="Y25" s="37">
        <f t="shared" si="9"/>
        <v>0</v>
      </c>
      <c r="Z25" s="37">
        <f t="shared" si="9"/>
        <v>10</v>
      </c>
      <c r="AA25" s="37">
        <f t="shared" si="9"/>
        <v>10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234</v>
      </c>
      <c r="O26" s="38" t="s">
        <v>29</v>
      </c>
      <c r="P26" s="38" t="s">
        <v>222</v>
      </c>
      <c r="Q26" s="38" t="s">
        <v>224</v>
      </c>
      <c r="R26" s="38" t="s">
        <v>34</v>
      </c>
      <c r="S26" s="24" t="s">
        <v>17</v>
      </c>
      <c r="U26" s="37">
        <f t="shared" si="9"/>
        <v>8</v>
      </c>
      <c r="V26" s="37">
        <f t="shared" si="9"/>
        <v>0</v>
      </c>
      <c r="W26" s="37">
        <f t="shared" si="9"/>
        <v>23</v>
      </c>
      <c r="X26" s="37">
        <f t="shared" si="9"/>
        <v>0</v>
      </c>
      <c r="Y26" s="37">
        <f t="shared" si="9"/>
        <v>0</v>
      </c>
      <c r="Z26" s="37">
        <f t="shared" si="9"/>
        <v>10</v>
      </c>
      <c r="AA26" s="37">
        <f t="shared" si="9"/>
        <v>10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27</v>
      </c>
      <c r="N27" s="38" t="s">
        <v>20</v>
      </c>
      <c r="O27" s="38" t="s">
        <v>29</v>
      </c>
      <c r="P27" s="38" t="s">
        <v>222</v>
      </c>
      <c r="Q27" s="38" t="s">
        <v>228</v>
      </c>
      <c r="R27" s="38" t="s">
        <v>34</v>
      </c>
      <c r="S27" s="24" t="s">
        <v>17</v>
      </c>
      <c r="U27" s="37">
        <f t="shared" si="9"/>
        <v>8</v>
      </c>
      <c r="V27" s="37">
        <f t="shared" si="9"/>
        <v>4</v>
      </c>
      <c r="W27" s="37">
        <f t="shared" si="9"/>
        <v>23</v>
      </c>
      <c r="X27" s="37">
        <f t="shared" si="9"/>
        <v>0</v>
      </c>
      <c r="Y27" s="37">
        <f t="shared" si="9"/>
        <v>0</v>
      </c>
      <c r="Z27" s="37">
        <f t="shared" si="9"/>
        <v>10</v>
      </c>
      <c r="AA27" s="37">
        <f t="shared" si="9"/>
        <v>10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28</v>
      </c>
      <c r="N28" s="38" t="s">
        <v>20</v>
      </c>
      <c r="O28" s="38" t="s">
        <v>89</v>
      </c>
      <c r="P28" s="38" t="s">
        <v>24</v>
      </c>
      <c r="Q28" s="38" t="s">
        <v>228</v>
      </c>
      <c r="R28" s="38" t="s">
        <v>34</v>
      </c>
      <c r="S28" s="24" t="s">
        <v>29</v>
      </c>
      <c r="U28" s="37">
        <f t="shared" si="9"/>
        <v>11</v>
      </c>
      <c r="V28" s="37">
        <f t="shared" si="9"/>
        <v>4</v>
      </c>
      <c r="W28" s="37">
        <f t="shared" si="9"/>
        <v>16</v>
      </c>
      <c r="X28" s="37">
        <f t="shared" si="9"/>
        <v>19</v>
      </c>
      <c r="Y28" s="37">
        <f t="shared" si="9"/>
        <v>0</v>
      </c>
      <c r="Z28" s="37">
        <f t="shared" si="9"/>
        <v>10</v>
      </c>
      <c r="AA28" s="37">
        <f t="shared" si="9"/>
        <v>23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21</v>
      </c>
      <c r="N29" s="38" t="s">
        <v>20</v>
      </c>
      <c r="O29" s="38" t="s">
        <v>89</v>
      </c>
      <c r="P29" s="38" t="s">
        <v>26</v>
      </c>
      <c r="Q29" s="38" t="s">
        <v>27</v>
      </c>
      <c r="R29" s="38" t="s">
        <v>34</v>
      </c>
      <c r="S29" s="24" t="s">
        <v>29</v>
      </c>
      <c r="U29" s="37">
        <f t="shared" si="9"/>
        <v>6</v>
      </c>
      <c r="V29" s="37">
        <f t="shared" si="9"/>
        <v>4</v>
      </c>
      <c r="W29" s="37">
        <f t="shared" si="9"/>
        <v>16</v>
      </c>
      <c r="X29" s="37">
        <f t="shared" si="9"/>
        <v>17</v>
      </c>
      <c r="Y29" s="37">
        <f t="shared" si="9"/>
        <v>8</v>
      </c>
      <c r="Z29" s="37">
        <f t="shared" si="9"/>
        <v>10</v>
      </c>
      <c r="AA29" s="37">
        <f t="shared" si="9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21</v>
      </c>
      <c r="N30" s="38" t="s">
        <v>17</v>
      </c>
      <c r="O30" s="38" t="s">
        <v>27</v>
      </c>
      <c r="P30" s="38" t="s">
        <v>26</v>
      </c>
      <c r="Q30" s="38" t="s">
        <v>17</v>
      </c>
      <c r="R30" s="38" t="s">
        <v>34</v>
      </c>
      <c r="S30" s="24" t="s">
        <v>29</v>
      </c>
      <c r="U30" s="37">
        <f t="shared" si="9"/>
        <v>6</v>
      </c>
      <c r="V30" s="37">
        <f t="shared" si="9"/>
        <v>10</v>
      </c>
      <c r="W30" s="37">
        <f t="shared" si="9"/>
        <v>8</v>
      </c>
      <c r="X30" s="37">
        <f t="shared" si="9"/>
        <v>17</v>
      </c>
      <c r="Y30" s="37">
        <f t="shared" si="9"/>
        <v>10</v>
      </c>
      <c r="Z30" s="37">
        <f t="shared" si="9"/>
        <v>10</v>
      </c>
      <c r="AA30" s="37">
        <f t="shared" si="9"/>
        <v>23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18</v>
      </c>
      <c r="N31" s="38" t="s">
        <v>17</v>
      </c>
      <c r="O31" s="38" t="s">
        <v>27</v>
      </c>
      <c r="P31" s="38" t="s">
        <v>26</v>
      </c>
      <c r="Q31" s="38" t="s">
        <v>17</v>
      </c>
      <c r="R31" s="38" t="s">
        <v>34</v>
      </c>
      <c r="S31" s="24" t="s">
        <v>29</v>
      </c>
      <c r="U31" s="37">
        <f t="shared" si="9"/>
        <v>3</v>
      </c>
      <c r="V31" s="37">
        <f t="shared" si="9"/>
        <v>10</v>
      </c>
      <c r="W31" s="37">
        <f t="shared" si="9"/>
        <v>8</v>
      </c>
      <c r="X31" s="37">
        <f t="shared" si="9"/>
        <v>17</v>
      </c>
      <c r="Y31" s="37">
        <f t="shared" si="9"/>
        <v>10</v>
      </c>
      <c r="Z31" s="37">
        <f t="shared" si="9"/>
        <v>10</v>
      </c>
      <c r="AA31" s="37">
        <f t="shared" si="9"/>
        <v>23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18</v>
      </c>
      <c r="N32" s="38" t="s">
        <v>17</v>
      </c>
      <c r="O32" s="38" t="s">
        <v>21</v>
      </c>
      <c r="P32" s="38" t="s">
        <v>232</v>
      </c>
      <c r="Q32" s="38" t="s">
        <v>17</v>
      </c>
      <c r="R32" s="38" t="s">
        <v>34</v>
      </c>
      <c r="S32" s="24" t="s">
        <v>24</v>
      </c>
      <c r="U32" s="37">
        <f t="shared" si="9"/>
        <v>3</v>
      </c>
      <c r="V32" s="37">
        <f t="shared" si="9"/>
        <v>10</v>
      </c>
      <c r="W32" s="37">
        <f t="shared" si="9"/>
        <v>6</v>
      </c>
      <c r="X32" s="37">
        <f t="shared" si="9"/>
        <v>0</v>
      </c>
      <c r="Y32" s="37">
        <f t="shared" si="9"/>
        <v>10</v>
      </c>
      <c r="Z32" s="37">
        <f t="shared" si="9"/>
        <v>10</v>
      </c>
      <c r="AA32" s="37">
        <f t="shared" si="9"/>
        <v>19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28</v>
      </c>
      <c r="N33" s="38" t="s">
        <v>89</v>
      </c>
      <c r="O33" s="38" t="s">
        <v>21</v>
      </c>
      <c r="P33" s="38" t="s">
        <v>232</v>
      </c>
      <c r="Q33" s="38" t="s">
        <v>64</v>
      </c>
      <c r="R33" s="38" t="s">
        <v>34</v>
      </c>
      <c r="S33" s="24" t="s">
        <v>24</v>
      </c>
      <c r="U33" s="37">
        <f t="shared" si="9"/>
        <v>11</v>
      </c>
      <c r="V33" s="37">
        <f t="shared" si="9"/>
        <v>16</v>
      </c>
      <c r="W33" s="37">
        <f t="shared" si="9"/>
        <v>6</v>
      </c>
      <c r="X33" s="37">
        <f t="shared" si="9"/>
        <v>0</v>
      </c>
      <c r="Y33" s="37">
        <f t="shared" si="9"/>
        <v>4</v>
      </c>
      <c r="Z33" s="37">
        <f t="shared" si="9"/>
        <v>10</v>
      </c>
      <c r="AA33" s="37">
        <f t="shared" si="9"/>
        <v>19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64</v>
      </c>
      <c r="N34" s="38" t="s">
        <v>89</v>
      </c>
      <c r="O34" s="38" t="s">
        <v>26</v>
      </c>
      <c r="P34" s="38" t="s">
        <v>17</v>
      </c>
      <c r="Q34" s="38" t="s">
        <v>21</v>
      </c>
      <c r="R34" s="38" t="s">
        <v>34</v>
      </c>
      <c r="S34" s="38" t="s">
        <v>24</v>
      </c>
      <c r="U34" s="37">
        <f t="shared" si="9"/>
        <v>4</v>
      </c>
      <c r="V34" s="37">
        <f t="shared" si="9"/>
        <v>16</v>
      </c>
      <c r="W34" s="37">
        <f t="shared" si="9"/>
        <v>17</v>
      </c>
      <c r="X34" s="37">
        <f t="shared" si="9"/>
        <v>10</v>
      </c>
      <c r="Y34" s="37">
        <f t="shared" si="9"/>
        <v>6</v>
      </c>
      <c r="Z34" s="37">
        <f t="shared" si="9"/>
        <v>10</v>
      </c>
      <c r="AA34" s="37">
        <f t="shared" si="9"/>
        <v>19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64</v>
      </c>
      <c r="N35" s="38" t="s">
        <v>24</v>
      </c>
      <c r="O35" s="38" t="s">
        <v>26</v>
      </c>
      <c r="P35" s="38" t="s">
        <v>17</v>
      </c>
      <c r="Q35" s="38" t="s">
        <v>236</v>
      </c>
      <c r="R35" s="38" t="s">
        <v>34</v>
      </c>
      <c r="S35" s="24" t="s">
        <v>24</v>
      </c>
      <c r="U35" s="37">
        <f t="shared" si="9"/>
        <v>4</v>
      </c>
      <c r="V35" s="37">
        <f t="shared" si="9"/>
        <v>19</v>
      </c>
      <c r="W35" s="37">
        <f t="shared" si="9"/>
        <v>17</v>
      </c>
      <c r="X35" s="37">
        <f t="shared" si="9"/>
        <v>10</v>
      </c>
      <c r="Y35" s="37">
        <f t="shared" si="9"/>
        <v>0</v>
      </c>
      <c r="Z35" s="37">
        <f t="shared" si="9"/>
        <v>10</v>
      </c>
      <c r="AA35" s="37">
        <f t="shared" si="9"/>
        <v>19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64</v>
      </c>
      <c r="N36" s="38" t="s">
        <v>226</v>
      </c>
      <c r="O36" s="38" t="s">
        <v>228</v>
      </c>
      <c r="P36" s="38" t="s">
        <v>26</v>
      </c>
      <c r="Q36" s="38" t="s">
        <v>236</v>
      </c>
      <c r="R36" s="38" t="s">
        <v>34</v>
      </c>
      <c r="S36" s="24" t="s">
        <v>26</v>
      </c>
      <c r="U36" s="37">
        <f t="shared" si="9"/>
        <v>4</v>
      </c>
      <c r="V36" s="37">
        <f t="shared" si="9"/>
        <v>0</v>
      </c>
      <c r="W36" s="37">
        <f t="shared" si="9"/>
        <v>0</v>
      </c>
      <c r="X36" s="37">
        <f t="shared" si="9"/>
        <v>17</v>
      </c>
      <c r="Y36" s="37">
        <f t="shared" si="9"/>
        <v>0</v>
      </c>
      <c r="Z36" s="37">
        <f t="shared" si="9"/>
        <v>10</v>
      </c>
      <c r="AA36" s="37">
        <f t="shared" si="9"/>
        <v>17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28</v>
      </c>
      <c r="N37" s="38" t="s">
        <v>226</v>
      </c>
      <c r="O37" s="38" t="s">
        <v>228</v>
      </c>
      <c r="P37" s="38" t="s">
        <v>89</v>
      </c>
      <c r="Q37" s="38" t="s">
        <v>24</v>
      </c>
      <c r="R37" s="38" t="s">
        <v>34</v>
      </c>
      <c r="S37" s="24" t="s">
        <v>26</v>
      </c>
      <c r="U37" s="37">
        <f t="shared" si="9"/>
        <v>11</v>
      </c>
      <c r="V37" s="37">
        <f t="shared" si="9"/>
        <v>0</v>
      </c>
      <c r="W37" s="37">
        <f t="shared" si="9"/>
        <v>0</v>
      </c>
      <c r="X37" s="37">
        <f t="shared" si="9"/>
        <v>16</v>
      </c>
      <c r="Y37" s="37">
        <f t="shared" si="9"/>
        <v>19</v>
      </c>
      <c r="Z37" s="37">
        <f t="shared" si="9"/>
        <v>10</v>
      </c>
      <c r="AA37" s="37">
        <f t="shared" si="9"/>
        <v>17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28</v>
      </c>
      <c r="N38" s="38" t="s">
        <v>26</v>
      </c>
      <c r="O38" s="38" t="s">
        <v>18</v>
      </c>
      <c r="P38" s="38" t="s">
        <v>89</v>
      </c>
      <c r="Q38" s="38" t="s">
        <v>89</v>
      </c>
      <c r="R38" s="38" t="s">
        <v>34</v>
      </c>
      <c r="S38" s="24" t="s">
        <v>26</v>
      </c>
      <c r="U38" s="37">
        <f t="shared" si="9"/>
        <v>11</v>
      </c>
      <c r="V38" s="37">
        <f t="shared" si="9"/>
        <v>17</v>
      </c>
      <c r="W38" s="37">
        <f t="shared" si="9"/>
        <v>3</v>
      </c>
      <c r="X38" s="37">
        <f t="shared" si="9"/>
        <v>16</v>
      </c>
      <c r="Y38" s="37">
        <f t="shared" si="9"/>
        <v>16</v>
      </c>
      <c r="Z38" s="37">
        <f t="shared" si="9"/>
        <v>10</v>
      </c>
      <c r="AA38" s="37">
        <f t="shared" si="9"/>
        <v>17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21</v>
      </c>
      <c r="N39" s="38" t="s">
        <v>20</v>
      </c>
      <c r="O39" s="38" t="s">
        <v>26</v>
      </c>
      <c r="P39" s="38" t="s">
        <v>64</v>
      </c>
      <c r="Q39" s="38" t="s">
        <v>228</v>
      </c>
      <c r="R39" s="38" t="s">
        <v>34</v>
      </c>
      <c r="S39" s="24" t="s">
        <v>26</v>
      </c>
      <c r="U39" s="37">
        <f t="shared" si="9"/>
        <v>6</v>
      </c>
      <c r="V39" s="37">
        <f t="shared" si="9"/>
        <v>4</v>
      </c>
      <c r="W39" s="37">
        <f t="shared" si="9"/>
        <v>17</v>
      </c>
      <c r="X39" s="37">
        <f t="shared" si="9"/>
        <v>4</v>
      </c>
      <c r="Y39" s="37">
        <f t="shared" si="9"/>
        <v>0</v>
      </c>
      <c r="Z39" s="37">
        <f t="shared" si="9"/>
        <v>10</v>
      </c>
      <c r="AA39" s="37">
        <f t="shared" si="9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18</v>
      </c>
      <c r="N40" s="37" t="s">
        <v>236</v>
      </c>
      <c r="O40" s="37" t="s">
        <v>26</v>
      </c>
      <c r="P40" s="37" t="s">
        <v>64</v>
      </c>
      <c r="Q40" s="37" t="s">
        <v>228</v>
      </c>
      <c r="R40" s="195" t="s">
        <v>34</v>
      </c>
      <c r="S40" s="37" t="s">
        <v>89</v>
      </c>
      <c r="U40" s="37">
        <f t="shared" si="9"/>
        <v>3</v>
      </c>
      <c r="V40" s="37">
        <f t="shared" si="9"/>
        <v>0</v>
      </c>
      <c r="W40" s="37">
        <f t="shared" si="9"/>
        <v>17</v>
      </c>
      <c r="X40" s="37">
        <f t="shared" si="9"/>
        <v>4</v>
      </c>
      <c r="Y40" s="37">
        <f t="shared" si="9"/>
        <v>0</v>
      </c>
      <c r="Z40" s="37">
        <f t="shared" si="9"/>
        <v>10</v>
      </c>
      <c r="AA40" s="37">
        <f t="shared" si="9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27</v>
      </c>
      <c r="N41" s="38" t="s">
        <v>236</v>
      </c>
      <c r="O41" s="38" t="s">
        <v>64</v>
      </c>
      <c r="P41" s="38" t="s">
        <v>64</v>
      </c>
      <c r="Q41" s="38" t="s">
        <v>21</v>
      </c>
      <c r="R41" s="38" t="s">
        <v>34</v>
      </c>
      <c r="S41" s="24" t="s">
        <v>89</v>
      </c>
      <c r="U41" s="37">
        <f t="shared" si="9"/>
        <v>8</v>
      </c>
      <c r="V41" s="37">
        <f t="shared" si="9"/>
        <v>0</v>
      </c>
      <c r="W41" s="37">
        <f t="shared" si="9"/>
        <v>4</v>
      </c>
      <c r="X41" s="37">
        <f t="shared" si="9"/>
        <v>4</v>
      </c>
      <c r="Y41" s="37">
        <f t="shared" si="9"/>
        <v>6</v>
      </c>
      <c r="Z41" s="37">
        <f t="shared" si="9"/>
        <v>10</v>
      </c>
      <c r="AA41" s="37">
        <f t="shared" si="9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27</v>
      </c>
      <c r="N42" s="38" t="s">
        <v>24</v>
      </c>
      <c r="O42" s="38" t="s">
        <v>64</v>
      </c>
      <c r="P42" s="38" t="s">
        <v>226</v>
      </c>
      <c r="Q42" s="38" t="s">
        <v>21</v>
      </c>
      <c r="R42" s="38" t="s">
        <v>34</v>
      </c>
      <c r="S42" s="24" t="s">
        <v>89</v>
      </c>
      <c r="U42" s="37">
        <f t="shared" si="9"/>
        <v>8</v>
      </c>
      <c r="V42" s="37">
        <f t="shared" si="9"/>
        <v>19</v>
      </c>
      <c r="W42" s="37">
        <f t="shared" si="9"/>
        <v>4</v>
      </c>
      <c r="X42" s="37">
        <f t="shared" si="9"/>
        <v>0</v>
      </c>
      <c r="Y42" s="37">
        <f t="shared" si="9"/>
        <v>6</v>
      </c>
      <c r="Z42" s="37">
        <f t="shared" si="9"/>
        <v>10</v>
      </c>
      <c r="AA42" s="37">
        <f t="shared" si="9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21</v>
      </c>
      <c r="N43" s="38" t="s">
        <v>89</v>
      </c>
      <c r="O43" s="38" t="s">
        <v>89</v>
      </c>
      <c r="P43" s="38" t="s">
        <v>226</v>
      </c>
      <c r="Q43" s="38" t="s">
        <v>26</v>
      </c>
      <c r="R43" s="38" t="s">
        <v>34</v>
      </c>
      <c r="S43" s="24" t="s">
        <v>89</v>
      </c>
      <c r="U43" s="37">
        <f t="shared" si="9"/>
        <v>6</v>
      </c>
      <c r="V43" s="37">
        <f t="shared" si="9"/>
        <v>16</v>
      </c>
      <c r="W43" s="37">
        <f t="shared" si="9"/>
        <v>16</v>
      </c>
      <c r="X43" s="37">
        <f t="shared" si="9"/>
        <v>0</v>
      </c>
      <c r="Y43" s="37">
        <f t="shared" si="9"/>
        <v>17</v>
      </c>
      <c r="Z43" s="37">
        <f t="shared" si="9"/>
        <v>10</v>
      </c>
      <c r="AA43" s="37">
        <f t="shared" si="9"/>
        <v>16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21</v>
      </c>
      <c r="N44" s="38" t="s">
        <v>222</v>
      </c>
      <c r="O44" s="38" t="s">
        <v>89</v>
      </c>
      <c r="P44" s="38" t="s">
        <v>64</v>
      </c>
      <c r="Q44" s="38" t="s">
        <v>224</v>
      </c>
      <c r="R44" s="38" t="s">
        <v>34</v>
      </c>
      <c r="S44" s="24" t="s">
        <v>24</v>
      </c>
      <c r="U44" s="37">
        <f t="shared" si="9"/>
        <v>6</v>
      </c>
      <c r="V44" s="37">
        <f t="shared" si="9"/>
        <v>0</v>
      </c>
      <c r="W44" s="37">
        <f t="shared" si="9"/>
        <v>16</v>
      </c>
      <c r="X44" s="37">
        <f t="shared" si="9"/>
        <v>4</v>
      </c>
      <c r="Y44" s="37">
        <f t="shared" si="9"/>
        <v>0</v>
      </c>
      <c r="Z44" s="37">
        <f t="shared" si="9"/>
        <v>10</v>
      </c>
      <c r="AA44" s="37">
        <f t="shared" si="9"/>
        <v>19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18</v>
      </c>
      <c r="N45" s="38" t="s">
        <v>222</v>
      </c>
      <c r="O45" s="38" t="s">
        <v>29</v>
      </c>
      <c r="P45" s="38" t="s">
        <v>222</v>
      </c>
      <c r="Q45" s="38" t="s">
        <v>224</v>
      </c>
      <c r="R45" s="38" t="s">
        <v>34</v>
      </c>
      <c r="S45" s="24" t="s">
        <v>24</v>
      </c>
      <c r="U45" s="37">
        <f t="shared" si="9"/>
        <v>3</v>
      </c>
      <c r="V45" s="37">
        <f t="shared" si="9"/>
        <v>0</v>
      </c>
      <c r="W45" s="37">
        <f t="shared" si="9"/>
        <v>23</v>
      </c>
      <c r="X45" s="37">
        <f t="shared" si="9"/>
        <v>0</v>
      </c>
      <c r="Y45" s="37">
        <f t="shared" si="9"/>
        <v>0</v>
      </c>
      <c r="Z45" s="37">
        <f t="shared" si="9"/>
        <v>10</v>
      </c>
      <c r="AA45" s="37">
        <f t="shared" si="9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27</v>
      </c>
      <c r="N46" s="38" t="s">
        <v>222</v>
      </c>
      <c r="O46" s="38" t="s">
        <v>29</v>
      </c>
      <c r="P46" s="38" t="s">
        <v>222</v>
      </c>
      <c r="Q46" s="38" t="s">
        <v>224</v>
      </c>
      <c r="R46" s="38" t="s">
        <v>34</v>
      </c>
      <c r="S46" s="24" t="s">
        <v>24</v>
      </c>
      <c r="U46" s="37">
        <f t="shared" si="9"/>
        <v>8</v>
      </c>
      <c r="V46" s="37">
        <f t="shared" si="9"/>
        <v>0</v>
      </c>
      <c r="W46" s="37">
        <f t="shared" si="9"/>
        <v>23</v>
      </c>
      <c r="X46" s="37">
        <f t="shared" si="9"/>
        <v>0</v>
      </c>
      <c r="Y46" s="37">
        <f t="shared" si="9"/>
        <v>0</v>
      </c>
      <c r="Z46" s="37">
        <f t="shared" si="9"/>
        <v>10</v>
      </c>
      <c r="AA46" s="37">
        <f t="shared" si="9"/>
        <v>19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27</v>
      </c>
      <c r="N47" s="38" t="s">
        <v>24</v>
      </c>
      <c r="O47" s="38" t="s">
        <v>29</v>
      </c>
      <c r="P47" s="38" t="s">
        <v>222</v>
      </c>
      <c r="Q47" s="38" t="s">
        <v>228</v>
      </c>
      <c r="R47" s="38" t="s">
        <v>34</v>
      </c>
      <c r="S47" s="24" t="s">
        <v>24</v>
      </c>
      <c r="U47" s="37">
        <f t="shared" si="9"/>
        <v>8</v>
      </c>
      <c r="V47" s="37">
        <f t="shared" si="9"/>
        <v>19</v>
      </c>
      <c r="W47" s="37">
        <f t="shared" si="9"/>
        <v>23</v>
      </c>
      <c r="X47" s="37">
        <f t="shared" si="9"/>
        <v>0</v>
      </c>
      <c r="Y47" s="37">
        <f t="shared" si="9"/>
        <v>0</v>
      </c>
      <c r="Z47" s="37">
        <f t="shared" si="9"/>
        <v>10</v>
      </c>
      <c r="AA47" s="37">
        <f t="shared" si="9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28</v>
      </c>
      <c r="N48" s="38" t="s">
        <v>24</v>
      </c>
      <c r="O48" s="38" t="s">
        <v>89</v>
      </c>
      <c r="P48" s="38" t="s">
        <v>24</v>
      </c>
      <c r="Q48" s="38" t="s">
        <v>228</v>
      </c>
      <c r="R48" s="38" t="s">
        <v>34</v>
      </c>
      <c r="S48" s="24" t="s">
        <v>26</v>
      </c>
      <c r="U48" s="37">
        <f t="shared" si="9"/>
        <v>11</v>
      </c>
      <c r="V48" s="37">
        <f t="shared" si="9"/>
        <v>19</v>
      </c>
      <c r="W48" s="37">
        <f t="shared" si="9"/>
        <v>16</v>
      </c>
      <c r="X48" s="37">
        <f t="shared" si="9"/>
        <v>19</v>
      </c>
      <c r="Y48" s="37">
        <f t="shared" si="9"/>
        <v>0</v>
      </c>
      <c r="Z48" s="37">
        <f t="shared" si="9"/>
        <v>10</v>
      </c>
      <c r="AA48" s="37">
        <f t="shared" si="9"/>
        <v>17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21</v>
      </c>
      <c r="N49" s="38" t="s">
        <v>24</v>
      </c>
      <c r="O49" s="38" t="s">
        <v>89</v>
      </c>
      <c r="P49" s="38" t="s">
        <v>26</v>
      </c>
      <c r="Q49" s="38" t="s">
        <v>27</v>
      </c>
      <c r="R49" s="38" t="s">
        <v>34</v>
      </c>
      <c r="S49" s="24" t="s">
        <v>26</v>
      </c>
      <c r="U49" s="37">
        <f t="shared" si="9"/>
        <v>6</v>
      </c>
      <c r="V49" s="37">
        <f t="shared" si="9"/>
        <v>19</v>
      </c>
      <c r="W49" s="37">
        <f t="shared" si="9"/>
        <v>16</v>
      </c>
      <c r="X49" s="37">
        <f t="shared" si="9"/>
        <v>17</v>
      </c>
      <c r="Y49" s="37">
        <f t="shared" si="9"/>
        <v>8</v>
      </c>
      <c r="Z49" s="37">
        <f t="shared" si="9"/>
        <v>10</v>
      </c>
      <c r="AA49" s="37">
        <f t="shared" si="9"/>
        <v>17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21</v>
      </c>
      <c r="N50" s="38" t="s">
        <v>17</v>
      </c>
      <c r="O50" s="38" t="s">
        <v>27</v>
      </c>
      <c r="P50" s="38" t="s">
        <v>26</v>
      </c>
      <c r="Q50" s="38" t="s">
        <v>17</v>
      </c>
      <c r="R50" s="38" t="s">
        <v>34</v>
      </c>
      <c r="S50" s="24" t="s">
        <v>26</v>
      </c>
      <c r="U50" s="37">
        <f t="shared" si="9"/>
        <v>6</v>
      </c>
      <c r="V50" s="37">
        <f t="shared" si="9"/>
        <v>10</v>
      </c>
      <c r="W50" s="37">
        <f t="shared" si="9"/>
        <v>8</v>
      </c>
      <c r="X50" s="37">
        <f t="shared" si="9"/>
        <v>17</v>
      </c>
      <c r="Y50" s="37">
        <f t="shared" si="9"/>
        <v>10</v>
      </c>
      <c r="Z50" s="37">
        <f t="shared" si="9"/>
        <v>10</v>
      </c>
      <c r="AA50" s="37">
        <f t="shared" si="9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18</v>
      </c>
      <c r="N51" s="38" t="s">
        <v>17</v>
      </c>
      <c r="O51" s="38" t="s">
        <v>27</v>
      </c>
      <c r="P51" s="38" t="s">
        <v>26</v>
      </c>
      <c r="Q51" s="38" t="s">
        <v>17</v>
      </c>
      <c r="R51" s="38" t="s">
        <v>34</v>
      </c>
      <c r="S51" s="24" t="s">
        <v>26</v>
      </c>
      <c r="U51" s="37">
        <f t="shared" si="9"/>
        <v>3</v>
      </c>
      <c r="V51" s="37">
        <f t="shared" si="9"/>
        <v>10</v>
      </c>
      <c r="W51" s="37">
        <f t="shared" si="9"/>
        <v>8</v>
      </c>
      <c r="X51" s="37">
        <f t="shared" si="9"/>
        <v>17</v>
      </c>
      <c r="Y51" s="37">
        <f t="shared" si="9"/>
        <v>10</v>
      </c>
      <c r="Z51" s="37">
        <f t="shared" si="9"/>
        <v>10</v>
      </c>
      <c r="AA51" s="37">
        <f t="shared" si="9"/>
        <v>17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18</v>
      </c>
      <c r="N52" s="38" t="s">
        <v>17</v>
      </c>
      <c r="O52" s="38" t="s">
        <v>21</v>
      </c>
      <c r="P52" s="38" t="s">
        <v>232</v>
      </c>
      <c r="Q52" s="38" t="s">
        <v>17</v>
      </c>
      <c r="R52" s="38" t="s">
        <v>34</v>
      </c>
      <c r="S52" s="24" t="s">
        <v>89</v>
      </c>
      <c r="U52" s="37">
        <f t="shared" si="9"/>
        <v>3</v>
      </c>
      <c r="V52" s="37">
        <f t="shared" si="9"/>
        <v>10</v>
      </c>
      <c r="W52" s="37">
        <f t="shared" si="9"/>
        <v>6</v>
      </c>
      <c r="X52" s="37">
        <f t="shared" si="9"/>
        <v>0</v>
      </c>
      <c r="Y52" s="37">
        <f t="shared" si="9"/>
        <v>10</v>
      </c>
      <c r="Z52" s="37">
        <f t="shared" si="9"/>
        <v>10</v>
      </c>
      <c r="AA52" s="37">
        <f t="shared" si="9"/>
        <v>16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89</v>
      </c>
      <c r="O53" s="38" t="s">
        <v>21</v>
      </c>
      <c r="P53" s="38" t="s">
        <v>232</v>
      </c>
      <c r="Q53" s="38" t="s">
        <v>64</v>
      </c>
      <c r="R53" s="38" t="s">
        <v>34</v>
      </c>
      <c r="S53" s="24" t="s">
        <v>89</v>
      </c>
      <c r="U53" s="37">
        <f t="shared" si="9"/>
        <v>11</v>
      </c>
      <c r="V53" s="37">
        <f t="shared" si="9"/>
        <v>16</v>
      </c>
      <c r="W53" s="37">
        <f t="shared" si="9"/>
        <v>6</v>
      </c>
      <c r="X53" s="37">
        <f t="shared" si="9"/>
        <v>0</v>
      </c>
      <c r="Y53" s="37">
        <f t="shared" si="9"/>
        <v>4</v>
      </c>
      <c r="Z53" s="37">
        <f t="shared" si="9"/>
        <v>10</v>
      </c>
      <c r="AA53" s="37">
        <f t="shared" si="9"/>
        <v>16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64</v>
      </c>
      <c r="N54" s="38" t="s">
        <v>89</v>
      </c>
      <c r="O54" s="38" t="s">
        <v>26</v>
      </c>
      <c r="P54" s="38" t="s">
        <v>17</v>
      </c>
      <c r="Q54" s="38" t="s">
        <v>21</v>
      </c>
      <c r="R54" s="38" t="s">
        <v>34</v>
      </c>
      <c r="S54" s="24" t="s">
        <v>89</v>
      </c>
      <c r="U54" s="37">
        <f t="shared" si="9"/>
        <v>4</v>
      </c>
      <c r="V54" s="37">
        <f t="shared" si="9"/>
        <v>16</v>
      </c>
      <c r="W54" s="37">
        <f t="shared" si="9"/>
        <v>17</v>
      </c>
      <c r="X54" s="37">
        <f t="shared" si="9"/>
        <v>10</v>
      </c>
      <c r="Y54" s="37">
        <f t="shared" si="9"/>
        <v>6</v>
      </c>
      <c r="Z54" s="37">
        <f t="shared" si="9"/>
        <v>10</v>
      </c>
      <c r="AA54" s="37">
        <f t="shared" si="9"/>
        <v>16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64</v>
      </c>
      <c r="N55" s="38" t="s">
        <v>24</v>
      </c>
      <c r="O55" s="38" t="s">
        <v>26</v>
      </c>
      <c r="P55" s="38" t="s">
        <v>17</v>
      </c>
      <c r="Q55" s="38" t="s">
        <v>236</v>
      </c>
      <c r="R55" s="38" t="s">
        <v>34</v>
      </c>
      <c r="S55" s="24" t="s">
        <v>89</v>
      </c>
      <c r="U55" s="37">
        <f t="shared" si="9"/>
        <v>4</v>
      </c>
      <c r="V55" s="37">
        <f t="shared" si="9"/>
        <v>19</v>
      </c>
      <c r="W55" s="37">
        <f t="shared" si="9"/>
        <v>17</v>
      </c>
      <c r="X55" s="37">
        <f t="shared" si="9"/>
        <v>10</v>
      </c>
      <c r="Y55" s="37">
        <f t="shared" si="9"/>
        <v>0</v>
      </c>
      <c r="Z55" s="37">
        <f t="shared" si="9"/>
        <v>10</v>
      </c>
      <c r="AA55" s="37">
        <f t="shared" si="9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64</v>
      </c>
      <c r="N56" s="38" t="s">
        <v>226</v>
      </c>
      <c r="O56" s="38" t="s">
        <v>228</v>
      </c>
      <c r="P56" s="38" t="s">
        <v>26</v>
      </c>
      <c r="Q56" s="38" t="s">
        <v>236</v>
      </c>
      <c r="R56" s="38" t="s">
        <v>34</v>
      </c>
      <c r="S56" s="24" t="s">
        <v>24</v>
      </c>
      <c r="U56" s="37">
        <f t="shared" si="9"/>
        <v>4</v>
      </c>
      <c r="V56" s="37">
        <f t="shared" si="9"/>
        <v>0</v>
      </c>
      <c r="W56" s="37">
        <f t="shared" si="9"/>
        <v>0</v>
      </c>
      <c r="X56" s="37">
        <f t="shared" ref="X56:AA119" si="11">VLOOKUP(P56, $A$4:$J$29, 9, 0)</f>
        <v>17</v>
      </c>
      <c r="Y56" s="37">
        <f t="shared" si="11"/>
        <v>0</v>
      </c>
      <c r="Z56" s="37">
        <f t="shared" si="11"/>
        <v>10</v>
      </c>
      <c r="AA56" s="37">
        <f t="shared" si="11"/>
        <v>19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226</v>
      </c>
      <c r="O57" s="38" t="s">
        <v>228</v>
      </c>
      <c r="P57" s="38" t="s">
        <v>89</v>
      </c>
      <c r="Q57" s="38" t="s">
        <v>24</v>
      </c>
      <c r="R57" s="38" t="s">
        <v>34</v>
      </c>
      <c r="S57" s="24" t="s">
        <v>24</v>
      </c>
      <c r="U57" s="37">
        <f t="shared" ref="U57:Z120" si="12">VLOOKUP(M57, $A$4:$J$29, 9, 0)</f>
        <v>11</v>
      </c>
      <c r="V57" s="37">
        <f t="shared" si="12"/>
        <v>0</v>
      </c>
      <c r="W57" s="37">
        <f t="shared" si="12"/>
        <v>0</v>
      </c>
      <c r="X57" s="37">
        <f t="shared" si="11"/>
        <v>16</v>
      </c>
      <c r="Y57" s="37">
        <f t="shared" si="11"/>
        <v>19</v>
      </c>
      <c r="Z57" s="37">
        <f t="shared" si="11"/>
        <v>10</v>
      </c>
      <c r="AA57" s="37">
        <f t="shared" si="11"/>
        <v>19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28</v>
      </c>
      <c r="N58" s="38" t="s">
        <v>26</v>
      </c>
      <c r="O58" s="38" t="s">
        <v>18</v>
      </c>
      <c r="P58" s="38" t="s">
        <v>89</v>
      </c>
      <c r="Q58" s="38" t="s">
        <v>89</v>
      </c>
      <c r="R58" s="38" t="s">
        <v>34</v>
      </c>
      <c r="S58" s="24" t="s">
        <v>24</v>
      </c>
      <c r="U58" s="37">
        <f t="shared" si="12"/>
        <v>11</v>
      </c>
      <c r="V58" s="37">
        <f t="shared" si="12"/>
        <v>17</v>
      </c>
      <c r="W58" s="37">
        <f t="shared" si="12"/>
        <v>3</v>
      </c>
      <c r="X58" s="37">
        <f t="shared" si="11"/>
        <v>16</v>
      </c>
      <c r="Y58" s="37">
        <f t="shared" si="11"/>
        <v>16</v>
      </c>
      <c r="Z58" s="37">
        <f t="shared" si="11"/>
        <v>10</v>
      </c>
      <c r="AA58" s="37">
        <f t="shared" si="11"/>
        <v>19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28</v>
      </c>
      <c r="N59" s="38" t="s">
        <v>20</v>
      </c>
      <c r="O59" s="38" t="s">
        <v>26</v>
      </c>
      <c r="P59" s="38" t="s">
        <v>64</v>
      </c>
      <c r="Q59" s="38" t="s">
        <v>228</v>
      </c>
      <c r="R59" s="38" t="s">
        <v>34</v>
      </c>
      <c r="S59" s="24" t="s">
        <v>24</v>
      </c>
      <c r="U59" s="37">
        <f t="shared" si="12"/>
        <v>11</v>
      </c>
      <c r="V59" s="37">
        <f t="shared" si="12"/>
        <v>4</v>
      </c>
      <c r="W59" s="37">
        <f t="shared" si="12"/>
        <v>17</v>
      </c>
      <c r="X59" s="37">
        <f t="shared" si="11"/>
        <v>4</v>
      </c>
      <c r="Y59" s="37">
        <f t="shared" si="11"/>
        <v>0</v>
      </c>
      <c r="Z59" s="37">
        <f t="shared" si="11"/>
        <v>10</v>
      </c>
      <c r="AA59" s="37">
        <f t="shared" si="11"/>
        <v>19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18</v>
      </c>
      <c r="N60" s="38" t="s">
        <v>236</v>
      </c>
      <c r="O60" s="38" t="s">
        <v>26</v>
      </c>
      <c r="P60" s="38" t="s">
        <v>64</v>
      </c>
      <c r="Q60" s="38" t="s">
        <v>228</v>
      </c>
      <c r="R60" s="38" t="s">
        <v>34</v>
      </c>
      <c r="S60" s="24" t="s">
        <v>29</v>
      </c>
      <c r="U60" s="37">
        <f t="shared" si="12"/>
        <v>3</v>
      </c>
      <c r="V60" s="37">
        <f t="shared" si="12"/>
        <v>0</v>
      </c>
      <c r="W60" s="37">
        <f t="shared" si="12"/>
        <v>17</v>
      </c>
      <c r="X60" s="37">
        <f t="shared" si="11"/>
        <v>4</v>
      </c>
      <c r="Y60" s="37">
        <f t="shared" si="11"/>
        <v>0</v>
      </c>
      <c r="Z60" s="37">
        <f t="shared" si="11"/>
        <v>10</v>
      </c>
      <c r="AA60" s="37">
        <f t="shared" si="11"/>
        <v>23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27</v>
      </c>
      <c r="N61" s="38" t="s">
        <v>236</v>
      </c>
      <c r="O61" s="38" t="s">
        <v>26</v>
      </c>
      <c r="P61" s="38" t="s">
        <v>64</v>
      </c>
      <c r="Q61" s="38" t="s">
        <v>21</v>
      </c>
      <c r="R61" s="38" t="s">
        <v>34</v>
      </c>
      <c r="S61" s="24" t="s">
        <v>29</v>
      </c>
      <c r="U61" s="37">
        <f t="shared" si="12"/>
        <v>8</v>
      </c>
      <c r="V61" s="37">
        <f t="shared" si="12"/>
        <v>0</v>
      </c>
      <c r="W61" s="37">
        <f t="shared" si="12"/>
        <v>17</v>
      </c>
      <c r="X61" s="37">
        <f t="shared" si="11"/>
        <v>4</v>
      </c>
      <c r="Y61" s="37">
        <f t="shared" si="11"/>
        <v>6</v>
      </c>
      <c r="Z61" s="37">
        <f t="shared" si="11"/>
        <v>10</v>
      </c>
      <c r="AA61" s="37">
        <f t="shared" si="11"/>
        <v>23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27</v>
      </c>
      <c r="N62" s="38" t="s">
        <v>24</v>
      </c>
      <c r="O62" s="38" t="s">
        <v>64</v>
      </c>
      <c r="P62" s="38" t="s">
        <v>226</v>
      </c>
      <c r="Q62" s="38" t="s">
        <v>21</v>
      </c>
      <c r="R62" s="38" t="s">
        <v>34</v>
      </c>
      <c r="S62" s="24" t="s">
        <v>29</v>
      </c>
      <c r="U62" s="37">
        <f t="shared" si="12"/>
        <v>8</v>
      </c>
      <c r="V62" s="37">
        <f t="shared" si="12"/>
        <v>19</v>
      </c>
      <c r="W62" s="37">
        <f t="shared" si="12"/>
        <v>4</v>
      </c>
      <c r="X62" s="37">
        <f t="shared" si="11"/>
        <v>0</v>
      </c>
      <c r="Y62" s="37">
        <f t="shared" si="11"/>
        <v>6</v>
      </c>
      <c r="Z62" s="37">
        <f t="shared" si="11"/>
        <v>10</v>
      </c>
      <c r="AA62" s="37">
        <f t="shared" si="11"/>
        <v>23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21</v>
      </c>
      <c r="N63" s="38" t="s">
        <v>89</v>
      </c>
      <c r="O63" s="38" t="s">
        <v>89</v>
      </c>
      <c r="P63" s="38" t="s">
        <v>226</v>
      </c>
      <c r="Q63" s="38" t="s">
        <v>26</v>
      </c>
      <c r="R63" s="38" t="s">
        <v>34</v>
      </c>
      <c r="S63" s="38" t="s">
        <v>29</v>
      </c>
      <c r="U63" s="37">
        <f t="shared" si="12"/>
        <v>6</v>
      </c>
      <c r="V63" s="37">
        <f t="shared" si="12"/>
        <v>16</v>
      </c>
      <c r="W63" s="37">
        <f t="shared" si="12"/>
        <v>16</v>
      </c>
      <c r="X63" s="37">
        <f t="shared" si="11"/>
        <v>0</v>
      </c>
      <c r="Y63" s="37">
        <f t="shared" si="11"/>
        <v>17</v>
      </c>
      <c r="Z63" s="37">
        <f t="shared" si="11"/>
        <v>10</v>
      </c>
      <c r="AA63" s="37">
        <f t="shared" si="11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34</v>
      </c>
      <c r="S64" s="24" t="s">
        <v>17</v>
      </c>
      <c r="U64" s="37">
        <f t="shared" si="12"/>
        <v>17</v>
      </c>
      <c r="V64" s="37">
        <f t="shared" si="12"/>
        <v>0</v>
      </c>
      <c r="W64" s="37">
        <f t="shared" si="12"/>
        <v>0</v>
      </c>
      <c r="X64" s="37">
        <f t="shared" si="11"/>
        <v>10</v>
      </c>
      <c r="Y64" s="37">
        <f t="shared" si="11"/>
        <v>11</v>
      </c>
      <c r="Z64" s="37">
        <f t="shared" si="11"/>
        <v>10</v>
      </c>
      <c r="AA64" s="37">
        <f t="shared" si="11"/>
        <v>10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34</v>
      </c>
      <c r="S65" s="24" t="s">
        <v>17</v>
      </c>
      <c r="U65" s="37">
        <f t="shared" si="12"/>
        <v>11</v>
      </c>
      <c r="V65" s="37">
        <f t="shared" si="12"/>
        <v>19</v>
      </c>
      <c r="W65" s="37">
        <f t="shared" si="12"/>
        <v>17</v>
      </c>
      <c r="X65" s="37">
        <f t="shared" si="11"/>
        <v>10</v>
      </c>
      <c r="Y65" s="37">
        <f t="shared" si="11"/>
        <v>11</v>
      </c>
      <c r="Z65" s="37">
        <f t="shared" si="11"/>
        <v>10</v>
      </c>
      <c r="AA65" s="37">
        <f t="shared" si="11"/>
        <v>10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34</v>
      </c>
      <c r="S66" s="24" t="s">
        <v>26</v>
      </c>
      <c r="U66" s="37">
        <f t="shared" si="12"/>
        <v>17</v>
      </c>
      <c r="V66" s="37">
        <f t="shared" si="12"/>
        <v>19</v>
      </c>
      <c r="W66" s="37">
        <f t="shared" si="12"/>
        <v>17</v>
      </c>
      <c r="X66" s="37">
        <f t="shared" si="11"/>
        <v>8</v>
      </c>
      <c r="Y66" s="37">
        <f t="shared" si="11"/>
        <v>17</v>
      </c>
      <c r="Z66" s="37">
        <f t="shared" si="11"/>
        <v>10</v>
      </c>
      <c r="AA66" s="37">
        <f t="shared" si="11"/>
        <v>17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34</v>
      </c>
      <c r="S67" s="24" t="s">
        <v>26</v>
      </c>
      <c r="U67" s="37">
        <f t="shared" si="12"/>
        <v>23</v>
      </c>
      <c r="V67" s="37">
        <f t="shared" si="12"/>
        <v>4</v>
      </c>
      <c r="W67" s="37">
        <f t="shared" si="12"/>
        <v>17</v>
      </c>
      <c r="X67" s="37">
        <f t="shared" si="11"/>
        <v>8</v>
      </c>
      <c r="Y67" s="37">
        <f t="shared" si="11"/>
        <v>3</v>
      </c>
      <c r="Z67" s="37">
        <f t="shared" si="11"/>
        <v>10</v>
      </c>
      <c r="AA67" s="37">
        <f t="shared" si="11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34</v>
      </c>
      <c r="S68" s="24" t="s">
        <v>28</v>
      </c>
      <c r="U68" s="37">
        <f t="shared" si="12"/>
        <v>10</v>
      </c>
      <c r="V68" s="37">
        <f t="shared" si="12"/>
        <v>8</v>
      </c>
      <c r="W68" s="37">
        <f t="shared" si="12"/>
        <v>3</v>
      </c>
      <c r="X68" s="37">
        <f t="shared" si="11"/>
        <v>23</v>
      </c>
      <c r="Y68" s="37">
        <f t="shared" si="11"/>
        <v>16</v>
      </c>
      <c r="Z68" s="37">
        <f t="shared" si="11"/>
        <v>10</v>
      </c>
      <c r="AA68" s="37">
        <f t="shared" si="11"/>
        <v>11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34</v>
      </c>
      <c r="S69" s="24" t="s">
        <v>28</v>
      </c>
      <c r="U69" s="37">
        <f t="shared" si="12"/>
        <v>8</v>
      </c>
      <c r="V69" s="37">
        <f t="shared" si="12"/>
        <v>8</v>
      </c>
      <c r="W69" s="37">
        <f t="shared" si="12"/>
        <v>19</v>
      </c>
      <c r="X69" s="37">
        <f t="shared" si="11"/>
        <v>23</v>
      </c>
      <c r="Y69" s="37">
        <f t="shared" si="11"/>
        <v>16</v>
      </c>
      <c r="Z69" s="37">
        <f t="shared" si="11"/>
        <v>10</v>
      </c>
      <c r="AA69" s="37">
        <f t="shared" si="11"/>
        <v>11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34</v>
      </c>
      <c r="S70" s="24" t="s">
        <v>28</v>
      </c>
      <c r="U70" s="37">
        <f t="shared" si="12"/>
        <v>8</v>
      </c>
      <c r="V70" s="37">
        <f t="shared" si="12"/>
        <v>23</v>
      </c>
      <c r="W70" s="37">
        <f t="shared" si="12"/>
        <v>19</v>
      </c>
      <c r="X70" s="37">
        <f t="shared" si="11"/>
        <v>23</v>
      </c>
      <c r="Y70" s="37">
        <f t="shared" si="11"/>
        <v>3</v>
      </c>
      <c r="Z70" s="37">
        <f t="shared" si="11"/>
        <v>10</v>
      </c>
      <c r="AA70" s="37">
        <f t="shared" si="11"/>
        <v>11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34</v>
      </c>
      <c r="S71" s="24" t="s">
        <v>29</v>
      </c>
      <c r="U71" s="37">
        <f t="shared" si="12"/>
        <v>3</v>
      </c>
      <c r="V71" s="37">
        <f t="shared" si="12"/>
        <v>8</v>
      </c>
      <c r="W71" s="37">
        <f t="shared" si="12"/>
        <v>19</v>
      </c>
      <c r="X71" s="37">
        <f t="shared" si="11"/>
        <v>17</v>
      </c>
      <c r="Y71" s="37">
        <f t="shared" si="11"/>
        <v>3</v>
      </c>
      <c r="Z71" s="37">
        <f t="shared" si="11"/>
        <v>10</v>
      </c>
      <c r="AA71" s="37">
        <f t="shared" si="11"/>
        <v>23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34</v>
      </c>
      <c r="S72" s="24" t="s">
        <v>21</v>
      </c>
      <c r="U72" s="37">
        <f t="shared" si="12"/>
        <v>3</v>
      </c>
      <c r="V72" s="37">
        <f t="shared" si="12"/>
        <v>8</v>
      </c>
      <c r="W72" s="37">
        <f t="shared" si="12"/>
        <v>11</v>
      </c>
      <c r="X72" s="37">
        <f t="shared" si="11"/>
        <v>0</v>
      </c>
      <c r="Y72" s="37">
        <f t="shared" si="11"/>
        <v>0</v>
      </c>
      <c r="Z72" s="37">
        <f t="shared" si="11"/>
        <v>10</v>
      </c>
      <c r="AA72" s="37">
        <f t="shared" si="11"/>
        <v>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34</v>
      </c>
      <c r="S73" s="24" t="s">
        <v>21</v>
      </c>
      <c r="U73" s="37">
        <f t="shared" si="12"/>
        <v>17</v>
      </c>
      <c r="V73" s="37">
        <f t="shared" si="12"/>
        <v>8</v>
      </c>
      <c r="W73" s="37">
        <f t="shared" si="12"/>
        <v>11</v>
      </c>
      <c r="X73" s="37">
        <f t="shared" si="11"/>
        <v>4</v>
      </c>
      <c r="Y73" s="37">
        <f t="shared" si="11"/>
        <v>4</v>
      </c>
      <c r="Z73" s="37">
        <f t="shared" si="11"/>
        <v>10</v>
      </c>
      <c r="AA73" s="37">
        <f t="shared" si="11"/>
        <v>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34</v>
      </c>
      <c r="S74" s="24" t="s">
        <v>17</v>
      </c>
      <c r="U74" s="37">
        <f t="shared" si="12"/>
        <v>23</v>
      </c>
      <c r="V74" s="37">
        <f t="shared" si="12"/>
        <v>0</v>
      </c>
      <c r="W74" s="37">
        <f t="shared" si="12"/>
        <v>11</v>
      </c>
      <c r="X74" s="37">
        <f t="shared" si="11"/>
        <v>4</v>
      </c>
      <c r="Y74" s="37">
        <f t="shared" si="11"/>
        <v>3</v>
      </c>
      <c r="Z74" s="37">
        <f t="shared" si="11"/>
        <v>10</v>
      </c>
      <c r="AA74" s="37">
        <f t="shared" si="11"/>
        <v>10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34</v>
      </c>
      <c r="S75" s="24" t="s">
        <v>17</v>
      </c>
      <c r="U75" s="37">
        <f t="shared" si="12"/>
        <v>23</v>
      </c>
      <c r="V75" s="37">
        <f t="shared" si="12"/>
        <v>11</v>
      </c>
      <c r="W75" s="37">
        <f t="shared" si="12"/>
        <v>17</v>
      </c>
      <c r="X75" s="37">
        <f t="shared" si="11"/>
        <v>19</v>
      </c>
      <c r="Y75" s="37">
        <f t="shared" si="11"/>
        <v>19</v>
      </c>
      <c r="Z75" s="37">
        <f t="shared" si="11"/>
        <v>10</v>
      </c>
      <c r="AA75" s="37">
        <f t="shared" si="11"/>
        <v>10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34</v>
      </c>
      <c r="S76" s="24" t="s">
        <v>17</v>
      </c>
      <c r="U76" s="37">
        <f t="shared" si="12"/>
        <v>17</v>
      </c>
      <c r="V76" s="37">
        <f t="shared" si="12"/>
        <v>0</v>
      </c>
      <c r="W76" s="37">
        <f t="shared" si="12"/>
        <v>3</v>
      </c>
      <c r="X76" s="37">
        <f t="shared" si="11"/>
        <v>4</v>
      </c>
      <c r="Y76" s="37">
        <f t="shared" si="11"/>
        <v>3</v>
      </c>
      <c r="Z76" s="37">
        <f t="shared" si="11"/>
        <v>10</v>
      </c>
      <c r="AA76" s="37">
        <f t="shared" si="11"/>
        <v>10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34</v>
      </c>
      <c r="S77" s="24" t="s">
        <v>27</v>
      </c>
      <c r="U77" s="37">
        <f t="shared" si="12"/>
        <v>11</v>
      </c>
      <c r="V77" s="37">
        <f t="shared" si="12"/>
        <v>19</v>
      </c>
      <c r="W77" s="37">
        <f t="shared" si="12"/>
        <v>11</v>
      </c>
      <c r="X77" s="37">
        <f t="shared" si="11"/>
        <v>11</v>
      </c>
      <c r="Y77" s="37">
        <f t="shared" si="11"/>
        <v>10</v>
      </c>
      <c r="Z77" s="37">
        <f t="shared" si="11"/>
        <v>10</v>
      </c>
      <c r="AA77" s="37">
        <f t="shared" si="11"/>
        <v>8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34</v>
      </c>
      <c r="S78" s="24" t="s">
        <v>27</v>
      </c>
      <c r="U78" s="37">
        <f t="shared" si="12"/>
        <v>4</v>
      </c>
      <c r="V78" s="37">
        <f t="shared" si="12"/>
        <v>0</v>
      </c>
      <c r="W78" s="37">
        <f t="shared" si="12"/>
        <v>11</v>
      </c>
      <c r="X78" s="37">
        <f t="shared" si="11"/>
        <v>11</v>
      </c>
      <c r="Y78" s="37">
        <f t="shared" si="11"/>
        <v>10</v>
      </c>
      <c r="Z78" s="37">
        <f t="shared" si="11"/>
        <v>10</v>
      </c>
      <c r="AA78" s="37">
        <f t="shared" si="11"/>
        <v>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34</v>
      </c>
      <c r="S79" s="24" t="s">
        <v>27</v>
      </c>
      <c r="U79" s="37">
        <f t="shared" si="12"/>
        <v>23</v>
      </c>
      <c r="V79" s="37">
        <f t="shared" si="12"/>
        <v>0</v>
      </c>
      <c r="W79" s="37">
        <f t="shared" si="12"/>
        <v>19</v>
      </c>
      <c r="X79" s="37">
        <f t="shared" si="11"/>
        <v>0</v>
      </c>
      <c r="Y79" s="37">
        <f t="shared" si="11"/>
        <v>0</v>
      </c>
      <c r="Z79" s="37">
        <f t="shared" si="11"/>
        <v>10</v>
      </c>
      <c r="AA79" s="37">
        <f t="shared" si="11"/>
        <v>8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34</v>
      </c>
      <c r="S80" s="38" t="s">
        <v>17</v>
      </c>
      <c r="U80" s="37">
        <f t="shared" si="12"/>
        <v>23</v>
      </c>
      <c r="V80" s="37">
        <f t="shared" si="12"/>
        <v>16</v>
      </c>
      <c r="W80" s="37">
        <f t="shared" si="12"/>
        <v>17</v>
      </c>
      <c r="X80" s="37">
        <f t="shared" si="11"/>
        <v>23</v>
      </c>
      <c r="Y80" s="37">
        <f t="shared" si="11"/>
        <v>4</v>
      </c>
      <c r="Z80" s="37">
        <f t="shared" si="11"/>
        <v>10</v>
      </c>
      <c r="AA80" s="37">
        <f t="shared" si="11"/>
        <v>10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34</v>
      </c>
      <c r="S81" s="24" t="s">
        <v>29</v>
      </c>
      <c r="U81" s="37">
        <f t="shared" si="12"/>
        <v>8</v>
      </c>
      <c r="V81" s="37">
        <f t="shared" si="12"/>
        <v>16</v>
      </c>
      <c r="W81" s="37">
        <f t="shared" si="12"/>
        <v>17</v>
      </c>
      <c r="X81" s="37">
        <f t="shared" si="11"/>
        <v>23</v>
      </c>
      <c r="Y81" s="37">
        <f t="shared" si="11"/>
        <v>4</v>
      </c>
      <c r="Z81" s="37">
        <f t="shared" si="11"/>
        <v>10</v>
      </c>
      <c r="AA81" s="37">
        <f t="shared" si="11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34</v>
      </c>
      <c r="S82" s="24" t="s">
        <v>29</v>
      </c>
      <c r="U82" s="37">
        <f t="shared" si="12"/>
        <v>11</v>
      </c>
      <c r="V82" s="37">
        <f t="shared" si="12"/>
        <v>6</v>
      </c>
      <c r="W82" s="37">
        <f t="shared" si="12"/>
        <v>17</v>
      </c>
      <c r="X82" s="37">
        <f t="shared" si="11"/>
        <v>19</v>
      </c>
      <c r="Y82" s="37">
        <f t="shared" si="11"/>
        <v>16</v>
      </c>
      <c r="Z82" s="37">
        <f t="shared" si="11"/>
        <v>10</v>
      </c>
      <c r="AA82" s="37">
        <f t="shared" si="11"/>
        <v>23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34</v>
      </c>
      <c r="S83" s="24" t="s">
        <v>29</v>
      </c>
      <c r="U83" s="37">
        <f t="shared" si="12"/>
        <v>4</v>
      </c>
      <c r="V83" s="37">
        <f t="shared" si="12"/>
        <v>6</v>
      </c>
      <c r="W83" s="37">
        <f t="shared" si="12"/>
        <v>3</v>
      </c>
      <c r="X83" s="37">
        <f t="shared" si="11"/>
        <v>0</v>
      </c>
      <c r="Y83" s="37">
        <f t="shared" si="11"/>
        <v>16</v>
      </c>
      <c r="Z83" s="37">
        <f t="shared" si="11"/>
        <v>10</v>
      </c>
      <c r="AA83" s="37">
        <f t="shared" si="11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34</v>
      </c>
      <c r="S84" s="24" t="s">
        <v>24</v>
      </c>
      <c r="U84" s="37">
        <f t="shared" si="12"/>
        <v>4</v>
      </c>
      <c r="V84" s="37">
        <f t="shared" si="12"/>
        <v>17</v>
      </c>
      <c r="W84" s="37">
        <f t="shared" si="12"/>
        <v>11</v>
      </c>
      <c r="X84" s="37">
        <f t="shared" si="11"/>
        <v>3</v>
      </c>
      <c r="Y84" s="37">
        <f t="shared" si="11"/>
        <v>0</v>
      </c>
      <c r="Z84" s="37">
        <f t="shared" si="11"/>
        <v>10</v>
      </c>
      <c r="AA84" s="37">
        <f t="shared" si="11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34</v>
      </c>
      <c r="S85" s="24" t="s">
        <v>24</v>
      </c>
      <c r="U85" s="37">
        <f t="shared" si="12"/>
        <v>11</v>
      </c>
      <c r="V85" s="37">
        <f t="shared" si="12"/>
        <v>17</v>
      </c>
      <c r="W85" s="37">
        <f t="shared" si="12"/>
        <v>6</v>
      </c>
      <c r="X85" s="37">
        <f t="shared" si="11"/>
        <v>4</v>
      </c>
      <c r="Y85" s="37">
        <f t="shared" si="11"/>
        <v>11</v>
      </c>
      <c r="Z85" s="37">
        <f t="shared" si="11"/>
        <v>10</v>
      </c>
      <c r="AA85" s="37">
        <f t="shared" si="11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34</v>
      </c>
      <c r="S86" s="24" t="s">
        <v>24</v>
      </c>
      <c r="U86" s="37">
        <f t="shared" si="12"/>
        <v>23</v>
      </c>
      <c r="V86" s="37">
        <f t="shared" si="12"/>
        <v>8</v>
      </c>
      <c r="W86" s="37">
        <f t="shared" si="12"/>
        <v>6</v>
      </c>
      <c r="X86" s="37">
        <f t="shared" si="11"/>
        <v>8</v>
      </c>
      <c r="Y86" s="37">
        <f t="shared" si="11"/>
        <v>11</v>
      </c>
      <c r="Z86" s="37">
        <f t="shared" si="11"/>
        <v>10</v>
      </c>
      <c r="AA86" s="37">
        <f t="shared" si="11"/>
        <v>19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34</v>
      </c>
      <c r="S87" s="24" t="s">
        <v>27</v>
      </c>
      <c r="U87" s="37">
        <f t="shared" si="12"/>
        <v>11</v>
      </c>
      <c r="V87" s="37">
        <f t="shared" si="12"/>
        <v>8</v>
      </c>
      <c r="W87" s="37">
        <f t="shared" si="12"/>
        <v>6</v>
      </c>
      <c r="X87" s="37">
        <f t="shared" si="11"/>
        <v>3</v>
      </c>
      <c r="Y87" s="37">
        <f t="shared" si="11"/>
        <v>16</v>
      </c>
      <c r="Z87" s="37">
        <f t="shared" si="11"/>
        <v>10</v>
      </c>
      <c r="AA87" s="37">
        <f t="shared" si="11"/>
        <v>8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34</v>
      </c>
      <c r="S88" s="24" t="s">
        <v>27</v>
      </c>
      <c r="U88" s="37">
        <f t="shared" si="12"/>
        <v>11</v>
      </c>
      <c r="V88" s="37">
        <f t="shared" si="12"/>
        <v>4</v>
      </c>
      <c r="W88" s="37">
        <f t="shared" si="12"/>
        <v>3</v>
      </c>
      <c r="X88" s="37">
        <f t="shared" si="11"/>
        <v>8</v>
      </c>
      <c r="Y88" s="37">
        <f t="shared" si="11"/>
        <v>6</v>
      </c>
      <c r="Z88" s="37">
        <f t="shared" si="11"/>
        <v>10</v>
      </c>
      <c r="AA88" s="37">
        <f t="shared" si="11"/>
        <v>8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34</v>
      </c>
      <c r="S89" s="24" t="s">
        <v>27</v>
      </c>
      <c r="U89" s="37">
        <f t="shared" si="12"/>
        <v>23</v>
      </c>
      <c r="V89" s="37">
        <f t="shared" si="12"/>
        <v>19</v>
      </c>
      <c r="W89" s="37">
        <f t="shared" si="12"/>
        <v>0</v>
      </c>
      <c r="X89" s="37">
        <f t="shared" si="11"/>
        <v>8</v>
      </c>
      <c r="Y89" s="37">
        <f t="shared" si="11"/>
        <v>17</v>
      </c>
      <c r="Z89" s="37">
        <f t="shared" si="11"/>
        <v>10</v>
      </c>
      <c r="AA89" s="37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34</v>
      </c>
      <c r="S90" s="24" t="s">
        <v>29</v>
      </c>
      <c r="U90" s="37">
        <f t="shared" si="12"/>
        <v>23</v>
      </c>
      <c r="V90" s="37">
        <f t="shared" si="12"/>
        <v>23</v>
      </c>
      <c r="W90" s="37">
        <f t="shared" si="12"/>
        <v>19</v>
      </c>
      <c r="X90" s="37">
        <f t="shared" si="11"/>
        <v>8</v>
      </c>
      <c r="Y90" s="37">
        <f t="shared" si="11"/>
        <v>3</v>
      </c>
      <c r="Z90" s="37">
        <f t="shared" si="11"/>
        <v>10</v>
      </c>
      <c r="AA90" s="37">
        <f t="shared" si="11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34</v>
      </c>
      <c r="S91" s="24" t="s">
        <v>64</v>
      </c>
      <c r="U91" s="37">
        <f t="shared" si="12"/>
        <v>23</v>
      </c>
      <c r="V91" s="37">
        <f t="shared" si="12"/>
        <v>23</v>
      </c>
      <c r="W91" s="37">
        <f t="shared" si="12"/>
        <v>19</v>
      </c>
      <c r="X91" s="37">
        <f t="shared" si="11"/>
        <v>23</v>
      </c>
      <c r="Y91" s="37">
        <f t="shared" si="11"/>
        <v>8</v>
      </c>
      <c r="Z91" s="37">
        <f t="shared" si="11"/>
        <v>10</v>
      </c>
      <c r="AA91" s="37">
        <f t="shared" si="11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34</v>
      </c>
      <c r="S92" s="24" t="s">
        <v>64</v>
      </c>
      <c r="U92" s="37">
        <f t="shared" si="12"/>
        <v>23</v>
      </c>
      <c r="V92" s="37">
        <f t="shared" si="12"/>
        <v>10</v>
      </c>
      <c r="W92" s="37">
        <f t="shared" si="12"/>
        <v>11</v>
      </c>
      <c r="X92" s="37">
        <f t="shared" si="11"/>
        <v>23</v>
      </c>
      <c r="Y92" s="37">
        <f t="shared" si="11"/>
        <v>8</v>
      </c>
      <c r="Z92" s="37">
        <f t="shared" si="11"/>
        <v>10</v>
      </c>
      <c r="AA92" s="37">
        <f t="shared" si="11"/>
        <v>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34</v>
      </c>
      <c r="S93" s="24" t="s">
        <v>64</v>
      </c>
      <c r="U93" s="37">
        <f t="shared" si="12"/>
        <v>11</v>
      </c>
      <c r="V93" s="37">
        <f t="shared" si="12"/>
        <v>6</v>
      </c>
      <c r="W93" s="37">
        <f t="shared" si="12"/>
        <v>11</v>
      </c>
      <c r="X93" s="37">
        <f t="shared" si="11"/>
        <v>23</v>
      </c>
      <c r="Y93" s="37">
        <f t="shared" si="11"/>
        <v>17</v>
      </c>
      <c r="Z93" s="37">
        <f t="shared" si="11"/>
        <v>10</v>
      </c>
      <c r="AA93" s="37">
        <f t="shared" si="11"/>
        <v>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34</v>
      </c>
      <c r="S94" s="24" t="s">
        <v>64</v>
      </c>
      <c r="U94" s="37">
        <f t="shared" si="12"/>
        <v>19</v>
      </c>
      <c r="V94" s="37">
        <f t="shared" si="12"/>
        <v>6</v>
      </c>
      <c r="W94" s="37">
        <f t="shared" si="12"/>
        <v>3</v>
      </c>
      <c r="X94" s="37">
        <f t="shared" si="11"/>
        <v>4</v>
      </c>
      <c r="Y94" s="37">
        <f t="shared" si="11"/>
        <v>17</v>
      </c>
      <c r="Z94" s="37">
        <f t="shared" si="11"/>
        <v>10</v>
      </c>
      <c r="AA94" s="37">
        <f t="shared" si="11"/>
        <v>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34</v>
      </c>
      <c r="S95" s="24" t="s">
        <v>29</v>
      </c>
      <c r="U95" s="37">
        <f t="shared" si="12"/>
        <v>11</v>
      </c>
      <c r="V95" s="37">
        <f t="shared" si="12"/>
        <v>19</v>
      </c>
      <c r="W95" s="37">
        <f t="shared" si="12"/>
        <v>11</v>
      </c>
      <c r="X95" s="37">
        <f t="shared" si="11"/>
        <v>4</v>
      </c>
      <c r="Y95" s="37">
        <f t="shared" si="11"/>
        <v>0</v>
      </c>
      <c r="Z95" s="37">
        <f t="shared" si="11"/>
        <v>10</v>
      </c>
      <c r="AA95" s="37">
        <f t="shared" si="11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34</v>
      </c>
      <c r="S96" s="24" t="s">
        <v>29</v>
      </c>
      <c r="U96" s="37">
        <f t="shared" si="12"/>
        <v>4</v>
      </c>
      <c r="V96" s="37">
        <f t="shared" si="12"/>
        <v>4</v>
      </c>
      <c r="W96" s="37">
        <f t="shared" si="12"/>
        <v>11</v>
      </c>
      <c r="X96" s="37">
        <f t="shared" si="11"/>
        <v>4</v>
      </c>
      <c r="Y96" s="37">
        <f t="shared" si="11"/>
        <v>11</v>
      </c>
      <c r="Z96" s="37">
        <f t="shared" si="11"/>
        <v>10</v>
      </c>
      <c r="AA96" s="37">
        <f t="shared" si="11"/>
        <v>23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34</v>
      </c>
      <c r="S97" s="24" t="s">
        <v>29</v>
      </c>
      <c r="U97" s="37">
        <f t="shared" si="12"/>
        <v>19</v>
      </c>
      <c r="V97" s="37">
        <f t="shared" si="12"/>
        <v>3</v>
      </c>
      <c r="W97" s="37">
        <f t="shared" si="12"/>
        <v>23</v>
      </c>
      <c r="X97" s="37">
        <f t="shared" si="11"/>
        <v>23</v>
      </c>
      <c r="Y97" s="37">
        <f t="shared" si="11"/>
        <v>17</v>
      </c>
      <c r="Z97" s="37">
        <f t="shared" si="11"/>
        <v>10</v>
      </c>
      <c r="AA97" s="37">
        <f t="shared" si="11"/>
        <v>23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34</v>
      </c>
      <c r="S98" s="24" t="s">
        <v>28</v>
      </c>
      <c r="U98" s="37">
        <f t="shared" si="12"/>
        <v>17</v>
      </c>
      <c r="V98" s="37">
        <f t="shared" si="12"/>
        <v>0</v>
      </c>
      <c r="W98" s="37">
        <f t="shared" si="12"/>
        <v>11</v>
      </c>
      <c r="X98" s="37">
        <f t="shared" si="11"/>
        <v>23</v>
      </c>
      <c r="Y98" s="37">
        <f t="shared" si="11"/>
        <v>17</v>
      </c>
      <c r="Z98" s="37">
        <f t="shared" si="11"/>
        <v>10</v>
      </c>
      <c r="AA98" s="37">
        <f t="shared" si="11"/>
        <v>11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34</v>
      </c>
      <c r="S99" s="24" t="s">
        <v>28</v>
      </c>
      <c r="U99" s="37">
        <f t="shared" si="12"/>
        <v>17</v>
      </c>
      <c r="V99" s="37">
        <f t="shared" si="12"/>
        <v>4</v>
      </c>
      <c r="W99" s="37">
        <f t="shared" si="12"/>
        <v>11</v>
      </c>
      <c r="X99" s="37">
        <f t="shared" si="11"/>
        <v>0</v>
      </c>
      <c r="Y99" s="37">
        <f t="shared" si="11"/>
        <v>17</v>
      </c>
      <c r="Z99" s="37">
        <f t="shared" si="11"/>
        <v>10</v>
      </c>
      <c r="AA99" s="37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34</v>
      </c>
      <c r="S100" s="24" t="s">
        <v>28</v>
      </c>
      <c r="U100" s="37">
        <f t="shared" si="12"/>
        <v>8</v>
      </c>
      <c r="V100" s="37">
        <f t="shared" si="12"/>
        <v>4</v>
      </c>
      <c r="W100" s="37">
        <f t="shared" si="12"/>
        <v>11</v>
      </c>
      <c r="X100" s="37">
        <f t="shared" si="11"/>
        <v>16</v>
      </c>
      <c r="Y100" s="37">
        <f t="shared" si="11"/>
        <v>16</v>
      </c>
      <c r="Z100" s="37">
        <f t="shared" si="11"/>
        <v>10</v>
      </c>
      <c r="AA100" s="37">
        <f t="shared" si="11"/>
        <v>11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34</v>
      </c>
      <c r="S101" s="24" t="s">
        <v>29</v>
      </c>
      <c r="U101" s="37">
        <f t="shared" si="12"/>
        <v>23</v>
      </c>
      <c r="V101" s="37">
        <f t="shared" si="12"/>
        <v>6</v>
      </c>
      <c r="W101" s="37">
        <f t="shared" si="12"/>
        <v>19</v>
      </c>
      <c r="X101" s="37">
        <f t="shared" si="11"/>
        <v>16</v>
      </c>
      <c r="Y101" s="37">
        <f t="shared" si="11"/>
        <v>3</v>
      </c>
      <c r="Z101" s="37">
        <f t="shared" si="11"/>
        <v>10</v>
      </c>
      <c r="AA101" s="37">
        <f t="shared" si="11"/>
        <v>23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34</v>
      </c>
      <c r="S102" s="24" t="s">
        <v>18</v>
      </c>
      <c r="U102" s="37">
        <f t="shared" si="12"/>
        <v>10</v>
      </c>
      <c r="V102" s="37">
        <f t="shared" si="12"/>
        <v>16</v>
      </c>
      <c r="W102" s="37">
        <f t="shared" si="12"/>
        <v>8</v>
      </c>
      <c r="X102" s="37">
        <f t="shared" si="11"/>
        <v>8</v>
      </c>
      <c r="Y102" s="37">
        <f t="shared" si="11"/>
        <v>11</v>
      </c>
      <c r="Z102" s="37">
        <f t="shared" si="11"/>
        <v>10</v>
      </c>
      <c r="AA102" s="37">
        <f t="shared" si="11"/>
        <v>3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34</v>
      </c>
      <c r="S103" s="24" t="s">
        <v>18</v>
      </c>
      <c r="U103" s="37">
        <f t="shared" si="12"/>
        <v>11</v>
      </c>
      <c r="V103" s="37">
        <f t="shared" si="12"/>
        <v>0</v>
      </c>
      <c r="W103" s="37">
        <f t="shared" si="12"/>
        <v>17</v>
      </c>
      <c r="X103" s="37">
        <f t="shared" si="11"/>
        <v>8</v>
      </c>
      <c r="Y103" s="37">
        <f t="shared" si="11"/>
        <v>11</v>
      </c>
      <c r="Z103" s="37">
        <f t="shared" si="11"/>
        <v>10</v>
      </c>
      <c r="AA103" s="37">
        <f t="shared" si="11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34</v>
      </c>
      <c r="S104" s="24" t="s">
        <v>18</v>
      </c>
      <c r="U104" s="37">
        <f t="shared" si="12"/>
        <v>16</v>
      </c>
      <c r="V104" s="37">
        <f t="shared" si="12"/>
        <v>4</v>
      </c>
      <c r="W104" s="37">
        <f t="shared" si="12"/>
        <v>17</v>
      </c>
      <c r="X104" s="37">
        <f t="shared" si="11"/>
        <v>0</v>
      </c>
      <c r="Y104" s="37">
        <f t="shared" si="11"/>
        <v>3</v>
      </c>
      <c r="Z104" s="37">
        <f t="shared" si="11"/>
        <v>10</v>
      </c>
      <c r="AA104" s="37">
        <f t="shared" si="11"/>
        <v>3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34</v>
      </c>
      <c r="S105" s="24" t="s">
        <v>28</v>
      </c>
      <c r="U105" s="37">
        <f t="shared" si="12"/>
        <v>16</v>
      </c>
      <c r="V105" s="37">
        <f t="shared" si="12"/>
        <v>0</v>
      </c>
      <c r="W105" s="37">
        <f t="shared" si="12"/>
        <v>11</v>
      </c>
      <c r="X105" s="37">
        <f t="shared" si="11"/>
        <v>4</v>
      </c>
      <c r="Y105" s="37">
        <f t="shared" si="11"/>
        <v>0</v>
      </c>
      <c r="Z105" s="37">
        <f t="shared" si="11"/>
        <v>10</v>
      </c>
      <c r="AA105" s="37">
        <f t="shared" si="11"/>
        <v>11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34</v>
      </c>
      <c r="S106" s="24" t="s">
        <v>28</v>
      </c>
      <c r="U106" s="37">
        <f t="shared" si="12"/>
        <v>17</v>
      </c>
      <c r="V106" s="37">
        <f t="shared" si="12"/>
        <v>0</v>
      </c>
      <c r="W106" s="37">
        <f t="shared" si="12"/>
        <v>11</v>
      </c>
      <c r="X106" s="37">
        <f t="shared" si="11"/>
        <v>19</v>
      </c>
      <c r="Y106" s="37">
        <f t="shared" si="11"/>
        <v>11</v>
      </c>
      <c r="Z106" s="37">
        <f t="shared" si="11"/>
        <v>10</v>
      </c>
      <c r="AA106" s="37">
        <f t="shared" si="11"/>
        <v>11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34</v>
      </c>
      <c r="S107" s="24" t="s">
        <v>21</v>
      </c>
      <c r="U107" s="37">
        <f t="shared" si="12"/>
        <v>8</v>
      </c>
      <c r="V107" s="37">
        <f t="shared" si="12"/>
        <v>4</v>
      </c>
      <c r="W107" s="37">
        <f t="shared" si="12"/>
        <v>23</v>
      </c>
      <c r="X107" s="37">
        <f t="shared" si="11"/>
        <v>8</v>
      </c>
      <c r="Y107" s="37">
        <f t="shared" si="11"/>
        <v>11</v>
      </c>
      <c r="Z107" s="37">
        <f t="shared" si="11"/>
        <v>10</v>
      </c>
      <c r="AA107" s="37">
        <f t="shared" si="11"/>
        <v>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34</v>
      </c>
      <c r="S108" s="24" t="s">
        <v>21</v>
      </c>
      <c r="U108" s="37">
        <f t="shared" si="12"/>
        <v>17</v>
      </c>
      <c r="V108" s="37">
        <f t="shared" si="12"/>
        <v>4</v>
      </c>
      <c r="W108" s="37">
        <f t="shared" si="12"/>
        <v>6</v>
      </c>
      <c r="X108" s="37">
        <f t="shared" si="11"/>
        <v>8</v>
      </c>
      <c r="Y108" s="37">
        <f t="shared" si="11"/>
        <v>16</v>
      </c>
      <c r="Z108" s="37">
        <f t="shared" si="11"/>
        <v>10</v>
      </c>
      <c r="AA108" s="37">
        <f t="shared" si="11"/>
        <v>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34</v>
      </c>
      <c r="S109" s="24" t="s">
        <v>29</v>
      </c>
      <c r="U109" s="37">
        <f t="shared" si="12"/>
        <v>23</v>
      </c>
      <c r="V109" s="37">
        <f t="shared" si="12"/>
        <v>23</v>
      </c>
      <c r="W109" s="37">
        <f t="shared" si="12"/>
        <v>6</v>
      </c>
      <c r="X109" s="37">
        <f t="shared" si="11"/>
        <v>10</v>
      </c>
      <c r="Y109" s="37">
        <f t="shared" si="11"/>
        <v>11</v>
      </c>
      <c r="Z109" s="37">
        <f t="shared" si="11"/>
        <v>10</v>
      </c>
      <c r="AA109" s="37">
        <f t="shared" si="11"/>
        <v>23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34</v>
      </c>
      <c r="S110" s="24" t="s">
        <v>29</v>
      </c>
      <c r="U110" s="37">
        <f t="shared" si="12"/>
        <v>23</v>
      </c>
      <c r="V110" s="37">
        <f t="shared" si="12"/>
        <v>8</v>
      </c>
      <c r="W110" s="37">
        <f t="shared" si="12"/>
        <v>11</v>
      </c>
      <c r="X110" s="37">
        <f t="shared" si="11"/>
        <v>4</v>
      </c>
      <c r="Y110" s="37">
        <f t="shared" si="11"/>
        <v>23</v>
      </c>
      <c r="Z110" s="37">
        <f t="shared" si="11"/>
        <v>10</v>
      </c>
      <c r="AA110" s="37">
        <f t="shared" si="11"/>
        <v>23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34</v>
      </c>
      <c r="S111" s="24" t="s">
        <v>29</v>
      </c>
      <c r="U111" s="37">
        <f t="shared" si="12"/>
        <v>10</v>
      </c>
      <c r="V111" s="37">
        <f t="shared" si="12"/>
        <v>8</v>
      </c>
      <c r="W111" s="37">
        <f t="shared" si="12"/>
        <v>11</v>
      </c>
      <c r="X111" s="37">
        <f t="shared" si="11"/>
        <v>11</v>
      </c>
      <c r="Y111" s="37">
        <f t="shared" si="11"/>
        <v>3</v>
      </c>
      <c r="Z111" s="37">
        <f t="shared" si="11"/>
        <v>10</v>
      </c>
      <c r="AA111" s="37">
        <f t="shared" si="11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34</v>
      </c>
      <c r="S112" s="24" t="s">
        <v>28</v>
      </c>
      <c r="U112" s="37">
        <f t="shared" si="12"/>
        <v>8</v>
      </c>
      <c r="V112" s="37">
        <f t="shared" si="12"/>
        <v>6</v>
      </c>
      <c r="W112" s="37">
        <f t="shared" si="12"/>
        <v>11</v>
      </c>
      <c r="X112" s="37">
        <f t="shared" si="11"/>
        <v>23</v>
      </c>
      <c r="Y112" s="37">
        <f t="shared" si="11"/>
        <v>0</v>
      </c>
      <c r="Z112" s="37">
        <f t="shared" si="11"/>
        <v>10</v>
      </c>
      <c r="AA112" s="37">
        <f t="shared" si="11"/>
        <v>11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34</v>
      </c>
      <c r="S113" s="38" t="s">
        <v>28</v>
      </c>
      <c r="U113" s="37">
        <f t="shared" si="12"/>
        <v>8</v>
      </c>
      <c r="V113" s="37">
        <f t="shared" si="12"/>
        <v>19</v>
      </c>
      <c r="W113" s="37">
        <f t="shared" si="12"/>
        <v>19</v>
      </c>
      <c r="X113" s="37">
        <f t="shared" si="11"/>
        <v>4</v>
      </c>
      <c r="Y113" s="37">
        <f t="shared" si="11"/>
        <v>16</v>
      </c>
      <c r="Z113" s="37">
        <f t="shared" si="11"/>
        <v>10</v>
      </c>
      <c r="AA113" s="37">
        <f t="shared" si="11"/>
        <v>11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34</v>
      </c>
      <c r="S114" s="24" t="s">
        <v>28</v>
      </c>
      <c r="U114" s="37">
        <f t="shared" si="12"/>
        <v>11</v>
      </c>
      <c r="V114" s="37">
        <f t="shared" si="12"/>
        <v>4</v>
      </c>
      <c r="W114" s="37">
        <f t="shared" si="12"/>
        <v>19</v>
      </c>
      <c r="X114" s="37">
        <f t="shared" si="11"/>
        <v>4</v>
      </c>
      <c r="Y114" s="37">
        <f t="shared" si="11"/>
        <v>11</v>
      </c>
      <c r="Z114" s="37">
        <f t="shared" si="11"/>
        <v>10</v>
      </c>
      <c r="AA114" s="37">
        <f t="shared" si="11"/>
        <v>11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34</v>
      </c>
      <c r="S115" s="24" t="s">
        <v>21</v>
      </c>
      <c r="U115" s="37">
        <f t="shared" si="12"/>
        <v>16</v>
      </c>
      <c r="V115" s="37">
        <f t="shared" si="12"/>
        <v>8</v>
      </c>
      <c r="W115" s="37">
        <f t="shared" si="12"/>
        <v>0</v>
      </c>
      <c r="X115" s="37">
        <f t="shared" si="11"/>
        <v>17</v>
      </c>
      <c r="Y115" s="37">
        <f t="shared" si="11"/>
        <v>16</v>
      </c>
      <c r="Z115" s="37">
        <f t="shared" si="11"/>
        <v>10</v>
      </c>
      <c r="AA115" s="37">
        <f t="shared" si="11"/>
        <v>6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34</v>
      </c>
      <c r="S116" s="24" t="s">
        <v>21</v>
      </c>
      <c r="U116" s="37">
        <f t="shared" si="12"/>
        <v>23</v>
      </c>
      <c r="V116" s="37">
        <f t="shared" si="12"/>
        <v>8</v>
      </c>
      <c r="W116" s="37">
        <f t="shared" si="12"/>
        <v>11</v>
      </c>
      <c r="X116" s="37">
        <f t="shared" si="11"/>
        <v>0</v>
      </c>
      <c r="Y116" s="37">
        <f t="shared" si="11"/>
        <v>16</v>
      </c>
      <c r="Z116" s="37">
        <f t="shared" si="11"/>
        <v>10</v>
      </c>
      <c r="AA116" s="37">
        <f t="shared" si="11"/>
        <v>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34</v>
      </c>
      <c r="S117" s="24" t="s">
        <v>27</v>
      </c>
      <c r="U117" s="37">
        <f t="shared" si="12"/>
        <v>23</v>
      </c>
      <c r="V117" s="37">
        <f t="shared" si="12"/>
        <v>6</v>
      </c>
      <c r="W117" s="37">
        <f t="shared" si="12"/>
        <v>19</v>
      </c>
      <c r="X117" s="37">
        <f t="shared" si="11"/>
        <v>11</v>
      </c>
      <c r="Y117" s="37">
        <f t="shared" si="11"/>
        <v>16</v>
      </c>
      <c r="Z117" s="37">
        <f t="shared" si="11"/>
        <v>10</v>
      </c>
      <c r="AA117" s="37">
        <f t="shared" si="11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34</v>
      </c>
      <c r="S118" s="24" t="s">
        <v>27</v>
      </c>
      <c r="U118" s="37">
        <f t="shared" si="12"/>
        <v>8</v>
      </c>
      <c r="V118" s="37">
        <f t="shared" si="12"/>
        <v>6</v>
      </c>
      <c r="W118" s="37">
        <f t="shared" si="12"/>
        <v>17</v>
      </c>
      <c r="X118" s="37">
        <f t="shared" si="11"/>
        <v>17</v>
      </c>
      <c r="Y118" s="37">
        <f t="shared" si="11"/>
        <v>3</v>
      </c>
      <c r="Z118" s="37">
        <f t="shared" si="11"/>
        <v>10</v>
      </c>
      <c r="AA118" s="37">
        <f t="shared" si="11"/>
        <v>8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34</v>
      </c>
      <c r="S119" s="24" t="s">
        <v>29</v>
      </c>
      <c r="U119" s="37">
        <f t="shared" si="12"/>
        <v>23</v>
      </c>
      <c r="V119" s="37">
        <f t="shared" si="12"/>
        <v>16</v>
      </c>
      <c r="W119" s="37">
        <f t="shared" si="12"/>
        <v>3</v>
      </c>
      <c r="X119" s="37">
        <f t="shared" si="11"/>
        <v>0</v>
      </c>
      <c r="Y119" s="37">
        <f t="shared" si="11"/>
        <v>0</v>
      </c>
      <c r="Z119" s="37">
        <f t="shared" si="11"/>
        <v>10</v>
      </c>
      <c r="AA119" s="37">
        <f t="shared" ref="AA119:AA124" si="13">VLOOKUP(S119, $A$4:$J$29, 9, 0)</f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34</v>
      </c>
      <c r="S120" s="24" t="s">
        <v>29</v>
      </c>
      <c r="U120" s="37">
        <f t="shared" si="12"/>
        <v>23</v>
      </c>
      <c r="V120" s="37">
        <f t="shared" si="12"/>
        <v>23</v>
      </c>
      <c r="W120" s="37">
        <f t="shared" si="12"/>
        <v>19</v>
      </c>
      <c r="X120" s="37">
        <f t="shared" si="12"/>
        <v>4</v>
      </c>
      <c r="Y120" s="37">
        <f t="shared" si="12"/>
        <v>6</v>
      </c>
      <c r="Z120" s="37">
        <f t="shared" si="12"/>
        <v>10</v>
      </c>
      <c r="AA120" s="37">
        <f t="shared" si="13"/>
        <v>23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34</v>
      </c>
      <c r="S121" s="24" t="s">
        <v>29</v>
      </c>
      <c r="U121" s="37">
        <f t="shared" ref="U121:Z124" si="14">VLOOKUP(M121, $A$4:$J$29, 9, 0)</f>
        <v>4</v>
      </c>
      <c r="V121" s="37">
        <f t="shared" si="14"/>
        <v>23</v>
      </c>
      <c r="W121" s="37">
        <f t="shared" si="14"/>
        <v>19</v>
      </c>
      <c r="X121" s="37">
        <f t="shared" si="14"/>
        <v>8</v>
      </c>
      <c r="Y121" s="37">
        <f t="shared" si="14"/>
        <v>6</v>
      </c>
      <c r="Z121" s="37">
        <f t="shared" si="14"/>
        <v>10</v>
      </c>
      <c r="AA121" s="37">
        <f t="shared" si="13"/>
        <v>23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34</v>
      </c>
      <c r="S122" s="24" t="s">
        <v>26</v>
      </c>
      <c r="U122" s="37">
        <f t="shared" si="14"/>
        <v>23</v>
      </c>
      <c r="V122" s="37">
        <f t="shared" si="14"/>
        <v>0</v>
      </c>
      <c r="W122" s="37">
        <f t="shared" si="14"/>
        <v>11</v>
      </c>
      <c r="X122" s="37">
        <f t="shared" si="14"/>
        <v>8</v>
      </c>
      <c r="Y122" s="37">
        <f t="shared" si="14"/>
        <v>16</v>
      </c>
      <c r="Z122" s="37">
        <f t="shared" si="14"/>
        <v>10</v>
      </c>
      <c r="AA122" s="37">
        <f t="shared" si="13"/>
        <v>17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34</v>
      </c>
      <c r="S123" s="24" t="s">
        <v>26</v>
      </c>
      <c r="U123" s="37">
        <f t="shared" si="14"/>
        <v>17</v>
      </c>
      <c r="V123" s="37">
        <f t="shared" si="14"/>
        <v>8</v>
      </c>
      <c r="W123" s="37">
        <f t="shared" si="14"/>
        <v>17</v>
      </c>
      <c r="X123" s="37">
        <f t="shared" si="14"/>
        <v>4</v>
      </c>
      <c r="Y123" s="37">
        <f t="shared" si="14"/>
        <v>6</v>
      </c>
      <c r="Z123" s="37">
        <f t="shared" si="14"/>
        <v>10</v>
      </c>
      <c r="AA123" s="37">
        <f t="shared" si="13"/>
        <v>17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34</v>
      </c>
      <c r="S124" s="24" t="s">
        <v>26</v>
      </c>
      <c r="U124" s="37">
        <f t="shared" si="14"/>
        <v>17</v>
      </c>
      <c r="V124" s="37">
        <f t="shared" si="14"/>
        <v>23</v>
      </c>
      <c r="W124" s="37">
        <f t="shared" si="14"/>
        <v>19</v>
      </c>
      <c r="X124" s="37">
        <f t="shared" si="14"/>
        <v>4</v>
      </c>
      <c r="Y124" s="37">
        <f t="shared" si="14"/>
        <v>16</v>
      </c>
      <c r="Z124" s="37">
        <f t="shared" si="14"/>
        <v>10</v>
      </c>
      <c r="AA124" s="37">
        <f t="shared" si="13"/>
        <v>17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2026-08-03T10:30:02Z</dcterms:modified>
</cp:coreProperties>
</file>