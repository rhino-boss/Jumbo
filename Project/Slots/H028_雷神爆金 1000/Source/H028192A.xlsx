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38E75989-1D47-44BD-BE76-8174DB473D22}" xr6:coauthVersionLast="47" xr6:coauthVersionMax="47" xr10:uidLastSave="{00000000-0000-0000-0000-000000000000}"/>
  <bookViews>
    <workbookView xWindow="-28920" yWindow="60" windowWidth="29040" windowHeight="15720" tabRatio="85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<sst xmlns="http://schemas.openxmlformats.org/spreadsheetml/2006/main" count="24808" uniqueCount="278">
  <si>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</si>
  <si>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</si>
  <si>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</si>
  <si>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</si>
  <si>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</si>
  <si>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</si>
  <si>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</si>
  <si>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</si>
  <si>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</si>
  <si>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</si>
  <si>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</si>
  <si>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</si>
  <si>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</si>
  <si>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</si>
  <si>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</si>
  <si>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</si>
  <si>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</si>
  <si>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</si>
  <si>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</si>
  <si>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</si>
  <si>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</si>
  <si>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</si>
  <si>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</si>
  <si>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</si>
  <si>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</si>
  <si>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</si>
  <si>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</si>
  <si>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</si>
  <si>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</si>
  <si>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</si>
  <si>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</si>
  <si>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</si>
  <si>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</si>
  <si>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</si>
  <si>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</si>
  <si>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</si>
  <si>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</si>
  <si>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</si>
  <si>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</si>
  <si>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</si>
  <si>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</si>
  <si>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</si>
  <si>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</si>
  <si>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</si>
  <si>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</si>
  <si>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</si>
  <si>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</si>
  <si>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</si>
  <si>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</si>
  <si>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</si>
  <si>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</si>
  <si>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</si>
  <si>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</si>
  <si>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</si>
  <si>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</si>
  <si>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</si>
  <si>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</si>
  <si>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</si>
  <si>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</si>
  <si>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</si>
  <si>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</si>
  <si>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</si>
  <si>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</si>
  <si>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</si>
  <si>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</si>
  <si>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</si>
  <si>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</si>
  <si>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</si>
  <si>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</si>
  <si>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</si>
  <si>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</si>
  <si>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</si>
  <si>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</si>
  <si>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</si>
  <si>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</si>
  <si>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</si>
  <si>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</si>
  <si>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</si>
  <si>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</si>
  <si>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</si>
  <si>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</si>
  <si>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</si>
  <si>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</si>
  <si>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</si>
  <si>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</si>
  <si>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</si>
  <si>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</si>
  <si>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</si>
  <si>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</si>
  <si>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</si>
  <si>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</si>
  <si>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</si>
  <si>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</si>
  <si>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</si>
  <si>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</si>
  <si>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</si>
  <si>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</si>
  <si>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</si>
  <si>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</si>
  <si>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</si>
  <si>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</si>
  <si>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</si>
  <si>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</si>
  <si>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</si>
  <si>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</si>
  <si>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</si>
  <si>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</si>
  <si>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</si>
  <si>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</si>
  <si>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</si>
  <si>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</si>
  <si>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</si>
  <si>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</si>
  <si>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</si>
  <si>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</si>
  <si>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</si>
  <si>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</si>
  <si>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</si>
  <si>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</si>
  <si>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</si>
  <si>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</si>
  <si>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</si>
  <si>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</si>
  <si>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</si>
  <si>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</si>
  <si>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</si>
  <si>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</si>
  <si>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</si>
  <si>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</si>
  <si>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</si>
  <si>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</si>
  <si>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</si>
  <si>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</si>
  <si>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</si>
  <si>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</si>
  <si>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</si>
  <si>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</si>
  <si>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</si>
  <si>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</si>
  <si>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</si>
  <si>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</si>
  <si>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</si>
  <si>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</si>
  <si>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</si>
  <si>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</si>
  <si>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</si>
  <si>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</si>
  <si>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</si>
  <si>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</si>
  <si>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</si>
  <si>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</si>
  <si>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</si>
  <si>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</si>
  <si>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</si>
  <si>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</si>
  <si>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</si>
  <si>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</si>
  <si>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</si>
  <si>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</si>
  <si>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</si>
  <si>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</si>
  <si>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</si>
  <si>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</si>
  <si>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</si>
  <si>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</si>
  <si>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</si>
  <si>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</si>
  <si>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</si>
  <si>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</si>
  <si>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</si>
  <si>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</si>
  <si>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</si>
  <si>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</si>
  <si>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</si>
  <si>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</si>
  <si>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</si>
  <si>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</si>
  <si>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</si>
  <si>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</si>
  <si>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</si>
  <si>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</si>
  <si>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</si>
  <si>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</si>
  <si>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</si>
  <si>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</si>
  <si>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</si>
  <si>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</si>
  <si>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</si>
  <si>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</si>
  <si>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</si>
  <si>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</si>
  <si>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</si>
  <si>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</si>
  <si>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</si>
  <si>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</si>
  <si>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</si>
  <si>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</si>
  <si>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</si>
  <si>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</si>
  <si>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</si>
  <si>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</si>
  <si>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</si>
  <si>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</si>
  <si>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</si>
  <si>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</si>
  <si>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</si>
  <si>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</si>
  <si>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</si>
  <si>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</si>
  <si>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</si>
  <si>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</si>
  <si>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</si>
  <si>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</si>
  <si>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</si>
  <si>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</si>
  <si>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</si>
  <si>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</si>
  <si>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</si>
  <si>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</si>
  <si>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</si>
  <si>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</si>
  <si>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</si>
  <si>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</si>
  <si>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</si>
  <si>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</si>
  <si>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</si>
  <si>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</si>
  <si>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</si>
  <si>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</si>
  <si>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</si>
  <si>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</si>
  <si>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</si>
  <si>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</si>
  <si>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</si>
  <si>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</si>
  <si>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</si>
  <si>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</si>
  <si>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</si>
  <si>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</si>
  <si>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</si>
  <si>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</si>
  <si>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</si>
  <si>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</si>
  <si>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</si>
  <si>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</si>
  <si>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</si>
  <si>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</si>
  <si>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</si>
  <si>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</si>
  <si>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</si>
  <si>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</si>
  <si>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</si>
  <si>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</si>
  <si>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</si>
  <si>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</si>
  <si>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</si>
  <si>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</si>
  <si>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</si>
  <si>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</si>
  <si>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</si>
  <si>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</si>
  <si>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</si>
  <si>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</si>
  <si>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</si>
  <si>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</si>
  <si>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</si>
  <si>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</si>
  <si>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</si>
  <si>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</si>
  <si>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</si>
  <si>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</si>
  <si>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</si>
  <si>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</si>
  <si>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</si>
  <si>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</si>
  <si>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</si>
  <si>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</si>
  <si>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2.0.0.22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</si>
</sst>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6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7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0" xfId="58215" applyFont="1" applyFill="1" applyAlignment="1">
      <alignment horizontal="center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5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9" borderId="11" xfId="0" applyFont="1" applyFill="1" applyBorder="1"/>
    <xf numFmtId="180" fontId="25" fillId="39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5" borderId="10" xfId="0" applyFont="1" applyFill="1" applyBorder="1"/>
    <xf numFmtId="0" fontId="33" fillId="0" borderId="0" xfId="0" applyFont="1"/>
    <xf numFmtId="0" fontId="25" fillId="35" borderId="11" xfId="0" applyFont="1" applyFill="1" applyBorder="1"/>
    <xf numFmtId="0" fontId="25" fillId="0" borderId="0" xfId="0" applyFont="1" applyAlignment="1">
      <alignment horizont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4" borderId="11" xfId="1" applyNumberFormat="1" applyFont="1" applyFill="1" applyBorder="1" applyAlignment="1">
      <alignment vertical="center"/>
    </xf>
    <xf numFmtId="182" fontId="25" fillId="38" borderId="11" xfId="1" applyNumberFormat="1" applyFont="1" applyFill="1" applyBorder="1" applyAlignment="1">
      <alignment vertical="center"/>
    </xf>
    <xf numFmtId="10" fontId="25" fillId="34" borderId="11" xfId="1" applyNumberFormat="1" applyFont="1" applyFill="1" applyBorder="1" applyAlignment="1"/>
    <xf numFmtId="1" fontId="25" fillId="34" borderId="11" xfId="1" applyNumberFormat="1" applyFont="1" applyFill="1" applyBorder="1" applyAlignment="1"/>
    <xf numFmtId="2" fontId="25" fillId="34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4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6" borderId="0" xfId="0" applyFont="1" applyFill="1" applyAlignment="1">
      <alignment vertical="center"/>
    </xf>
    <xf numFmtId="0" fontId="33" fillId="36" borderId="0" xfId="0" applyFont="1" applyFill="1"/>
    <xf numFmtId="0" fontId="25" fillId="36" borderId="0" xfId="0" applyFont="1" applyFill="1" applyAlignment="1">
      <alignment horizontal="center" vertical="center"/>
    </xf>
    <xf numFmtId="10" fontId="25" fillId="36" borderId="0" xfId="0" applyNumberFormat="1" applyFont="1" applyFill="1" applyAlignment="1">
      <alignment vertical="center"/>
    </xf>
    <xf numFmtId="0" fontId="25" fillId="36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5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5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5" borderId="11" xfId="0" applyNumberFormat="1" applyFont="1" applyFill="1" applyBorder="1" applyAlignment="1">
      <alignment vertical="center"/>
    </xf>
    <xf numFmtId="179" fontId="19" fillId="34" borderId="11" xfId="61099" applyNumberFormat="1" applyFont="1" applyFill="1" applyBorder="1">
      <alignment vertical="center"/>
    </xf>
    <xf numFmtId="179" fontId="25" fillId="34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5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8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5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0" borderId="0" xfId="0" applyFont="1" applyFill="1" applyAlignment="1">
      <alignment vertical="center"/>
    </xf>
    <xf numFmtId="0" fontId="33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5" borderId="11" xfId="0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80" fontId="33" fillId="0" borderId="11" xfId="61099" applyNumberFormat="1" applyFont="1" applyFill="1" applyBorder="1" applyAlignment="1">
      <alignment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2" borderId="11" xfId="0" applyFont="1" applyFill="1" applyBorder="1" applyAlignment="1">
      <alignment horizontal="center" vertical="center" wrapText="1"/>
    </xf>
    <xf numFmtId="0" fontId="19" fillId="42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2" borderId="11" xfId="0" applyFont="1" applyFill="1" applyBorder="1" applyAlignment="1">
      <alignment horizont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9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5" borderId="15" xfId="0" applyNumberFormat="1" applyFont="1" applyFill="1" applyBorder="1" applyAlignment="1">
      <alignment horizontal="center" vertical="center" wrapText="1"/>
    </xf>
    <xf numFmtId="176" fontId="19" fillId="35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0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1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39" borderId="15" xfId="0" applyFont="1" applyFill="1" applyBorder="1" applyAlignment="1">
      <alignment horizontal="center"/>
    </xf>
    <xf numFmtId="0" fontId="25" fillId="39" borderId="10" xfId="0" applyFont="1" applyFill="1" applyBorder="1" applyAlignment="1">
      <alignment horizontal="center"/>
    </xf>
    <xf numFmtId="180" fontId="25" fillId="35" borderId="15" xfId="61099" applyNumberFormat="1" applyFont="1" applyFill="1" applyBorder="1" applyAlignment="1">
      <alignment horizontal="center" vertical="center"/>
    </xf>
    <xf numFmtId="180" fontId="25" fillId="35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D7" sqref="D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inlineStr">
        <is>
          <t>2.0.0.23</t>
        </is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6" t="str">
        <f>D10</f>
        <v>Bet Type</v>
      </c>
      <c r="B17" s="58"/>
      <c r="C17" s="177" t="e">
        <f>1/D17</f>
        <v>#DIV/0!</v>
      </c>
      <c r="D17" s="179"/>
      <c r="E17" s="10" t="s">
        <v>50</v>
      </c>
      <c r="F17" s="19"/>
      <c r="H17" s="3"/>
      <c r="I17" s="22"/>
      <c r="J17" s="5"/>
    </row>
    <row r="18" spans="1:10" x14ac:dyDescent="0.3">
      <c r="A18" s="176"/>
      <c r="B18" s="58"/>
      <c r="C18" s="178"/>
      <c r="D18" s="180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6" t="str">
        <f>D12</f>
        <v>Buy Feature</v>
      </c>
      <c r="B21" s="58"/>
      <c r="C21" s="177">
        <f>1/D21</f>
        <v>1</v>
      </c>
      <c r="D21" s="181">
        <v>1</v>
      </c>
      <c r="E21" s="10" t="s">
        <v>50</v>
      </c>
      <c r="F21" s="19"/>
      <c r="H21" s="3"/>
      <c r="I21" s="22"/>
      <c r="J21" s="5"/>
    </row>
    <row r="22" spans="1:10" x14ac:dyDescent="0.3">
      <c r="A22" s="176"/>
      <c r="B22" s="58"/>
      <c r="C22" s="178"/>
      <c r="D22" s="182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1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0" t="s">
        <v>32</v>
      </c>
      <c r="B44" s="150" t="s">
        <v>32</v>
      </c>
      <c r="C44" s="166">
        <v>150</v>
      </c>
      <c r="D44" s="166">
        <v>200</v>
      </c>
      <c r="E44" s="166">
        <v>250</v>
      </c>
      <c r="F44" s="166">
        <v>400</v>
      </c>
      <c r="G44" s="167">
        <v>2</v>
      </c>
      <c r="H44" s="11"/>
    </row>
    <row r="45" spans="1:8" x14ac:dyDescent="0.3">
      <c r="A45" s="150" t="s">
        <v>33</v>
      </c>
      <c r="B45" s="150" t="s">
        <v>33</v>
      </c>
      <c r="C45" s="166">
        <v>100</v>
      </c>
      <c r="D45" s="166">
        <v>125</v>
      </c>
      <c r="E45" s="166">
        <v>150</v>
      </c>
      <c r="F45" s="166">
        <v>250</v>
      </c>
      <c r="G45" s="150">
        <v>3</v>
      </c>
      <c r="H45" s="11"/>
    </row>
    <row r="46" spans="1:8" x14ac:dyDescent="0.3">
      <c r="A46" s="150" t="s">
        <v>34</v>
      </c>
      <c r="B46" s="150" t="s">
        <v>34</v>
      </c>
      <c r="C46" s="166">
        <v>50</v>
      </c>
      <c r="D46" s="166">
        <v>125</v>
      </c>
      <c r="E46" s="166">
        <v>150</v>
      </c>
      <c r="F46" s="166">
        <v>200</v>
      </c>
      <c r="G46" s="150">
        <v>4</v>
      </c>
      <c r="H46" s="11"/>
    </row>
    <row r="47" spans="1:8" x14ac:dyDescent="0.3">
      <c r="A47" s="150" t="s">
        <v>35</v>
      </c>
      <c r="B47" s="150" t="s">
        <v>35</v>
      </c>
      <c r="C47" s="166">
        <v>40</v>
      </c>
      <c r="D47" s="166">
        <v>75</v>
      </c>
      <c r="E47" s="166">
        <v>100</v>
      </c>
      <c r="F47" s="166">
        <v>150</v>
      </c>
      <c r="G47" s="150">
        <v>5</v>
      </c>
      <c r="H47" s="11"/>
    </row>
    <row r="48" spans="1:8" x14ac:dyDescent="0.3">
      <c r="A48" s="150" t="s">
        <v>65</v>
      </c>
      <c r="B48" s="150" t="s">
        <v>65</v>
      </c>
      <c r="C48" s="166">
        <v>30</v>
      </c>
      <c r="D48" s="166">
        <v>50</v>
      </c>
      <c r="E48" s="166">
        <v>60</v>
      </c>
      <c r="F48" s="166">
        <v>75</v>
      </c>
      <c r="G48" s="150">
        <v>6</v>
      </c>
      <c r="H48" s="11"/>
    </row>
    <row r="49" spans="1:9" x14ac:dyDescent="0.3">
      <c r="A49" s="150" t="s">
        <v>90</v>
      </c>
      <c r="B49" s="150" t="s">
        <v>90</v>
      </c>
      <c r="C49" s="166">
        <v>30</v>
      </c>
      <c r="D49" s="166">
        <v>50</v>
      </c>
      <c r="E49" s="166">
        <v>60</v>
      </c>
      <c r="F49" s="166">
        <v>75</v>
      </c>
      <c r="G49" s="150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0" t="s">
        <v>223</v>
      </c>
      <c r="B55" s="150" t="s">
        <v>244</v>
      </c>
      <c r="C55" s="166">
        <v>150</v>
      </c>
      <c r="D55" s="166">
        <v>200</v>
      </c>
      <c r="E55" s="166">
        <v>250</v>
      </c>
      <c r="F55" s="166">
        <v>400</v>
      </c>
      <c r="G55" s="167">
        <v>13</v>
      </c>
    </row>
    <row r="56" spans="1:9" x14ac:dyDescent="0.3">
      <c r="A56" s="150" t="s">
        <v>225</v>
      </c>
      <c r="B56" s="150" t="s">
        <v>245</v>
      </c>
      <c r="C56" s="166">
        <v>100</v>
      </c>
      <c r="D56" s="166">
        <v>125</v>
      </c>
      <c r="E56" s="166">
        <v>150</v>
      </c>
      <c r="F56" s="166">
        <v>250</v>
      </c>
      <c r="G56" s="150">
        <v>14</v>
      </c>
    </row>
    <row r="57" spans="1:9" x14ac:dyDescent="0.3">
      <c r="A57" s="150" t="s">
        <v>227</v>
      </c>
      <c r="B57" s="150" t="s">
        <v>246</v>
      </c>
      <c r="C57" s="166">
        <v>50</v>
      </c>
      <c r="D57" s="166">
        <v>125</v>
      </c>
      <c r="E57" s="166">
        <v>150</v>
      </c>
      <c r="F57" s="166">
        <v>200</v>
      </c>
      <c r="G57" s="150">
        <v>15</v>
      </c>
    </row>
    <row r="58" spans="1:9" x14ac:dyDescent="0.3">
      <c r="A58" s="150" t="s">
        <v>229</v>
      </c>
      <c r="B58" s="150" t="s">
        <v>247</v>
      </c>
      <c r="C58" s="166">
        <v>40</v>
      </c>
      <c r="D58" s="166">
        <v>75</v>
      </c>
      <c r="E58" s="166">
        <v>100</v>
      </c>
      <c r="F58" s="166">
        <v>150</v>
      </c>
      <c r="G58" s="150">
        <v>16</v>
      </c>
    </row>
    <row r="59" spans="1:9" x14ac:dyDescent="0.3">
      <c r="A59" s="150" t="s">
        <v>231</v>
      </c>
      <c r="B59" s="150" t="s">
        <v>248</v>
      </c>
      <c r="C59" s="166">
        <v>30</v>
      </c>
      <c r="D59" s="166">
        <v>50</v>
      </c>
      <c r="E59" s="166">
        <v>60</v>
      </c>
      <c r="F59" s="166">
        <v>75</v>
      </c>
      <c r="G59" s="150">
        <v>17</v>
      </c>
    </row>
    <row r="60" spans="1:9" x14ac:dyDescent="0.3">
      <c r="A60" s="150" t="s">
        <v>233</v>
      </c>
      <c r="B60" s="150" t="s">
        <v>221</v>
      </c>
      <c r="C60" s="166">
        <v>30</v>
      </c>
      <c r="D60" s="166">
        <v>50</v>
      </c>
      <c r="E60" s="166">
        <v>60</v>
      </c>
      <c r="F60" s="166">
        <v>75</v>
      </c>
      <c r="G60" s="150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3" t="s">
        <v>69</v>
      </c>
      <c r="B66" s="150" t="s">
        <v>254</v>
      </c>
      <c r="C66" s="168">
        <v>0</v>
      </c>
      <c r="D66" s="168">
        <v>0</v>
      </c>
      <c r="E66" s="168">
        <v>0</v>
      </c>
      <c r="F66" s="168">
        <v>0</v>
      </c>
      <c r="G66" s="150">
        <v>24</v>
      </c>
      <c r="H66" s="11"/>
      <c r="I66" s="11"/>
    </row>
    <row r="67" spans="1:9" x14ac:dyDescent="0.3">
      <c r="A67" s="153" t="s">
        <v>257</v>
      </c>
      <c r="B67" s="150" t="s">
        <v>255</v>
      </c>
      <c r="C67" s="168">
        <v>0</v>
      </c>
      <c r="D67" s="168">
        <v>0</v>
      </c>
      <c r="E67" s="168">
        <v>0</v>
      </c>
      <c r="F67" s="168">
        <v>0</v>
      </c>
      <c r="G67" s="150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B30" sqref="B30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1" t="s">
        <v>267</v>
      </c>
      <c r="C4" s="16" t="s">
        <v>259</v>
      </c>
      <c r="D4" s="26"/>
    </row>
    <row r="5" spans="2:4" x14ac:dyDescent="0.3">
      <c r="B5" s="44" t="s">
        <v>268</v>
      </c>
      <c r="C5" s="172">
        <v>6000</v>
      </c>
      <c r="D5" s="173"/>
    </row>
    <row r="6" spans="2:4" x14ac:dyDescent="0.3">
      <c r="B6" s="44" t="s">
        <v>269</v>
      </c>
      <c r="C6" s="62">
        <v>4000</v>
      </c>
      <c r="D6" s="173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1" t="s">
        <v>267</v>
      </c>
      <c r="C10" s="16" t="s">
        <v>259</v>
      </c>
      <c r="D10" s="26"/>
    </row>
    <row r="11" spans="2:4" x14ac:dyDescent="0.3">
      <c r="B11" s="44" t="s">
        <v>274</v>
      </c>
      <c r="C11" s="172">
        <v>15000</v>
      </c>
      <c r="D11" s="173"/>
    </row>
    <row r="12" spans="2:4" x14ac:dyDescent="0.3">
      <c r="B12" s="44" t="s">
        <v>276</v>
      </c>
      <c r="C12" s="62">
        <v>0</v>
      </c>
      <c r="D12" s="173"/>
    </row>
    <row r="13" spans="2:4" x14ac:dyDescent="0.3">
      <c r="B13" s="44" t="s">
        <v>275</v>
      </c>
      <c r="C13" s="62">
        <v>0</v>
      </c>
      <c r="D13" s="173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1" t="s">
        <v>267</v>
      </c>
      <c r="C17" s="16" t="s">
        <v>259</v>
      </c>
    </row>
    <row r="18" spans="2:3" x14ac:dyDescent="0.3">
      <c r="B18" s="44" t="s">
        <v>274</v>
      </c>
      <c r="C18" s="172">
        <v>15000</v>
      </c>
    </row>
    <row r="19" spans="2:3" x14ac:dyDescent="0.3">
      <c r="B19" s="44" t="s">
        <v>276</v>
      </c>
      <c r="C19" s="62">
        <v>0</v>
      </c>
    </row>
    <row r="20" spans="2:3" x14ac:dyDescent="0.3">
      <c r="B20" s="44" t="s">
        <v>275</v>
      </c>
      <c r="C20" s="62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topLeftCell="A115" zoomScale="70" zoomScaleNormal="70" workbookViewId="0">
      <selection activeCell="H146" sqref="H146"/>
    </sheetView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 t="e">
        <f>SUM(N15:N79)</f>
        <v>#DIV/0!</v>
      </c>
      <c r="D7" s="85" t="e">
        <f>SUM(_xlfn.ANCHORARRAY(N87))*F7</f>
        <v>#DIV/0!</v>
      </c>
      <c r="E7" s="86" t="e">
        <f>SUM(C7:D7)</f>
        <v>#DIV/0!</v>
      </c>
      <c r="F7" s="87" t="e">
        <f>M79</f>
        <v>#DIV/0!</v>
      </c>
      <c r="G7" s="88" t="e">
        <f>1/F7</f>
        <v>#DIV/0!</v>
      </c>
      <c r="H7" s="89" t="e">
        <f>D7*G7</f>
        <v>#DIV/0!</v>
      </c>
      <c r="I7" s="90" t="e" cm="1">
        <f t="array" ref="I7">LOOKUP(2,1/(L15:L78&lt;&gt;0),B15:B78)</f>
        <v>#N/A</v>
      </c>
      <c r="J7" s="90" cm="1">
        <f t="array" ref="J7">LOOKUP(2,1/(_xlfn.ANCHORARRAY(L87)&lt;&gt;0),B15:B78)</f>
        <v>20000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>
        <f>SUM(_xlfn.ANCHORARRAY(N157))/B8</f>
        <v>1.5595524502126294</v>
      </c>
      <c r="E8" s="86">
        <f>SUM(C8:D8)</f>
        <v>1.5595524502126294</v>
      </c>
      <c r="F8" s="91">
        <f>E80</f>
        <v>1</v>
      </c>
      <c r="G8" s="88">
        <f>1/F8</f>
        <v>1</v>
      </c>
      <c r="H8" s="89">
        <f>D8*G8*B8</f>
        <v>116.96643376594722</v>
      </c>
      <c r="I8" s="92"/>
      <c r="J8" s="92" cm="1">
        <f t="array" ref="J8">LOOKUP(2,1/(_xlfn.ANCHORARRAY(L157)&lt;&gt;0),B15:B78)</f>
        <v>20000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/>
      <c r="D15" s="105"/>
      <c r="E15" s="106" t="e" cm="1">
        <f t="array" ref="E15:E78">_xlfn.LET(_xlpm.x, C15:C78, _xlpm.x/SUM(_xlpm.x))</f>
        <v>#DIV/0!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1</v>
      </c>
      <c r="J15" s="107" t="e" cm="1">
        <f t="array" ref="J15:J79">E15:E79*I15:I79</f>
        <v>#DIV/0!</v>
      </c>
      <c r="K15" s="107" t="e" cm="1">
        <f t="array" ref="K15:K78">J15:J78/SUM(_xlfn.ANCHORARRAY(J15))</f>
        <v>#DIV/0!</v>
      </c>
      <c r="L15" s="111" t="e" cm="1">
        <f t="array" ref="L15:L79">INT(K15:K79*$B$2)</f>
        <v>#DIV/0!</v>
      </c>
      <c r="M15" s="107" t="e" cm="1">
        <f t="array" ref="M15:M79">_xlfn.LET(_xlpm.x, L15:L79, _xlpm.x/SUM(_xlpm.x))</f>
        <v>#DIV/0!</v>
      </c>
      <c r="N15" s="107" t="e" cm="1">
        <f t="array" ref="N15:N79">M15:M79*F15:F79</f>
        <v>#DIV/0!</v>
      </c>
      <c r="O15" s="114"/>
      <c r="P15" s="107" t="e" cm="1">
        <f t="array" ref="P15:P78">M15:M78</f>
        <v>#DIV/0!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/>
      <c r="D16" s="116"/>
      <c r="E16" s="107" t="e">
        <v>#DIV/0!</v>
      </c>
      <c r="F16" s="109">
        <v>0</v>
      </c>
      <c r="G16" s="66">
        <v>0</v>
      </c>
      <c r="H16" s="175" t="str">
        <f t="shared" ref="H16:H78" si="0">"("&amp;$A16&amp;", "&amp;$B16&amp;"]"</f>
        <v>(0, 1]</v>
      </c>
      <c r="I16" s="110">
        <v>1</v>
      </c>
      <c r="J16" s="107" t="e">
        <v>#DIV/0!</v>
      </c>
      <c r="K16" s="107" t="e">
        <v>#DIV/0!</v>
      </c>
      <c r="L16" s="111" t="e">
        <v>#DIV/0!</v>
      </c>
      <c r="M16" s="107" t="e">
        <v>#DIV/0!</v>
      </c>
      <c r="N16" s="107" t="e">
        <v>#DIV/0!</v>
      </c>
      <c r="O16" s="114"/>
      <c r="P16" s="107" t="e">
        <v>#DIV/0!</v>
      </c>
      <c r="Q16" s="107"/>
      <c r="R16" s="107"/>
      <c r="S16" s="115">
        <v>0</v>
      </c>
    </row>
    <row r="17" spans="1:19" x14ac:dyDescent="0.3">
      <c r="A17" s="84">
        <v>1</v>
      </c>
      <c r="B17" s="84">
        <v>2</v>
      </c>
      <c r="C17" s="116"/>
      <c r="D17" s="116"/>
      <c r="E17" s="107" t="e">
        <v>#DIV/0!</v>
      </c>
      <c r="F17" s="109">
        <v>0</v>
      </c>
      <c r="G17" s="117">
        <f>1+G16*G15</f>
        <v>1</v>
      </c>
      <c r="H17" s="175" t="str">
        <f t="shared" si="0"/>
        <v>(1, 2]</v>
      </c>
      <c r="I17" s="110">
        <v>1</v>
      </c>
      <c r="J17" s="107" t="e">
        <v>#DIV/0!</v>
      </c>
      <c r="K17" s="107" t="e">
        <v>#DIV/0!</v>
      </c>
      <c r="L17" s="111" t="e">
        <v>#DIV/0!</v>
      </c>
      <c r="M17" s="107" t="e">
        <v>#DIV/0!</v>
      </c>
      <c r="N17" s="107" t="e">
        <v>#DIV/0!</v>
      </c>
      <c r="O17" s="114"/>
      <c r="P17" s="107" t="e">
        <v>#DIV/0!</v>
      </c>
      <c r="Q17" s="107"/>
      <c r="R17" s="107"/>
      <c r="S17" s="115">
        <v>0</v>
      </c>
    </row>
    <row r="18" spans="1:19" x14ac:dyDescent="0.3">
      <c r="A18" s="84">
        <v>2</v>
      </c>
      <c r="B18" s="84">
        <v>3</v>
      </c>
      <c r="C18" s="116"/>
      <c r="D18" s="116"/>
      <c r="E18" s="107" t="e">
        <v>#DIV/0!</v>
      </c>
      <c r="F18" s="109">
        <v>0</v>
      </c>
      <c r="G18" s="117"/>
      <c r="H18" s="175" t="str">
        <f t="shared" si="0"/>
        <v>(2, 3]</v>
      </c>
      <c r="I18" s="110">
        <v>1</v>
      </c>
      <c r="J18" s="107" t="e">
        <v>#DIV/0!</v>
      </c>
      <c r="K18" s="107" t="e">
        <v>#DIV/0!</v>
      </c>
      <c r="L18" s="111" t="e">
        <v>#DIV/0!</v>
      </c>
      <c r="M18" s="107" t="e">
        <v>#DIV/0!</v>
      </c>
      <c r="N18" s="107" t="e">
        <v>#DIV/0!</v>
      </c>
      <c r="O18" s="114"/>
      <c r="P18" s="107" t="e">
        <v>#DIV/0!</v>
      </c>
      <c r="Q18" s="107"/>
      <c r="R18" s="107"/>
      <c r="S18" s="115">
        <v>0</v>
      </c>
    </row>
    <row r="19" spans="1:19" x14ac:dyDescent="0.3">
      <c r="A19" s="84">
        <v>3</v>
      </c>
      <c r="B19" s="84">
        <v>4</v>
      </c>
      <c r="C19" s="116"/>
      <c r="D19" s="116"/>
      <c r="E19" s="107" t="e">
        <v>#DIV/0!</v>
      </c>
      <c r="F19" s="109">
        <v>0</v>
      </c>
      <c r="G19" s="118"/>
      <c r="H19" s="175" t="str">
        <f t="shared" si="0"/>
        <v>(3, 4]</v>
      </c>
      <c r="I19" s="110">
        <v>1</v>
      </c>
      <c r="J19" s="107" t="e">
        <v>#DIV/0!</v>
      </c>
      <c r="K19" s="107" t="e">
        <v>#DIV/0!</v>
      </c>
      <c r="L19" s="111" t="e">
        <v>#DIV/0!</v>
      </c>
      <c r="M19" s="107" t="e">
        <v>#DIV/0!</v>
      </c>
      <c r="N19" s="107" t="e">
        <v>#DIV/0!</v>
      </c>
      <c r="O19" s="114"/>
      <c r="P19" s="107" t="e">
        <v>#DIV/0!</v>
      </c>
      <c r="Q19" s="107"/>
      <c r="R19" s="107"/>
      <c r="S19" s="115">
        <v>0</v>
      </c>
    </row>
    <row r="20" spans="1:19" x14ac:dyDescent="0.3">
      <c r="A20" s="84">
        <v>4</v>
      </c>
      <c r="B20" s="84">
        <v>5</v>
      </c>
      <c r="C20" s="116"/>
      <c r="D20" s="116"/>
      <c r="E20" s="107" t="e">
        <v>#DIV/0!</v>
      </c>
      <c r="F20" s="109">
        <v>0</v>
      </c>
      <c r="G20" s="118"/>
      <c r="H20" s="175" t="str">
        <f t="shared" si="0"/>
        <v>(4, 5]</v>
      </c>
      <c r="I20" s="110">
        <v>1</v>
      </c>
      <c r="J20" s="107" t="e">
        <v>#DIV/0!</v>
      </c>
      <c r="K20" s="107" t="e">
        <v>#DIV/0!</v>
      </c>
      <c r="L20" s="111" t="e">
        <v>#DIV/0!</v>
      </c>
      <c r="M20" s="107" t="e">
        <v>#DIV/0!</v>
      </c>
      <c r="N20" s="107" t="e">
        <v>#DIV/0!</v>
      </c>
      <c r="O20" s="114"/>
      <c r="P20" s="107" t="e">
        <v>#DIV/0!</v>
      </c>
      <c r="Q20" s="107"/>
      <c r="R20" s="107"/>
      <c r="S20" s="115">
        <v>0</v>
      </c>
    </row>
    <row r="21" spans="1:19" x14ac:dyDescent="0.3">
      <c r="A21" s="84">
        <v>5</v>
      </c>
      <c r="B21" s="84">
        <v>6</v>
      </c>
      <c r="C21" s="116"/>
      <c r="D21" s="116"/>
      <c r="E21" s="107" t="e">
        <v>#DIV/0!</v>
      </c>
      <c r="F21" s="109">
        <v>0</v>
      </c>
      <c r="G21" s="118">
        <v>1.79</v>
      </c>
      <c r="H21" s="175" t="str">
        <f t="shared" si="0"/>
        <v>(5, 6]</v>
      </c>
      <c r="I21" s="110">
        <v>1</v>
      </c>
      <c r="J21" s="107" t="e">
        <v>#DIV/0!</v>
      </c>
      <c r="K21" s="107" t="e">
        <v>#DIV/0!</v>
      </c>
      <c r="L21" s="111" t="e">
        <v>#DIV/0!</v>
      </c>
      <c r="M21" s="107" t="e">
        <v>#DIV/0!</v>
      </c>
      <c r="N21" s="107" t="e">
        <v>#DIV/0!</v>
      </c>
      <c r="O21" s="114"/>
      <c r="P21" s="107" t="e">
        <v>#DIV/0!</v>
      </c>
      <c r="Q21" s="107"/>
      <c r="R21" s="107"/>
      <c r="S21" s="115">
        <v>0</v>
      </c>
    </row>
    <row r="22" spans="1:19" x14ac:dyDescent="0.3">
      <c r="A22" s="84">
        <v>6</v>
      </c>
      <c r="B22" s="84">
        <v>7</v>
      </c>
      <c r="C22" s="116"/>
      <c r="D22" s="116"/>
      <c r="E22" s="107" t="e">
        <v>#DIV/0!</v>
      </c>
      <c r="F22" s="109">
        <v>0</v>
      </c>
      <c r="G22" s="118">
        <v>1.24</v>
      </c>
      <c r="H22" s="175" t="str">
        <f t="shared" si="0"/>
        <v>(6, 7]</v>
      </c>
      <c r="I22" s="110">
        <v>1</v>
      </c>
      <c r="J22" s="107" t="e">
        <v>#DIV/0!</v>
      </c>
      <c r="K22" s="107" t="e">
        <v>#DIV/0!</v>
      </c>
      <c r="L22" s="111" t="e">
        <v>#DIV/0!</v>
      </c>
      <c r="M22" s="107" t="e">
        <v>#DIV/0!</v>
      </c>
      <c r="N22" s="107" t="e">
        <v>#DIV/0!</v>
      </c>
      <c r="O22" s="114"/>
      <c r="P22" s="107" t="e">
        <v>#DIV/0!</v>
      </c>
      <c r="Q22" s="107"/>
      <c r="R22" s="107"/>
      <c r="S22" s="115">
        <v>0</v>
      </c>
    </row>
    <row r="23" spans="1:19" x14ac:dyDescent="0.3">
      <c r="A23" s="84">
        <v>7</v>
      </c>
      <c r="B23" s="84">
        <v>8</v>
      </c>
      <c r="C23" s="116"/>
      <c r="D23" s="116"/>
      <c r="E23" s="107" t="e">
        <v>#DIV/0!</v>
      </c>
      <c r="F23" s="109">
        <v>0</v>
      </c>
      <c r="G23" s="118">
        <v>1.02</v>
      </c>
      <c r="H23" s="175" t="str">
        <f t="shared" si="0"/>
        <v>(7, 8]</v>
      </c>
      <c r="I23" s="110">
        <v>1</v>
      </c>
      <c r="J23" s="107" t="e">
        <v>#DIV/0!</v>
      </c>
      <c r="K23" s="107" t="e">
        <v>#DIV/0!</v>
      </c>
      <c r="L23" s="111" t="e">
        <v>#DIV/0!</v>
      </c>
      <c r="M23" s="107" t="e">
        <v>#DIV/0!</v>
      </c>
      <c r="N23" s="107" t="e">
        <v>#DIV/0!</v>
      </c>
      <c r="O23" s="114"/>
      <c r="P23" s="107" t="e">
        <v>#DIV/0!</v>
      </c>
      <c r="Q23" s="107"/>
      <c r="R23" s="107"/>
      <c r="S23" s="115">
        <v>0</v>
      </c>
    </row>
    <row r="24" spans="1:19" x14ac:dyDescent="0.3">
      <c r="A24" s="84">
        <v>8</v>
      </c>
      <c r="B24" s="84">
        <v>9</v>
      </c>
      <c r="C24" s="116"/>
      <c r="D24" s="116"/>
      <c r="E24" s="107" t="e">
        <v>#DIV/0!</v>
      </c>
      <c r="F24" s="109">
        <v>0</v>
      </c>
      <c r="G24" s="118">
        <v>1.26</v>
      </c>
      <c r="H24" s="175" t="str">
        <f t="shared" si="0"/>
        <v>(8, 9]</v>
      </c>
      <c r="I24" s="110">
        <v>1</v>
      </c>
      <c r="J24" s="107" t="e">
        <v>#DIV/0!</v>
      </c>
      <c r="K24" s="107" t="e">
        <v>#DIV/0!</v>
      </c>
      <c r="L24" s="111" t="e">
        <v>#DIV/0!</v>
      </c>
      <c r="M24" s="107" t="e">
        <v>#DIV/0!</v>
      </c>
      <c r="N24" s="107" t="e">
        <v>#DIV/0!</v>
      </c>
      <c r="O24" s="114"/>
      <c r="P24" s="107" t="e">
        <v>#DIV/0!</v>
      </c>
      <c r="Q24" s="107"/>
      <c r="R24" s="107"/>
      <c r="S24" s="115">
        <v>0</v>
      </c>
    </row>
    <row r="25" spans="1:19" x14ac:dyDescent="0.3">
      <c r="A25" s="84">
        <v>9</v>
      </c>
      <c r="B25" s="84">
        <v>10</v>
      </c>
      <c r="C25" s="116"/>
      <c r="D25" s="116"/>
      <c r="E25" s="107" t="e">
        <v>#DIV/0!</v>
      </c>
      <c r="F25" s="109">
        <v>0</v>
      </c>
      <c r="G25" s="118">
        <v>1.21</v>
      </c>
      <c r="H25" s="175" t="str">
        <f t="shared" si="0"/>
        <v>(9, 10]</v>
      </c>
      <c r="I25" s="110">
        <v>1</v>
      </c>
      <c r="J25" s="107" t="e">
        <v>#DIV/0!</v>
      </c>
      <c r="K25" s="107" t="e">
        <v>#DIV/0!</v>
      </c>
      <c r="L25" s="111" t="e">
        <v>#DIV/0!</v>
      </c>
      <c r="M25" s="107" t="e">
        <v>#DIV/0!</v>
      </c>
      <c r="N25" s="107" t="e">
        <v>#DIV/0!</v>
      </c>
      <c r="O25" s="114"/>
      <c r="P25" s="107" t="e">
        <v>#DIV/0!</v>
      </c>
      <c r="Q25" s="107"/>
      <c r="R25" s="107"/>
      <c r="S25" s="115">
        <v>0</v>
      </c>
    </row>
    <row r="26" spans="1:19" x14ac:dyDescent="0.3">
      <c r="A26" s="84">
        <v>10</v>
      </c>
      <c r="B26" s="84">
        <v>15</v>
      </c>
      <c r="C26" s="116"/>
      <c r="D26" s="116"/>
      <c r="E26" s="107" t="e">
        <v>#DIV/0!</v>
      </c>
      <c r="F26" s="109">
        <v>0</v>
      </c>
      <c r="G26" s="118">
        <v>0.48</v>
      </c>
      <c r="H26" s="175" t="str">
        <f t="shared" si="0"/>
        <v>(10, 15]</v>
      </c>
      <c r="I26" s="110">
        <v>1</v>
      </c>
      <c r="J26" s="107" t="e">
        <v>#DIV/0!</v>
      </c>
      <c r="K26" s="107" t="e">
        <v>#DIV/0!</v>
      </c>
      <c r="L26" s="111" t="e">
        <v>#DIV/0!</v>
      </c>
      <c r="M26" s="107" t="e">
        <v>#DIV/0!</v>
      </c>
      <c r="N26" s="107" t="e">
        <v>#DIV/0!</v>
      </c>
      <c r="O26" s="114"/>
      <c r="P26" s="107" t="e">
        <v>#DIV/0!</v>
      </c>
      <c r="Q26" s="107"/>
      <c r="R26" s="107"/>
      <c r="S26" s="115">
        <v>0</v>
      </c>
    </row>
    <row r="27" spans="1:19" x14ac:dyDescent="0.3">
      <c r="A27" s="84">
        <v>15</v>
      </c>
      <c r="B27" s="84">
        <v>20</v>
      </c>
      <c r="C27" s="116"/>
      <c r="D27" s="116"/>
      <c r="E27" s="107" t="e">
        <v>#DIV/0!</v>
      </c>
      <c r="F27" s="109">
        <v>0</v>
      </c>
      <c r="G27" s="118">
        <v>1.1299999999999999</v>
      </c>
      <c r="H27" s="175" t="str">
        <f t="shared" si="0"/>
        <v>(15, 20]</v>
      </c>
      <c r="I27" s="110">
        <v>1</v>
      </c>
      <c r="J27" s="107" t="e">
        <v>#DIV/0!</v>
      </c>
      <c r="K27" s="107" t="e">
        <v>#DIV/0!</v>
      </c>
      <c r="L27" s="111" t="e">
        <v>#DIV/0!</v>
      </c>
      <c r="M27" s="107" t="e">
        <v>#DIV/0!</v>
      </c>
      <c r="N27" s="107" t="e">
        <v>#DIV/0!</v>
      </c>
      <c r="O27" s="114"/>
      <c r="P27" s="107" t="e">
        <v>#DIV/0!</v>
      </c>
      <c r="Q27" s="107"/>
      <c r="R27" s="107"/>
      <c r="S27" s="115">
        <v>0</v>
      </c>
    </row>
    <row r="28" spans="1:19" x14ac:dyDescent="0.3">
      <c r="A28" s="84">
        <v>20</v>
      </c>
      <c r="B28" s="84">
        <v>25</v>
      </c>
      <c r="C28" s="116"/>
      <c r="D28" s="116"/>
      <c r="E28" s="107" t="e">
        <v>#DIV/0!</v>
      </c>
      <c r="F28" s="109">
        <v>0</v>
      </c>
      <c r="G28" s="118">
        <v>0.54</v>
      </c>
      <c r="H28" s="175" t="str">
        <f t="shared" si="0"/>
        <v>(20, 25]</v>
      </c>
      <c r="I28" s="110">
        <v>1</v>
      </c>
      <c r="J28" s="107" t="e">
        <v>#DIV/0!</v>
      </c>
      <c r="K28" s="107" t="e">
        <v>#DIV/0!</v>
      </c>
      <c r="L28" s="111" t="e">
        <v>#DIV/0!</v>
      </c>
      <c r="M28" s="107" t="e">
        <v>#DIV/0!</v>
      </c>
      <c r="N28" s="107" t="e">
        <v>#DIV/0!</v>
      </c>
      <c r="O28" s="114"/>
      <c r="P28" s="107" t="e">
        <v>#DIV/0!</v>
      </c>
      <c r="Q28" s="107"/>
      <c r="R28" s="107"/>
      <c r="S28" s="115">
        <v>0</v>
      </c>
    </row>
    <row r="29" spans="1:19" x14ac:dyDescent="0.3">
      <c r="A29" s="84">
        <v>25</v>
      </c>
      <c r="B29" s="84">
        <v>30</v>
      </c>
      <c r="C29" s="116"/>
      <c r="D29" s="116"/>
      <c r="E29" s="107" t="e">
        <v>#DIV/0!</v>
      </c>
      <c r="F29" s="109">
        <v>0</v>
      </c>
      <c r="G29" s="118">
        <v>0.2</v>
      </c>
      <c r="H29" s="175" t="str">
        <f t="shared" si="0"/>
        <v>(25, 30]</v>
      </c>
      <c r="I29" s="110">
        <v>1</v>
      </c>
      <c r="J29" s="107" t="e">
        <v>#DIV/0!</v>
      </c>
      <c r="K29" s="107" t="e">
        <v>#DIV/0!</v>
      </c>
      <c r="L29" s="111" t="e">
        <v>#DIV/0!</v>
      </c>
      <c r="M29" s="107" t="e">
        <v>#DIV/0!</v>
      </c>
      <c r="N29" s="107" t="e">
        <v>#DIV/0!</v>
      </c>
      <c r="O29" s="114"/>
      <c r="P29" s="107" t="e">
        <v>#DIV/0!</v>
      </c>
      <c r="Q29" s="107"/>
      <c r="R29" s="107"/>
      <c r="S29" s="115">
        <v>0</v>
      </c>
    </row>
    <row r="30" spans="1:19" x14ac:dyDescent="0.3">
      <c r="A30" s="84">
        <v>30</v>
      </c>
      <c r="B30" s="84">
        <v>35</v>
      </c>
      <c r="C30" s="116"/>
      <c r="D30" s="116"/>
      <c r="E30" s="107" t="e">
        <v>#DIV/0!</v>
      </c>
      <c r="F30" s="109">
        <v>0</v>
      </c>
      <c r="G30" s="118">
        <v>0.22</v>
      </c>
      <c r="H30" s="175" t="str">
        <f t="shared" si="0"/>
        <v>(30, 35]</v>
      </c>
      <c r="I30" s="110">
        <v>1</v>
      </c>
      <c r="J30" s="107" t="e">
        <v>#DIV/0!</v>
      </c>
      <c r="K30" s="107" t="e">
        <v>#DIV/0!</v>
      </c>
      <c r="L30" s="111" t="e">
        <v>#DIV/0!</v>
      </c>
      <c r="M30" s="107" t="e">
        <v>#DIV/0!</v>
      </c>
      <c r="N30" s="107" t="e">
        <v>#DIV/0!</v>
      </c>
      <c r="O30" s="114"/>
      <c r="P30" s="107" t="e">
        <v>#DIV/0!</v>
      </c>
      <c r="Q30" s="107"/>
      <c r="R30" s="107"/>
      <c r="S30" s="115">
        <v>0</v>
      </c>
    </row>
    <row r="31" spans="1:19" x14ac:dyDescent="0.3">
      <c r="A31" s="84">
        <v>35</v>
      </c>
      <c r="B31" s="84">
        <v>40</v>
      </c>
      <c r="C31" s="116"/>
      <c r="D31" s="116"/>
      <c r="E31" s="107" t="e">
        <v>#DIV/0!</v>
      </c>
      <c r="F31" s="109">
        <v>0</v>
      </c>
      <c r="G31" s="118">
        <v>0.33</v>
      </c>
      <c r="H31" s="175" t="str">
        <f t="shared" si="0"/>
        <v>(35, 40]</v>
      </c>
      <c r="I31" s="110">
        <v>1</v>
      </c>
      <c r="J31" s="107" t="e">
        <v>#DIV/0!</v>
      </c>
      <c r="K31" s="107" t="e">
        <v>#DIV/0!</v>
      </c>
      <c r="L31" s="111" t="e">
        <v>#DIV/0!</v>
      </c>
      <c r="M31" s="107" t="e">
        <v>#DIV/0!</v>
      </c>
      <c r="N31" s="107" t="e">
        <v>#DIV/0!</v>
      </c>
      <c r="O31" s="114"/>
      <c r="P31" s="107" t="e">
        <v>#DIV/0!</v>
      </c>
      <c r="Q31" s="107"/>
      <c r="R31" s="107"/>
      <c r="S31" s="115">
        <v>0</v>
      </c>
    </row>
    <row r="32" spans="1:19" x14ac:dyDescent="0.3">
      <c r="A32" s="84">
        <v>40</v>
      </c>
      <c r="B32" s="84">
        <v>45</v>
      </c>
      <c r="C32" s="116"/>
      <c r="D32" s="116"/>
      <c r="E32" s="107" t="e">
        <v>#DIV/0!</v>
      </c>
      <c r="F32" s="109">
        <v>0</v>
      </c>
      <c r="G32" s="118">
        <v>0.16</v>
      </c>
      <c r="H32" s="175" t="str">
        <f t="shared" si="0"/>
        <v>(40, 45]</v>
      </c>
      <c r="I32" s="110">
        <v>1</v>
      </c>
      <c r="J32" s="107" t="e">
        <v>#DIV/0!</v>
      </c>
      <c r="K32" s="107" t="e">
        <v>#DIV/0!</v>
      </c>
      <c r="L32" s="111" t="e">
        <v>#DIV/0!</v>
      </c>
      <c r="M32" s="107" t="e">
        <v>#DIV/0!</v>
      </c>
      <c r="N32" s="107" t="e">
        <v>#DIV/0!</v>
      </c>
      <c r="O32" s="114"/>
      <c r="P32" s="107" t="e">
        <v>#DIV/0!</v>
      </c>
      <c r="Q32" s="107"/>
      <c r="R32" s="107"/>
      <c r="S32" s="115">
        <v>0</v>
      </c>
    </row>
    <row r="33" spans="1:19" x14ac:dyDescent="0.3">
      <c r="A33" s="84">
        <v>45</v>
      </c>
      <c r="B33" s="84">
        <v>50</v>
      </c>
      <c r="C33" s="116"/>
      <c r="D33" s="116"/>
      <c r="E33" s="107" t="e">
        <v>#DIV/0!</v>
      </c>
      <c r="F33" s="109">
        <v>0</v>
      </c>
      <c r="G33" s="118">
        <v>0.2</v>
      </c>
      <c r="H33" s="175" t="str">
        <f t="shared" si="0"/>
        <v>(45, 50]</v>
      </c>
      <c r="I33" s="110">
        <v>1</v>
      </c>
      <c r="J33" s="107" t="e">
        <v>#DIV/0!</v>
      </c>
      <c r="K33" s="107" t="e">
        <v>#DIV/0!</v>
      </c>
      <c r="L33" s="111" t="e">
        <v>#DIV/0!</v>
      </c>
      <c r="M33" s="107" t="e">
        <v>#DIV/0!</v>
      </c>
      <c r="N33" s="107" t="e">
        <v>#DIV/0!</v>
      </c>
      <c r="O33" s="114"/>
      <c r="P33" s="107" t="e">
        <v>#DIV/0!</v>
      </c>
      <c r="Q33" s="107"/>
      <c r="R33" s="107"/>
      <c r="S33" s="115">
        <v>0</v>
      </c>
    </row>
    <row r="34" spans="1:19" x14ac:dyDescent="0.3">
      <c r="A34" s="84">
        <v>50</v>
      </c>
      <c r="B34" s="84">
        <v>60</v>
      </c>
      <c r="C34" s="116"/>
      <c r="D34" s="116"/>
      <c r="E34" s="107" t="e">
        <v>#DIV/0!</v>
      </c>
      <c r="F34" s="109">
        <v>0</v>
      </c>
      <c r="G34" s="118">
        <v>0.2</v>
      </c>
      <c r="H34" s="175" t="str">
        <f t="shared" si="0"/>
        <v>(50, 60]</v>
      </c>
      <c r="I34" s="110">
        <v>1</v>
      </c>
      <c r="J34" s="107" t="e">
        <v>#DIV/0!</v>
      </c>
      <c r="K34" s="107" t="e">
        <v>#DIV/0!</v>
      </c>
      <c r="L34" s="111" t="e">
        <v>#DIV/0!</v>
      </c>
      <c r="M34" s="107" t="e">
        <v>#DIV/0!</v>
      </c>
      <c r="N34" s="107" t="e">
        <v>#DIV/0!</v>
      </c>
      <c r="O34" s="114"/>
      <c r="P34" s="107" t="e">
        <v>#DIV/0!</v>
      </c>
      <c r="Q34" s="107"/>
      <c r="R34" s="107"/>
      <c r="S34" s="115">
        <v>0</v>
      </c>
    </row>
    <row r="35" spans="1:19" x14ac:dyDescent="0.3">
      <c r="A35" s="84">
        <v>60</v>
      </c>
      <c r="B35" s="84">
        <v>70</v>
      </c>
      <c r="C35" s="116"/>
      <c r="D35" s="116"/>
      <c r="E35" s="107" t="e">
        <v>#DIV/0!</v>
      </c>
      <c r="F35" s="109">
        <v>0</v>
      </c>
      <c r="G35" s="118">
        <v>0.11</v>
      </c>
      <c r="H35" s="175" t="str">
        <f t="shared" si="0"/>
        <v>(60, 70]</v>
      </c>
      <c r="I35" s="110">
        <v>1</v>
      </c>
      <c r="J35" s="107" t="e">
        <v>#DIV/0!</v>
      </c>
      <c r="K35" s="107" t="e">
        <v>#DIV/0!</v>
      </c>
      <c r="L35" s="111" t="e">
        <v>#DIV/0!</v>
      </c>
      <c r="M35" s="107" t="e">
        <v>#DIV/0!</v>
      </c>
      <c r="N35" s="107" t="e">
        <v>#DIV/0!</v>
      </c>
      <c r="O35" s="114"/>
      <c r="P35" s="107" t="e">
        <v>#DIV/0!</v>
      </c>
      <c r="Q35" s="107"/>
      <c r="R35" s="107"/>
      <c r="S35" s="115">
        <v>0</v>
      </c>
    </row>
    <row r="36" spans="1:19" x14ac:dyDescent="0.3">
      <c r="A36" s="84">
        <v>70</v>
      </c>
      <c r="B36" s="84">
        <v>80</v>
      </c>
      <c r="C36" s="116"/>
      <c r="D36" s="116"/>
      <c r="E36" s="107" t="e">
        <v>#DIV/0!</v>
      </c>
      <c r="F36" s="109">
        <v>0</v>
      </c>
      <c r="G36" s="118">
        <v>0.12</v>
      </c>
      <c r="H36" s="175" t="str">
        <f t="shared" si="0"/>
        <v>(70, 80]</v>
      </c>
      <c r="I36" s="110">
        <v>1</v>
      </c>
      <c r="J36" s="107" t="e">
        <v>#DIV/0!</v>
      </c>
      <c r="K36" s="107" t="e">
        <v>#DIV/0!</v>
      </c>
      <c r="L36" s="111" t="e">
        <v>#DIV/0!</v>
      </c>
      <c r="M36" s="107" t="e">
        <v>#DIV/0!</v>
      </c>
      <c r="N36" s="107" t="e">
        <v>#DIV/0!</v>
      </c>
      <c r="O36" s="114"/>
      <c r="P36" s="107" t="e">
        <v>#DIV/0!</v>
      </c>
      <c r="Q36" s="107"/>
      <c r="R36" s="107"/>
      <c r="S36" s="115">
        <v>0</v>
      </c>
    </row>
    <row r="37" spans="1:19" x14ac:dyDescent="0.3">
      <c r="A37" s="84">
        <v>80</v>
      </c>
      <c r="B37" s="84">
        <v>90</v>
      </c>
      <c r="C37" s="116"/>
      <c r="D37" s="116"/>
      <c r="E37" s="107" t="e">
        <v>#DIV/0!</v>
      </c>
      <c r="F37" s="109">
        <v>0</v>
      </c>
      <c r="G37" s="118">
        <v>0</v>
      </c>
      <c r="H37" s="175" t="str">
        <f t="shared" si="0"/>
        <v>(80, 90]</v>
      </c>
      <c r="I37" s="110">
        <v>1</v>
      </c>
      <c r="J37" s="107" t="e">
        <v>#DIV/0!</v>
      </c>
      <c r="K37" s="107" t="e">
        <v>#DIV/0!</v>
      </c>
      <c r="L37" s="111" t="e">
        <v>#DIV/0!</v>
      </c>
      <c r="M37" s="107" t="e">
        <v>#DIV/0!</v>
      </c>
      <c r="N37" s="107" t="e">
        <v>#DIV/0!</v>
      </c>
      <c r="O37" s="114"/>
      <c r="P37" s="107" t="e">
        <v>#DIV/0!</v>
      </c>
      <c r="Q37" s="107"/>
      <c r="R37" s="107"/>
      <c r="S37" s="115">
        <v>0</v>
      </c>
    </row>
    <row r="38" spans="1:19" x14ac:dyDescent="0.3">
      <c r="A38" s="84">
        <v>90</v>
      </c>
      <c r="B38" s="84">
        <v>100</v>
      </c>
      <c r="C38" s="116"/>
      <c r="D38" s="116"/>
      <c r="E38" s="107" t="e">
        <v>#DIV/0!</v>
      </c>
      <c r="F38" s="109">
        <v>0</v>
      </c>
      <c r="G38" s="118">
        <v>0</v>
      </c>
      <c r="H38" s="175" t="str">
        <f t="shared" si="0"/>
        <v>(90, 100]</v>
      </c>
      <c r="I38" s="110">
        <v>1</v>
      </c>
      <c r="J38" s="107" t="e">
        <v>#DIV/0!</v>
      </c>
      <c r="K38" s="107" t="e">
        <v>#DIV/0!</v>
      </c>
      <c r="L38" s="111" t="e">
        <v>#DIV/0!</v>
      </c>
      <c r="M38" s="107" t="e">
        <v>#DIV/0!</v>
      </c>
      <c r="N38" s="107" t="e">
        <v>#DIV/0!</v>
      </c>
      <c r="O38" s="114"/>
      <c r="P38" s="107" t="e">
        <v>#DIV/0!</v>
      </c>
      <c r="Q38" s="107"/>
      <c r="R38" s="107"/>
      <c r="S38" s="115">
        <v>0</v>
      </c>
    </row>
    <row r="39" spans="1:19" x14ac:dyDescent="0.3">
      <c r="A39" s="84">
        <v>100</v>
      </c>
      <c r="B39" s="84">
        <v>120</v>
      </c>
      <c r="C39" s="116"/>
      <c r="D39" s="116"/>
      <c r="E39" s="107" t="e">
        <v>#DIV/0!</v>
      </c>
      <c r="F39" s="109">
        <v>0</v>
      </c>
      <c r="G39" s="118">
        <v>0.08</v>
      </c>
      <c r="H39" s="175" t="str">
        <f t="shared" si="0"/>
        <v>(100, 120]</v>
      </c>
      <c r="I39" s="110">
        <v>1</v>
      </c>
      <c r="J39" s="107" t="e">
        <v>#DIV/0!</v>
      </c>
      <c r="K39" s="107" t="e">
        <v>#DIV/0!</v>
      </c>
      <c r="L39" s="111" t="e">
        <v>#DIV/0!</v>
      </c>
      <c r="M39" s="107" t="e">
        <v>#DIV/0!</v>
      </c>
      <c r="N39" s="107" t="e">
        <v>#DIV/0!</v>
      </c>
      <c r="O39" s="114"/>
      <c r="P39" s="107" t="e">
        <v>#DIV/0!</v>
      </c>
      <c r="Q39" s="107"/>
      <c r="R39" s="107"/>
      <c r="S39" s="115">
        <v>0</v>
      </c>
    </row>
    <row r="40" spans="1:19" x14ac:dyDescent="0.3">
      <c r="A40" s="84">
        <v>120</v>
      </c>
      <c r="B40" s="84">
        <v>140</v>
      </c>
      <c r="C40" s="116"/>
      <c r="D40" s="116"/>
      <c r="E40" s="107" t="e">
        <v>#DIV/0!</v>
      </c>
      <c r="F40" s="109">
        <v>0</v>
      </c>
      <c r="G40" s="118">
        <v>0</v>
      </c>
      <c r="H40" s="175" t="str">
        <f t="shared" si="0"/>
        <v>(120, 140]</v>
      </c>
      <c r="I40" s="110">
        <v>1</v>
      </c>
      <c r="J40" s="107" t="e">
        <v>#DIV/0!</v>
      </c>
      <c r="K40" s="107" t="e">
        <v>#DIV/0!</v>
      </c>
      <c r="L40" s="111" t="e">
        <v>#DIV/0!</v>
      </c>
      <c r="M40" s="107" t="e">
        <v>#DIV/0!</v>
      </c>
      <c r="N40" s="107" t="e">
        <v>#DIV/0!</v>
      </c>
      <c r="O40" s="114"/>
      <c r="P40" s="107" t="e">
        <v>#DIV/0!</v>
      </c>
      <c r="Q40" s="107"/>
      <c r="R40" s="107"/>
      <c r="S40" s="115">
        <v>0</v>
      </c>
    </row>
    <row r="41" spans="1:19" x14ac:dyDescent="0.3">
      <c r="A41" s="84">
        <v>140</v>
      </c>
      <c r="B41" s="84">
        <v>160</v>
      </c>
      <c r="C41" s="116"/>
      <c r="D41" s="116"/>
      <c r="E41" s="107" t="e">
        <v>#DIV/0!</v>
      </c>
      <c r="F41" s="109">
        <v>0</v>
      </c>
      <c r="G41" s="118">
        <v>0</v>
      </c>
      <c r="H41" s="175" t="str">
        <f t="shared" si="0"/>
        <v>(140, 160]</v>
      </c>
      <c r="I41" s="110">
        <v>1</v>
      </c>
      <c r="J41" s="107" t="e">
        <v>#DIV/0!</v>
      </c>
      <c r="K41" s="107" t="e">
        <v>#DIV/0!</v>
      </c>
      <c r="L41" s="111" t="e">
        <v>#DIV/0!</v>
      </c>
      <c r="M41" s="107" t="e">
        <v>#DIV/0!</v>
      </c>
      <c r="N41" s="107" t="e">
        <v>#DIV/0!</v>
      </c>
      <c r="O41" s="114"/>
      <c r="P41" s="107" t="e">
        <v>#DIV/0!</v>
      </c>
      <c r="Q41" s="107"/>
      <c r="R41" s="107"/>
      <c r="S41" s="115">
        <v>0</v>
      </c>
    </row>
    <row r="42" spans="1:19" x14ac:dyDescent="0.3">
      <c r="A42" s="84">
        <v>160</v>
      </c>
      <c r="B42" s="84">
        <v>180</v>
      </c>
      <c r="C42" s="116"/>
      <c r="D42" s="116"/>
      <c r="E42" s="107" t="e">
        <v>#DIV/0!</v>
      </c>
      <c r="F42" s="109">
        <v>0</v>
      </c>
      <c r="G42" s="118">
        <v>0</v>
      </c>
      <c r="H42" s="175" t="str">
        <f t="shared" si="0"/>
        <v>(160, 180]</v>
      </c>
      <c r="I42" s="110">
        <v>1</v>
      </c>
      <c r="J42" s="107" t="e">
        <v>#DIV/0!</v>
      </c>
      <c r="K42" s="107" t="e">
        <v>#DIV/0!</v>
      </c>
      <c r="L42" s="111" t="e">
        <v>#DIV/0!</v>
      </c>
      <c r="M42" s="107" t="e">
        <v>#DIV/0!</v>
      </c>
      <c r="N42" s="107" t="e">
        <v>#DIV/0!</v>
      </c>
      <c r="O42" s="114"/>
      <c r="P42" s="107" t="e">
        <v>#DIV/0!</v>
      </c>
      <c r="Q42" s="107"/>
      <c r="R42" s="107"/>
      <c r="S42" s="115">
        <v>0</v>
      </c>
    </row>
    <row r="43" spans="1:19" x14ac:dyDescent="0.3">
      <c r="A43" s="84">
        <v>180</v>
      </c>
      <c r="B43" s="84">
        <v>200</v>
      </c>
      <c r="C43" s="116"/>
      <c r="D43" s="116"/>
      <c r="E43" s="107" t="e">
        <v>#DIV/0!</v>
      </c>
      <c r="F43" s="109">
        <v>0</v>
      </c>
      <c r="G43" s="118">
        <v>0</v>
      </c>
      <c r="H43" s="175" t="str">
        <f t="shared" si="0"/>
        <v>(180, 200]</v>
      </c>
      <c r="I43" s="110">
        <v>1</v>
      </c>
      <c r="J43" s="107" t="e">
        <v>#DIV/0!</v>
      </c>
      <c r="K43" s="107" t="e">
        <v>#DIV/0!</v>
      </c>
      <c r="L43" s="111" t="e">
        <v>#DIV/0!</v>
      </c>
      <c r="M43" s="107" t="e">
        <v>#DIV/0!</v>
      </c>
      <c r="N43" s="107" t="e">
        <v>#DIV/0!</v>
      </c>
      <c r="O43" s="114"/>
      <c r="P43" s="107" t="e">
        <v>#DIV/0!</v>
      </c>
      <c r="Q43" s="107"/>
      <c r="R43" s="107"/>
      <c r="S43" s="115">
        <v>0</v>
      </c>
    </row>
    <row r="44" spans="1:19" x14ac:dyDescent="0.3">
      <c r="A44" s="84">
        <v>200</v>
      </c>
      <c r="B44" s="84">
        <v>250</v>
      </c>
      <c r="C44" s="116"/>
      <c r="D44" s="116"/>
      <c r="E44" s="107" t="e">
        <v>#DIV/0!</v>
      </c>
      <c r="F44" s="109">
        <v>0</v>
      </c>
      <c r="G44" s="118">
        <v>0</v>
      </c>
      <c r="H44" s="175" t="str">
        <f t="shared" si="0"/>
        <v>(200, 250]</v>
      </c>
      <c r="I44" s="110">
        <v>1</v>
      </c>
      <c r="J44" s="107" t="e">
        <v>#DIV/0!</v>
      </c>
      <c r="K44" s="107" t="e">
        <v>#DIV/0!</v>
      </c>
      <c r="L44" s="111" t="e">
        <v>#DIV/0!</v>
      </c>
      <c r="M44" s="107" t="e">
        <v>#DIV/0!</v>
      </c>
      <c r="N44" s="107" t="e">
        <v>#DIV/0!</v>
      </c>
      <c r="O44" s="114"/>
      <c r="P44" s="107" t="e">
        <v>#DIV/0!</v>
      </c>
      <c r="Q44" s="107"/>
      <c r="R44" s="107"/>
      <c r="S44" s="115">
        <v>0</v>
      </c>
    </row>
    <row r="45" spans="1:19" x14ac:dyDescent="0.3">
      <c r="A45" s="84">
        <v>250</v>
      </c>
      <c r="B45" s="84">
        <v>300</v>
      </c>
      <c r="C45" s="116"/>
      <c r="D45" s="116"/>
      <c r="E45" s="107" t="e">
        <v>#DIV/0!</v>
      </c>
      <c r="F45" s="109">
        <v>0</v>
      </c>
      <c r="G45" s="118">
        <v>0</v>
      </c>
      <c r="H45" s="175" t="str">
        <f t="shared" si="0"/>
        <v>(250, 300]</v>
      </c>
      <c r="I45" s="110">
        <v>1</v>
      </c>
      <c r="J45" s="107" t="e">
        <v>#DIV/0!</v>
      </c>
      <c r="K45" s="107" t="e">
        <v>#DIV/0!</v>
      </c>
      <c r="L45" s="111" t="e">
        <v>#DIV/0!</v>
      </c>
      <c r="M45" s="107" t="e">
        <v>#DIV/0!</v>
      </c>
      <c r="N45" s="107" t="e">
        <v>#DIV/0!</v>
      </c>
      <c r="O45" s="114"/>
      <c r="P45" s="107" t="e">
        <v>#DIV/0!</v>
      </c>
      <c r="Q45" s="107"/>
      <c r="R45" s="107"/>
      <c r="S45" s="115">
        <v>0</v>
      </c>
    </row>
    <row r="46" spans="1:19" x14ac:dyDescent="0.3">
      <c r="A46" s="84">
        <v>300</v>
      </c>
      <c r="B46" s="84">
        <v>350</v>
      </c>
      <c r="C46" s="116"/>
      <c r="D46" s="116"/>
      <c r="E46" s="107" t="e">
        <v>#DIV/0!</v>
      </c>
      <c r="F46" s="109">
        <v>0</v>
      </c>
      <c r="G46" s="118">
        <v>0</v>
      </c>
      <c r="H46" s="175" t="str">
        <f t="shared" si="0"/>
        <v>(300, 350]</v>
      </c>
      <c r="I46" s="110">
        <v>1</v>
      </c>
      <c r="J46" s="107" t="e">
        <v>#DIV/0!</v>
      </c>
      <c r="K46" s="107" t="e">
        <v>#DIV/0!</v>
      </c>
      <c r="L46" s="111" t="e">
        <v>#DIV/0!</v>
      </c>
      <c r="M46" s="107" t="e">
        <v>#DIV/0!</v>
      </c>
      <c r="N46" s="107" t="e">
        <v>#DIV/0!</v>
      </c>
      <c r="O46" s="114"/>
      <c r="P46" s="107" t="e">
        <v>#DIV/0!</v>
      </c>
      <c r="Q46" s="107"/>
      <c r="R46" s="107"/>
      <c r="S46" s="115">
        <v>0</v>
      </c>
    </row>
    <row r="47" spans="1:19" x14ac:dyDescent="0.3">
      <c r="A47" s="84">
        <v>350</v>
      </c>
      <c r="B47" s="84">
        <v>400</v>
      </c>
      <c r="C47" s="116"/>
      <c r="D47" s="116"/>
      <c r="E47" s="107" t="e">
        <v>#DIV/0!</v>
      </c>
      <c r="F47" s="109">
        <v>0</v>
      </c>
      <c r="G47" s="118">
        <v>0</v>
      </c>
      <c r="H47" s="175" t="str">
        <f t="shared" si="0"/>
        <v>(350, 400]</v>
      </c>
      <c r="I47" s="110">
        <v>1</v>
      </c>
      <c r="J47" s="107" t="e">
        <v>#DIV/0!</v>
      </c>
      <c r="K47" s="107" t="e">
        <v>#DIV/0!</v>
      </c>
      <c r="L47" s="111" t="e">
        <v>#DIV/0!</v>
      </c>
      <c r="M47" s="107" t="e">
        <v>#DIV/0!</v>
      </c>
      <c r="N47" s="107" t="e">
        <v>#DIV/0!</v>
      </c>
      <c r="O47" s="114"/>
      <c r="P47" s="107" t="e">
        <v>#DIV/0!</v>
      </c>
      <c r="Q47" s="107"/>
      <c r="R47" s="107"/>
      <c r="S47" s="115">
        <v>0</v>
      </c>
    </row>
    <row r="48" spans="1:19" x14ac:dyDescent="0.3">
      <c r="A48" s="84">
        <v>400</v>
      </c>
      <c r="B48" s="84">
        <v>450</v>
      </c>
      <c r="C48" s="116"/>
      <c r="D48" s="116"/>
      <c r="E48" s="107" t="e">
        <v>#DIV/0!</v>
      </c>
      <c r="F48" s="109">
        <v>0</v>
      </c>
      <c r="G48" s="118">
        <v>0</v>
      </c>
      <c r="H48" s="175" t="str">
        <f t="shared" si="0"/>
        <v>(400, 450]</v>
      </c>
      <c r="I48" s="110">
        <v>1</v>
      </c>
      <c r="J48" s="107" t="e">
        <v>#DIV/0!</v>
      </c>
      <c r="K48" s="107" t="e">
        <v>#DIV/0!</v>
      </c>
      <c r="L48" s="111" t="e">
        <v>#DIV/0!</v>
      </c>
      <c r="M48" s="107" t="e">
        <v>#DIV/0!</v>
      </c>
      <c r="N48" s="107" t="e">
        <v>#DIV/0!</v>
      </c>
      <c r="O48" s="114"/>
      <c r="P48" s="107" t="e">
        <v>#DIV/0!</v>
      </c>
      <c r="Q48" s="107"/>
      <c r="R48" s="107"/>
      <c r="S48" s="115">
        <v>0</v>
      </c>
    </row>
    <row r="49" spans="1:19" x14ac:dyDescent="0.3">
      <c r="A49" s="84">
        <v>450</v>
      </c>
      <c r="B49" s="84">
        <v>500</v>
      </c>
      <c r="C49" s="116"/>
      <c r="D49" s="116"/>
      <c r="E49" s="107" t="e">
        <v>#DIV/0!</v>
      </c>
      <c r="F49" s="109">
        <v>0</v>
      </c>
      <c r="G49" s="118">
        <v>0</v>
      </c>
      <c r="H49" s="175" t="str">
        <f t="shared" si="0"/>
        <v>(450, 500]</v>
      </c>
      <c r="I49" s="110">
        <v>1</v>
      </c>
      <c r="J49" s="107" t="e">
        <v>#DIV/0!</v>
      </c>
      <c r="K49" s="107" t="e">
        <v>#DIV/0!</v>
      </c>
      <c r="L49" s="111" t="e">
        <v>#DIV/0!</v>
      </c>
      <c r="M49" s="107" t="e">
        <v>#DIV/0!</v>
      </c>
      <c r="N49" s="107" t="e">
        <v>#DIV/0!</v>
      </c>
      <c r="O49" s="114"/>
      <c r="P49" s="107" t="e">
        <v>#DIV/0!</v>
      </c>
      <c r="Q49" s="107"/>
      <c r="R49" s="107"/>
      <c r="S49" s="115">
        <v>0</v>
      </c>
    </row>
    <row r="50" spans="1:19" x14ac:dyDescent="0.3">
      <c r="A50" s="84">
        <v>500</v>
      </c>
      <c r="B50" s="84">
        <v>550</v>
      </c>
      <c r="C50" s="116"/>
      <c r="D50" s="116"/>
      <c r="E50" s="107" t="e">
        <v>#DIV/0!</v>
      </c>
      <c r="F50" s="109">
        <v>0</v>
      </c>
      <c r="G50" s="118">
        <v>0</v>
      </c>
      <c r="H50" s="175" t="str">
        <f t="shared" si="0"/>
        <v>(500, 550]</v>
      </c>
      <c r="I50" s="110">
        <v>1</v>
      </c>
      <c r="J50" s="107" t="e">
        <v>#DIV/0!</v>
      </c>
      <c r="K50" s="107" t="e">
        <v>#DIV/0!</v>
      </c>
      <c r="L50" s="111" t="e">
        <v>#DIV/0!</v>
      </c>
      <c r="M50" s="107" t="e">
        <v>#DIV/0!</v>
      </c>
      <c r="N50" s="107" t="e">
        <v>#DIV/0!</v>
      </c>
      <c r="O50" s="114"/>
      <c r="P50" s="107" t="e">
        <v>#DIV/0!</v>
      </c>
      <c r="Q50" s="107"/>
      <c r="R50" s="107"/>
      <c r="S50" s="115">
        <v>0</v>
      </c>
    </row>
    <row r="51" spans="1:19" x14ac:dyDescent="0.3">
      <c r="A51" s="84">
        <v>550</v>
      </c>
      <c r="B51" s="84">
        <v>600</v>
      </c>
      <c r="C51" s="116"/>
      <c r="D51" s="116"/>
      <c r="E51" s="107" t="e">
        <v>#DIV/0!</v>
      </c>
      <c r="F51" s="109">
        <v>0</v>
      </c>
      <c r="G51" s="118">
        <v>0</v>
      </c>
      <c r="H51" s="175" t="str">
        <f t="shared" si="0"/>
        <v>(550, 600]</v>
      </c>
      <c r="I51" s="110">
        <v>1</v>
      </c>
      <c r="J51" s="107" t="e">
        <v>#DIV/0!</v>
      </c>
      <c r="K51" s="107" t="e">
        <v>#DIV/0!</v>
      </c>
      <c r="L51" s="111" t="e">
        <v>#DIV/0!</v>
      </c>
      <c r="M51" s="107" t="e">
        <v>#DIV/0!</v>
      </c>
      <c r="N51" s="107" t="e">
        <v>#DIV/0!</v>
      </c>
      <c r="O51" s="114"/>
      <c r="P51" s="107" t="e">
        <v>#DIV/0!</v>
      </c>
      <c r="Q51" s="107"/>
      <c r="R51" s="107"/>
      <c r="S51" s="115">
        <v>0</v>
      </c>
    </row>
    <row r="52" spans="1:19" x14ac:dyDescent="0.3">
      <c r="A52" s="84">
        <v>600</v>
      </c>
      <c r="B52" s="84">
        <v>650</v>
      </c>
      <c r="C52" s="116"/>
      <c r="D52" s="116"/>
      <c r="E52" s="107" t="e">
        <v>#DIV/0!</v>
      </c>
      <c r="F52" s="109">
        <v>0</v>
      </c>
      <c r="G52" s="118">
        <v>0</v>
      </c>
      <c r="H52" s="175" t="str">
        <f t="shared" si="0"/>
        <v>(600, 650]</v>
      </c>
      <c r="I52" s="110">
        <v>1</v>
      </c>
      <c r="J52" s="107" t="e">
        <v>#DIV/0!</v>
      </c>
      <c r="K52" s="107" t="e">
        <v>#DIV/0!</v>
      </c>
      <c r="L52" s="111" t="e">
        <v>#DIV/0!</v>
      </c>
      <c r="M52" s="107" t="e">
        <v>#DIV/0!</v>
      </c>
      <c r="N52" s="107" t="e">
        <v>#DIV/0!</v>
      </c>
      <c r="O52" s="114"/>
      <c r="P52" s="107" t="e">
        <v>#DIV/0!</v>
      </c>
      <c r="Q52" s="107"/>
      <c r="R52" s="107"/>
      <c r="S52" s="115">
        <v>0</v>
      </c>
    </row>
    <row r="53" spans="1:19" x14ac:dyDescent="0.3">
      <c r="A53" s="84">
        <v>650</v>
      </c>
      <c r="B53" s="84">
        <v>700</v>
      </c>
      <c r="C53" s="116"/>
      <c r="D53" s="116"/>
      <c r="E53" s="107" t="e">
        <v>#DIV/0!</v>
      </c>
      <c r="F53" s="109">
        <v>0</v>
      </c>
      <c r="G53" s="118">
        <v>0</v>
      </c>
      <c r="H53" s="175" t="str">
        <f t="shared" si="0"/>
        <v>(650, 700]</v>
      </c>
      <c r="I53" s="110">
        <v>1</v>
      </c>
      <c r="J53" s="107" t="e">
        <v>#DIV/0!</v>
      </c>
      <c r="K53" s="107" t="e">
        <v>#DIV/0!</v>
      </c>
      <c r="L53" s="111" t="e">
        <v>#DIV/0!</v>
      </c>
      <c r="M53" s="107" t="e">
        <v>#DIV/0!</v>
      </c>
      <c r="N53" s="107" t="e">
        <v>#DIV/0!</v>
      </c>
      <c r="O53" s="114"/>
      <c r="P53" s="107" t="e">
        <v>#DIV/0!</v>
      </c>
      <c r="Q53" s="107"/>
      <c r="R53" s="107"/>
      <c r="S53" s="115">
        <v>0</v>
      </c>
    </row>
    <row r="54" spans="1:19" x14ac:dyDescent="0.3">
      <c r="A54" s="84">
        <v>700</v>
      </c>
      <c r="B54" s="84">
        <v>750</v>
      </c>
      <c r="C54" s="116"/>
      <c r="D54" s="116"/>
      <c r="E54" s="107" t="e">
        <v>#DIV/0!</v>
      </c>
      <c r="F54" s="109">
        <v>0</v>
      </c>
      <c r="G54" s="118">
        <v>0</v>
      </c>
      <c r="H54" s="175" t="str">
        <f t="shared" si="0"/>
        <v>(700, 750]</v>
      </c>
      <c r="I54" s="110">
        <v>1</v>
      </c>
      <c r="J54" s="107" t="e">
        <v>#DIV/0!</v>
      </c>
      <c r="K54" s="107" t="e">
        <v>#DIV/0!</v>
      </c>
      <c r="L54" s="111" t="e">
        <v>#DIV/0!</v>
      </c>
      <c r="M54" s="107" t="e">
        <v>#DIV/0!</v>
      </c>
      <c r="N54" s="107" t="e">
        <v>#DIV/0!</v>
      </c>
      <c r="O54" s="114"/>
      <c r="P54" s="107" t="e">
        <v>#DIV/0!</v>
      </c>
      <c r="Q54" s="107"/>
      <c r="R54" s="107"/>
      <c r="S54" s="115">
        <v>0</v>
      </c>
    </row>
    <row r="55" spans="1:19" x14ac:dyDescent="0.3">
      <c r="A55" s="84">
        <v>750</v>
      </c>
      <c r="B55" s="84">
        <v>800</v>
      </c>
      <c r="C55" s="116"/>
      <c r="D55" s="116"/>
      <c r="E55" s="107" t="e">
        <v>#DIV/0!</v>
      </c>
      <c r="F55" s="109">
        <v>0</v>
      </c>
      <c r="G55" s="118">
        <v>0</v>
      </c>
      <c r="H55" s="175" t="str">
        <f t="shared" si="0"/>
        <v>(750, 800]</v>
      </c>
      <c r="I55" s="110">
        <v>1</v>
      </c>
      <c r="J55" s="107" t="e">
        <v>#DIV/0!</v>
      </c>
      <c r="K55" s="107" t="e">
        <v>#DIV/0!</v>
      </c>
      <c r="L55" s="111" t="e">
        <v>#DIV/0!</v>
      </c>
      <c r="M55" s="107" t="e">
        <v>#DIV/0!</v>
      </c>
      <c r="N55" s="107" t="e">
        <v>#DIV/0!</v>
      </c>
      <c r="O55" s="114"/>
      <c r="P55" s="107" t="e">
        <v>#DIV/0!</v>
      </c>
      <c r="Q55" s="107"/>
      <c r="R55" s="107"/>
      <c r="S55" s="115">
        <v>0</v>
      </c>
    </row>
    <row r="56" spans="1:19" x14ac:dyDescent="0.3">
      <c r="A56" s="84">
        <v>800</v>
      </c>
      <c r="B56" s="84">
        <v>850</v>
      </c>
      <c r="C56" s="116"/>
      <c r="D56" s="116"/>
      <c r="E56" s="107" t="e">
        <v>#DIV/0!</v>
      </c>
      <c r="F56" s="109">
        <v>0</v>
      </c>
      <c r="G56" s="118">
        <v>0</v>
      </c>
      <c r="H56" s="175" t="str">
        <f t="shared" si="0"/>
        <v>(800, 850]</v>
      </c>
      <c r="I56" s="110">
        <v>1</v>
      </c>
      <c r="J56" s="107" t="e">
        <v>#DIV/0!</v>
      </c>
      <c r="K56" s="107" t="e">
        <v>#DIV/0!</v>
      </c>
      <c r="L56" s="111" t="e">
        <v>#DIV/0!</v>
      </c>
      <c r="M56" s="107" t="e">
        <v>#DIV/0!</v>
      </c>
      <c r="N56" s="107" t="e">
        <v>#DIV/0!</v>
      </c>
      <c r="O56" s="114"/>
      <c r="P56" s="107" t="e">
        <v>#DIV/0!</v>
      </c>
      <c r="Q56" s="107"/>
      <c r="R56" s="107"/>
      <c r="S56" s="115">
        <v>0</v>
      </c>
    </row>
    <row r="57" spans="1:19" x14ac:dyDescent="0.3">
      <c r="A57" s="84">
        <v>850</v>
      </c>
      <c r="B57" s="84">
        <v>900</v>
      </c>
      <c r="C57" s="116"/>
      <c r="D57" s="116"/>
      <c r="E57" s="107" t="e">
        <v>#DIV/0!</v>
      </c>
      <c r="F57" s="109">
        <v>0</v>
      </c>
      <c r="G57" s="118">
        <v>0</v>
      </c>
      <c r="H57" s="175" t="str">
        <f t="shared" si="0"/>
        <v>(850, 900]</v>
      </c>
      <c r="I57" s="110">
        <v>1</v>
      </c>
      <c r="J57" s="107" t="e">
        <v>#DIV/0!</v>
      </c>
      <c r="K57" s="107" t="e">
        <v>#DIV/0!</v>
      </c>
      <c r="L57" s="112" t="e">
        <v>#DIV/0!</v>
      </c>
      <c r="M57" s="107" t="e">
        <v>#DIV/0!</v>
      </c>
      <c r="N57" s="107" t="e">
        <v>#DIV/0!</v>
      </c>
      <c r="O57" s="114"/>
      <c r="P57" s="107" t="e">
        <v>#DIV/0!</v>
      </c>
      <c r="Q57" s="107"/>
      <c r="R57" s="107"/>
      <c r="S57" s="115">
        <v>0</v>
      </c>
    </row>
    <row r="58" spans="1:19" x14ac:dyDescent="0.3">
      <c r="A58" s="84">
        <v>900</v>
      </c>
      <c r="B58" s="84">
        <v>950</v>
      </c>
      <c r="C58" s="116"/>
      <c r="D58" s="116"/>
      <c r="E58" s="107" t="e">
        <v>#DIV/0!</v>
      </c>
      <c r="F58" s="109">
        <v>0</v>
      </c>
      <c r="G58" s="118">
        <v>0</v>
      </c>
      <c r="H58" s="175" t="str">
        <f t="shared" si="0"/>
        <v>(900, 950]</v>
      </c>
      <c r="I58" s="110">
        <v>1</v>
      </c>
      <c r="J58" s="107" t="e">
        <v>#DIV/0!</v>
      </c>
      <c r="K58" s="107" t="e">
        <v>#DIV/0!</v>
      </c>
      <c r="L58" s="112" t="e">
        <v>#DIV/0!</v>
      </c>
      <c r="M58" s="107" t="e">
        <v>#DIV/0!</v>
      </c>
      <c r="N58" s="107" t="e">
        <v>#DIV/0!</v>
      </c>
      <c r="O58" s="114"/>
      <c r="P58" s="107" t="e">
        <v>#DIV/0!</v>
      </c>
      <c r="Q58" s="107"/>
      <c r="R58" s="107"/>
      <c r="S58" s="115">
        <v>0</v>
      </c>
    </row>
    <row r="59" spans="1:19" x14ac:dyDescent="0.3">
      <c r="A59" s="84">
        <v>950</v>
      </c>
      <c r="B59" s="84">
        <v>1000</v>
      </c>
      <c r="C59" s="116"/>
      <c r="D59" s="116"/>
      <c r="E59" s="107" t="e">
        <v>#DIV/0!</v>
      </c>
      <c r="F59" s="109">
        <v>0</v>
      </c>
      <c r="G59" s="118">
        <v>0</v>
      </c>
      <c r="H59" s="175" t="str">
        <f t="shared" si="0"/>
        <v>(950, 1000]</v>
      </c>
      <c r="I59" s="110">
        <v>1</v>
      </c>
      <c r="J59" s="107" t="e">
        <v>#DIV/0!</v>
      </c>
      <c r="K59" s="107" t="e">
        <v>#DIV/0!</v>
      </c>
      <c r="L59" s="112" t="e">
        <v>#DIV/0!</v>
      </c>
      <c r="M59" s="107" t="e">
        <v>#DIV/0!</v>
      </c>
      <c r="N59" s="107" t="e">
        <v>#DIV/0!</v>
      </c>
      <c r="O59" s="114"/>
      <c r="P59" s="107" t="e">
        <v>#DIV/0!</v>
      </c>
      <c r="Q59" s="107"/>
      <c r="R59" s="107"/>
      <c r="S59" s="115">
        <v>0</v>
      </c>
    </row>
    <row r="60" spans="1:19" x14ac:dyDescent="0.3">
      <c r="A60" s="84">
        <v>1000</v>
      </c>
      <c r="B60" s="84">
        <v>2000</v>
      </c>
      <c r="C60" s="116"/>
      <c r="D60" s="116"/>
      <c r="E60" s="107" t="e">
        <v>#DIV/0!</v>
      </c>
      <c r="F60" s="109">
        <v>0</v>
      </c>
      <c r="G60" s="118">
        <v>0</v>
      </c>
      <c r="H60" s="175" t="str">
        <f t="shared" si="0"/>
        <v>(1000, 2000]</v>
      </c>
      <c r="I60" s="110">
        <v>1</v>
      </c>
      <c r="J60" s="107" t="e">
        <v>#DIV/0!</v>
      </c>
      <c r="K60" s="107" t="e">
        <v>#DIV/0!</v>
      </c>
      <c r="L60" s="112" t="e">
        <v>#DIV/0!</v>
      </c>
      <c r="M60" s="107" t="e">
        <v>#DIV/0!</v>
      </c>
      <c r="N60" s="107" t="e">
        <v>#DIV/0!</v>
      </c>
      <c r="O60" s="114"/>
      <c r="P60" s="107" t="e">
        <v>#DIV/0!</v>
      </c>
      <c r="Q60" s="107"/>
      <c r="R60" s="107"/>
      <c r="S60" s="115">
        <v>0</v>
      </c>
    </row>
    <row r="61" spans="1:19" x14ac:dyDescent="0.3">
      <c r="A61" s="84">
        <v>2000</v>
      </c>
      <c r="B61" s="84">
        <v>3000</v>
      </c>
      <c r="C61" s="116"/>
      <c r="D61" s="116"/>
      <c r="E61" s="107" t="e">
        <v>#DIV/0!</v>
      </c>
      <c r="F61" s="109">
        <v>0</v>
      </c>
      <c r="G61" s="118">
        <v>0</v>
      </c>
      <c r="H61" s="175" t="str">
        <f t="shared" si="0"/>
        <v>(2000, 3000]</v>
      </c>
      <c r="I61" s="110">
        <v>1</v>
      </c>
      <c r="J61" s="107" t="e">
        <v>#DIV/0!</v>
      </c>
      <c r="K61" s="107" t="e">
        <v>#DIV/0!</v>
      </c>
      <c r="L61" s="112" t="e">
        <v>#DIV/0!</v>
      </c>
      <c r="M61" s="107" t="e">
        <v>#DIV/0!</v>
      </c>
      <c r="N61" s="107" t="e">
        <v>#DIV/0!</v>
      </c>
      <c r="O61" s="114"/>
      <c r="P61" s="107" t="e">
        <v>#DIV/0!</v>
      </c>
      <c r="Q61" s="107"/>
      <c r="R61" s="107"/>
      <c r="S61" s="115">
        <v>0</v>
      </c>
    </row>
    <row r="62" spans="1:19" x14ac:dyDescent="0.3">
      <c r="A62" s="84">
        <v>3000</v>
      </c>
      <c r="B62" s="84">
        <v>4000</v>
      </c>
      <c r="C62" s="116"/>
      <c r="D62" s="116"/>
      <c r="E62" s="107" t="e">
        <v>#DIV/0!</v>
      </c>
      <c r="F62" s="109">
        <v>0</v>
      </c>
      <c r="G62" s="118">
        <v>0</v>
      </c>
      <c r="H62" s="29" t="str">
        <f t="shared" si="0"/>
        <v>(3000, 4000]</v>
      </c>
      <c r="I62" s="110">
        <v>1</v>
      </c>
      <c r="J62" s="107" t="e">
        <v>#DIV/0!</v>
      </c>
      <c r="K62" s="107" t="e">
        <v>#DIV/0!</v>
      </c>
      <c r="L62" s="112" t="e">
        <v>#DIV/0!</v>
      </c>
      <c r="M62" s="107" t="e">
        <v>#DIV/0!</v>
      </c>
      <c r="N62" s="107" t="e">
        <v>#DIV/0!</v>
      </c>
      <c r="O62" s="114"/>
      <c r="P62" s="107" t="e">
        <v>#DIV/0!</v>
      </c>
      <c r="Q62" s="107"/>
      <c r="R62" s="107"/>
      <c r="S62" s="115">
        <v>0</v>
      </c>
    </row>
    <row r="63" spans="1:19" x14ac:dyDescent="0.3">
      <c r="A63" s="84">
        <v>4000</v>
      </c>
      <c r="B63" s="84">
        <v>5000</v>
      </c>
      <c r="C63" s="116"/>
      <c r="D63" s="116"/>
      <c r="E63" s="107" t="e">
        <v>#DIV/0!</v>
      </c>
      <c r="F63" s="109">
        <v>0</v>
      </c>
      <c r="G63" s="118">
        <v>0</v>
      </c>
      <c r="H63" s="29" t="str">
        <f t="shared" si="0"/>
        <v>(4000, 5000]</v>
      </c>
      <c r="I63" s="110">
        <v>1</v>
      </c>
      <c r="J63" s="107" t="e">
        <v>#DIV/0!</v>
      </c>
      <c r="K63" s="107" t="e">
        <v>#DIV/0!</v>
      </c>
      <c r="L63" s="112" t="e">
        <v>#DIV/0!</v>
      </c>
      <c r="M63" s="107" t="e">
        <v>#DIV/0!</v>
      </c>
      <c r="N63" s="107" t="e">
        <v>#DIV/0!</v>
      </c>
      <c r="O63" s="114"/>
      <c r="P63" s="107" t="e">
        <v>#DIV/0!</v>
      </c>
      <c r="Q63" s="107"/>
      <c r="R63" s="107"/>
      <c r="S63" s="115">
        <v>0</v>
      </c>
    </row>
    <row r="64" spans="1:19" x14ac:dyDescent="0.3">
      <c r="A64" s="84">
        <v>5000</v>
      </c>
      <c r="B64" s="84">
        <v>6000</v>
      </c>
      <c r="C64" s="116"/>
      <c r="D64" s="116"/>
      <c r="E64" s="107" t="e">
        <v>#DIV/0!</v>
      </c>
      <c r="F64" s="109">
        <v>0</v>
      </c>
      <c r="G64" s="118">
        <v>0</v>
      </c>
      <c r="H64" s="29" t="str">
        <f t="shared" si="0"/>
        <v>(5000, 6000]</v>
      </c>
      <c r="I64" s="110">
        <v>1</v>
      </c>
      <c r="J64" s="107" t="e">
        <v>#DIV/0!</v>
      </c>
      <c r="K64" s="107" t="e">
        <v>#DIV/0!</v>
      </c>
      <c r="L64" s="112" t="e">
        <v>#DIV/0!</v>
      </c>
      <c r="M64" s="107" t="e">
        <v>#DIV/0!</v>
      </c>
      <c r="N64" s="107" t="e">
        <v>#DIV/0!</v>
      </c>
      <c r="O64" s="114"/>
      <c r="P64" s="107" t="e">
        <v>#DIV/0!</v>
      </c>
      <c r="Q64" s="107"/>
      <c r="R64" s="107"/>
      <c r="S64" s="115">
        <v>0</v>
      </c>
    </row>
    <row r="65" spans="1:20" x14ac:dyDescent="0.3">
      <c r="A65" s="84">
        <v>6000</v>
      </c>
      <c r="B65" s="84">
        <v>7000</v>
      </c>
      <c r="C65" s="116"/>
      <c r="D65" s="116"/>
      <c r="E65" s="107" t="e">
        <v>#DIV/0!</v>
      </c>
      <c r="F65" s="109">
        <v>0</v>
      </c>
      <c r="G65" s="118">
        <v>0</v>
      </c>
      <c r="H65" s="29" t="str">
        <f t="shared" si="0"/>
        <v>(6000, 7000]</v>
      </c>
      <c r="I65" s="110">
        <v>1</v>
      </c>
      <c r="J65" s="107" t="e">
        <v>#DIV/0!</v>
      </c>
      <c r="K65" s="107" t="e">
        <v>#DIV/0!</v>
      </c>
      <c r="L65" s="112" t="e">
        <v>#DIV/0!</v>
      </c>
      <c r="M65" s="107" t="e">
        <v>#DIV/0!</v>
      </c>
      <c r="N65" s="107" t="e">
        <v>#DIV/0!</v>
      </c>
      <c r="O65" s="114"/>
      <c r="P65" s="107" t="e">
        <v>#DIV/0!</v>
      </c>
      <c r="Q65" s="107"/>
      <c r="R65" s="107"/>
      <c r="S65" s="115">
        <v>0</v>
      </c>
    </row>
    <row r="66" spans="1:20" x14ac:dyDescent="0.3">
      <c r="A66" s="84">
        <v>7000</v>
      </c>
      <c r="B66" s="84">
        <v>8000</v>
      </c>
      <c r="C66" s="116"/>
      <c r="D66" s="116"/>
      <c r="E66" s="107" t="e">
        <v>#DIV/0!</v>
      </c>
      <c r="F66" s="109">
        <v>0</v>
      </c>
      <c r="G66" s="118">
        <v>0</v>
      </c>
      <c r="H66" s="29" t="str">
        <f t="shared" si="0"/>
        <v>(7000, 8000]</v>
      </c>
      <c r="I66" s="110">
        <v>1</v>
      </c>
      <c r="J66" s="107" t="e">
        <v>#DIV/0!</v>
      </c>
      <c r="K66" s="107" t="e">
        <v>#DIV/0!</v>
      </c>
      <c r="L66" s="112" t="e">
        <v>#DIV/0!</v>
      </c>
      <c r="M66" s="107" t="e">
        <v>#DIV/0!</v>
      </c>
      <c r="N66" s="107" t="e">
        <v>#DIV/0!</v>
      </c>
      <c r="O66" s="114"/>
      <c r="P66" s="107" t="e">
        <v>#DIV/0!</v>
      </c>
      <c r="Q66" s="107"/>
      <c r="R66" s="107"/>
      <c r="S66" s="115">
        <v>0</v>
      </c>
    </row>
    <row r="67" spans="1:20" x14ac:dyDescent="0.3">
      <c r="A67" s="84">
        <v>8000</v>
      </c>
      <c r="B67" s="84">
        <v>9000</v>
      </c>
      <c r="C67" s="116"/>
      <c r="D67" s="116"/>
      <c r="E67" s="107" t="e">
        <v>#DIV/0!</v>
      </c>
      <c r="F67" s="109">
        <v>0</v>
      </c>
      <c r="G67" s="118">
        <v>0</v>
      </c>
      <c r="H67" s="29" t="str">
        <f t="shared" si="0"/>
        <v>(8000, 9000]</v>
      </c>
      <c r="I67" s="110">
        <v>1</v>
      </c>
      <c r="J67" s="107" t="e">
        <v>#DIV/0!</v>
      </c>
      <c r="K67" s="107" t="e">
        <v>#DIV/0!</v>
      </c>
      <c r="L67" s="112" t="e">
        <v>#DIV/0!</v>
      </c>
      <c r="M67" s="107" t="e">
        <v>#DIV/0!</v>
      </c>
      <c r="N67" s="107" t="e">
        <v>#DIV/0!</v>
      </c>
      <c r="O67" s="114"/>
      <c r="P67" s="107" t="e">
        <v>#DIV/0!</v>
      </c>
      <c r="Q67" s="107"/>
      <c r="R67" s="107"/>
      <c r="S67" s="115">
        <v>0</v>
      </c>
    </row>
    <row r="68" spans="1:20" x14ac:dyDescent="0.3">
      <c r="A68" s="84">
        <v>9000</v>
      </c>
      <c r="B68" s="84">
        <v>10000</v>
      </c>
      <c r="C68" s="116"/>
      <c r="D68" s="116"/>
      <c r="E68" s="107" t="e">
        <v>#DIV/0!</v>
      </c>
      <c r="F68" s="109">
        <v>0</v>
      </c>
      <c r="G68" s="118">
        <v>0</v>
      </c>
      <c r="H68" s="29" t="str">
        <f t="shared" si="0"/>
        <v>(9000, 10000]</v>
      </c>
      <c r="I68" s="110">
        <v>1</v>
      </c>
      <c r="J68" s="107" t="e">
        <v>#DIV/0!</v>
      </c>
      <c r="K68" s="107" t="e">
        <v>#DIV/0!</v>
      </c>
      <c r="L68" s="112" t="e">
        <v>#DIV/0!</v>
      </c>
      <c r="M68" s="107" t="e">
        <v>#DIV/0!</v>
      </c>
      <c r="N68" s="107" t="e">
        <v>#DIV/0!</v>
      </c>
      <c r="O68" s="114"/>
      <c r="P68" s="107" t="e">
        <v>#DIV/0!</v>
      </c>
      <c r="Q68" s="107"/>
      <c r="R68" s="107"/>
      <c r="S68" s="115">
        <v>0</v>
      </c>
    </row>
    <row r="69" spans="1:20" x14ac:dyDescent="0.3">
      <c r="A69" s="84">
        <v>10000</v>
      </c>
      <c r="B69" s="84">
        <v>20000</v>
      </c>
      <c r="C69" s="116"/>
      <c r="D69" s="116"/>
      <c r="E69" s="107" t="e">
        <v>#DIV/0!</v>
      </c>
      <c r="F69" s="109">
        <v>0</v>
      </c>
      <c r="G69" s="118">
        <v>0</v>
      </c>
      <c r="H69" s="29" t="str">
        <f t="shared" si="0"/>
        <v>(10000, 20000]</v>
      </c>
      <c r="I69" s="110">
        <v>1</v>
      </c>
      <c r="J69" s="107" t="e">
        <v>#DIV/0!</v>
      </c>
      <c r="K69" s="107" t="e">
        <v>#DIV/0!</v>
      </c>
      <c r="L69" s="112" t="e">
        <v>#DIV/0!</v>
      </c>
      <c r="M69" s="107" t="e">
        <v>#DIV/0!</v>
      </c>
      <c r="N69" s="107" t="e">
        <v>#DIV/0!</v>
      </c>
      <c r="O69" s="114"/>
      <c r="P69" s="107" t="e">
        <v>#DIV/0!</v>
      </c>
      <c r="Q69" s="107"/>
      <c r="R69" s="107"/>
      <c r="S69" s="115">
        <v>0</v>
      </c>
    </row>
    <row r="70" spans="1:20" x14ac:dyDescent="0.3">
      <c r="A70" s="84">
        <v>20000</v>
      </c>
      <c r="B70" s="84">
        <v>30000</v>
      </c>
      <c r="C70" s="116"/>
      <c r="D70" s="116"/>
      <c r="E70" s="107" t="e">
        <v>#DIV/0!</v>
      </c>
      <c r="F70" s="109">
        <v>0</v>
      </c>
      <c r="G70" s="118">
        <v>0</v>
      </c>
      <c r="H70" s="29" t="str">
        <f t="shared" si="0"/>
        <v>(20000, 30000]</v>
      </c>
      <c r="I70" s="110">
        <v>1</v>
      </c>
      <c r="J70" s="107" t="e">
        <v>#DIV/0!</v>
      </c>
      <c r="K70" s="107" t="e">
        <v>#DIV/0!</v>
      </c>
      <c r="L70" s="112" t="e">
        <v>#DIV/0!</v>
      </c>
      <c r="M70" s="107" t="e">
        <v>#DIV/0!</v>
      </c>
      <c r="N70" s="107" t="e">
        <v>#DIV/0!</v>
      </c>
      <c r="O70" s="114"/>
      <c r="P70" s="107" t="e">
        <v>#DIV/0!</v>
      </c>
      <c r="Q70" s="107"/>
      <c r="R70" s="107"/>
      <c r="S70" s="115">
        <v>0</v>
      </c>
    </row>
    <row r="71" spans="1:20" x14ac:dyDescent="0.3">
      <c r="A71" s="84">
        <v>30000</v>
      </c>
      <c r="B71" s="84">
        <v>40000</v>
      </c>
      <c r="C71" s="116"/>
      <c r="D71" s="116"/>
      <c r="E71" s="107" t="e">
        <v>#DIV/0!</v>
      </c>
      <c r="F71" s="109">
        <v>0</v>
      </c>
      <c r="G71" s="118">
        <v>0</v>
      </c>
      <c r="H71" s="29" t="str">
        <f t="shared" si="0"/>
        <v>(30000, 40000]</v>
      </c>
      <c r="I71" s="110">
        <v>1</v>
      </c>
      <c r="J71" s="107" t="e">
        <v>#DIV/0!</v>
      </c>
      <c r="K71" s="107" t="e">
        <v>#DIV/0!</v>
      </c>
      <c r="L71" s="112" t="e">
        <v>#DIV/0!</v>
      </c>
      <c r="M71" s="107" t="e">
        <v>#DIV/0!</v>
      </c>
      <c r="N71" s="107" t="e">
        <v>#DIV/0!</v>
      </c>
      <c r="O71" s="114"/>
      <c r="P71" s="107" t="e">
        <v>#DIV/0!</v>
      </c>
      <c r="Q71" s="107"/>
      <c r="R71" s="107"/>
      <c r="S71" s="115">
        <v>0</v>
      </c>
    </row>
    <row r="72" spans="1:20" x14ac:dyDescent="0.3">
      <c r="A72" s="84">
        <v>40000</v>
      </c>
      <c r="B72" s="84">
        <v>50000</v>
      </c>
      <c r="C72" s="116"/>
      <c r="D72" s="116"/>
      <c r="E72" s="107" t="e">
        <v>#DIV/0!</v>
      </c>
      <c r="F72" s="109">
        <v>0</v>
      </c>
      <c r="G72" s="118">
        <v>0</v>
      </c>
      <c r="H72" s="29" t="str">
        <f t="shared" si="0"/>
        <v>(40000, 50000]</v>
      </c>
      <c r="I72" s="110">
        <v>1</v>
      </c>
      <c r="J72" s="107" t="e">
        <v>#DIV/0!</v>
      </c>
      <c r="K72" s="107" t="e">
        <v>#DIV/0!</v>
      </c>
      <c r="L72" s="112" t="e">
        <v>#DIV/0!</v>
      </c>
      <c r="M72" s="107" t="e">
        <v>#DIV/0!</v>
      </c>
      <c r="N72" s="107" t="e">
        <v>#DIV/0!</v>
      </c>
      <c r="O72" s="114"/>
      <c r="P72" s="107" t="e">
        <v>#DIV/0!</v>
      </c>
      <c r="Q72" s="107"/>
      <c r="R72" s="107"/>
      <c r="S72" s="115">
        <v>0</v>
      </c>
    </row>
    <row r="73" spans="1:20" x14ac:dyDescent="0.3">
      <c r="A73" s="84">
        <v>50000</v>
      </c>
      <c r="B73" s="84">
        <v>60000</v>
      </c>
      <c r="C73" s="116"/>
      <c r="D73" s="116"/>
      <c r="E73" s="107" t="e">
        <v>#DIV/0!</v>
      </c>
      <c r="F73" s="109">
        <v>0</v>
      </c>
      <c r="G73" s="118">
        <v>0</v>
      </c>
      <c r="H73" s="29" t="str">
        <f t="shared" si="0"/>
        <v>(50000, 60000]</v>
      </c>
      <c r="I73" s="110">
        <v>1</v>
      </c>
      <c r="J73" s="107" t="e">
        <v>#DIV/0!</v>
      </c>
      <c r="K73" s="107" t="e">
        <v>#DIV/0!</v>
      </c>
      <c r="L73" s="112" t="e">
        <v>#DIV/0!</v>
      </c>
      <c r="M73" s="107" t="e">
        <v>#DIV/0!</v>
      </c>
      <c r="N73" s="107" t="e">
        <v>#DIV/0!</v>
      </c>
      <c r="O73" s="114"/>
      <c r="P73" s="107" t="e">
        <v>#DIV/0!</v>
      </c>
      <c r="Q73" s="107"/>
      <c r="R73" s="107"/>
      <c r="S73" s="115">
        <v>0</v>
      </c>
    </row>
    <row r="74" spans="1:20" x14ac:dyDescent="0.3">
      <c r="A74" s="84">
        <v>60000</v>
      </c>
      <c r="B74" s="84">
        <v>70000</v>
      </c>
      <c r="C74" s="116"/>
      <c r="D74" s="116"/>
      <c r="E74" s="107" t="e">
        <v>#DIV/0!</v>
      </c>
      <c r="F74" s="109">
        <v>0</v>
      </c>
      <c r="G74" s="118">
        <v>0</v>
      </c>
      <c r="H74" s="29" t="str">
        <f t="shared" si="0"/>
        <v>(60000, 70000]</v>
      </c>
      <c r="I74" s="110">
        <v>1</v>
      </c>
      <c r="J74" s="107" t="e">
        <v>#DIV/0!</v>
      </c>
      <c r="K74" s="107" t="e">
        <v>#DIV/0!</v>
      </c>
      <c r="L74" s="112" t="e">
        <v>#DIV/0!</v>
      </c>
      <c r="M74" s="107" t="e">
        <v>#DIV/0!</v>
      </c>
      <c r="N74" s="107" t="e">
        <v>#DIV/0!</v>
      </c>
      <c r="O74" s="114"/>
      <c r="P74" s="107" t="e">
        <v>#DIV/0!</v>
      </c>
      <c r="Q74" s="107"/>
      <c r="R74" s="107"/>
      <c r="S74" s="115">
        <v>0</v>
      </c>
    </row>
    <row r="75" spans="1:20" x14ac:dyDescent="0.3">
      <c r="A75" s="84">
        <v>70000</v>
      </c>
      <c r="B75" s="84">
        <v>80000</v>
      </c>
      <c r="C75" s="116"/>
      <c r="D75" s="116"/>
      <c r="E75" s="107" t="e">
        <v>#DIV/0!</v>
      </c>
      <c r="F75" s="109">
        <v>0</v>
      </c>
      <c r="G75" s="118">
        <v>0</v>
      </c>
      <c r="H75" s="29" t="str">
        <f t="shared" si="0"/>
        <v>(70000, 80000]</v>
      </c>
      <c r="I75" s="110">
        <v>1</v>
      </c>
      <c r="J75" s="107" t="e">
        <v>#DIV/0!</v>
      </c>
      <c r="K75" s="107" t="e">
        <v>#DIV/0!</v>
      </c>
      <c r="L75" s="112" t="e">
        <v>#DIV/0!</v>
      </c>
      <c r="M75" s="107" t="e">
        <v>#DIV/0!</v>
      </c>
      <c r="N75" s="107" t="e">
        <v>#DIV/0!</v>
      </c>
      <c r="O75" s="114"/>
      <c r="P75" s="107" t="e">
        <v>#DIV/0!</v>
      </c>
      <c r="Q75" s="107"/>
      <c r="R75" s="107"/>
      <c r="S75" s="115">
        <v>0</v>
      </c>
    </row>
    <row r="76" spans="1:20" x14ac:dyDescent="0.3">
      <c r="A76" s="84">
        <v>80000</v>
      </c>
      <c r="B76" s="84">
        <v>90000</v>
      </c>
      <c r="C76" s="116"/>
      <c r="D76" s="116"/>
      <c r="E76" s="107" t="e">
        <v>#DIV/0!</v>
      </c>
      <c r="F76" s="109">
        <v>0</v>
      </c>
      <c r="G76" s="118">
        <v>0</v>
      </c>
      <c r="H76" s="29" t="str">
        <f t="shared" si="0"/>
        <v>(80000, 90000]</v>
      </c>
      <c r="I76" s="110">
        <v>1</v>
      </c>
      <c r="J76" s="107" t="e">
        <v>#DIV/0!</v>
      </c>
      <c r="K76" s="107" t="e">
        <v>#DIV/0!</v>
      </c>
      <c r="L76" s="112" t="e">
        <v>#DIV/0!</v>
      </c>
      <c r="M76" s="107" t="e">
        <v>#DIV/0!</v>
      </c>
      <c r="N76" s="107" t="e">
        <v>#DIV/0!</v>
      </c>
      <c r="O76" s="114"/>
      <c r="P76" s="107" t="e">
        <v>#DIV/0!</v>
      </c>
      <c r="Q76" s="107"/>
      <c r="R76" s="107"/>
      <c r="S76" s="115">
        <v>0</v>
      </c>
    </row>
    <row r="77" spans="1:20" x14ac:dyDescent="0.3">
      <c r="A77" s="84">
        <v>90000</v>
      </c>
      <c r="B77" s="84">
        <v>100000</v>
      </c>
      <c r="C77" s="116"/>
      <c r="D77" s="116"/>
      <c r="E77" s="107" t="e">
        <v>#DIV/0!</v>
      </c>
      <c r="F77" s="109">
        <v>0</v>
      </c>
      <c r="G77" s="118">
        <v>0</v>
      </c>
      <c r="H77" s="29" t="str">
        <f t="shared" si="0"/>
        <v>(90000, 100000]</v>
      </c>
      <c r="I77" s="110">
        <v>1</v>
      </c>
      <c r="J77" s="107" t="e">
        <v>#DIV/0!</v>
      </c>
      <c r="K77" s="107" t="e">
        <v>#DIV/0!</v>
      </c>
      <c r="L77" s="112" t="e">
        <v>#DIV/0!</v>
      </c>
      <c r="M77" s="107" t="e">
        <v>#DIV/0!</v>
      </c>
      <c r="N77" s="107" t="e">
        <v>#DIV/0!</v>
      </c>
      <c r="O77" s="114"/>
      <c r="P77" s="107" t="e">
        <v>#DIV/0!</v>
      </c>
      <c r="Q77" s="107"/>
      <c r="R77" s="107"/>
      <c r="S77" s="115">
        <v>0</v>
      </c>
    </row>
    <row r="78" spans="1:20" x14ac:dyDescent="0.3">
      <c r="A78" s="84">
        <v>100000</v>
      </c>
      <c r="B78" s="84">
        <v>9999999</v>
      </c>
      <c r="C78" s="116"/>
      <c r="D78" s="116"/>
      <c r="E78" s="107" t="e">
        <v>#DIV/0!</v>
      </c>
      <c r="F78" s="109">
        <v>0</v>
      </c>
      <c r="G78" s="118">
        <v>0</v>
      </c>
      <c r="H78" s="29" t="str">
        <f t="shared" si="0"/>
        <v>(100000, 9999999]</v>
      </c>
      <c r="I78" s="110">
        <v>1</v>
      </c>
      <c r="J78" s="107" t="e">
        <v>#DIV/0!</v>
      </c>
      <c r="K78" s="107" t="e">
        <v>#DIV/0!</v>
      </c>
      <c r="L78" s="112" t="e">
        <v>#DIV/0!</v>
      </c>
      <c r="M78" s="107" t="e">
        <v>#DIV/0!</v>
      </c>
      <c r="N78" s="107" t="e">
        <v>#DIV/0!</v>
      </c>
      <c r="O78" s="114"/>
      <c r="P78" s="107" t="e">
        <v>#DIV/0!</v>
      </c>
      <c r="Q78" s="107"/>
      <c r="R78" s="107"/>
      <c r="S78" s="115">
        <v>0</v>
      </c>
    </row>
    <row r="79" spans="1:20" x14ac:dyDescent="0.3">
      <c r="A79" s="184" t="s">
        <v>63</v>
      </c>
      <c r="B79" s="185"/>
      <c r="C79" s="120">
        <f>E79*B13</f>
        <v>0</v>
      </c>
      <c r="D79" s="116"/>
      <c r="E79" s="121"/>
      <c r="F79" s="109">
        <v>0</v>
      </c>
      <c r="G79" s="118"/>
      <c r="H79" s="29" t="s">
        <v>63</v>
      </c>
      <c r="I79" s="110">
        <v>1</v>
      </c>
      <c r="J79" s="107">
        <v>0</v>
      </c>
      <c r="K79" s="107">
        <f>J79</f>
        <v>0</v>
      </c>
      <c r="L79" s="112">
        <v>0</v>
      </c>
      <c r="M79" s="113" t="e">
        <v>#DIV/0!</v>
      </c>
      <c r="N79" s="107" t="e">
        <v>#DIV/0!</v>
      </c>
      <c r="P79" s="66"/>
      <c r="Q79" s="66"/>
      <c r="R79" s="66"/>
      <c r="S79" s="66"/>
      <c r="T79" s="66"/>
    </row>
    <row r="80" spans="1:20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>
        <v>21098</v>
      </c>
      <c r="D87" s="105">
        <v>0</v>
      </c>
      <c r="E87" s="107" cm="1">
        <f t="array" ref="E87:E150">_xlfn.LET(_xlpm.x, C87:C150, _xlpm.x/SUM(_xlpm.x))</f>
        <v>3.7257470168682852E-3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1</v>
      </c>
      <c r="J87" s="107" cm="1">
        <f t="array" ref="J87:J150">_xlfn.ANCHORARRAY(E87)*I87:I150</f>
        <v>3.7257470168682852E-3</v>
      </c>
      <c r="K87" s="107" cm="1">
        <f t="array" ref="K87:K150">J87:J150/SUM(_xlfn.ANCHORARRAY(J87))</f>
        <v>3.7257470168682869E-3</v>
      </c>
      <c r="L87" s="111" cm="1">
        <f t="array" ref="L87:L150">INT(_xlfn.ANCHORARRAY(K87)*$B$2)</f>
        <v>3725747</v>
      </c>
      <c r="M87" s="107" cm="1">
        <f t="array" ref="M87:M150">_xlfn.LET(_xlpm.x, L87:L150, _xlpm.x/SUM(_xlpm.x))</f>
        <v>3.7257471117724135E-3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3.7257471117724135E-3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>
        <v>16669</v>
      </c>
      <c r="D88" s="116">
        <v>1018045</v>
      </c>
      <c r="E88" s="107">
        <v>2.943619159360008E-3</v>
      </c>
      <c r="F88" s="109">
        <v>0.61074149619053331</v>
      </c>
      <c r="G88" s="66">
        <v>0</v>
      </c>
      <c r="H88" s="29" t="str">
        <f t="shared" ref="H88:H150" si="1">"("&amp;$A88&amp;", "&amp;$B88&amp;"]"</f>
        <v>(0, 1]</v>
      </c>
      <c r="I88" s="110">
        <v>1</v>
      </c>
      <c r="J88" s="107">
        <v>2.943619159360008E-3</v>
      </c>
      <c r="K88" s="107">
        <v>2.9436191593600093E-3</v>
      </c>
      <c r="L88" s="111">
        <v>2943619</v>
      </c>
      <c r="M88" s="107">
        <v>2.9436190883085724E-3</v>
      </c>
      <c r="N88" s="107">
        <v>1.797790326208591E-3</v>
      </c>
      <c r="O88" s="114"/>
      <c r="P88" s="107">
        <v>2.9436190883085724E-3</v>
      </c>
      <c r="Q88" s="107"/>
      <c r="R88" s="107"/>
      <c r="S88" s="115">
        <v>0</v>
      </c>
    </row>
    <row r="89" spans="1:19" x14ac:dyDescent="0.3">
      <c r="A89" s="84">
        <v>1</v>
      </c>
      <c r="B89" s="84">
        <v>2</v>
      </c>
      <c r="C89" s="116">
        <v>22760</v>
      </c>
      <c r="D89" s="116">
        <v>3573100</v>
      </c>
      <c r="E89" s="107">
        <v>4.0192436299138386E-3</v>
      </c>
      <c r="F89" s="109">
        <v>1.5699033391915642</v>
      </c>
      <c r="G89" s="117">
        <f>1+G88*G87</f>
        <v>1</v>
      </c>
      <c r="H89" s="29" t="str">
        <f t="shared" si="1"/>
        <v>(1, 2]</v>
      </c>
      <c r="I89" s="110">
        <v>1</v>
      </c>
      <c r="J89" s="107">
        <v>4.0192436299138386E-3</v>
      </c>
      <c r="K89" s="107">
        <v>4.0192436299138403E-3</v>
      </c>
      <c r="L89" s="111">
        <v>4019243</v>
      </c>
      <c r="M89" s="107">
        <v>4.0192431205772934E-3</v>
      </c>
      <c r="N89" s="107">
        <v>6.309823196017016E-3</v>
      </c>
      <c r="O89" s="114"/>
      <c r="P89" s="107">
        <v>4.0192431205772934E-3</v>
      </c>
      <c r="Q89" s="107"/>
      <c r="R89" s="107"/>
      <c r="S89" s="115">
        <v>0</v>
      </c>
    </row>
    <row r="90" spans="1:19" x14ac:dyDescent="0.3">
      <c r="A90" s="84">
        <v>2</v>
      </c>
      <c r="B90" s="84">
        <v>3</v>
      </c>
      <c r="C90" s="116">
        <v>25074</v>
      </c>
      <c r="D90" s="116">
        <v>6470230</v>
      </c>
      <c r="E90" s="107">
        <v>4.4278785051168543E-3</v>
      </c>
      <c r="F90" s="109">
        <v>2.5804538565845099</v>
      </c>
      <c r="G90" s="114"/>
      <c r="H90" s="29" t="str">
        <f t="shared" si="1"/>
        <v>(2, 3]</v>
      </c>
      <c r="I90" s="110">
        <v>1</v>
      </c>
      <c r="J90" s="107">
        <v>4.4278785051168543E-3</v>
      </c>
      <c r="K90" s="107">
        <v>4.427878505116856E-3</v>
      </c>
      <c r="L90" s="111">
        <v>4427878</v>
      </c>
      <c r="M90" s="107">
        <v>4.427878132836344E-3</v>
      </c>
      <c r="N90" s="107">
        <v>1.1425935204363762E-2</v>
      </c>
      <c r="O90" s="114"/>
      <c r="P90" s="107">
        <v>4.427878132836344E-3</v>
      </c>
      <c r="Q90" s="107"/>
      <c r="R90" s="107"/>
      <c r="S90" s="115">
        <v>0</v>
      </c>
    </row>
    <row r="91" spans="1:19" x14ac:dyDescent="0.3">
      <c r="A91" s="84">
        <v>3</v>
      </c>
      <c r="B91" s="84">
        <v>4</v>
      </c>
      <c r="C91" s="116">
        <v>28161</v>
      </c>
      <c r="D91" s="116">
        <v>10087940</v>
      </c>
      <c r="E91" s="107">
        <v>4.9730193260985774E-3</v>
      </c>
      <c r="F91" s="109">
        <v>3.5822378466673768</v>
      </c>
      <c r="G91" s="114"/>
      <c r="H91" s="29" t="str">
        <f t="shared" si="1"/>
        <v>(3, 4]</v>
      </c>
      <c r="I91" s="110">
        <v>1</v>
      </c>
      <c r="J91" s="107">
        <v>4.9730193260985774E-3</v>
      </c>
      <c r="K91" s="107">
        <v>4.97301932609858E-3</v>
      </c>
      <c r="L91" s="111">
        <v>4973019</v>
      </c>
      <c r="M91" s="107">
        <v>4.9730191491905744E-3</v>
      </c>
      <c r="N91" s="107">
        <v>1.7814537408432075E-2</v>
      </c>
      <c r="O91" s="114"/>
      <c r="P91" s="107">
        <v>4.9730191491905744E-3</v>
      </c>
      <c r="Q91" s="107"/>
      <c r="R91" s="107"/>
      <c r="S91" s="115">
        <v>0</v>
      </c>
    </row>
    <row r="92" spans="1:19" x14ac:dyDescent="0.3">
      <c r="A92" s="84">
        <v>4</v>
      </c>
      <c r="B92" s="84">
        <v>5</v>
      </c>
      <c r="C92" s="116">
        <v>30467</v>
      </c>
      <c r="D92" s="116">
        <v>13947025</v>
      </c>
      <c r="E92" s="107">
        <v>5.3802414618886168E-3</v>
      </c>
      <c r="F92" s="109">
        <v>4.5777480552729184</v>
      </c>
      <c r="G92" s="114"/>
      <c r="H92" s="29" t="str">
        <f t="shared" si="1"/>
        <v>(4, 5]</v>
      </c>
      <c r="I92" s="110">
        <v>1</v>
      </c>
      <c r="J92" s="107">
        <v>5.3802414618886168E-3</v>
      </c>
      <c r="K92" s="107">
        <v>5.3802414618886194E-3</v>
      </c>
      <c r="L92" s="111">
        <v>5380241</v>
      </c>
      <c r="M92" s="107">
        <v>5.3802411614072348E-3</v>
      </c>
      <c r="N92" s="107">
        <v>2.4629388513531279E-2</v>
      </c>
      <c r="O92" s="114"/>
      <c r="P92" s="107">
        <v>5.3802411614072348E-3</v>
      </c>
      <c r="Q92" s="107"/>
      <c r="R92" s="107"/>
      <c r="S92" s="115">
        <v>0</v>
      </c>
    </row>
    <row r="93" spans="1:19" x14ac:dyDescent="0.3">
      <c r="A93" s="84">
        <v>5</v>
      </c>
      <c r="B93" s="84">
        <v>6</v>
      </c>
      <c r="C93" s="116">
        <v>33530</v>
      </c>
      <c r="D93" s="116">
        <v>18733725</v>
      </c>
      <c r="E93" s="107">
        <v>5.9211440646314154E-3</v>
      </c>
      <c r="F93" s="109">
        <v>5.5871532955562175</v>
      </c>
      <c r="G93" s="114"/>
      <c r="H93" s="29" t="str">
        <f t="shared" si="1"/>
        <v>(5, 6]</v>
      </c>
      <c r="I93" s="110">
        <v>1</v>
      </c>
      <c r="J93" s="107">
        <v>5.9211440646314154E-3</v>
      </c>
      <c r="K93" s="107">
        <v>5.921144064631418E-3</v>
      </c>
      <c r="L93" s="111">
        <v>5921144</v>
      </c>
      <c r="M93" s="107">
        <v>5.9211441776343254E-3</v>
      </c>
      <c r="N93" s="107">
        <v>3.3082340205533134E-2</v>
      </c>
      <c r="O93" s="114"/>
      <c r="P93" s="107">
        <v>5.9211441776343254E-3</v>
      </c>
      <c r="Q93" s="107"/>
      <c r="R93" s="107"/>
      <c r="S93" s="115">
        <v>0</v>
      </c>
    </row>
    <row r="94" spans="1:19" x14ac:dyDescent="0.3">
      <c r="A94" s="84">
        <v>6</v>
      </c>
      <c r="B94" s="84">
        <v>7</v>
      </c>
      <c r="C94" s="116">
        <v>32637</v>
      </c>
      <c r="D94" s="116">
        <v>21438695</v>
      </c>
      <c r="E94" s="107">
        <v>5.7634470276580821E-3</v>
      </c>
      <c r="F94" s="109">
        <v>6.56883138768882</v>
      </c>
      <c r="G94" s="114"/>
      <c r="H94" s="29" t="str">
        <f t="shared" si="1"/>
        <v>(6, 7]</v>
      </c>
      <c r="I94" s="110">
        <v>1</v>
      </c>
      <c r="J94" s="107">
        <v>5.7634470276580821E-3</v>
      </c>
      <c r="K94" s="107">
        <v>5.7634470276580847E-3</v>
      </c>
      <c r="L94" s="111">
        <v>5763447</v>
      </c>
      <c r="M94" s="107">
        <v>5.7634471729034152E-3</v>
      </c>
      <c r="N94" s="107">
        <v>3.7859112690654347E-2</v>
      </c>
      <c r="O94" s="114"/>
      <c r="P94" s="107">
        <v>5.7634471729034152E-3</v>
      </c>
      <c r="Q94" s="107"/>
      <c r="R94" s="107"/>
      <c r="S94" s="115">
        <v>0</v>
      </c>
    </row>
    <row r="95" spans="1:19" x14ac:dyDescent="0.3">
      <c r="A95" s="84">
        <v>7</v>
      </c>
      <c r="B95" s="84">
        <v>8</v>
      </c>
      <c r="C95" s="116">
        <v>37174</v>
      </c>
      <c r="D95" s="116">
        <v>28107150</v>
      </c>
      <c r="E95" s="107">
        <v>6.564646867241522E-3</v>
      </c>
      <c r="F95" s="109">
        <v>7.560970032818636</v>
      </c>
      <c r="G95" s="114"/>
      <c r="H95" s="29" t="str">
        <f t="shared" si="1"/>
        <v>(7, 8]</v>
      </c>
      <c r="I95" s="110">
        <v>1</v>
      </c>
      <c r="J95" s="107">
        <v>6.564646867241522E-3</v>
      </c>
      <c r="K95" s="107">
        <v>6.5646468672415246E-3</v>
      </c>
      <c r="L95" s="111">
        <v>6564646</v>
      </c>
      <c r="M95" s="107">
        <v>6.5646461969393862E-3</v>
      </c>
      <c r="N95" s="107">
        <v>4.9635093171115523E-2</v>
      </c>
      <c r="O95" s="114"/>
      <c r="P95" s="107">
        <v>6.5646461969393862E-3</v>
      </c>
      <c r="Q95" s="107"/>
      <c r="R95" s="107"/>
      <c r="S95" s="115">
        <v>0</v>
      </c>
    </row>
    <row r="96" spans="1:19" x14ac:dyDescent="0.3">
      <c r="A96" s="84">
        <v>8</v>
      </c>
      <c r="B96" s="84">
        <v>9</v>
      </c>
      <c r="C96" s="116">
        <v>37702</v>
      </c>
      <c r="D96" s="116">
        <v>32327935</v>
      </c>
      <c r="E96" s="107">
        <v>6.6578876684978711E-3</v>
      </c>
      <c r="F96" s="109">
        <v>8.5745941859848287</v>
      </c>
      <c r="G96" s="114"/>
      <c r="H96" s="29" t="str">
        <f t="shared" si="1"/>
        <v>(8, 9]</v>
      </c>
      <c r="I96" s="110">
        <v>1</v>
      </c>
      <c r="J96" s="107">
        <v>6.6578876684978711E-3</v>
      </c>
      <c r="K96" s="107">
        <v>6.6578876684978737E-3</v>
      </c>
      <c r="L96" s="111">
        <v>6657887</v>
      </c>
      <c r="M96" s="107">
        <v>6.6578871997366156E-3</v>
      </c>
      <c r="N96" s="107">
        <v>5.70886808738044E-2</v>
      </c>
      <c r="O96" s="114"/>
      <c r="P96" s="107">
        <v>6.6578871997366156E-3</v>
      </c>
      <c r="Q96" s="107"/>
      <c r="R96" s="107"/>
      <c r="S96" s="115">
        <v>0</v>
      </c>
    </row>
    <row r="97" spans="1:20" x14ac:dyDescent="0.3">
      <c r="A97" s="84">
        <v>9</v>
      </c>
      <c r="B97" s="84">
        <v>10</v>
      </c>
      <c r="C97" s="116">
        <v>38475</v>
      </c>
      <c r="D97" s="116">
        <v>36837640</v>
      </c>
      <c r="E97" s="107">
        <v>6.7943936142765794E-3</v>
      </c>
      <c r="F97" s="109">
        <v>9.5744353476283308</v>
      </c>
      <c r="G97" s="114"/>
      <c r="H97" s="175" t="str">
        <f t="shared" si="1"/>
        <v>(9, 10]</v>
      </c>
      <c r="I97" s="110">
        <v>1</v>
      </c>
      <c r="J97" s="107">
        <v>6.7943936142765794E-3</v>
      </c>
      <c r="K97" s="107">
        <v>6.794393614276582E-3</v>
      </c>
      <c r="L97" s="111">
        <v>6794393</v>
      </c>
      <c r="M97" s="107">
        <v>6.7943932038317962E-3</v>
      </c>
      <c r="N97" s="107">
        <v>6.5052478456452859E-2</v>
      </c>
      <c r="O97" s="114"/>
      <c r="P97" s="107">
        <v>6.7943932038317962E-3</v>
      </c>
      <c r="Q97" s="107"/>
      <c r="R97" s="107"/>
      <c r="S97" s="115">
        <v>0</v>
      </c>
    </row>
    <row r="98" spans="1:20" x14ac:dyDescent="0.3">
      <c r="A98" s="84">
        <v>10</v>
      </c>
      <c r="B98" s="84">
        <v>15</v>
      </c>
      <c r="C98" s="116">
        <v>207406</v>
      </c>
      <c r="D98" s="116">
        <v>261410565</v>
      </c>
      <c r="E98" s="107">
        <v>3.6626328835936278E-2</v>
      </c>
      <c r="F98" s="109">
        <v>12.603809195490969</v>
      </c>
      <c r="G98" s="114"/>
      <c r="H98" s="175" t="str">
        <f t="shared" si="1"/>
        <v>(10, 15]</v>
      </c>
      <c r="I98" s="110">
        <v>1</v>
      </c>
      <c r="J98" s="107">
        <v>3.6626328835936278E-2</v>
      </c>
      <c r="K98" s="107">
        <v>3.6626328835936292E-2</v>
      </c>
      <c r="L98" s="111">
        <v>36626328</v>
      </c>
      <c r="M98" s="107">
        <v>3.6626329098789871E-2</v>
      </c>
      <c r="N98" s="107">
        <v>0.46163126349240624</v>
      </c>
      <c r="O98" s="114"/>
      <c r="P98" s="107">
        <v>3.6626329098789871E-2</v>
      </c>
      <c r="Q98" s="107"/>
      <c r="R98" s="107"/>
      <c r="S98" s="115">
        <v>0</v>
      </c>
      <c r="T98" s="135"/>
    </row>
    <row r="99" spans="1:20" x14ac:dyDescent="0.3">
      <c r="A99" s="84">
        <v>15</v>
      </c>
      <c r="B99" s="84">
        <v>20</v>
      </c>
      <c r="C99" s="116">
        <v>221922</v>
      </c>
      <c r="D99" s="116">
        <v>390070905</v>
      </c>
      <c r="E99" s="107">
        <v>3.9189744500779389E-2</v>
      </c>
      <c r="F99" s="109">
        <v>17.576937167112771</v>
      </c>
      <c r="G99" s="114"/>
      <c r="H99" s="175" t="str">
        <f t="shared" si="1"/>
        <v>(15, 20]</v>
      </c>
      <c r="I99" s="110">
        <v>1</v>
      </c>
      <c r="J99" s="107">
        <v>3.9189744500779389E-2</v>
      </c>
      <c r="K99" s="107">
        <v>3.918974450077941E-2</v>
      </c>
      <c r="L99" s="111">
        <v>39189744</v>
      </c>
      <c r="M99" s="107">
        <v>3.9189745175692355E-2</v>
      </c>
      <c r="N99" s="107">
        <v>0.68883568854830535</v>
      </c>
      <c r="O99" s="114"/>
      <c r="P99" s="107">
        <v>3.9189745175692355E-2</v>
      </c>
      <c r="Q99" s="107"/>
      <c r="R99" s="107"/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>
        <v>224666</v>
      </c>
      <c r="D100" s="116">
        <v>506782775</v>
      </c>
      <c r="E100" s="107">
        <v>3.9674314119429809E-2</v>
      </c>
      <c r="F100" s="109">
        <v>22.557163745293014</v>
      </c>
      <c r="G100" s="114"/>
      <c r="H100" s="175" t="str">
        <f t="shared" si="1"/>
        <v>(20, 25]</v>
      </c>
      <c r="I100" s="110">
        <v>1</v>
      </c>
      <c r="J100" s="107">
        <v>3.9674314119429809E-2</v>
      </c>
      <c r="K100" s="107">
        <v>3.9674314119429829E-2</v>
      </c>
      <c r="L100" s="111">
        <v>39674314</v>
      </c>
      <c r="M100" s="107">
        <v>3.9674315190229459E-2</v>
      </c>
      <c r="N100" s="107">
        <v>0.89494002422837182</v>
      </c>
      <c r="O100" s="114"/>
      <c r="P100" s="107">
        <v>3.9674315190229459E-2</v>
      </c>
      <c r="Q100" s="107"/>
      <c r="R100" s="107"/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>
        <v>225280</v>
      </c>
      <c r="D101" s="116">
        <v>620679615</v>
      </c>
      <c r="E101" s="107">
        <v>3.9782741869375644E-2</v>
      </c>
      <c r="F101" s="109">
        <v>27.551474387428975</v>
      </c>
      <c r="G101" s="114"/>
      <c r="H101" s="175" t="str">
        <f t="shared" si="1"/>
        <v>(25, 30]</v>
      </c>
      <c r="I101" s="110">
        <v>1</v>
      </c>
      <c r="J101" s="107">
        <v>3.9782741869375644E-2</v>
      </c>
      <c r="K101" s="107">
        <v>3.9782741869375665E-2</v>
      </c>
      <c r="L101" s="111">
        <v>39782741</v>
      </c>
      <c r="M101" s="107">
        <v>3.9782742193482268E-2</v>
      </c>
      <c r="N101" s="107">
        <v>1.0960732026054167</v>
      </c>
      <c r="O101" s="114"/>
      <c r="P101" s="107">
        <v>3.9782742193482268E-2</v>
      </c>
      <c r="Q101" s="107"/>
      <c r="R101" s="107"/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>
        <v>219696</v>
      </c>
      <c r="D102" s="116">
        <v>715011430</v>
      </c>
      <c r="E102" s="107">
        <v>3.8796649759119103E-2</v>
      </c>
      <c r="F102" s="109">
        <v>32.545491497341779</v>
      </c>
      <c r="G102" s="114"/>
      <c r="H102" s="175" t="str">
        <f t="shared" si="1"/>
        <v>(30, 35]</v>
      </c>
      <c r="I102" s="110">
        <v>1</v>
      </c>
      <c r="J102" s="107">
        <v>3.8796649759119103E-2</v>
      </c>
      <c r="K102" s="107">
        <v>3.8796649759119117E-2</v>
      </c>
      <c r="L102" s="111">
        <v>38796649</v>
      </c>
      <c r="M102" s="107">
        <v>3.8796650163899507E-2</v>
      </c>
      <c r="N102" s="107">
        <v>1.262656048034535</v>
      </c>
      <c r="O102" s="114"/>
      <c r="P102" s="107">
        <v>3.8796650163899507E-2</v>
      </c>
      <c r="Q102" s="107"/>
      <c r="R102" s="107"/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>
        <v>212348</v>
      </c>
      <c r="D103" s="116">
        <v>797107080</v>
      </c>
      <c r="E103" s="107">
        <v>3.7499048608301576E-2</v>
      </c>
      <c r="F103" s="109">
        <v>37.537771959236721</v>
      </c>
      <c r="G103" s="114"/>
      <c r="H103" s="175" t="str">
        <f t="shared" si="1"/>
        <v>(35, 40]</v>
      </c>
      <c r="I103" s="110">
        <v>1</v>
      </c>
      <c r="J103" s="107">
        <v>3.7499048608301576E-2</v>
      </c>
      <c r="K103" s="107">
        <v>3.749904860830159E-2</v>
      </c>
      <c r="L103" s="111">
        <v>37499048</v>
      </c>
      <c r="M103" s="107">
        <v>3.7499049124971477E-2</v>
      </c>
      <c r="N103" s="107">
        <v>1.4076307547413947</v>
      </c>
      <c r="O103" s="114"/>
      <c r="P103" s="107">
        <v>3.7499049124971477E-2</v>
      </c>
      <c r="Q103" s="107"/>
      <c r="R103" s="107"/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>
        <v>203101</v>
      </c>
      <c r="D104" s="116">
        <v>863866610</v>
      </c>
      <c r="E104" s="107">
        <v>3.5866098439329114E-2</v>
      </c>
      <c r="F104" s="109">
        <v>42.533843260249824</v>
      </c>
      <c r="G104" s="114"/>
      <c r="H104" s="175" t="str">
        <f t="shared" si="1"/>
        <v>(40, 45]</v>
      </c>
      <c r="I104" s="110">
        <v>1</v>
      </c>
      <c r="J104" s="107">
        <v>3.5866098439329114E-2</v>
      </c>
      <c r="K104" s="107">
        <v>3.5866098439329128E-2</v>
      </c>
      <c r="L104" s="111">
        <v>35866098</v>
      </c>
      <c r="M104" s="107">
        <v>3.5866099075982975E-2</v>
      </c>
      <c r="N104" s="107">
        <v>1.525523036454451</v>
      </c>
      <c r="O104" s="114"/>
      <c r="P104" s="107">
        <v>3.5866099075982975E-2</v>
      </c>
      <c r="Q104" s="107"/>
      <c r="R104" s="107"/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>
        <v>193375</v>
      </c>
      <c r="D105" s="116">
        <v>919073615</v>
      </c>
      <c r="E105" s="107">
        <v>3.4148560498004771E-2</v>
      </c>
      <c r="F105" s="109">
        <v>47.528047317388491</v>
      </c>
      <c r="G105" s="114"/>
      <c r="H105" s="175" t="str">
        <f t="shared" si="1"/>
        <v>(45, 50]</v>
      </c>
      <c r="I105" s="110">
        <v>1</v>
      </c>
      <c r="J105" s="107">
        <v>3.4148560498004771E-2</v>
      </c>
      <c r="K105" s="107">
        <v>3.4148560498004785E-2</v>
      </c>
      <c r="L105" s="111">
        <v>34148560</v>
      </c>
      <c r="M105" s="107">
        <v>3.4148561024456833E-2</v>
      </c>
      <c r="N105" s="107">
        <v>1.6230144241911129</v>
      </c>
      <c r="O105" s="114"/>
      <c r="P105" s="107">
        <v>3.4148561024456833E-2</v>
      </c>
      <c r="Q105" s="107"/>
      <c r="R105" s="107"/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>
        <v>360402</v>
      </c>
      <c r="D106" s="116">
        <v>1980808845</v>
      </c>
      <c r="E106" s="107">
        <v>6.3644263739376414E-2</v>
      </c>
      <c r="F106" s="109">
        <v>54.96109469425808</v>
      </c>
      <c r="G106" s="114">
        <v>2.12</v>
      </c>
      <c r="H106" s="175" t="str">
        <f t="shared" si="1"/>
        <v>(50, 60]</v>
      </c>
      <c r="I106" s="110">
        <v>1</v>
      </c>
      <c r="J106" s="107">
        <v>6.3644263739376414E-2</v>
      </c>
      <c r="K106" s="107">
        <v>6.3644263739376442E-2</v>
      </c>
      <c r="L106" s="111">
        <v>63644263</v>
      </c>
      <c r="M106" s="107">
        <v>6.3644264909327952E-2</v>
      </c>
      <c r="N106" s="107">
        <v>3.4979584704280202</v>
      </c>
      <c r="O106" s="114"/>
      <c r="P106" s="107">
        <v>6.3644264909327952E-2</v>
      </c>
      <c r="Q106" s="107"/>
      <c r="R106" s="107"/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>
        <v>323529</v>
      </c>
      <c r="D107" s="116">
        <v>2101570035</v>
      </c>
      <c r="E107" s="107">
        <v>5.7132771192548081E-2</v>
      </c>
      <c r="F107" s="109">
        <v>64.957701937075186</v>
      </c>
      <c r="G107" s="114">
        <v>5.94</v>
      </c>
      <c r="H107" s="175" t="str">
        <f t="shared" si="1"/>
        <v>(60, 70]</v>
      </c>
      <c r="I107" s="110">
        <v>1</v>
      </c>
      <c r="J107" s="107">
        <v>5.7132771192548081E-2</v>
      </c>
      <c r="K107" s="107">
        <v>5.7132771192548108E-2</v>
      </c>
      <c r="L107" s="111">
        <v>57132771</v>
      </c>
      <c r="M107" s="107">
        <v>5.7132772713983183E-2</v>
      </c>
      <c r="N107" s="107">
        <v>3.7112136207935817</v>
      </c>
      <c r="O107" s="114"/>
      <c r="P107" s="107">
        <v>5.7132772713983183E-2</v>
      </c>
      <c r="Q107" s="107"/>
      <c r="R107" s="107"/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>
        <v>287925</v>
      </c>
      <c r="D108" s="116">
        <v>2157913760</v>
      </c>
      <c r="E108" s="107">
        <v>5.0845374435102904E-2</v>
      </c>
      <c r="F108" s="109">
        <v>74.94707857949119</v>
      </c>
      <c r="G108" s="114">
        <v>5.07</v>
      </c>
      <c r="H108" s="175" t="str">
        <f t="shared" si="1"/>
        <v>(70, 80]</v>
      </c>
      <c r="I108" s="110">
        <v>1</v>
      </c>
      <c r="J108" s="107">
        <v>5.0845374435102904E-2</v>
      </c>
      <c r="K108" s="107">
        <v>5.0845374435102925E-2</v>
      </c>
      <c r="L108" s="111">
        <v>50845374</v>
      </c>
      <c r="M108" s="107">
        <v>5.0845375525361267E-2</v>
      </c>
      <c r="N108" s="107">
        <v>3.8107123549029889</v>
      </c>
      <c r="O108" s="114"/>
      <c r="P108" s="107">
        <v>5.0845375525361267E-2</v>
      </c>
      <c r="Q108" s="107"/>
      <c r="R108" s="107"/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>
        <v>257379</v>
      </c>
      <c r="D109" s="116">
        <v>2186703165</v>
      </c>
      <c r="E109" s="107">
        <v>4.5451182171511159E-2</v>
      </c>
      <c r="F109" s="109">
        <v>84.96043441772639</v>
      </c>
      <c r="G109" s="114">
        <v>2.4900000000000002</v>
      </c>
      <c r="H109" s="175" t="str">
        <f t="shared" si="1"/>
        <v>(80, 90]</v>
      </c>
      <c r="I109" s="110">
        <v>1</v>
      </c>
      <c r="J109" s="107">
        <v>4.5451182171511159E-2</v>
      </c>
      <c r="K109" s="107">
        <v>4.545118217151118E-2</v>
      </c>
      <c r="L109" s="111">
        <v>45451182</v>
      </c>
      <c r="M109" s="107">
        <v>4.5451183363535499E-2</v>
      </c>
      <c r="N109" s="107">
        <v>3.8615522833657145</v>
      </c>
      <c r="O109" s="114"/>
      <c r="P109" s="107">
        <v>4.5451183363535499E-2</v>
      </c>
      <c r="Q109" s="107"/>
      <c r="R109" s="107"/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>
        <v>229149</v>
      </c>
      <c r="D110" s="116">
        <v>2175961095</v>
      </c>
      <c r="E110" s="107">
        <v>4.0465977967975672E-2</v>
      </c>
      <c r="F110" s="109">
        <v>94.958350025529228</v>
      </c>
      <c r="G110" s="114">
        <v>2.13</v>
      </c>
      <c r="H110" s="29" t="str">
        <f t="shared" si="1"/>
        <v>(90, 100]</v>
      </c>
      <c r="I110" s="136">
        <v>1</v>
      </c>
      <c r="J110" s="133">
        <v>4.0465977967975672E-2</v>
      </c>
      <c r="K110" s="133">
        <v>4.0465977967975693E-2</v>
      </c>
      <c r="L110" s="111">
        <v>40465977</v>
      </c>
      <c r="M110" s="133">
        <v>4.0465978213979348E-2</v>
      </c>
      <c r="N110" s="133">
        <v>3.8425825233684909</v>
      </c>
      <c r="O110" s="114"/>
      <c r="P110" s="107">
        <v>4.0465978213979348E-2</v>
      </c>
      <c r="Q110" s="107"/>
      <c r="R110" s="107"/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>
        <v>385077</v>
      </c>
      <c r="D111" s="116">
        <v>4222937800</v>
      </c>
      <c r="E111" s="107">
        <v>6.8001681866271146E-2</v>
      </c>
      <c r="F111" s="109">
        <v>109.66476315126584</v>
      </c>
      <c r="G111" s="114">
        <v>1.6</v>
      </c>
      <c r="H111" s="29" t="str">
        <f t="shared" si="1"/>
        <v>(100, 120]</v>
      </c>
      <c r="I111" s="136">
        <v>1</v>
      </c>
      <c r="J111" s="133">
        <v>6.8001681866271146E-2</v>
      </c>
      <c r="K111" s="133">
        <v>6.8001681866271174E-2</v>
      </c>
      <c r="L111" s="111">
        <v>68001681</v>
      </c>
      <c r="M111" s="133">
        <v>6.8001683040050498E-2</v>
      </c>
      <c r="N111" s="133">
        <v>7.4573884644745894</v>
      </c>
      <c r="O111" s="114"/>
      <c r="P111" s="107">
        <v>6.8001683040050498E-2</v>
      </c>
      <c r="Q111" s="107"/>
      <c r="R111" s="107"/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>
        <v>305723</v>
      </c>
      <c r="D112" s="116">
        <v>3964215135</v>
      </c>
      <c r="E112" s="107">
        <v>5.3988366444119001E-2</v>
      </c>
      <c r="F112" s="109">
        <v>129.66689241568346</v>
      </c>
      <c r="G112" s="114">
        <v>0.68</v>
      </c>
      <c r="H112" s="29" t="str">
        <f t="shared" si="1"/>
        <v>(120, 140]</v>
      </c>
      <c r="I112" s="136">
        <v>1</v>
      </c>
      <c r="J112" s="133">
        <v>5.3988366444119001E-2</v>
      </c>
      <c r="K112" s="133">
        <v>5.3988366444119022E-2</v>
      </c>
      <c r="L112" s="111">
        <v>53988366</v>
      </c>
      <c r="M112" s="133">
        <v>5.3988367619651027E-2</v>
      </c>
      <c r="N112" s="133">
        <v>7.0005038558356585</v>
      </c>
      <c r="O112" s="114"/>
      <c r="P112" s="107">
        <v>5.3988367619651027E-2</v>
      </c>
      <c r="Q112" s="107"/>
      <c r="R112" s="107"/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>
        <v>244942</v>
      </c>
      <c r="D113" s="116">
        <v>3666080620</v>
      </c>
      <c r="E113" s="107">
        <v>4.3254902161614914E-2</v>
      </c>
      <c r="F113" s="109">
        <v>149.67137608086813</v>
      </c>
      <c r="G113" s="114">
        <v>1.03</v>
      </c>
      <c r="H113" s="29" t="str">
        <f t="shared" si="1"/>
        <v>(140, 160]</v>
      </c>
      <c r="I113" s="136">
        <v>1</v>
      </c>
      <c r="J113" s="133">
        <v>4.3254902161614914E-2</v>
      </c>
      <c r="K113" s="133">
        <v>4.3254902161614935E-2</v>
      </c>
      <c r="L113" s="111">
        <v>43254902</v>
      </c>
      <c r="M113" s="133">
        <v>4.3254903297647099E-2</v>
      </c>
      <c r="N113" s="133">
        <v>6.4740208988037216</v>
      </c>
      <c r="O113" s="114"/>
      <c r="P113" s="107">
        <v>4.3254903297647099E-2</v>
      </c>
      <c r="Q113" s="107"/>
      <c r="R113" s="107"/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>
        <v>196468</v>
      </c>
      <c r="D114" s="116">
        <v>3333643480</v>
      </c>
      <c r="E114" s="107">
        <v>3.4694760873546227E-2</v>
      </c>
      <c r="F114" s="109">
        <v>169.67869983915955</v>
      </c>
      <c r="G114" s="114">
        <v>0.3</v>
      </c>
      <c r="H114" s="29" t="str">
        <f t="shared" si="1"/>
        <v>(160, 180]</v>
      </c>
      <c r="I114" s="136">
        <v>1</v>
      </c>
      <c r="J114" s="133">
        <v>3.4694760873546227E-2</v>
      </c>
      <c r="K114" s="133">
        <v>3.469476087354624E-2</v>
      </c>
      <c r="L114" s="111">
        <v>34694760</v>
      </c>
      <c r="M114" s="133">
        <v>3.4694761040842834E-2</v>
      </c>
      <c r="N114" s="133">
        <v>5.8869619446405377</v>
      </c>
      <c r="O114" s="114"/>
      <c r="P114" s="107">
        <v>3.4694761040842834E-2</v>
      </c>
      <c r="Q114" s="107"/>
      <c r="R114" s="107"/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>
        <v>157741</v>
      </c>
      <c r="D115" s="116">
        <v>2992348865</v>
      </c>
      <c r="E115" s="107">
        <v>2.7855865967760934E-2</v>
      </c>
      <c r="F115" s="109">
        <v>189.70013281264858</v>
      </c>
      <c r="G115" s="114">
        <v>0.26</v>
      </c>
      <c r="H115" s="29" t="str">
        <f t="shared" si="1"/>
        <v>(180, 200]</v>
      </c>
      <c r="I115" s="136">
        <v>1</v>
      </c>
      <c r="J115" s="133">
        <v>2.7855865967760934E-2</v>
      </c>
      <c r="K115" s="133">
        <v>2.7855865967760948E-2</v>
      </c>
      <c r="L115" s="111">
        <v>27855865</v>
      </c>
      <c r="M115" s="133">
        <v>2.7855865835675973E-2</v>
      </c>
      <c r="N115" s="133">
        <v>5.284261448639052</v>
      </c>
      <c r="O115" s="114"/>
      <c r="P115" s="107">
        <v>2.7855865835675973E-2</v>
      </c>
      <c r="Q115" s="107"/>
      <c r="R115" s="107"/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>
        <v>282875</v>
      </c>
      <c r="D116" s="116">
        <v>6309028485</v>
      </c>
      <c r="E116" s="107">
        <v>4.9953582680662439E-2</v>
      </c>
      <c r="F116" s="109">
        <v>223.0323812638091</v>
      </c>
      <c r="G116" s="114">
        <v>0.3</v>
      </c>
      <c r="H116" s="29" t="str">
        <f t="shared" si="1"/>
        <v>(200, 250]</v>
      </c>
      <c r="I116" s="136">
        <v>1</v>
      </c>
      <c r="J116" s="133">
        <v>4.9953582680662439E-2</v>
      </c>
      <c r="K116" s="133">
        <v>4.995358268066246E-2</v>
      </c>
      <c r="L116" s="111">
        <v>49953582</v>
      </c>
      <c r="M116" s="133">
        <v>4.9953583498607505E-2</v>
      </c>
      <c r="N116" s="133">
        <v>11.141266680354953</v>
      </c>
      <c r="O116" s="114"/>
      <c r="P116" s="107">
        <v>4.9953583498607505E-2</v>
      </c>
      <c r="Q116" s="107"/>
      <c r="R116" s="107"/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>
        <v>177238</v>
      </c>
      <c r="D117" s="116">
        <v>4842790480</v>
      </c>
      <c r="E117" s="107">
        <v>3.1298888509607596E-2</v>
      </c>
      <c r="F117" s="109">
        <v>273.23657906318056</v>
      </c>
      <c r="G117" s="114">
        <v>0.09</v>
      </c>
      <c r="H117" s="29" t="str">
        <f t="shared" si="1"/>
        <v>(250, 300]</v>
      </c>
      <c r="I117" s="136">
        <v>1</v>
      </c>
      <c r="J117" s="133">
        <v>3.1298888509607596E-2</v>
      </c>
      <c r="K117" s="133">
        <v>3.129888850960761E-2</v>
      </c>
      <c r="L117" s="111">
        <v>31298888</v>
      </c>
      <c r="M117" s="133">
        <v>3.1298888938966665E-2</v>
      </c>
      <c r="N117" s="133">
        <v>8.5520013421616721</v>
      </c>
      <c r="O117" s="114"/>
      <c r="P117" s="107">
        <v>3.1298888938966665E-2</v>
      </c>
      <c r="Q117" s="107"/>
      <c r="R117" s="107"/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>
        <v>116041</v>
      </c>
      <c r="D118" s="116">
        <v>3752003895</v>
      </c>
      <c r="E118" s="107">
        <v>2.0491961777628812E-2</v>
      </c>
      <c r="F118" s="109">
        <v>323.33432967657984</v>
      </c>
      <c r="G118" s="114">
        <v>0.08</v>
      </c>
      <c r="H118" s="29" t="str">
        <f t="shared" si="1"/>
        <v>(300, 350]</v>
      </c>
      <c r="I118" s="136">
        <v>1</v>
      </c>
      <c r="J118" s="133">
        <v>2.0491961777628812E-2</v>
      </c>
      <c r="K118" s="133">
        <v>2.0491961777628822E-2</v>
      </c>
      <c r="L118" s="111">
        <v>20491961</v>
      </c>
      <c r="M118" s="133">
        <v>2.0491961614758848E-2</v>
      </c>
      <c r="N118" s="133">
        <v>6.6257546724662566</v>
      </c>
      <c r="O118" s="114"/>
      <c r="P118" s="107">
        <v>2.0491961614758848E-2</v>
      </c>
      <c r="Q118" s="107"/>
      <c r="R118" s="107"/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>
        <v>78432</v>
      </c>
      <c r="D119" s="116">
        <v>2929136430</v>
      </c>
      <c r="E119" s="107">
        <v>1.3850497204806776E-2</v>
      </c>
      <c r="F119" s="109">
        <v>373.461907129743</v>
      </c>
      <c r="G119" s="114">
        <v>0.01</v>
      </c>
      <c r="H119" s="29" t="str">
        <f t="shared" si="1"/>
        <v>(350, 400]</v>
      </c>
      <c r="I119" s="136">
        <v>1</v>
      </c>
      <c r="J119" s="133">
        <v>1.3850497204806776E-2</v>
      </c>
      <c r="K119" s="133">
        <v>1.3850497204806782E-2</v>
      </c>
      <c r="L119" s="111">
        <v>13850497</v>
      </c>
      <c r="M119" s="133">
        <v>1.3850497415514923E-2</v>
      </c>
      <c r="N119" s="133">
        <v>5.1726331794937792</v>
      </c>
      <c r="O119" s="114"/>
      <c r="P119" s="107">
        <v>1.3850497415514923E-2</v>
      </c>
      <c r="Q119" s="107"/>
      <c r="R119" s="107"/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>
        <v>54389</v>
      </c>
      <c r="D120" s="116">
        <v>2303911585</v>
      </c>
      <c r="E120" s="107">
        <v>9.6046854915370732E-3</v>
      </c>
      <c r="F120" s="109">
        <v>423.59881317913545</v>
      </c>
      <c r="G120" s="114">
        <v>0.01</v>
      </c>
      <c r="H120" s="29" t="str">
        <f t="shared" si="1"/>
        <v>(400, 450]</v>
      </c>
      <c r="I120" s="136">
        <v>1</v>
      </c>
      <c r="J120" s="133">
        <v>9.6046854915370732E-3</v>
      </c>
      <c r="K120" s="133">
        <v>9.6046854915370766E-3</v>
      </c>
      <c r="L120" s="111">
        <v>9604685</v>
      </c>
      <c r="M120" s="133">
        <v>9.6046852881405582E-3</v>
      </c>
      <c r="N120" s="133">
        <v>4.0685332890154431</v>
      </c>
      <c r="O120" s="114"/>
      <c r="P120" s="107">
        <v>9.6046852881405582E-3</v>
      </c>
      <c r="Q120" s="107"/>
      <c r="R120" s="107"/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>
        <v>39782</v>
      </c>
      <c r="D121" s="116">
        <v>1884530330</v>
      </c>
      <c r="E121" s="107">
        <v>7.0251999158713677E-3</v>
      </c>
      <c r="F121" s="109">
        <v>473.71432557438033</v>
      </c>
      <c r="G121" s="114">
        <v>0.01</v>
      </c>
      <c r="H121" s="29" t="str">
        <f t="shared" si="1"/>
        <v>(450, 500]</v>
      </c>
      <c r="I121" s="136">
        <v>1</v>
      </c>
      <c r="J121" s="133">
        <v>7.0251999158713677E-3</v>
      </c>
      <c r="K121" s="133">
        <v>7.0251999158713711E-3</v>
      </c>
      <c r="L121" s="111">
        <v>7025199</v>
      </c>
      <c r="M121" s="133">
        <v>7.0251992107559762E-3</v>
      </c>
      <c r="N121" s="133">
        <v>3.327937506148936</v>
      </c>
      <c r="O121" s="114"/>
      <c r="P121" s="107">
        <v>7.0251992107559762E-3</v>
      </c>
      <c r="Q121" s="107"/>
      <c r="R121" s="107"/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>
        <v>28633</v>
      </c>
      <c r="D122" s="116">
        <v>1499802435</v>
      </c>
      <c r="E122" s="107">
        <v>5.0563709514641012E-3</v>
      </c>
      <c r="F122" s="109">
        <v>523.80205881325742</v>
      </c>
      <c r="G122" s="114">
        <v>0.01</v>
      </c>
      <c r="H122" s="29" t="str">
        <f t="shared" si="1"/>
        <v>(500, 550]</v>
      </c>
      <c r="I122" s="136">
        <v>1</v>
      </c>
      <c r="J122" s="133">
        <v>5.0563709514641012E-3</v>
      </c>
      <c r="K122" s="133">
        <v>5.0563709514641038E-3</v>
      </c>
      <c r="L122" s="111">
        <v>5056370</v>
      </c>
      <c r="M122" s="133">
        <v>5.0563701516911043E-3</v>
      </c>
      <c r="N122" s="133">
        <v>2.6485370955777032</v>
      </c>
      <c r="O122" s="114"/>
      <c r="P122" s="107">
        <v>5.0563701516911043E-3</v>
      </c>
      <c r="Q122" s="107"/>
      <c r="R122" s="107"/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>
        <v>21172</v>
      </c>
      <c r="D123" s="116">
        <v>1215326050</v>
      </c>
      <c r="E123" s="107">
        <v>3.738814856438304E-3</v>
      </c>
      <c r="F123" s="109">
        <v>574.02515114301912</v>
      </c>
      <c r="G123" s="114">
        <v>0.01</v>
      </c>
      <c r="H123" s="29" t="str">
        <f t="shared" si="1"/>
        <v>(550, 600]</v>
      </c>
      <c r="I123" s="110">
        <v>1</v>
      </c>
      <c r="J123" s="107">
        <v>3.738814856438304E-3</v>
      </c>
      <c r="K123" s="107">
        <v>3.7388148564383057E-3</v>
      </c>
      <c r="L123" s="111">
        <v>3738814</v>
      </c>
      <c r="M123" s="107">
        <v>3.7388141121644232E-3</v>
      </c>
      <c r="N123" s="107">
        <v>2.1461733358308357</v>
      </c>
      <c r="O123" s="114"/>
      <c r="P123" s="107">
        <v>3.7388141121644232E-3</v>
      </c>
      <c r="Q123" s="107"/>
      <c r="R123" s="107"/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>
        <v>16258</v>
      </c>
      <c r="D124" s="116">
        <v>1014470915</v>
      </c>
      <c r="E124" s="107">
        <v>2.8710396720184181E-3</v>
      </c>
      <c r="F124" s="109">
        <v>623.98260241112064</v>
      </c>
      <c r="G124" s="114">
        <v>0.01</v>
      </c>
      <c r="H124" s="29" t="str">
        <f t="shared" si="1"/>
        <v>(600, 650]</v>
      </c>
      <c r="I124" s="110">
        <v>1</v>
      </c>
      <c r="J124" s="107">
        <v>2.8710396720184181E-3</v>
      </c>
      <c r="K124" s="107">
        <v>2.8710396720184194E-3</v>
      </c>
      <c r="L124" s="111">
        <v>2871039</v>
      </c>
      <c r="M124" s="107">
        <v>2.8710390861311726E-3</v>
      </c>
      <c r="N124" s="107">
        <v>1.7914784405881747</v>
      </c>
      <c r="O124" s="114"/>
      <c r="P124" s="107">
        <v>2.8710390861311726E-3</v>
      </c>
      <c r="Q124" s="107"/>
      <c r="R124" s="107"/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>
        <v>12436</v>
      </c>
      <c r="D125" s="116">
        <v>838217640</v>
      </c>
      <c r="E125" s="107">
        <v>2.1961034174696175E-3</v>
      </c>
      <c r="F125" s="109">
        <v>674.02512061756192</v>
      </c>
      <c r="G125" s="114">
        <v>0.01</v>
      </c>
      <c r="H125" s="29" t="str">
        <f t="shared" si="1"/>
        <v>(650, 700]</v>
      </c>
      <c r="I125" s="110">
        <v>1</v>
      </c>
      <c r="J125" s="107">
        <v>2.1961034174696175E-3</v>
      </c>
      <c r="K125" s="107">
        <v>2.1961034174696184E-3</v>
      </c>
      <c r="L125" s="111">
        <v>2196103</v>
      </c>
      <c r="M125" s="107">
        <v>2.196103065883092E-3</v>
      </c>
      <c r="N125" s="107">
        <v>1.4802286338704487</v>
      </c>
      <c r="O125" s="114"/>
      <c r="P125" s="107">
        <v>2.196103065883092E-3</v>
      </c>
      <c r="Q125" s="107"/>
      <c r="R125" s="107"/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>
        <v>9938</v>
      </c>
      <c r="D126" s="116">
        <v>719383440</v>
      </c>
      <c r="E126" s="107">
        <v>1.7549755357681779E-3</v>
      </c>
      <c r="F126" s="109">
        <v>723.87144294626694</v>
      </c>
      <c r="G126" s="114">
        <v>0.01</v>
      </c>
      <c r="H126" s="29" t="str">
        <f t="shared" si="1"/>
        <v>(700, 750]</v>
      </c>
      <c r="I126" s="110">
        <v>1</v>
      </c>
      <c r="J126" s="107">
        <v>1.7549755357681779E-3</v>
      </c>
      <c r="K126" s="107">
        <v>1.7549755357681787E-3</v>
      </c>
      <c r="L126" s="111">
        <v>1754975</v>
      </c>
      <c r="M126" s="107">
        <v>1.7549750526492515E-3</v>
      </c>
      <c r="N126" s="107">
        <v>1.2703763236959145</v>
      </c>
      <c r="O126" s="114"/>
      <c r="P126" s="107">
        <v>1.7549750526492515E-3</v>
      </c>
      <c r="Q126" s="107"/>
      <c r="R126" s="107"/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>
        <v>7818</v>
      </c>
      <c r="D127" s="116">
        <v>605504875</v>
      </c>
      <c r="E127" s="107">
        <v>1.3805995913298062E-3</v>
      </c>
      <c r="F127" s="109">
        <v>774.50099130212334</v>
      </c>
      <c r="G127" s="114">
        <v>0.01</v>
      </c>
      <c r="H127" s="29" t="str">
        <f t="shared" si="1"/>
        <v>(750, 800]</v>
      </c>
      <c r="I127" s="110">
        <v>1</v>
      </c>
      <c r="J127" s="107">
        <v>1.3805995913298062E-3</v>
      </c>
      <c r="K127" s="107">
        <v>1.3805995913298069E-3</v>
      </c>
      <c r="L127" s="111">
        <v>1380599</v>
      </c>
      <c r="M127" s="107">
        <v>1.3805990414179712E-3</v>
      </c>
      <c r="N127" s="107">
        <v>1.06927532616898</v>
      </c>
      <c r="O127" s="114"/>
      <c r="P127" s="107">
        <v>1.3805990414179712E-3</v>
      </c>
      <c r="Q127" s="107"/>
      <c r="R127" s="107"/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>
        <v>6284</v>
      </c>
      <c r="D128" s="116">
        <v>517871740</v>
      </c>
      <c r="E128" s="107">
        <v>1.1097068088918526E-3</v>
      </c>
      <c r="F128" s="109">
        <v>824.11161680458304</v>
      </c>
      <c r="G128" s="114">
        <v>0.01</v>
      </c>
      <c r="H128" s="29" t="str">
        <f t="shared" si="1"/>
        <v>(800, 850]</v>
      </c>
      <c r="I128" s="110">
        <v>1</v>
      </c>
      <c r="J128" s="107">
        <v>1.1097068088918526E-3</v>
      </c>
      <c r="K128" s="107">
        <v>1.109706808891853E-3</v>
      </c>
      <c r="L128" s="111">
        <v>1109706</v>
      </c>
      <c r="M128" s="107">
        <v>1.109706033291181E-3</v>
      </c>
      <c r="N128" s="107">
        <v>0.91452163327339564</v>
      </c>
      <c r="O128" s="114"/>
      <c r="P128" s="107">
        <v>1.109706033291181E-3</v>
      </c>
      <c r="Q128" s="107"/>
      <c r="R128" s="107"/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>
        <v>5095</v>
      </c>
      <c r="D129" s="116">
        <v>445404305</v>
      </c>
      <c r="E129" s="107">
        <v>8.9973841363844497E-4</v>
      </c>
      <c r="F129" s="109">
        <v>874.19883218842006</v>
      </c>
      <c r="G129" s="114">
        <v>0.01</v>
      </c>
      <c r="H129" s="29" t="str">
        <f t="shared" si="1"/>
        <v>(850, 900]</v>
      </c>
      <c r="I129" s="110">
        <v>1</v>
      </c>
      <c r="J129" s="107">
        <v>8.9973841363844497E-4</v>
      </c>
      <c r="K129" s="107">
        <v>8.9973841363844541E-4</v>
      </c>
      <c r="L129" s="112">
        <v>899738</v>
      </c>
      <c r="M129" s="107">
        <v>8.9973802699214081E-4</v>
      </c>
      <c r="N129" s="107">
        <v>0.78654993247204263</v>
      </c>
      <c r="O129" s="114"/>
      <c r="P129" s="107">
        <v>8.9973802699214081E-4</v>
      </c>
      <c r="Q129" s="107"/>
      <c r="R129" s="107"/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>
        <v>4142</v>
      </c>
      <c r="D130" s="116">
        <v>382716055</v>
      </c>
      <c r="E130" s="107">
        <v>7.314458310677997E-4</v>
      </c>
      <c r="F130" s="109">
        <v>923.98854418155474</v>
      </c>
      <c r="G130" s="114">
        <v>0.01</v>
      </c>
      <c r="H130" s="29" t="str">
        <f t="shared" si="1"/>
        <v>(900, 950]</v>
      </c>
      <c r="I130" s="110">
        <v>1</v>
      </c>
      <c r="J130" s="107">
        <v>7.314458310677997E-4</v>
      </c>
      <c r="K130" s="107">
        <v>7.3144583106780003E-4</v>
      </c>
      <c r="L130" s="112">
        <v>731445</v>
      </c>
      <c r="M130" s="107">
        <v>7.3144502194335062E-4</v>
      </c>
      <c r="N130" s="107">
        <v>0.67584682097428195</v>
      </c>
      <c r="O130" s="114"/>
      <c r="P130" s="107">
        <v>7.3144502194335062E-4</v>
      </c>
      <c r="Q130" s="107"/>
      <c r="R130" s="107"/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>
        <v>3325</v>
      </c>
      <c r="D131" s="116">
        <v>323802300</v>
      </c>
      <c r="E131" s="107">
        <v>5.8716981851772909E-4</v>
      </c>
      <c r="F131" s="109">
        <v>973.84150375939851</v>
      </c>
      <c r="G131" s="114">
        <v>0.01</v>
      </c>
      <c r="H131" s="29" t="str">
        <f t="shared" si="1"/>
        <v>(950, 1000]</v>
      </c>
      <c r="I131" s="110">
        <v>1</v>
      </c>
      <c r="J131" s="107">
        <v>5.8716981851772909E-4</v>
      </c>
      <c r="K131" s="107">
        <v>5.8716981851772931E-4</v>
      </c>
      <c r="L131" s="112">
        <v>587169</v>
      </c>
      <c r="M131" s="107">
        <v>5.8716901761507055E-4</v>
      </c>
      <c r="N131" s="107">
        <v>0.57180955907518904</v>
      </c>
      <c r="O131" s="114"/>
      <c r="P131" s="107">
        <v>5.8716901761507055E-4</v>
      </c>
      <c r="Q131" s="107"/>
      <c r="R131" s="107"/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>
        <v>17500</v>
      </c>
      <c r="D132" s="116">
        <v>2232138985</v>
      </c>
      <c r="E132" s="107">
        <v>3.0903674658827847E-3</v>
      </c>
      <c r="F132" s="109">
        <v>1275.5079914285714</v>
      </c>
      <c r="G132" s="114">
        <v>0.01</v>
      </c>
      <c r="H132" s="29" t="str">
        <f t="shared" si="1"/>
        <v>(1000, 2000]</v>
      </c>
      <c r="I132" s="110">
        <v>1</v>
      </c>
      <c r="J132" s="107">
        <v>3.0903674658827847E-3</v>
      </c>
      <c r="K132" s="107">
        <v>3.090367465882786E-3</v>
      </c>
      <c r="L132" s="112">
        <v>3090367</v>
      </c>
      <c r="M132" s="107">
        <v>3.0903670927110126E-3</v>
      </c>
      <c r="N132" s="107">
        <v>3.9417879232007773</v>
      </c>
      <c r="O132" s="114"/>
      <c r="P132" s="107">
        <v>3.0903670927110126E-3</v>
      </c>
      <c r="Q132" s="107"/>
      <c r="R132" s="107"/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>
        <v>1264</v>
      </c>
      <c r="D133" s="116">
        <v>293845005</v>
      </c>
      <c r="E133" s="107">
        <v>2.2321282725004798E-4</v>
      </c>
      <c r="F133" s="109">
        <v>2324.7231408227849</v>
      </c>
      <c r="G133" s="114">
        <v>0.01</v>
      </c>
      <c r="H133" s="29" t="str">
        <f t="shared" si="1"/>
        <v>(2000, 3000]</v>
      </c>
      <c r="I133" s="110">
        <v>1</v>
      </c>
      <c r="J133" s="107">
        <v>2.2321282725004798E-4</v>
      </c>
      <c r="K133" s="107">
        <v>2.2321282725004809E-4</v>
      </c>
      <c r="L133" s="112">
        <v>223212</v>
      </c>
      <c r="M133" s="107">
        <v>2.2321200669636021E-4</v>
      </c>
      <c r="N133" s="107">
        <v>0.51890611727651903</v>
      </c>
      <c r="O133" s="114"/>
      <c r="P133" s="107">
        <v>2.2321200669636021E-4</v>
      </c>
      <c r="Q133" s="107"/>
      <c r="R133" s="107"/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>
        <v>204</v>
      </c>
      <c r="D134" s="116">
        <v>68505305</v>
      </c>
      <c r="E134" s="107">
        <v>3.6024855030862172E-5</v>
      </c>
      <c r="F134" s="109">
        <v>3358.1031862745094</v>
      </c>
      <c r="G134" s="114">
        <v>0.01</v>
      </c>
      <c r="H134" s="29" t="str">
        <f t="shared" si="1"/>
        <v>(3000, 4000]</v>
      </c>
      <c r="I134" s="110">
        <v>1</v>
      </c>
      <c r="J134" s="107">
        <v>3.6024855030862172E-5</v>
      </c>
      <c r="K134" s="107">
        <v>3.6024855030862186E-5</v>
      </c>
      <c r="L134" s="112">
        <v>36024</v>
      </c>
      <c r="M134" s="107">
        <v>3.6024001080720033E-5</v>
      </c>
      <c r="N134" s="107">
        <v>0.12097231281152232</v>
      </c>
      <c r="O134" s="114"/>
      <c r="P134" s="107">
        <v>3.6024001080720033E-5</v>
      </c>
      <c r="Q134" s="107"/>
      <c r="R134" s="107"/>
      <c r="S134" s="115">
        <v>0</v>
      </c>
    </row>
    <row r="135" spans="1:20" x14ac:dyDescent="0.3">
      <c r="A135" s="84">
        <v>4000</v>
      </c>
      <c r="B135" s="84">
        <v>5000</v>
      </c>
      <c r="C135" s="116">
        <v>37</v>
      </c>
      <c r="D135" s="116">
        <v>16351870</v>
      </c>
      <c r="E135" s="107">
        <v>6.533919785009316E-6</v>
      </c>
      <c r="F135" s="109">
        <v>4419.4243243243245</v>
      </c>
      <c r="G135" s="114">
        <v>0.01</v>
      </c>
      <c r="H135" s="29" t="str">
        <f t="shared" si="1"/>
        <v>(4000, 5000]</v>
      </c>
      <c r="I135" s="110">
        <v>1</v>
      </c>
      <c r="J135" s="107">
        <v>6.533919785009316E-6</v>
      </c>
      <c r="K135" s="107">
        <v>6.5339197850093185E-6</v>
      </c>
      <c r="L135" s="112">
        <v>6533</v>
      </c>
      <c r="M135" s="107">
        <v>6.5330001959900061E-6</v>
      </c>
      <c r="N135" s="107">
        <v>2.8872099976973813E-2</v>
      </c>
      <c r="O135" s="114"/>
      <c r="P135" s="107">
        <v>6.5330001959900061E-6</v>
      </c>
      <c r="Q135" s="107"/>
      <c r="R135" s="107"/>
      <c r="S135" s="115">
        <v>0</v>
      </c>
    </row>
    <row r="136" spans="1:20" x14ac:dyDescent="0.3">
      <c r="A136" s="84">
        <v>5000</v>
      </c>
      <c r="B136" s="84">
        <v>6000</v>
      </c>
      <c r="C136" s="116">
        <v>9</v>
      </c>
      <c r="D136" s="116">
        <v>4908905</v>
      </c>
      <c r="E136" s="107">
        <v>1.5893318395968607E-6</v>
      </c>
      <c r="F136" s="109">
        <v>5454.3388888888885</v>
      </c>
      <c r="G136" s="114">
        <v>0.01</v>
      </c>
      <c r="H136" s="29" t="str">
        <f t="shared" si="1"/>
        <v>(5000, 6000]</v>
      </c>
      <c r="I136" s="110">
        <v>1</v>
      </c>
      <c r="J136" s="107">
        <v>1.5893318395968607E-6</v>
      </c>
      <c r="K136" s="107">
        <v>1.5893318395968613E-6</v>
      </c>
      <c r="L136" s="112">
        <v>1589</v>
      </c>
      <c r="M136" s="107">
        <v>1.5890000476700014E-6</v>
      </c>
      <c r="N136" s="107">
        <v>8.666944754452786E-3</v>
      </c>
      <c r="O136" s="114"/>
      <c r="P136" s="107">
        <v>1.5890000476700014E-6</v>
      </c>
      <c r="Q136" s="107"/>
      <c r="R136" s="107"/>
      <c r="S136" s="115">
        <v>0</v>
      </c>
    </row>
    <row r="137" spans="1:20" x14ac:dyDescent="0.3">
      <c r="A137" s="84">
        <v>6000</v>
      </c>
      <c r="B137" s="84">
        <v>7000</v>
      </c>
      <c r="C137" s="116">
        <v>6</v>
      </c>
      <c r="D137" s="116">
        <v>3799075</v>
      </c>
      <c r="E137" s="107">
        <v>1.0595545597312404E-6</v>
      </c>
      <c r="F137" s="109">
        <v>6331.7916666666661</v>
      </c>
      <c r="G137" s="114">
        <v>0.01</v>
      </c>
      <c r="H137" s="29" t="str">
        <f t="shared" si="1"/>
        <v>(6000, 7000]</v>
      </c>
      <c r="I137" s="110">
        <v>1</v>
      </c>
      <c r="J137" s="107">
        <v>1.0595545597312404E-6</v>
      </c>
      <c r="K137" s="107">
        <v>1.0595545597312408E-6</v>
      </c>
      <c r="L137" s="112">
        <v>1059</v>
      </c>
      <c r="M137" s="107">
        <v>1.059000031770001E-6</v>
      </c>
      <c r="N137" s="107">
        <v>6.7053675761610271E-3</v>
      </c>
      <c r="O137" s="114"/>
      <c r="P137" s="107">
        <v>1.059000031770001E-6</v>
      </c>
      <c r="Q137" s="107"/>
      <c r="R137" s="107"/>
      <c r="S137" s="115">
        <v>0</v>
      </c>
    </row>
    <row r="138" spans="1:20" x14ac:dyDescent="0.3">
      <c r="A138" s="84">
        <v>7000</v>
      </c>
      <c r="B138" s="84">
        <v>8000</v>
      </c>
      <c r="C138" s="116">
        <v>2</v>
      </c>
      <c r="D138" s="116">
        <v>1497725</v>
      </c>
      <c r="E138" s="107">
        <v>3.5318485324374683E-7</v>
      </c>
      <c r="F138" s="109">
        <v>7488.625</v>
      </c>
      <c r="G138" s="114">
        <v>0.01</v>
      </c>
      <c r="H138" s="29" t="str">
        <f t="shared" si="1"/>
        <v>(7000, 8000]</v>
      </c>
      <c r="I138" s="110">
        <v>1</v>
      </c>
      <c r="J138" s="107">
        <v>3.5318485324374683E-7</v>
      </c>
      <c r="K138" s="107">
        <v>3.5318485324374698E-7</v>
      </c>
      <c r="L138" s="112">
        <v>353</v>
      </c>
      <c r="M138" s="107">
        <v>3.530000105900003E-7</v>
      </c>
      <c r="N138" s="107">
        <v>2.6434847043045411E-3</v>
      </c>
      <c r="O138" s="114"/>
      <c r="P138" s="107">
        <v>3.530000105900003E-7</v>
      </c>
      <c r="Q138" s="107"/>
      <c r="R138" s="107"/>
      <c r="S138" s="115">
        <v>0</v>
      </c>
    </row>
    <row r="139" spans="1:20" x14ac:dyDescent="0.3">
      <c r="A139" s="84">
        <v>8000</v>
      </c>
      <c r="B139" s="84">
        <v>9000</v>
      </c>
      <c r="C139" s="116">
        <v>0</v>
      </c>
      <c r="D139" s="116">
        <v>0</v>
      </c>
      <c r="E139" s="107">
        <v>0</v>
      </c>
      <c r="F139" s="109">
        <v>0</v>
      </c>
      <c r="G139" s="114">
        <v>0.01</v>
      </c>
      <c r="H139" s="29" t="str">
        <f t="shared" si="1"/>
        <v>(8000, 9000]</v>
      </c>
      <c r="I139" s="110">
        <v>1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 x14ac:dyDescent="0.3">
      <c r="A140" s="84">
        <v>9000</v>
      </c>
      <c r="B140" s="84">
        <v>10000</v>
      </c>
      <c r="C140" s="116">
        <v>0</v>
      </c>
      <c r="D140" s="116">
        <v>0</v>
      </c>
      <c r="E140" s="107">
        <v>0</v>
      </c>
      <c r="F140" s="109">
        <v>0</v>
      </c>
      <c r="G140" s="114">
        <v>0.01</v>
      </c>
      <c r="H140" s="29" t="str">
        <f t="shared" si="1"/>
        <v>(9000, 10000]</v>
      </c>
      <c r="I140" s="110">
        <v>1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 x14ac:dyDescent="0.3">
      <c r="A141" s="84">
        <v>10000</v>
      </c>
      <c r="B141" s="84">
        <v>20000</v>
      </c>
      <c r="C141" s="116">
        <v>1</v>
      </c>
      <c r="D141" s="116">
        <v>1591055</v>
      </c>
      <c r="E141" s="107">
        <v>1.7659242662187341E-7</v>
      </c>
      <c r="F141" s="109">
        <v>15910.55</v>
      </c>
      <c r="G141" s="114">
        <v>0.01</v>
      </c>
      <c r="H141" s="29" t="str">
        <f t="shared" si="1"/>
        <v>(10000, 20000]</v>
      </c>
      <c r="I141" s="110">
        <v>1</v>
      </c>
      <c r="J141" s="107">
        <v>1.7659242662187341E-7</v>
      </c>
      <c r="K141" s="107">
        <v>1.7659242662187349E-7</v>
      </c>
      <c r="L141" s="112">
        <v>176</v>
      </c>
      <c r="M141" s="107">
        <v>1.7600000528000017E-7</v>
      </c>
      <c r="N141" s="107">
        <v>2.8002568840077065E-3</v>
      </c>
      <c r="O141" s="114"/>
      <c r="P141" s="107">
        <v>1.7600000528000017E-7</v>
      </c>
      <c r="Q141" s="107"/>
      <c r="R141" s="107"/>
      <c r="S141" s="115">
        <v>0</v>
      </c>
    </row>
    <row r="142" spans="1:20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1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1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1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1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1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1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1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1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1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 x14ac:dyDescent="0.3">
      <c r="A153" s="186" t="s">
        <v>91</v>
      </c>
      <c r="B153" s="186"/>
      <c r="C153" s="186"/>
      <c r="D153" s="186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21098</v>
      </c>
      <c r="D157" s="126">
        <v>0</v>
      </c>
      <c r="E157" s="107" cm="1">
        <f t="array" ref="E157:E220">_xlfn.LET(_xlpm.x, C157:C220, _xlpm.x/SUM(_xlpm.x))</f>
        <v>3.7257470168682852E-3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1</v>
      </c>
      <c r="J157" s="107" cm="1">
        <f t="array" ref="J157:J220">_xlfn.ANCHORARRAY(E157)*I157:I220</f>
        <v>3.7257470168682852E-3</v>
      </c>
      <c r="K157" s="107" cm="1">
        <f t="array" ref="K157:K220">J157:J220/SUM(_xlfn.ANCHORARRAY(J157))</f>
        <v>3.7257470168682869E-3</v>
      </c>
      <c r="L157" s="111" cm="1">
        <f t="array" ref="L157:L220">INT(_xlfn.ANCHORARRAY(K157)*$B$2)</f>
        <v>3725747</v>
      </c>
      <c r="M157" s="107" cm="1">
        <f t="array" ref="M157:M220">_xlfn.LET(_xlpm.x, L157:L220, _xlpm.x/SUM(_xlpm.x))</f>
        <v>3.7257471117724135E-3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3.7257471117724135E-3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16669</v>
      </c>
      <c r="D158" s="143">
        <v>1018045</v>
      </c>
      <c r="E158" s="107">
        <v>2.943619159360008E-3</v>
      </c>
      <c r="F158" s="109">
        <v>0.61074149619053331</v>
      </c>
      <c r="G158" s="66">
        <v>0</v>
      </c>
      <c r="H158" s="29" t="str">
        <f t="shared" ref="H158:H220" si="2">"("&amp;$A158&amp;", "&amp;$B158&amp;"]"</f>
        <v>(0, 1]</v>
      </c>
      <c r="I158" s="110">
        <v>1</v>
      </c>
      <c r="J158" s="107">
        <v>2.943619159360008E-3</v>
      </c>
      <c r="K158" s="107">
        <v>2.9436191593600093E-3</v>
      </c>
      <c r="L158" s="111">
        <v>2943619</v>
      </c>
      <c r="M158" s="107">
        <v>2.9436190883085724E-3</v>
      </c>
      <c r="N158" s="107">
        <v>1.797790326208591E-3</v>
      </c>
      <c r="O158" s="114"/>
      <c r="P158" s="107">
        <v>2.9436190883085724E-3</v>
      </c>
      <c r="Q158" s="107"/>
      <c r="R158" s="107"/>
      <c r="S158" s="115">
        <v>0</v>
      </c>
    </row>
    <row r="159" spans="1:19" x14ac:dyDescent="0.3">
      <c r="A159" s="84">
        <v>1</v>
      </c>
      <c r="B159" s="84">
        <v>2</v>
      </c>
      <c r="C159" s="143">
        <v>22760</v>
      </c>
      <c r="D159" s="143">
        <v>3573100</v>
      </c>
      <c r="E159" s="107">
        <v>4.0192436299138386E-3</v>
      </c>
      <c r="F159" s="109">
        <v>1.5699033391915642</v>
      </c>
      <c r="G159" s="117">
        <f>1+G158*G157</f>
        <v>1</v>
      </c>
      <c r="H159" s="29" t="str">
        <f t="shared" si="2"/>
        <v>(1, 2]</v>
      </c>
      <c r="I159" s="110">
        <v>1</v>
      </c>
      <c r="J159" s="107">
        <v>4.0192436299138386E-3</v>
      </c>
      <c r="K159" s="107">
        <v>4.0192436299138403E-3</v>
      </c>
      <c r="L159" s="111">
        <v>4019243</v>
      </c>
      <c r="M159" s="107">
        <v>4.0192431205772934E-3</v>
      </c>
      <c r="N159" s="107">
        <v>6.309823196017016E-3</v>
      </c>
      <c r="O159" s="114"/>
      <c r="P159" s="107">
        <v>4.0192431205772934E-3</v>
      </c>
      <c r="Q159" s="107"/>
      <c r="R159" s="107"/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25074</v>
      </c>
      <c r="D160" s="143">
        <v>6470230</v>
      </c>
      <c r="E160" s="107">
        <v>4.4278785051168543E-3</v>
      </c>
      <c r="F160" s="109">
        <v>2.5804538565845099</v>
      </c>
      <c r="G160" s="114"/>
      <c r="H160" s="29" t="str">
        <f t="shared" si="2"/>
        <v>(2, 3]</v>
      </c>
      <c r="I160" s="110">
        <v>1</v>
      </c>
      <c r="J160" s="107">
        <v>4.4278785051168543E-3</v>
      </c>
      <c r="K160" s="107">
        <v>4.427878505116856E-3</v>
      </c>
      <c r="L160" s="111">
        <v>4427878</v>
      </c>
      <c r="M160" s="107">
        <v>4.427878132836344E-3</v>
      </c>
      <c r="N160" s="107">
        <v>1.1425935204363762E-2</v>
      </c>
      <c r="O160" s="114"/>
      <c r="P160" s="107">
        <v>4.427878132836344E-3</v>
      </c>
      <c r="Q160" s="107"/>
      <c r="R160" s="107"/>
      <c r="S160" s="115">
        <v>0</v>
      </c>
    </row>
    <row r="161" spans="1:20" x14ac:dyDescent="0.3">
      <c r="A161" s="84">
        <v>3</v>
      </c>
      <c r="B161" s="84">
        <v>4</v>
      </c>
      <c r="C161" s="143">
        <v>28161</v>
      </c>
      <c r="D161" s="143">
        <v>10087940</v>
      </c>
      <c r="E161" s="107">
        <v>4.9730193260985774E-3</v>
      </c>
      <c r="F161" s="109">
        <v>3.5822378466673768</v>
      </c>
      <c r="G161" s="114"/>
      <c r="H161" s="29" t="str">
        <f t="shared" si="2"/>
        <v>(3, 4]</v>
      </c>
      <c r="I161" s="110">
        <v>1</v>
      </c>
      <c r="J161" s="107">
        <v>4.9730193260985774E-3</v>
      </c>
      <c r="K161" s="107">
        <v>4.97301932609858E-3</v>
      </c>
      <c r="L161" s="111">
        <v>4973019</v>
      </c>
      <c r="M161" s="107">
        <v>4.9730191491905744E-3</v>
      </c>
      <c r="N161" s="107">
        <v>1.7814537408432075E-2</v>
      </c>
      <c r="O161" s="114"/>
      <c r="P161" s="107">
        <v>4.9730191491905744E-3</v>
      </c>
      <c r="Q161" s="107"/>
      <c r="R161" s="107"/>
      <c r="S161" s="115">
        <v>0</v>
      </c>
    </row>
    <row r="162" spans="1:20" x14ac:dyDescent="0.3">
      <c r="A162" s="84">
        <v>4</v>
      </c>
      <c r="B162" s="84">
        <v>5</v>
      </c>
      <c r="C162" s="143">
        <v>30467</v>
      </c>
      <c r="D162" s="143">
        <v>13947025</v>
      </c>
      <c r="E162" s="107">
        <v>5.3802414618886168E-3</v>
      </c>
      <c r="F162" s="109">
        <v>4.5777480552729184</v>
      </c>
      <c r="G162" s="114"/>
      <c r="H162" s="29" t="str">
        <f t="shared" si="2"/>
        <v>(4, 5]</v>
      </c>
      <c r="I162" s="110">
        <v>1</v>
      </c>
      <c r="J162" s="107">
        <v>5.3802414618886168E-3</v>
      </c>
      <c r="K162" s="107">
        <v>5.3802414618886194E-3</v>
      </c>
      <c r="L162" s="111">
        <v>5380241</v>
      </c>
      <c r="M162" s="107">
        <v>5.3802411614072348E-3</v>
      </c>
      <c r="N162" s="107">
        <v>2.4629388513531279E-2</v>
      </c>
      <c r="O162" s="114"/>
      <c r="P162" s="107">
        <v>5.3802411614072348E-3</v>
      </c>
      <c r="Q162" s="107"/>
      <c r="R162" s="107"/>
      <c r="S162" s="115">
        <v>0</v>
      </c>
    </row>
    <row r="163" spans="1:20" x14ac:dyDescent="0.3">
      <c r="A163" s="84">
        <v>5</v>
      </c>
      <c r="B163" s="84">
        <v>6</v>
      </c>
      <c r="C163" s="143">
        <v>33530</v>
      </c>
      <c r="D163" s="143">
        <v>18733725</v>
      </c>
      <c r="E163" s="107">
        <v>5.9211440646314154E-3</v>
      </c>
      <c r="F163" s="109">
        <v>5.5871532955562175</v>
      </c>
      <c r="G163" s="114"/>
      <c r="H163" s="29" t="str">
        <f t="shared" si="2"/>
        <v>(5, 6]</v>
      </c>
      <c r="I163" s="110">
        <v>1</v>
      </c>
      <c r="J163" s="107">
        <v>5.9211440646314154E-3</v>
      </c>
      <c r="K163" s="107">
        <v>5.921144064631418E-3</v>
      </c>
      <c r="L163" s="111">
        <v>5921144</v>
      </c>
      <c r="M163" s="107">
        <v>5.9211441776343254E-3</v>
      </c>
      <c r="N163" s="107">
        <v>3.3082340205533134E-2</v>
      </c>
      <c r="O163" s="114"/>
      <c r="P163" s="107">
        <v>5.9211441776343254E-3</v>
      </c>
      <c r="Q163" s="107"/>
      <c r="R163" s="107"/>
      <c r="S163" s="115">
        <v>0</v>
      </c>
    </row>
    <row r="164" spans="1:20" x14ac:dyDescent="0.3">
      <c r="A164" s="84">
        <v>6</v>
      </c>
      <c r="B164" s="84">
        <v>7</v>
      </c>
      <c r="C164" s="143">
        <v>32637</v>
      </c>
      <c r="D164" s="143">
        <v>21438695</v>
      </c>
      <c r="E164" s="107">
        <v>5.7634470276580821E-3</v>
      </c>
      <c r="F164" s="109">
        <v>6.56883138768882</v>
      </c>
      <c r="G164" s="114"/>
      <c r="H164" s="29" t="str">
        <f t="shared" si="2"/>
        <v>(6, 7]</v>
      </c>
      <c r="I164" s="110">
        <v>1</v>
      </c>
      <c r="J164" s="107">
        <v>5.7634470276580821E-3</v>
      </c>
      <c r="K164" s="107">
        <v>5.7634470276580847E-3</v>
      </c>
      <c r="L164" s="111">
        <v>5763447</v>
      </c>
      <c r="M164" s="107">
        <v>5.7634471729034152E-3</v>
      </c>
      <c r="N164" s="107">
        <v>3.7859112690654347E-2</v>
      </c>
      <c r="O164" s="114"/>
      <c r="P164" s="107">
        <v>5.7634471729034152E-3</v>
      </c>
      <c r="Q164" s="107"/>
      <c r="R164" s="107"/>
      <c r="S164" s="115">
        <v>0</v>
      </c>
    </row>
    <row r="165" spans="1:20" x14ac:dyDescent="0.3">
      <c r="A165" s="84">
        <v>7</v>
      </c>
      <c r="B165" s="84">
        <v>8</v>
      </c>
      <c r="C165" s="143">
        <v>37174</v>
      </c>
      <c r="D165" s="143">
        <v>28107150</v>
      </c>
      <c r="E165" s="107">
        <v>6.564646867241522E-3</v>
      </c>
      <c r="F165" s="109">
        <v>7.560970032818636</v>
      </c>
      <c r="G165" s="114"/>
      <c r="H165" s="29" t="str">
        <f t="shared" si="2"/>
        <v>(7, 8]</v>
      </c>
      <c r="I165" s="110">
        <v>1</v>
      </c>
      <c r="J165" s="107">
        <v>6.564646867241522E-3</v>
      </c>
      <c r="K165" s="107">
        <v>6.5646468672415246E-3</v>
      </c>
      <c r="L165" s="111">
        <v>6564646</v>
      </c>
      <c r="M165" s="107">
        <v>6.5646461969393862E-3</v>
      </c>
      <c r="N165" s="107">
        <v>4.9635093171115523E-2</v>
      </c>
      <c r="O165" s="114"/>
      <c r="P165" s="107">
        <v>6.5646461969393862E-3</v>
      </c>
      <c r="Q165" s="107"/>
      <c r="R165" s="107"/>
      <c r="S165" s="115">
        <v>0</v>
      </c>
    </row>
    <row r="166" spans="1:20" x14ac:dyDescent="0.3">
      <c r="A166" s="84">
        <v>8</v>
      </c>
      <c r="B166" s="84">
        <v>9</v>
      </c>
      <c r="C166" s="143">
        <v>37702</v>
      </c>
      <c r="D166" s="143">
        <v>32327935</v>
      </c>
      <c r="E166" s="107">
        <v>6.6578876684978711E-3</v>
      </c>
      <c r="F166" s="109">
        <v>8.5745941859848287</v>
      </c>
      <c r="G166" s="114"/>
      <c r="H166" s="29" t="str">
        <f t="shared" si="2"/>
        <v>(8, 9]</v>
      </c>
      <c r="I166" s="110">
        <v>1</v>
      </c>
      <c r="J166" s="107">
        <v>6.6578876684978711E-3</v>
      </c>
      <c r="K166" s="107">
        <v>6.6578876684978737E-3</v>
      </c>
      <c r="L166" s="111">
        <v>6657887</v>
      </c>
      <c r="M166" s="107">
        <v>6.6578871997366156E-3</v>
      </c>
      <c r="N166" s="107">
        <v>5.70886808738044E-2</v>
      </c>
      <c r="O166" s="114"/>
      <c r="P166" s="107">
        <v>6.6578871997366156E-3</v>
      </c>
      <c r="Q166" s="107"/>
      <c r="R166" s="107"/>
      <c r="S166" s="115">
        <v>0</v>
      </c>
    </row>
    <row r="167" spans="1:20" x14ac:dyDescent="0.3">
      <c r="A167" s="84">
        <v>9</v>
      </c>
      <c r="B167" s="84">
        <v>10</v>
      </c>
      <c r="C167" s="143">
        <v>38475</v>
      </c>
      <c r="D167" s="143">
        <v>36837640</v>
      </c>
      <c r="E167" s="107">
        <v>6.7943936142765794E-3</v>
      </c>
      <c r="F167" s="109">
        <v>9.5744353476283308</v>
      </c>
      <c r="G167" s="114"/>
      <c r="H167" s="29" t="str">
        <f t="shared" si="2"/>
        <v>(9, 10]</v>
      </c>
      <c r="I167" s="110">
        <v>1</v>
      </c>
      <c r="J167" s="107">
        <v>6.7943936142765794E-3</v>
      </c>
      <c r="K167" s="107">
        <v>6.794393614276582E-3</v>
      </c>
      <c r="L167" s="111">
        <v>6794393</v>
      </c>
      <c r="M167" s="107">
        <v>6.7943932038317962E-3</v>
      </c>
      <c r="N167" s="107">
        <v>6.5052478456452859E-2</v>
      </c>
      <c r="O167" s="114"/>
      <c r="P167" s="107">
        <v>6.7943932038317962E-3</v>
      </c>
      <c r="Q167" s="107"/>
      <c r="R167" s="107"/>
      <c r="S167" s="115">
        <v>0</v>
      </c>
    </row>
    <row r="168" spans="1:20" x14ac:dyDescent="0.3">
      <c r="A168" s="84">
        <v>10</v>
      </c>
      <c r="B168" s="84">
        <v>15</v>
      </c>
      <c r="C168" s="143">
        <v>207406</v>
      </c>
      <c r="D168" s="143">
        <v>261410565</v>
      </c>
      <c r="E168" s="107">
        <v>3.6626328835936278E-2</v>
      </c>
      <c r="F168" s="109">
        <v>12.603809195490969</v>
      </c>
      <c r="G168" s="114"/>
      <c r="H168" s="175" t="str">
        <f t="shared" si="2"/>
        <v>(10, 15]</v>
      </c>
      <c r="I168" s="110">
        <v>1</v>
      </c>
      <c r="J168" s="107">
        <v>3.6626328835936278E-2</v>
      </c>
      <c r="K168" s="107">
        <v>3.6626328835936292E-2</v>
      </c>
      <c r="L168" s="111">
        <v>36626328</v>
      </c>
      <c r="M168" s="107">
        <v>3.6626329098789871E-2</v>
      </c>
      <c r="N168" s="107">
        <v>0.46163126349240624</v>
      </c>
      <c r="O168" s="114"/>
      <c r="P168" s="107">
        <v>3.6626329098789871E-2</v>
      </c>
      <c r="Q168" s="107"/>
      <c r="R168" s="107"/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221922</v>
      </c>
      <c r="D169" s="143">
        <v>390070905</v>
      </c>
      <c r="E169" s="107">
        <v>3.9189744500779389E-2</v>
      </c>
      <c r="F169" s="109">
        <v>17.576937167112771</v>
      </c>
      <c r="G169" s="114"/>
      <c r="H169" s="175" t="str">
        <f t="shared" si="2"/>
        <v>(15, 20]</v>
      </c>
      <c r="I169" s="110">
        <v>1</v>
      </c>
      <c r="J169" s="107">
        <v>3.9189744500779389E-2</v>
      </c>
      <c r="K169" s="107">
        <v>3.918974450077941E-2</v>
      </c>
      <c r="L169" s="111">
        <v>39189744</v>
      </c>
      <c r="M169" s="107">
        <v>3.9189745175692355E-2</v>
      </c>
      <c r="N169" s="107">
        <v>0.68883568854830535</v>
      </c>
      <c r="O169" s="114"/>
      <c r="P169" s="107">
        <v>3.9189745175692355E-2</v>
      </c>
      <c r="Q169" s="107"/>
      <c r="R169" s="107"/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224666</v>
      </c>
      <c r="D170" s="143">
        <v>506782775</v>
      </c>
      <c r="E170" s="107">
        <v>3.9674314119429809E-2</v>
      </c>
      <c r="F170" s="109">
        <v>22.557163745293014</v>
      </c>
      <c r="G170" s="114"/>
      <c r="H170" s="175" t="str">
        <f t="shared" si="2"/>
        <v>(20, 25]</v>
      </c>
      <c r="I170" s="110">
        <v>1</v>
      </c>
      <c r="J170" s="107">
        <v>3.9674314119429809E-2</v>
      </c>
      <c r="K170" s="107">
        <v>3.9674314119429829E-2</v>
      </c>
      <c r="L170" s="111">
        <v>39674314</v>
      </c>
      <c r="M170" s="107">
        <v>3.9674315190229459E-2</v>
      </c>
      <c r="N170" s="107">
        <v>0.89494002422837182</v>
      </c>
      <c r="O170" s="114"/>
      <c r="P170" s="107">
        <v>3.9674315190229459E-2</v>
      </c>
      <c r="Q170" s="107"/>
      <c r="R170" s="107"/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225280</v>
      </c>
      <c r="D171" s="143">
        <v>620679615</v>
      </c>
      <c r="E171" s="107">
        <v>3.9782741869375644E-2</v>
      </c>
      <c r="F171" s="109">
        <v>27.551474387428975</v>
      </c>
      <c r="G171" s="114"/>
      <c r="H171" s="175" t="str">
        <f t="shared" si="2"/>
        <v>(25, 30]</v>
      </c>
      <c r="I171" s="110">
        <v>1</v>
      </c>
      <c r="J171" s="107">
        <v>3.9782741869375644E-2</v>
      </c>
      <c r="K171" s="107">
        <v>3.9782741869375665E-2</v>
      </c>
      <c r="L171" s="111">
        <v>39782741</v>
      </c>
      <c r="M171" s="107">
        <v>3.9782742193482268E-2</v>
      </c>
      <c r="N171" s="107">
        <v>1.0960732026054167</v>
      </c>
      <c r="O171" s="114"/>
      <c r="P171" s="107">
        <v>3.9782742193482268E-2</v>
      </c>
      <c r="Q171" s="107"/>
      <c r="R171" s="107"/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219696</v>
      </c>
      <c r="D172" s="143">
        <v>715011430</v>
      </c>
      <c r="E172" s="107">
        <v>3.8796649759119103E-2</v>
      </c>
      <c r="F172" s="109">
        <v>32.545491497341779</v>
      </c>
      <c r="G172" s="114"/>
      <c r="H172" s="175" t="str">
        <f t="shared" si="2"/>
        <v>(30, 35]</v>
      </c>
      <c r="I172" s="110">
        <v>1</v>
      </c>
      <c r="J172" s="107">
        <v>3.8796649759119103E-2</v>
      </c>
      <c r="K172" s="107">
        <v>3.8796649759119117E-2</v>
      </c>
      <c r="L172" s="111">
        <v>38796649</v>
      </c>
      <c r="M172" s="107">
        <v>3.8796650163899507E-2</v>
      </c>
      <c r="N172" s="107">
        <v>1.262656048034535</v>
      </c>
      <c r="O172" s="114"/>
      <c r="P172" s="107">
        <v>3.8796650163899507E-2</v>
      </c>
      <c r="Q172" s="107"/>
      <c r="R172" s="107"/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212348</v>
      </c>
      <c r="D173" s="143">
        <v>797107080</v>
      </c>
      <c r="E173" s="107">
        <v>3.7499048608301576E-2</v>
      </c>
      <c r="F173" s="109">
        <v>37.537771959236721</v>
      </c>
      <c r="G173" s="114"/>
      <c r="H173" s="175" t="str">
        <f t="shared" si="2"/>
        <v>(35, 40]</v>
      </c>
      <c r="I173" s="110">
        <v>1</v>
      </c>
      <c r="J173" s="107">
        <v>3.7499048608301576E-2</v>
      </c>
      <c r="K173" s="107">
        <v>3.749904860830159E-2</v>
      </c>
      <c r="L173" s="111">
        <v>37499048</v>
      </c>
      <c r="M173" s="107">
        <v>3.7499049124971477E-2</v>
      </c>
      <c r="N173" s="107">
        <v>1.4076307547413947</v>
      </c>
      <c r="O173" s="114"/>
      <c r="P173" s="107">
        <v>3.7499049124971477E-2</v>
      </c>
      <c r="Q173" s="107"/>
      <c r="R173" s="107"/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203101</v>
      </c>
      <c r="D174" s="143">
        <v>863866610</v>
      </c>
      <c r="E174" s="107">
        <v>3.5866098439329114E-2</v>
      </c>
      <c r="F174" s="109">
        <v>42.533843260249824</v>
      </c>
      <c r="G174" s="114"/>
      <c r="H174" s="175" t="str">
        <f t="shared" si="2"/>
        <v>(40, 45]</v>
      </c>
      <c r="I174" s="110">
        <v>1</v>
      </c>
      <c r="J174" s="107">
        <v>3.5866098439329114E-2</v>
      </c>
      <c r="K174" s="107">
        <v>3.5866098439329128E-2</v>
      </c>
      <c r="L174" s="111">
        <v>35866098</v>
      </c>
      <c r="M174" s="107">
        <v>3.5866099075982975E-2</v>
      </c>
      <c r="N174" s="107">
        <v>1.525523036454451</v>
      </c>
      <c r="O174" s="114"/>
      <c r="P174" s="107">
        <v>3.5866099075982975E-2</v>
      </c>
      <c r="Q174" s="107"/>
      <c r="R174" s="107"/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193375</v>
      </c>
      <c r="D175" s="143">
        <v>919073615</v>
      </c>
      <c r="E175" s="107">
        <v>3.4148560498004771E-2</v>
      </c>
      <c r="F175" s="109">
        <v>47.528047317388491</v>
      </c>
      <c r="G175" s="114"/>
      <c r="H175" s="175" t="str">
        <f t="shared" si="2"/>
        <v>(45, 50]</v>
      </c>
      <c r="I175" s="110">
        <v>1</v>
      </c>
      <c r="J175" s="107">
        <v>3.4148560498004771E-2</v>
      </c>
      <c r="K175" s="107">
        <v>3.4148560498004785E-2</v>
      </c>
      <c r="L175" s="111">
        <v>34148560</v>
      </c>
      <c r="M175" s="107">
        <v>3.4148561024456833E-2</v>
      </c>
      <c r="N175" s="107">
        <v>1.6230144241911129</v>
      </c>
      <c r="O175" s="114"/>
      <c r="P175" s="107">
        <v>3.4148561024456833E-2</v>
      </c>
      <c r="Q175" s="107"/>
      <c r="R175" s="107"/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360402</v>
      </c>
      <c r="D176" s="143">
        <v>1980808845</v>
      </c>
      <c r="E176" s="107">
        <v>6.3644263739376414E-2</v>
      </c>
      <c r="F176" s="109">
        <v>54.96109469425808</v>
      </c>
      <c r="G176" s="114">
        <v>1.91</v>
      </c>
      <c r="H176" s="175" t="str">
        <f t="shared" si="2"/>
        <v>(50, 60]</v>
      </c>
      <c r="I176" s="110">
        <v>1</v>
      </c>
      <c r="J176" s="107">
        <v>6.3644263739376414E-2</v>
      </c>
      <c r="K176" s="107">
        <v>6.3644263739376442E-2</v>
      </c>
      <c r="L176" s="111">
        <v>63644263</v>
      </c>
      <c r="M176" s="107">
        <v>6.3644264909327952E-2</v>
      </c>
      <c r="N176" s="107">
        <v>3.4979584704280202</v>
      </c>
      <c r="O176" s="114"/>
      <c r="P176" s="107">
        <v>6.3644264909327952E-2</v>
      </c>
      <c r="Q176" s="107"/>
      <c r="R176" s="107"/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323529</v>
      </c>
      <c r="D177" s="143">
        <v>2101570035</v>
      </c>
      <c r="E177" s="107">
        <v>5.7132771192548081E-2</v>
      </c>
      <c r="F177" s="109">
        <v>64.957701937075186</v>
      </c>
      <c r="G177" s="114">
        <v>5.94</v>
      </c>
      <c r="H177" s="175" t="str">
        <f t="shared" si="2"/>
        <v>(60, 70]</v>
      </c>
      <c r="I177" s="110">
        <v>1</v>
      </c>
      <c r="J177" s="107">
        <v>5.7132771192548081E-2</v>
      </c>
      <c r="K177" s="107">
        <v>5.7132771192548108E-2</v>
      </c>
      <c r="L177" s="111">
        <v>57132771</v>
      </c>
      <c r="M177" s="107">
        <v>5.7132772713983183E-2</v>
      </c>
      <c r="N177" s="107">
        <v>3.7112136207935817</v>
      </c>
      <c r="O177" s="114"/>
      <c r="P177" s="107">
        <v>5.7132772713983183E-2</v>
      </c>
      <c r="Q177" s="107"/>
      <c r="R177" s="107"/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287925</v>
      </c>
      <c r="D178" s="143">
        <v>2157913760</v>
      </c>
      <c r="E178" s="107">
        <v>5.0845374435102904E-2</v>
      </c>
      <c r="F178" s="109">
        <v>74.94707857949119</v>
      </c>
      <c r="G178" s="114">
        <v>5.07</v>
      </c>
      <c r="H178" s="175" t="str">
        <f t="shared" si="2"/>
        <v>(70, 80]</v>
      </c>
      <c r="I178" s="110">
        <v>1</v>
      </c>
      <c r="J178" s="107">
        <v>5.0845374435102904E-2</v>
      </c>
      <c r="K178" s="107">
        <v>5.0845374435102925E-2</v>
      </c>
      <c r="L178" s="111">
        <v>50845374</v>
      </c>
      <c r="M178" s="107">
        <v>5.0845375525361267E-2</v>
      </c>
      <c r="N178" s="107">
        <v>3.8107123549029889</v>
      </c>
      <c r="O178" s="114"/>
      <c r="P178" s="107">
        <v>5.0845375525361267E-2</v>
      </c>
      <c r="Q178" s="107"/>
      <c r="R178" s="107"/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257379</v>
      </c>
      <c r="D179" s="143">
        <v>2186703165</v>
      </c>
      <c r="E179" s="107">
        <v>4.5451182171511159E-2</v>
      </c>
      <c r="F179" s="109">
        <v>84.96043441772639</v>
      </c>
      <c r="G179" s="114">
        <v>2.2400000000000002</v>
      </c>
      <c r="H179" s="175" t="str">
        <f t="shared" si="2"/>
        <v>(80, 90]</v>
      </c>
      <c r="I179" s="110">
        <v>1</v>
      </c>
      <c r="J179" s="107">
        <v>4.5451182171511159E-2</v>
      </c>
      <c r="K179" s="107">
        <v>4.545118217151118E-2</v>
      </c>
      <c r="L179" s="111">
        <v>45451182</v>
      </c>
      <c r="M179" s="107">
        <v>4.5451183363535499E-2</v>
      </c>
      <c r="N179" s="107">
        <v>3.8615522833657145</v>
      </c>
      <c r="O179" s="114"/>
      <c r="P179" s="107">
        <v>4.5451183363535499E-2</v>
      </c>
      <c r="Q179" s="107"/>
      <c r="R179" s="107"/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229149</v>
      </c>
      <c r="D180" s="143">
        <v>2175961095</v>
      </c>
      <c r="E180" s="107">
        <v>4.0465977967975672E-2</v>
      </c>
      <c r="F180" s="109">
        <v>94.958350025529228</v>
      </c>
      <c r="G180" s="114">
        <v>1.91</v>
      </c>
      <c r="H180" s="175" t="str">
        <f t="shared" si="2"/>
        <v>(90, 100]</v>
      </c>
      <c r="I180" s="110">
        <v>1</v>
      </c>
      <c r="J180" s="107">
        <v>4.0465977967975672E-2</v>
      </c>
      <c r="K180" s="107">
        <v>4.0465977967975693E-2</v>
      </c>
      <c r="L180" s="111">
        <v>40465977</v>
      </c>
      <c r="M180" s="107">
        <v>4.0465978213979348E-2</v>
      </c>
      <c r="N180" s="107">
        <v>3.8425825233684909</v>
      </c>
      <c r="O180" s="114"/>
      <c r="P180" s="107">
        <v>4.0465978213979348E-2</v>
      </c>
      <c r="Q180" s="107"/>
      <c r="R180" s="107"/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385077</v>
      </c>
      <c r="D181" s="143">
        <v>4222937800</v>
      </c>
      <c r="E181" s="107">
        <v>6.8001681866271146E-2</v>
      </c>
      <c r="F181" s="109">
        <v>109.66476315126584</v>
      </c>
      <c r="G181" s="114">
        <v>2.04</v>
      </c>
      <c r="H181" s="175" t="str">
        <f t="shared" si="2"/>
        <v>(100, 120]</v>
      </c>
      <c r="I181" s="110">
        <v>1</v>
      </c>
      <c r="J181" s="107">
        <v>6.8001681866271146E-2</v>
      </c>
      <c r="K181" s="107">
        <v>6.8001681866271174E-2</v>
      </c>
      <c r="L181" s="111">
        <v>68001681</v>
      </c>
      <c r="M181" s="107">
        <v>6.8001683040050498E-2</v>
      </c>
      <c r="N181" s="107">
        <v>7.4573884644745894</v>
      </c>
      <c r="O181" s="114"/>
      <c r="P181" s="107">
        <v>6.8001683040050498E-2</v>
      </c>
      <c r="Q181" s="107"/>
      <c r="R181" s="107"/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305723</v>
      </c>
      <c r="D182" s="143">
        <v>3964215135</v>
      </c>
      <c r="E182" s="107">
        <v>5.3988366444119001E-2</v>
      </c>
      <c r="F182" s="109">
        <v>129.66689241568346</v>
      </c>
      <c r="G182" s="114">
        <v>0.94</v>
      </c>
      <c r="H182" s="175" t="str">
        <f t="shared" si="2"/>
        <v>(120, 140]</v>
      </c>
      <c r="I182" s="110">
        <v>1</v>
      </c>
      <c r="J182" s="107">
        <v>5.3988366444119001E-2</v>
      </c>
      <c r="K182" s="107">
        <v>5.3988366444119022E-2</v>
      </c>
      <c r="L182" s="111">
        <v>53988366</v>
      </c>
      <c r="M182" s="107">
        <v>5.3988367619651027E-2</v>
      </c>
      <c r="N182" s="107">
        <v>7.0005038558356585</v>
      </c>
      <c r="O182" s="114"/>
      <c r="P182" s="107">
        <v>5.3988367619651027E-2</v>
      </c>
      <c r="Q182" s="107"/>
      <c r="R182" s="107"/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244942</v>
      </c>
      <c r="D183" s="143">
        <v>3666080620</v>
      </c>
      <c r="E183" s="107">
        <v>4.3254902161614914E-2</v>
      </c>
      <c r="F183" s="109">
        <v>149.67137608086813</v>
      </c>
      <c r="G183" s="114">
        <v>1.45</v>
      </c>
      <c r="H183" s="175" t="str">
        <f t="shared" si="2"/>
        <v>(140, 160]</v>
      </c>
      <c r="I183" s="110">
        <v>1</v>
      </c>
      <c r="J183" s="107">
        <v>4.3254902161614914E-2</v>
      </c>
      <c r="K183" s="107">
        <v>4.3254902161614935E-2</v>
      </c>
      <c r="L183" s="111">
        <v>43254902</v>
      </c>
      <c r="M183" s="107">
        <v>4.3254903297647099E-2</v>
      </c>
      <c r="N183" s="107">
        <v>6.4740208988037216</v>
      </c>
      <c r="O183" s="114"/>
      <c r="P183" s="107">
        <v>4.3254903297647099E-2</v>
      </c>
      <c r="Q183" s="107"/>
      <c r="R183" s="107"/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196468</v>
      </c>
      <c r="D184" s="143">
        <v>3333643480</v>
      </c>
      <c r="E184" s="107">
        <v>3.4694760873546227E-2</v>
      </c>
      <c r="F184" s="109">
        <v>169.67869983915955</v>
      </c>
      <c r="G184" s="114">
        <v>0.71</v>
      </c>
      <c r="H184" s="175" t="str">
        <f t="shared" si="2"/>
        <v>(160, 180]</v>
      </c>
      <c r="I184" s="110">
        <v>1</v>
      </c>
      <c r="J184" s="107">
        <v>3.4694760873546227E-2</v>
      </c>
      <c r="K184" s="107">
        <v>3.469476087354624E-2</v>
      </c>
      <c r="L184" s="111">
        <v>34694760</v>
      </c>
      <c r="M184" s="107">
        <v>3.4694761040842834E-2</v>
      </c>
      <c r="N184" s="107">
        <v>5.8869619446405377</v>
      </c>
      <c r="O184" s="114"/>
      <c r="P184" s="107">
        <v>3.4694761040842834E-2</v>
      </c>
      <c r="Q184" s="107"/>
      <c r="R184" s="107"/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157741</v>
      </c>
      <c r="D185" s="143">
        <v>2992348865</v>
      </c>
      <c r="E185" s="107">
        <v>2.7855865967760934E-2</v>
      </c>
      <c r="F185" s="109">
        <v>189.70013281264858</v>
      </c>
      <c r="G185" s="114">
        <v>0.62</v>
      </c>
      <c r="H185" s="175" t="str">
        <f t="shared" si="2"/>
        <v>(180, 200]</v>
      </c>
      <c r="I185" s="110">
        <v>1</v>
      </c>
      <c r="J185" s="107">
        <v>2.7855865967760934E-2</v>
      </c>
      <c r="K185" s="107">
        <v>2.7855865967760948E-2</v>
      </c>
      <c r="L185" s="111">
        <v>27855865</v>
      </c>
      <c r="M185" s="107">
        <v>2.7855865835675973E-2</v>
      </c>
      <c r="N185" s="107">
        <v>5.284261448639052</v>
      </c>
      <c r="O185" s="114"/>
      <c r="P185" s="107">
        <v>2.7855865835675973E-2</v>
      </c>
      <c r="Q185" s="107"/>
      <c r="R185" s="107"/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282875</v>
      </c>
      <c r="D186" s="143">
        <v>6309028485</v>
      </c>
      <c r="E186" s="107">
        <v>4.9953582680662439E-2</v>
      </c>
      <c r="F186" s="109">
        <v>223.0323812638091</v>
      </c>
      <c r="G186" s="114">
        <v>0.5</v>
      </c>
      <c r="H186" s="29" t="str">
        <f t="shared" si="2"/>
        <v>(200, 250]</v>
      </c>
      <c r="I186" s="110">
        <v>1</v>
      </c>
      <c r="J186" s="107">
        <v>4.9953582680662439E-2</v>
      </c>
      <c r="K186" s="107">
        <v>4.995358268066246E-2</v>
      </c>
      <c r="L186" s="111">
        <v>49953582</v>
      </c>
      <c r="M186" s="107">
        <v>4.9953583498607505E-2</v>
      </c>
      <c r="N186" s="107">
        <v>11.141266680354953</v>
      </c>
      <c r="O186" s="114"/>
      <c r="P186" s="107">
        <v>4.9953583498607505E-2</v>
      </c>
      <c r="Q186" s="107"/>
      <c r="R186" s="107"/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177238</v>
      </c>
      <c r="D187" s="143">
        <v>4842790480</v>
      </c>
      <c r="E187" s="107">
        <v>3.1298888509607596E-2</v>
      </c>
      <c r="F187" s="109">
        <v>273.23657906318056</v>
      </c>
      <c r="G187" s="114">
        <v>0.21</v>
      </c>
      <c r="H187" s="29" t="str">
        <f t="shared" si="2"/>
        <v>(250, 300]</v>
      </c>
      <c r="I187" s="110">
        <v>1</v>
      </c>
      <c r="J187" s="107">
        <v>3.1298888509607596E-2</v>
      </c>
      <c r="K187" s="107">
        <v>3.129888850960761E-2</v>
      </c>
      <c r="L187" s="111">
        <v>31298888</v>
      </c>
      <c r="M187" s="107">
        <v>3.1298888938966665E-2</v>
      </c>
      <c r="N187" s="107">
        <v>8.5520013421616721</v>
      </c>
      <c r="O187" s="114"/>
      <c r="P187" s="107">
        <v>3.1298888938966665E-2</v>
      </c>
      <c r="Q187" s="107"/>
      <c r="R187" s="107"/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116041</v>
      </c>
      <c r="D188" s="143">
        <v>3752003895</v>
      </c>
      <c r="E188" s="107">
        <v>2.0491961777628812E-2</v>
      </c>
      <c r="F188" s="109">
        <v>323.33432967657984</v>
      </c>
      <c r="G188" s="114">
        <v>0.19</v>
      </c>
      <c r="H188" s="29" t="str">
        <f t="shared" si="2"/>
        <v>(300, 350]</v>
      </c>
      <c r="I188" s="110">
        <v>1</v>
      </c>
      <c r="J188" s="107">
        <v>2.0491961777628812E-2</v>
      </c>
      <c r="K188" s="107">
        <v>2.0491961777628822E-2</v>
      </c>
      <c r="L188" s="111">
        <v>20491961</v>
      </c>
      <c r="M188" s="107">
        <v>2.0491961614758848E-2</v>
      </c>
      <c r="N188" s="107">
        <v>6.6257546724662566</v>
      </c>
      <c r="O188" s="114"/>
      <c r="P188" s="107">
        <v>2.0491961614758848E-2</v>
      </c>
      <c r="Q188" s="107"/>
      <c r="R188" s="107"/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78432</v>
      </c>
      <c r="D189" s="143">
        <v>2929136430</v>
      </c>
      <c r="E189" s="107">
        <v>1.3850497204806776E-2</v>
      </c>
      <c r="F189" s="109">
        <v>373.461907129743</v>
      </c>
      <c r="G189" s="114">
        <v>0.01</v>
      </c>
      <c r="H189" s="29" t="str">
        <f t="shared" si="2"/>
        <v>(350, 400]</v>
      </c>
      <c r="I189" s="110">
        <v>1</v>
      </c>
      <c r="J189" s="107">
        <v>1.3850497204806776E-2</v>
      </c>
      <c r="K189" s="107">
        <v>1.3850497204806782E-2</v>
      </c>
      <c r="L189" s="111">
        <v>13850497</v>
      </c>
      <c r="M189" s="107">
        <v>1.3850497415514923E-2</v>
      </c>
      <c r="N189" s="107">
        <v>5.1726331794937792</v>
      </c>
      <c r="O189" s="114"/>
      <c r="P189" s="107">
        <v>1.3850497415514923E-2</v>
      </c>
      <c r="Q189" s="107"/>
      <c r="R189" s="107"/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54389</v>
      </c>
      <c r="D190" s="143">
        <v>2303911585</v>
      </c>
      <c r="E190" s="107">
        <v>9.6046854915370732E-3</v>
      </c>
      <c r="F190" s="109">
        <v>423.59881317913545</v>
      </c>
      <c r="G190" s="114">
        <v>0.01</v>
      </c>
      <c r="H190" s="29" t="str">
        <f t="shared" si="2"/>
        <v>(400, 450]</v>
      </c>
      <c r="I190" s="110">
        <v>1</v>
      </c>
      <c r="J190" s="107">
        <v>9.6046854915370732E-3</v>
      </c>
      <c r="K190" s="107">
        <v>9.6046854915370766E-3</v>
      </c>
      <c r="L190" s="111">
        <v>9604685</v>
      </c>
      <c r="M190" s="107">
        <v>9.6046852881405582E-3</v>
      </c>
      <c r="N190" s="107">
        <v>4.0685332890154431</v>
      </c>
      <c r="O190" s="114"/>
      <c r="P190" s="107">
        <v>9.6046852881405582E-3</v>
      </c>
      <c r="Q190" s="107"/>
      <c r="R190" s="107"/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39782</v>
      </c>
      <c r="D191" s="143">
        <v>1884530330</v>
      </c>
      <c r="E191" s="107">
        <v>7.0251999158713677E-3</v>
      </c>
      <c r="F191" s="109">
        <v>473.71432557438033</v>
      </c>
      <c r="G191" s="114">
        <v>0.01</v>
      </c>
      <c r="H191" s="29" t="str">
        <f t="shared" si="2"/>
        <v>(450, 500]</v>
      </c>
      <c r="I191" s="110">
        <v>1</v>
      </c>
      <c r="J191" s="107">
        <v>7.0251999158713677E-3</v>
      </c>
      <c r="K191" s="107">
        <v>7.0251999158713711E-3</v>
      </c>
      <c r="L191" s="111">
        <v>7025199</v>
      </c>
      <c r="M191" s="107">
        <v>7.0251992107559762E-3</v>
      </c>
      <c r="N191" s="107">
        <v>3.327937506148936</v>
      </c>
      <c r="O191" s="114"/>
      <c r="P191" s="107">
        <v>7.0251992107559762E-3</v>
      </c>
      <c r="Q191" s="107"/>
      <c r="R191" s="107"/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28633</v>
      </c>
      <c r="D192" s="143">
        <v>1499802435</v>
      </c>
      <c r="E192" s="107">
        <v>5.0563709514641012E-3</v>
      </c>
      <c r="F192" s="109">
        <v>523.80205881325742</v>
      </c>
      <c r="G192" s="114">
        <v>0.01</v>
      </c>
      <c r="H192" s="29" t="str">
        <f t="shared" si="2"/>
        <v>(500, 550]</v>
      </c>
      <c r="I192" s="110">
        <v>1</v>
      </c>
      <c r="J192" s="107">
        <v>5.0563709514641012E-3</v>
      </c>
      <c r="K192" s="107">
        <v>5.0563709514641038E-3</v>
      </c>
      <c r="L192" s="111">
        <v>5056370</v>
      </c>
      <c r="M192" s="107">
        <v>5.0563701516911043E-3</v>
      </c>
      <c r="N192" s="107">
        <v>2.6485370955777032</v>
      </c>
      <c r="O192" s="114"/>
      <c r="P192" s="107">
        <v>5.0563701516911043E-3</v>
      </c>
      <c r="Q192" s="107"/>
      <c r="R192" s="107"/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21172</v>
      </c>
      <c r="D193" s="143">
        <v>1215326050</v>
      </c>
      <c r="E193" s="107">
        <v>3.738814856438304E-3</v>
      </c>
      <c r="F193" s="109">
        <v>574.02515114301912</v>
      </c>
      <c r="G193" s="114">
        <v>0.01</v>
      </c>
      <c r="H193" s="29" t="str">
        <f t="shared" si="2"/>
        <v>(550, 600]</v>
      </c>
      <c r="I193" s="110">
        <v>1</v>
      </c>
      <c r="J193" s="107">
        <v>3.738814856438304E-3</v>
      </c>
      <c r="K193" s="107">
        <v>3.7388148564383057E-3</v>
      </c>
      <c r="L193" s="111">
        <v>3738814</v>
      </c>
      <c r="M193" s="107">
        <v>3.7388141121644232E-3</v>
      </c>
      <c r="N193" s="107">
        <v>2.1461733358308357</v>
      </c>
      <c r="O193" s="114"/>
      <c r="P193" s="107">
        <v>3.7388141121644232E-3</v>
      </c>
      <c r="Q193" s="107"/>
      <c r="R193" s="107"/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16258</v>
      </c>
      <c r="D194" s="143">
        <v>1014470915</v>
      </c>
      <c r="E194" s="107">
        <v>2.8710396720184181E-3</v>
      </c>
      <c r="F194" s="109">
        <v>623.98260241112064</v>
      </c>
      <c r="G194" s="114">
        <v>0.01</v>
      </c>
      <c r="H194" s="29" t="str">
        <f t="shared" si="2"/>
        <v>(600, 650]</v>
      </c>
      <c r="I194" s="110">
        <v>1</v>
      </c>
      <c r="J194" s="107">
        <v>2.8710396720184181E-3</v>
      </c>
      <c r="K194" s="107">
        <v>2.8710396720184194E-3</v>
      </c>
      <c r="L194" s="111">
        <v>2871039</v>
      </c>
      <c r="M194" s="107">
        <v>2.8710390861311726E-3</v>
      </c>
      <c r="N194" s="107">
        <v>1.7914784405881747</v>
      </c>
      <c r="O194" s="114"/>
      <c r="P194" s="107">
        <v>2.8710390861311726E-3</v>
      </c>
      <c r="Q194" s="107"/>
      <c r="R194" s="107"/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12436</v>
      </c>
      <c r="D195" s="143">
        <v>838217640</v>
      </c>
      <c r="E195" s="107">
        <v>2.1961034174696175E-3</v>
      </c>
      <c r="F195" s="109">
        <v>674.02512061756192</v>
      </c>
      <c r="G195" s="114">
        <v>0.01</v>
      </c>
      <c r="H195" s="29" t="str">
        <f t="shared" si="2"/>
        <v>(650, 700]</v>
      </c>
      <c r="I195" s="110">
        <v>1</v>
      </c>
      <c r="J195" s="107">
        <v>2.1961034174696175E-3</v>
      </c>
      <c r="K195" s="107">
        <v>2.1961034174696184E-3</v>
      </c>
      <c r="L195" s="111">
        <v>2196103</v>
      </c>
      <c r="M195" s="107">
        <v>2.196103065883092E-3</v>
      </c>
      <c r="N195" s="107">
        <v>1.4802286338704487</v>
      </c>
      <c r="O195" s="114"/>
      <c r="P195" s="107">
        <v>2.196103065883092E-3</v>
      </c>
      <c r="Q195" s="107"/>
      <c r="R195" s="107"/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9938</v>
      </c>
      <c r="D196" s="143">
        <v>719383440</v>
      </c>
      <c r="E196" s="107">
        <v>1.7549755357681779E-3</v>
      </c>
      <c r="F196" s="109">
        <v>723.87144294626694</v>
      </c>
      <c r="G196" s="114">
        <v>0.01</v>
      </c>
      <c r="H196" s="29" t="str">
        <f t="shared" si="2"/>
        <v>(700, 750]</v>
      </c>
      <c r="I196" s="110">
        <v>1</v>
      </c>
      <c r="J196" s="107">
        <v>1.7549755357681779E-3</v>
      </c>
      <c r="K196" s="107">
        <v>1.7549755357681787E-3</v>
      </c>
      <c r="L196" s="111">
        <v>1754975</v>
      </c>
      <c r="M196" s="107">
        <v>1.7549750526492515E-3</v>
      </c>
      <c r="N196" s="107">
        <v>1.2703763236959145</v>
      </c>
      <c r="O196" s="114"/>
      <c r="P196" s="107">
        <v>1.7549750526492515E-3</v>
      </c>
      <c r="Q196" s="107"/>
      <c r="R196" s="107"/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7818</v>
      </c>
      <c r="D197" s="143">
        <v>605504875</v>
      </c>
      <c r="E197" s="107">
        <v>1.3805995913298062E-3</v>
      </c>
      <c r="F197" s="109">
        <v>774.50099130212334</v>
      </c>
      <c r="G197" s="114">
        <v>0.01</v>
      </c>
      <c r="H197" s="29" t="str">
        <f t="shared" si="2"/>
        <v>(750, 800]</v>
      </c>
      <c r="I197" s="110">
        <v>1</v>
      </c>
      <c r="J197" s="107">
        <v>1.3805995913298062E-3</v>
      </c>
      <c r="K197" s="107">
        <v>1.3805995913298069E-3</v>
      </c>
      <c r="L197" s="111">
        <v>1380599</v>
      </c>
      <c r="M197" s="107">
        <v>1.3805990414179712E-3</v>
      </c>
      <c r="N197" s="107">
        <v>1.06927532616898</v>
      </c>
      <c r="O197" s="114"/>
      <c r="P197" s="107">
        <v>1.3805990414179712E-3</v>
      </c>
      <c r="Q197" s="107"/>
      <c r="R197" s="107"/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6284</v>
      </c>
      <c r="D198" s="143">
        <v>517871740</v>
      </c>
      <c r="E198" s="107">
        <v>1.1097068088918526E-3</v>
      </c>
      <c r="F198" s="109">
        <v>824.11161680458304</v>
      </c>
      <c r="G198" s="114">
        <v>0.01</v>
      </c>
      <c r="H198" s="29" t="str">
        <f t="shared" si="2"/>
        <v>(800, 850]</v>
      </c>
      <c r="I198" s="110">
        <v>1</v>
      </c>
      <c r="J198" s="107">
        <v>1.1097068088918526E-3</v>
      </c>
      <c r="K198" s="107">
        <v>1.109706808891853E-3</v>
      </c>
      <c r="L198" s="111">
        <v>1109706</v>
      </c>
      <c r="M198" s="107">
        <v>1.109706033291181E-3</v>
      </c>
      <c r="N198" s="107">
        <v>0.91452163327339564</v>
      </c>
      <c r="O198" s="114"/>
      <c r="P198" s="107">
        <v>1.109706033291181E-3</v>
      </c>
      <c r="Q198" s="107"/>
      <c r="R198" s="107"/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5095</v>
      </c>
      <c r="D199" s="143">
        <v>445404305</v>
      </c>
      <c r="E199" s="107">
        <v>8.9973841363844497E-4</v>
      </c>
      <c r="F199" s="109">
        <v>874.19883218842006</v>
      </c>
      <c r="G199" s="114">
        <v>0.01</v>
      </c>
      <c r="H199" s="29" t="str">
        <f t="shared" si="2"/>
        <v>(850, 900]</v>
      </c>
      <c r="I199" s="110">
        <v>1</v>
      </c>
      <c r="J199" s="107">
        <v>8.9973841363844497E-4</v>
      </c>
      <c r="K199" s="107">
        <v>8.9973841363844541E-4</v>
      </c>
      <c r="L199" s="112">
        <v>899738</v>
      </c>
      <c r="M199" s="107">
        <v>8.9973802699214081E-4</v>
      </c>
      <c r="N199" s="107">
        <v>0.78654993247204263</v>
      </c>
      <c r="O199" s="114"/>
      <c r="P199" s="107">
        <v>8.9973802699214081E-4</v>
      </c>
      <c r="Q199" s="107"/>
      <c r="R199" s="107"/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4142</v>
      </c>
      <c r="D200" s="143">
        <v>382716055</v>
      </c>
      <c r="E200" s="107">
        <v>7.314458310677997E-4</v>
      </c>
      <c r="F200" s="109">
        <v>923.98854418155474</v>
      </c>
      <c r="G200" s="114">
        <v>0.01</v>
      </c>
      <c r="H200" s="29" t="str">
        <f t="shared" si="2"/>
        <v>(900, 950]</v>
      </c>
      <c r="I200" s="110">
        <v>1</v>
      </c>
      <c r="J200" s="107">
        <v>7.314458310677997E-4</v>
      </c>
      <c r="K200" s="107">
        <v>7.3144583106780003E-4</v>
      </c>
      <c r="L200" s="112">
        <v>731445</v>
      </c>
      <c r="M200" s="107">
        <v>7.3144502194335062E-4</v>
      </c>
      <c r="N200" s="107">
        <v>0.67584682097428195</v>
      </c>
      <c r="O200" s="114"/>
      <c r="P200" s="107">
        <v>7.3144502194335062E-4</v>
      </c>
      <c r="Q200" s="107"/>
      <c r="R200" s="107"/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3325</v>
      </c>
      <c r="D201" s="143">
        <v>323802300</v>
      </c>
      <c r="E201" s="107">
        <v>5.8716981851772909E-4</v>
      </c>
      <c r="F201" s="109">
        <v>973.84150375939851</v>
      </c>
      <c r="G201" s="114">
        <v>0.01</v>
      </c>
      <c r="H201" s="29" t="str">
        <f t="shared" si="2"/>
        <v>(950, 1000]</v>
      </c>
      <c r="I201" s="110">
        <v>1</v>
      </c>
      <c r="J201" s="107">
        <v>5.8716981851772909E-4</v>
      </c>
      <c r="K201" s="107">
        <v>5.8716981851772931E-4</v>
      </c>
      <c r="L201" s="112">
        <v>587169</v>
      </c>
      <c r="M201" s="107">
        <v>5.8716901761507055E-4</v>
      </c>
      <c r="N201" s="107">
        <v>0.57180955907518904</v>
      </c>
      <c r="O201" s="114"/>
      <c r="P201" s="107">
        <v>5.8716901761507055E-4</v>
      </c>
      <c r="Q201" s="107"/>
      <c r="R201" s="107"/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17500</v>
      </c>
      <c r="D202" s="143">
        <v>2232138985</v>
      </c>
      <c r="E202" s="107">
        <v>3.0903674658827847E-3</v>
      </c>
      <c r="F202" s="109">
        <v>1275.5079914285714</v>
      </c>
      <c r="G202" s="114">
        <v>0.01</v>
      </c>
      <c r="H202" s="29" t="str">
        <f t="shared" si="2"/>
        <v>(1000, 2000]</v>
      </c>
      <c r="I202" s="110">
        <v>1</v>
      </c>
      <c r="J202" s="107">
        <v>3.0903674658827847E-3</v>
      </c>
      <c r="K202" s="107">
        <v>3.090367465882786E-3</v>
      </c>
      <c r="L202" s="112">
        <v>3090367</v>
      </c>
      <c r="M202" s="107">
        <v>3.0903670927110126E-3</v>
      </c>
      <c r="N202" s="107">
        <v>3.9417879232007773</v>
      </c>
      <c r="O202" s="114"/>
      <c r="P202" s="107">
        <v>3.0903670927110126E-3</v>
      </c>
      <c r="Q202" s="107"/>
      <c r="R202" s="107"/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1264</v>
      </c>
      <c r="D203" s="143">
        <v>293845005</v>
      </c>
      <c r="E203" s="107">
        <v>2.2321282725004798E-4</v>
      </c>
      <c r="F203" s="109">
        <v>2324.7231408227849</v>
      </c>
      <c r="G203" s="114">
        <v>0</v>
      </c>
      <c r="H203" s="29" t="str">
        <f t="shared" si="2"/>
        <v>(2000, 3000]</v>
      </c>
      <c r="I203" s="110">
        <v>1</v>
      </c>
      <c r="J203" s="107">
        <v>2.2321282725004798E-4</v>
      </c>
      <c r="K203" s="107">
        <v>2.2321282725004809E-4</v>
      </c>
      <c r="L203" s="112">
        <v>223212</v>
      </c>
      <c r="M203" s="107">
        <v>2.2321200669636021E-4</v>
      </c>
      <c r="N203" s="107">
        <v>0.51890611727651903</v>
      </c>
      <c r="O203" s="114"/>
      <c r="P203" s="107">
        <v>2.2321200669636021E-4</v>
      </c>
      <c r="Q203" s="107"/>
      <c r="R203" s="107"/>
      <c r="S203" s="115">
        <v>0</v>
      </c>
    </row>
    <row r="204" spans="1:20" x14ac:dyDescent="0.3">
      <c r="A204" s="84">
        <v>3000</v>
      </c>
      <c r="B204" s="84">
        <v>4000</v>
      </c>
      <c r="C204" s="143">
        <v>204</v>
      </c>
      <c r="D204" s="143">
        <v>68505305</v>
      </c>
      <c r="E204" s="107">
        <v>3.6024855030862172E-5</v>
      </c>
      <c r="F204" s="109">
        <v>3358.1031862745094</v>
      </c>
      <c r="G204" s="114">
        <v>0</v>
      </c>
      <c r="H204" s="29" t="str">
        <f t="shared" si="2"/>
        <v>(3000, 4000]</v>
      </c>
      <c r="I204" s="110">
        <v>1</v>
      </c>
      <c r="J204" s="107">
        <v>3.6024855030862172E-5</v>
      </c>
      <c r="K204" s="107">
        <v>3.6024855030862186E-5</v>
      </c>
      <c r="L204" s="112">
        <v>36024</v>
      </c>
      <c r="M204" s="107">
        <v>3.6024001080720033E-5</v>
      </c>
      <c r="N204" s="107">
        <v>0.12097231281152232</v>
      </c>
      <c r="O204" s="114"/>
      <c r="P204" s="107">
        <v>3.6024001080720033E-5</v>
      </c>
      <c r="Q204" s="107"/>
      <c r="R204" s="107"/>
      <c r="S204" s="115">
        <v>0</v>
      </c>
    </row>
    <row r="205" spans="1:20" x14ac:dyDescent="0.3">
      <c r="A205" s="84">
        <v>4000</v>
      </c>
      <c r="B205" s="84">
        <v>5000</v>
      </c>
      <c r="C205" s="143">
        <v>37</v>
      </c>
      <c r="D205" s="143">
        <v>16351870</v>
      </c>
      <c r="E205" s="107">
        <v>6.533919785009316E-6</v>
      </c>
      <c r="F205" s="109">
        <v>4419.4243243243245</v>
      </c>
      <c r="G205" s="114">
        <v>0.01</v>
      </c>
      <c r="H205" s="29" t="str">
        <f t="shared" si="2"/>
        <v>(4000, 5000]</v>
      </c>
      <c r="I205" s="110">
        <v>1</v>
      </c>
      <c r="J205" s="107">
        <v>6.533919785009316E-6</v>
      </c>
      <c r="K205" s="107">
        <v>6.5339197850093185E-6</v>
      </c>
      <c r="L205" s="112">
        <v>6533</v>
      </c>
      <c r="M205" s="107">
        <v>6.5330001959900061E-6</v>
      </c>
      <c r="N205" s="107">
        <v>2.8872099976973813E-2</v>
      </c>
      <c r="O205" s="114"/>
      <c r="P205" s="107">
        <v>6.5330001959900061E-6</v>
      </c>
      <c r="Q205" s="107"/>
      <c r="R205" s="107"/>
      <c r="S205" s="115">
        <v>0</v>
      </c>
    </row>
    <row r="206" spans="1:20" x14ac:dyDescent="0.3">
      <c r="A206" s="84">
        <v>5000</v>
      </c>
      <c r="B206" s="84">
        <v>6000</v>
      </c>
      <c r="C206" s="143">
        <v>9</v>
      </c>
      <c r="D206" s="143">
        <v>4908905</v>
      </c>
      <c r="E206" s="107">
        <v>1.5893318395968607E-6</v>
      </c>
      <c r="F206" s="109">
        <v>5454.3388888888885</v>
      </c>
      <c r="G206" s="114">
        <v>0.01</v>
      </c>
      <c r="H206" s="29" t="str">
        <f t="shared" si="2"/>
        <v>(5000, 6000]</v>
      </c>
      <c r="I206" s="110">
        <v>1</v>
      </c>
      <c r="J206" s="107">
        <v>1.5893318395968607E-6</v>
      </c>
      <c r="K206" s="107">
        <v>1.5893318395968613E-6</v>
      </c>
      <c r="L206" s="112">
        <v>1589</v>
      </c>
      <c r="M206" s="107">
        <v>1.5890000476700014E-6</v>
      </c>
      <c r="N206" s="107">
        <v>8.666944754452786E-3</v>
      </c>
      <c r="O206" s="114"/>
      <c r="P206" s="107">
        <v>1.5890000476700014E-6</v>
      </c>
      <c r="Q206" s="107"/>
      <c r="R206" s="107"/>
      <c r="S206" s="115">
        <v>0</v>
      </c>
    </row>
    <row r="207" spans="1:20" x14ac:dyDescent="0.3">
      <c r="A207" s="84">
        <v>6000</v>
      </c>
      <c r="B207" s="84">
        <v>7000</v>
      </c>
      <c r="C207" s="143">
        <v>6</v>
      </c>
      <c r="D207" s="143">
        <v>3799075</v>
      </c>
      <c r="E207" s="107">
        <v>1.0595545597312404E-6</v>
      </c>
      <c r="F207" s="109">
        <v>6331.7916666666661</v>
      </c>
      <c r="G207" s="114">
        <v>0.01</v>
      </c>
      <c r="H207" s="29" t="str">
        <f t="shared" si="2"/>
        <v>(6000, 7000]</v>
      </c>
      <c r="I207" s="110">
        <v>1</v>
      </c>
      <c r="J207" s="107">
        <v>1.0595545597312404E-6</v>
      </c>
      <c r="K207" s="107">
        <v>1.0595545597312408E-6</v>
      </c>
      <c r="L207" s="112">
        <v>1059</v>
      </c>
      <c r="M207" s="107">
        <v>1.059000031770001E-6</v>
      </c>
      <c r="N207" s="107">
        <v>6.7053675761610271E-3</v>
      </c>
      <c r="O207" s="114"/>
      <c r="P207" s="107">
        <v>1.059000031770001E-6</v>
      </c>
      <c r="Q207" s="107"/>
      <c r="R207" s="107"/>
      <c r="S207" s="115">
        <v>0</v>
      </c>
    </row>
    <row r="208" spans="1:20" x14ac:dyDescent="0.3">
      <c r="A208" s="84">
        <v>7000</v>
      </c>
      <c r="B208" s="84">
        <v>8000</v>
      </c>
      <c r="C208" s="143">
        <v>2</v>
      </c>
      <c r="D208" s="143">
        <v>1497725</v>
      </c>
      <c r="E208" s="107">
        <v>3.5318485324374683E-7</v>
      </c>
      <c r="F208" s="109">
        <v>7488.625</v>
      </c>
      <c r="G208" s="114">
        <v>0.01</v>
      </c>
      <c r="H208" s="29" t="str">
        <f t="shared" si="2"/>
        <v>(7000, 8000]</v>
      </c>
      <c r="I208" s="110">
        <v>1</v>
      </c>
      <c r="J208" s="107">
        <v>3.5318485324374683E-7</v>
      </c>
      <c r="K208" s="107">
        <v>3.5318485324374698E-7</v>
      </c>
      <c r="L208" s="112">
        <v>353</v>
      </c>
      <c r="M208" s="107">
        <v>3.530000105900003E-7</v>
      </c>
      <c r="N208" s="107">
        <v>2.6434847043045411E-3</v>
      </c>
      <c r="O208" s="114"/>
      <c r="P208" s="107">
        <v>3.530000105900003E-7</v>
      </c>
      <c r="Q208" s="107"/>
      <c r="R208" s="107"/>
      <c r="S208" s="115">
        <v>0</v>
      </c>
    </row>
    <row r="209" spans="1:19" x14ac:dyDescent="0.3">
      <c r="A209" s="84">
        <v>8000</v>
      </c>
      <c r="B209" s="84">
        <v>9000</v>
      </c>
      <c r="C209" s="143">
        <v>0</v>
      </c>
      <c r="D209" s="143">
        <v>0</v>
      </c>
      <c r="E209" s="107">
        <v>0</v>
      </c>
      <c r="F209" s="109">
        <v>0</v>
      </c>
      <c r="G209" s="114">
        <v>0.01</v>
      </c>
      <c r="H209" s="29" t="str">
        <f t="shared" si="2"/>
        <v>(8000, 9000]</v>
      </c>
      <c r="I209" s="110">
        <v>1</v>
      </c>
      <c r="J209" s="107">
        <v>0</v>
      </c>
      <c r="K209" s="107">
        <v>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 x14ac:dyDescent="0.3">
      <c r="A210" s="84">
        <v>9000</v>
      </c>
      <c r="B210" s="84">
        <v>10000</v>
      </c>
      <c r="C210" s="143">
        <v>0</v>
      </c>
      <c r="D210" s="143">
        <v>0</v>
      </c>
      <c r="E210" s="107">
        <v>0</v>
      </c>
      <c r="F210" s="109">
        <v>0</v>
      </c>
      <c r="G210" s="114">
        <v>0.01</v>
      </c>
      <c r="H210" s="29" t="str">
        <f t="shared" si="2"/>
        <v>(9000, 10000]</v>
      </c>
      <c r="I210" s="110">
        <v>1</v>
      </c>
      <c r="J210" s="107">
        <v>0</v>
      </c>
      <c r="K210" s="107">
        <v>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 x14ac:dyDescent="0.3">
      <c r="A211" s="84">
        <v>10000</v>
      </c>
      <c r="B211" s="84">
        <v>20000</v>
      </c>
      <c r="C211" s="143">
        <v>1</v>
      </c>
      <c r="D211" s="143">
        <v>1591055</v>
      </c>
      <c r="E211" s="107">
        <v>1.7659242662187341E-7</v>
      </c>
      <c r="F211" s="109">
        <v>15910.55</v>
      </c>
      <c r="G211" s="114">
        <v>0.01</v>
      </c>
      <c r="H211" s="29" t="str">
        <f t="shared" si="2"/>
        <v>(10000, 20000]</v>
      </c>
      <c r="I211" s="110">
        <v>1</v>
      </c>
      <c r="J211" s="107">
        <v>1.7659242662187341E-7</v>
      </c>
      <c r="K211" s="107">
        <v>1.7659242662187349E-7</v>
      </c>
      <c r="L211" s="112">
        <v>176</v>
      </c>
      <c r="M211" s="107">
        <v>1.7600000528000017E-7</v>
      </c>
      <c r="N211" s="107">
        <v>2.8002568840077065E-3</v>
      </c>
      <c r="O211" s="114"/>
      <c r="P211" s="107">
        <v>1.7600000528000017E-7</v>
      </c>
      <c r="Q211" s="107"/>
      <c r="R211" s="107"/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1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1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1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1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1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1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1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1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1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89" t="s">
        <v>194</v>
      </c>
      <c r="C5" s="189" t="s">
        <v>55</v>
      </c>
      <c r="D5" s="21" t="s">
        <v>195</v>
      </c>
      <c r="E5" s="194"/>
      <c r="F5" s="65"/>
      <c r="G5" s="192" t="e">
        <f>SUM(F5:F6)/E5*$C$2</f>
        <v>#DIV/0!</v>
      </c>
      <c r="H5" s="66"/>
    </row>
    <row r="6" spans="1:8" x14ac:dyDescent="0.3">
      <c r="B6" s="188"/>
      <c r="C6" s="188"/>
      <c r="D6" s="4" t="s">
        <v>196</v>
      </c>
      <c r="E6" s="195"/>
      <c r="F6" s="67"/>
      <c r="G6" s="193"/>
      <c r="H6" s="66"/>
    </row>
    <row r="7" spans="1:8" x14ac:dyDescent="0.3">
      <c r="A7" s="26"/>
      <c r="B7" s="189" t="s">
        <v>197</v>
      </c>
      <c r="C7" s="189" t="s">
        <v>55</v>
      </c>
      <c r="D7" s="21" t="s">
        <v>195</v>
      </c>
      <c r="E7" s="194"/>
      <c r="F7" s="67"/>
      <c r="G7" s="192" t="e">
        <f>SUM(F7:F8)/E7*$C$2</f>
        <v>#DIV/0!</v>
      </c>
      <c r="H7" s="66"/>
    </row>
    <row r="8" spans="1:8" x14ac:dyDescent="0.3">
      <c r="B8" s="188"/>
      <c r="C8" s="188"/>
      <c r="D8" s="4" t="s">
        <v>196</v>
      </c>
      <c r="E8" s="195"/>
      <c r="F8" s="67"/>
      <c r="G8" s="193"/>
      <c r="H8" s="66"/>
    </row>
    <row r="9" spans="1:8" x14ac:dyDescent="0.3">
      <c r="A9" s="26"/>
      <c r="B9" s="187" t="s">
        <v>198</v>
      </c>
      <c r="C9" s="189" t="s">
        <v>91</v>
      </c>
      <c r="D9" s="21" t="s">
        <v>195</v>
      </c>
      <c r="E9" s="190">
        <f>F9</f>
        <v>0</v>
      </c>
      <c r="F9" s="67"/>
      <c r="G9" s="192" t="e">
        <f>SUM(F9:F10)/E9*$C$2</f>
        <v>#DIV/0!</v>
      </c>
      <c r="H9" s="66"/>
    </row>
    <row r="10" spans="1:8" x14ac:dyDescent="0.3">
      <c r="B10" s="188"/>
      <c r="C10" s="188"/>
      <c r="D10" s="4" t="s">
        <v>196</v>
      </c>
      <c r="E10" s="191"/>
      <c r="F10" s="67"/>
      <c r="G10" s="193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7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7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6" t="str" cm="1">
        <f t="array" ref="A4:B29">Overview!$A$42:$B$67</f>
        <v>WW</v>
      </c>
      <c r="B4" s="146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6">
        <v>0</v>
      </c>
      <c r="K4" s="34"/>
      <c r="L4" s="15" cm="1">
        <f t="array" ref="L4:L203">_xlfn.SEQUENCE(200)</f>
        <v>1</v>
      </c>
      <c r="M4" s="155" t="inlineStr">
        <is>
          <t>M4</t>
        </is>
      </c>
      <c r="N4" s="155" t="inlineStr">
        <is>
          <t>TE</t>
        </is>
      </c>
      <c r="O4" s="155" t="inlineStr">
        <is>
          <t>J</t>
        </is>
      </c>
      <c r="P4" s="155" t="inlineStr">
        <is>
          <t>M4</t>
        </is>
      </c>
      <c r="Q4" s="155" t="inlineStr">
        <is>
          <t>G2</t>
        </is>
      </c>
      <c r="R4" s="155" t="inlineStr">
        <is>
          <t>M4</t>
        </is>
      </c>
      <c r="S4" s="156" t="inlineStr">
        <is>
          <t>M6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6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8"/>
        <v>2</v>
      </c>
      <c r="D6" s="152">
        <f t="shared" si="9"/>
        <v>1</v>
      </c>
      <c r="E6" s="152">
        <f t="shared" si="10"/>
        <v>1</v>
      </c>
      <c r="F6" s="152">
        <f t="shared" si="11"/>
        <v>2</v>
      </c>
      <c r="G6" s="152">
        <f t="shared" si="12"/>
        <v>2</v>
      </c>
      <c r="H6" s="152">
        <f t="shared" si="13"/>
        <v>2</v>
      </c>
      <c r="I6" s="152">
        <f t="shared" si="14"/>
        <v>2</v>
      </c>
      <c r="J6" s="150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3915</v>
      </c>
      <c r="AN6" s="153">
        <v>3584</v>
      </c>
      <c r="AO6" s="153">
        <v>5137</v>
      </c>
      <c r="AP6" s="153">
        <v>2582</v>
      </c>
      <c r="AQ6" s="153">
        <v>3046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8"/>
        <v>6</v>
      </c>
      <c r="D7" s="152">
        <f t="shared" si="9"/>
        <v>12</v>
      </c>
      <c r="E7" s="152">
        <f t="shared" si="10"/>
        <v>10</v>
      </c>
      <c r="F7" s="152">
        <f t="shared" si="11"/>
        <v>12</v>
      </c>
      <c r="G7" s="152">
        <f t="shared" si="12"/>
        <v>16</v>
      </c>
      <c r="H7" s="152">
        <f t="shared" si="13"/>
        <v>12</v>
      </c>
      <c r="I7" s="152">
        <f t="shared" si="14"/>
        <v>15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13479</v>
      </c>
      <c r="AN7" s="153">
        <v>10547</v>
      </c>
      <c r="AO7" s="153">
        <v>10476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8"/>
        <v>11</v>
      </c>
      <c r="D8" s="152">
        <f t="shared" si="9"/>
        <v>10</v>
      </c>
      <c r="E8" s="152">
        <f t="shared" si="10"/>
        <v>10</v>
      </c>
      <c r="F8" s="152">
        <f t="shared" si="11"/>
        <v>12</v>
      </c>
      <c r="G8" s="152">
        <f t="shared" si="12"/>
        <v>9</v>
      </c>
      <c r="H8" s="152">
        <f t="shared" si="13"/>
        <v>7</v>
      </c>
      <c r="I8" s="152">
        <f t="shared" si="14"/>
        <v>8</v>
      </c>
      <c r="J8" s="150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54211</v>
      </c>
      <c r="AN8" s="153">
        <v>30613</v>
      </c>
      <c r="AO8" s="153">
        <v>47216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8"/>
        <v>10</v>
      </c>
      <c r="D9" s="152">
        <f t="shared" si="9"/>
        <v>8</v>
      </c>
      <c r="E9" s="152">
        <f t="shared" si="10"/>
        <v>16</v>
      </c>
      <c r="F9" s="152">
        <f t="shared" si="11"/>
        <v>22</v>
      </c>
      <c r="G9" s="152">
        <f t="shared" si="12"/>
        <v>11</v>
      </c>
      <c r="H9" s="152">
        <f t="shared" si="13"/>
        <v>18</v>
      </c>
      <c r="I9" s="152">
        <f t="shared" si="14"/>
        <v>22</v>
      </c>
      <c r="J9" s="150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138041</v>
      </c>
      <c r="AN9" s="153">
        <v>99303</v>
      </c>
      <c r="AO9" s="153">
        <v>121729</v>
      </c>
      <c r="AP9" s="153">
        <v>112715</v>
      </c>
      <c r="AQ9" s="153">
        <v>110487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8"/>
        <v>10</v>
      </c>
      <c r="D10" s="152">
        <f t="shared" si="9"/>
        <v>21</v>
      </c>
      <c r="E10" s="152">
        <f t="shared" si="10"/>
        <v>14</v>
      </c>
      <c r="F10" s="152">
        <f t="shared" si="11"/>
        <v>13</v>
      </c>
      <c r="G10" s="152">
        <f t="shared" si="12"/>
        <v>21</v>
      </c>
      <c r="H10" s="152">
        <f t="shared" si="13"/>
        <v>14</v>
      </c>
      <c r="I10" s="152">
        <f t="shared" si="14"/>
        <v>17</v>
      </c>
      <c r="J10" s="150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35353</v>
      </c>
      <c r="AN10" s="153">
        <v>129645</v>
      </c>
      <c r="AO10" s="153">
        <v>34526</v>
      </c>
      <c r="AP10" s="153">
        <v>46201</v>
      </c>
      <c r="AQ10" s="153">
        <v>38187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8"/>
        <v>24</v>
      </c>
      <c r="D11" s="152">
        <f t="shared" si="9"/>
        <v>6</v>
      </c>
      <c r="E11" s="152">
        <f t="shared" si="10"/>
        <v>16</v>
      </c>
      <c r="F11" s="152">
        <f t="shared" si="11"/>
        <v>20</v>
      </c>
      <c r="G11" s="152">
        <f t="shared" si="12"/>
        <v>12</v>
      </c>
      <c r="H11" s="152">
        <f t="shared" si="13"/>
        <v>22</v>
      </c>
      <c r="I11" s="152">
        <f t="shared" si="14"/>
        <v>26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132957</v>
      </c>
      <c r="AN11" s="153">
        <v>30235</v>
      </c>
      <c r="AO11" s="153">
        <v>136926</v>
      </c>
      <c r="AP11" s="153">
        <v>136215</v>
      </c>
      <c r="AQ11" s="153">
        <v>159365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8"/>
        <v>11</v>
      </c>
      <c r="D12" s="10">
        <f t="shared" si="9"/>
        <v>20</v>
      </c>
      <c r="E12" s="10">
        <f t="shared" si="10"/>
        <v>12</v>
      </c>
      <c r="F12" s="10">
        <f t="shared" si="11"/>
        <v>12</v>
      </c>
      <c r="G12" s="10">
        <f t="shared" si="12"/>
        <v>22</v>
      </c>
      <c r="H12" s="10">
        <f t="shared" si="13"/>
        <v>14</v>
      </c>
      <c r="I12" s="10">
        <f t="shared" si="14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8"/>
        <v>42</v>
      </c>
      <c r="D13" s="10">
        <f t="shared" si="9"/>
        <v>6</v>
      </c>
      <c r="E13" s="10">
        <f t="shared" si="10"/>
        <v>15</v>
      </c>
      <c r="F13" s="10">
        <f t="shared" si="11"/>
        <v>18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5">
        <v>10</v>
      </c>
      <c r="M13" s="155" t="inlineStr">
        <is>
          <t>A</t>
        </is>
      </c>
      <c r="N13" s="155" t="inlineStr">
        <is>
          <t>J</t>
        </is>
      </c>
      <c r="O13" s="155" t="inlineStr">
        <is>
          <t>K</t>
        </is>
      </c>
      <c r="P13" s="155" t="inlineStr">
        <is>
          <t>Q</t>
        </is>
      </c>
      <c r="Q13" s="155" t="inlineStr">
        <is>
          <t>M5</t>
        </is>
      </c>
      <c r="R13" s="155" t="inlineStr">
        <is>
          <t>M4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8"/>
        <v>11</v>
      </c>
      <c r="D14" s="10">
        <f t="shared" si="9"/>
        <v>35</v>
      </c>
      <c r="E14" s="10">
        <f t="shared" si="10"/>
        <v>19</v>
      </c>
      <c r="F14" s="10">
        <f t="shared" si="11"/>
        <v>12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8"/>
        <v>38</v>
      </c>
      <c r="D15" s="10">
        <f t="shared" si="9"/>
        <v>4</v>
      </c>
      <c r="E15" s="10">
        <f t="shared" si="10"/>
        <v>20</v>
      </c>
      <c r="F15" s="10">
        <f t="shared" si="11"/>
        <v>26</v>
      </c>
      <c r="G15" s="10">
        <f t="shared" si="12"/>
        <v>11</v>
      </c>
      <c r="H15" s="10">
        <f t="shared" si="13"/>
        <v>27</v>
      </c>
      <c r="I15" s="10">
        <f t="shared" si="14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8"/>
        <v>35</v>
      </c>
      <c r="D16" s="10">
        <f t="shared" si="9"/>
        <v>23</v>
      </c>
      <c r="E16" s="10">
        <f t="shared" si="10"/>
        <v>16</v>
      </c>
      <c r="F16" s="10">
        <f t="shared" si="11"/>
        <v>14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8"/>
        <v>0</v>
      </c>
      <c r="D17" s="152">
        <f t="shared" si="9"/>
        <v>0</v>
      </c>
      <c r="E17" s="152">
        <f t="shared" si="10"/>
        <v>0</v>
      </c>
      <c r="F17" s="152">
        <f t="shared" si="11"/>
        <v>0</v>
      </c>
      <c r="G17" s="152">
        <f t="shared" si="12"/>
        <v>0</v>
      </c>
      <c r="H17" s="152">
        <f t="shared" si="13"/>
        <v>0</v>
      </c>
      <c r="I17" s="152">
        <f t="shared" si="14"/>
        <v>0</v>
      </c>
      <c r="J17" s="150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94</v>
      </c>
      <c r="AN17" s="153">
        <v>93</v>
      </c>
      <c r="AO17" s="153">
        <v>133</v>
      </c>
      <c r="AP17" s="153">
        <v>29</v>
      </c>
      <c r="AQ17" s="153">
        <v>17</v>
      </c>
      <c r="AR17" s="153">
        <v>0</v>
      </c>
      <c r="AS17" s="150">
        <v>13</v>
      </c>
    </row>
    <row r="18" spans="1:45" s="147" customFormat="1" ht="15.9" customHeight="1" x14ac:dyDescent="0.3">
      <c r="A18" s="153" t="str">
        <v>G2</v>
      </c>
      <c r="B18" s="150" t="str">
        <v>Golden M2</v>
      </c>
      <c r="C18" s="152">
        <f t="shared" si="8"/>
        <v>0</v>
      </c>
      <c r="D18" s="152">
        <f t="shared" si="9"/>
        <v>4</v>
      </c>
      <c r="E18" s="152">
        <f t="shared" si="10"/>
        <v>4</v>
      </c>
      <c r="F18" s="152">
        <f t="shared" si="11"/>
        <v>3</v>
      </c>
      <c r="G18" s="152">
        <f t="shared" si="12"/>
        <v>4</v>
      </c>
      <c r="H18" s="152">
        <f t="shared" si="13"/>
        <v>3</v>
      </c>
      <c r="I18" s="152">
        <f t="shared" si="14"/>
        <v>0</v>
      </c>
      <c r="J18" s="150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322</v>
      </c>
      <c r="AN18" s="153">
        <v>273</v>
      </c>
      <c r="AO18" s="153">
        <v>270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8"/>
        <v>0</v>
      </c>
      <c r="D19" s="152">
        <f t="shared" si="9"/>
        <v>4</v>
      </c>
      <c r="E19" s="152">
        <f t="shared" si="10"/>
        <v>4</v>
      </c>
      <c r="F19" s="152">
        <f t="shared" si="11"/>
        <v>3</v>
      </c>
      <c r="G19" s="152">
        <f t="shared" si="12"/>
        <v>2</v>
      </c>
      <c r="H19" s="152">
        <f t="shared" si="13"/>
        <v>1</v>
      </c>
      <c r="I19" s="152">
        <f t="shared" si="14"/>
        <v>0</v>
      </c>
      <c r="J19" s="150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1296</v>
      </c>
      <c r="AN19" s="153">
        <v>793</v>
      </c>
      <c r="AO19" s="153">
        <v>1219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8"/>
        <v>0</v>
      </c>
      <c r="D20" s="152">
        <f t="shared" si="9"/>
        <v>3</v>
      </c>
      <c r="E20" s="152">
        <f t="shared" si="10"/>
        <v>6</v>
      </c>
      <c r="F20" s="152">
        <f t="shared" si="11"/>
        <v>5</v>
      </c>
      <c r="G20" s="152">
        <f t="shared" si="12"/>
        <v>3</v>
      </c>
      <c r="H20" s="152">
        <f t="shared" si="13"/>
        <v>4</v>
      </c>
      <c r="I20" s="152">
        <f t="shared" si="14"/>
        <v>0</v>
      </c>
      <c r="J20" s="150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3301</v>
      </c>
      <c r="AN20" s="153">
        <v>2571</v>
      </c>
      <c r="AO20" s="153">
        <v>3143</v>
      </c>
      <c r="AP20" s="153">
        <v>1283</v>
      </c>
      <c r="AQ20" s="153">
        <v>625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8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845</v>
      </c>
      <c r="AN21" s="153">
        <v>3357</v>
      </c>
      <c r="AO21" s="153">
        <v>891</v>
      </c>
      <c r="AP21" s="153">
        <v>526</v>
      </c>
      <c r="AQ21" s="153">
        <v>216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8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J</t>
        </is>
      </c>
      <c r="N22" s="155" t="inlineStr">
        <is>
          <t>Q</t>
        </is>
      </c>
      <c r="O22" s="155" t="inlineStr">
        <is>
          <t>GT</t>
        </is>
      </c>
      <c r="P22" s="155" t="inlineStr">
        <is>
          <t>TE</t>
        </is>
      </c>
      <c r="Q22" s="155" t="inlineStr">
        <is>
          <t>M6</t>
        </is>
      </c>
      <c r="R22" s="155" t="inlineStr">
        <is>
          <t>A</t>
        </is>
      </c>
      <c r="S22" s="156" t="inlineStr">
        <is>
          <t>M6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3179</v>
      </c>
      <c r="AN22" s="153">
        <v>783</v>
      </c>
      <c r="AO22" s="153">
        <v>3535</v>
      </c>
      <c r="AP22" s="153">
        <v>1551</v>
      </c>
      <c r="AQ22" s="153">
        <v>902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8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8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8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8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8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8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8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7"/>
      <c r="B30" s="147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M2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M4</t>
        </is>
      </c>
      <c r="R31" s="155" t="inlineStr">
        <is>
          <t>G3</t>
        </is>
      </c>
      <c r="S31" s="156" t="inlineStr">
        <is>
          <t>Q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6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3915</v>
      </c>
      <c r="AN35" s="153">
        <v>3584</v>
      </c>
      <c r="AO35" s="153">
        <v>5137</v>
      </c>
      <c r="AP35" s="153">
        <v>2582</v>
      </c>
      <c r="AQ35" s="153">
        <v>3046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13479</v>
      </c>
      <c r="AN36" s="153">
        <v>10547</v>
      </c>
      <c r="AO36" s="153">
        <v>10476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54211</v>
      </c>
      <c r="AN37" s="153">
        <v>30613</v>
      </c>
      <c r="AO37" s="153">
        <v>47216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138041</v>
      </c>
      <c r="AN38" s="153">
        <v>99303</v>
      </c>
      <c r="AO38" s="153">
        <v>121729</v>
      </c>
      <c r="AP38" s="153">
        <v>112715</v>
      </c>
      <c r="AQ38" s="153">
        <v>110487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35353</v>
      </c>
      <c r="AN39" s="153">
        <v>129645</v>
      </c>
      <c r="AO39" s="153">
        <v>34526</v>
      </c>
      <c r="AP39" s="153">
        <v>46201</v>
      </c>
      <c r="AQ39" s="153">
        <v>38187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K</t>
        </is>
      </c>
      <c r="N40" s="155" t="inlineStr">
        <is>
          <t>TE</t>
        </is>
      </c>
      <c r="O40" s="155" t="inlineStr">
        <is>
          <t>M5</t>
        </is>
      </c>
      <c r="P40" s="155" t="inlineStr">
        <is>
          <t>GQ</t>
        </is>
      </c>
      <c r="Q40" s="155" t="inlineStr">
        <is>
          <t>A</t>
        </is>
      </c>
      <c r="R40" s="155" t="inlineStr">
        <is>
          <t>A</t>
        </is>
      </c>
      <c r="S40" s="156" t="inlineStr">
        <is>
          <t>A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132957</v>
      </c>
      <c r="AN40" s="153">
        <v>30235</v>
      </c>
      <c r="AO40" s="153">
        <v>136926</v>
      </c>
      <c r="AP40" s="153">
        <v>136215</v>
      </c>
      <c r="AQ40" s="153">
        <v>159365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94</v>
      </c>
      <c r="AN46" s="153">
        <v>93</v>
      </c>
      <c r="AO46" s="153">
        <v>133</v>
      </c>
      <c r="AP46" s="153">
        <v>29</v>
      </c>
      <c r="AQ46" s="153">
        <v>17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322</v>
      </c>
      <c r="AN47" s="153">
        <v>273</v>
      </c>
      <c r="AO47" s="153">
        <v>270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1296</v>
      </c>
      <c r="AN48" s="153">
        <v>793</v>
      </c>
      <c r="AO48" s="153">
        <v>1219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TE</t>
        </is>
      </c>
      <c r="N49" s="155" t="inlineStr">
        <is>
          <t>M2</t>
        </is>
      </c>
      <c r="O49" s="155" t="inlineStr">
        <is>
          <t>G4</t>
        </is>
      </c>
      <c r="P49" s="155" t="inlineStr">
        <is>
          <t>M4</t>
        </is>
      </c>
      <c r="Q49" s="155" t="inlineStr">
        <is>
          <t>A</t>
        </is>
      </c>
      <c r="R49" s="155" t="inlineStr">
        <is>
          <t>J</t>
        </is>
      </c>
      <c r="S49" s="156" t="inlineStr">
        <is>
          <t>J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3301</v>
      </c>
      <c r="AN49" s="153">
        <v>2571</v>
      </c>
      <c r="AO49" s="153">
        <v>3143</v>
      </c>
      <c r="AP49" s="153">
        <v>1283</v>
      </c>
      <c r="AQ49" s="153">
        <v>625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845</v>
      </c>
      <c r="AN50" s="153">
        <v>3357</v>
      </c>
      <c r="AO50" s="153">
        <v>891</v>
      </c>
      <c r="AP50" s="153">
        <v>526</v>
      </c>
      <c r="AQ50" s="153">
        <v>216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3179</v>
      </c>
      <c r="AN51" s="153">
        <v>783</v>
      </c>
      <c r="AO51" s="153">
        <v>3535</v>
      </c>
      <c r="AP51" s="153">
        <v>1551</v>
      </c>
      <c r="AQ51" s="153">
        <v>902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K</t>
        </is>
      </c>
      <c r="N58" s="155" t="inlineStr">
        <is>
          <t>M2</t>
        </is>
      </c>
      <c r="O58" s="155" t="inlineStr">
        <is>
          <t>M6</t>
        </is>
      </c>
      <c r="P58" s="155" t="inlineStr">
        <is>
          <t>M2</t>
        </is>
      </c>
      <c r="Q58" s="155" t="inlineStr">
        <is>
          <t>GT</t>
        </is>
      </c>
      <c r="R58" s="155" t="inlineStr">
        <is>
          <t>A</t>
        </is>
      </c>
      <c r="S58" s="156" t="inlineStr">
        <is>
          <t>M4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3797</v>
      </c>
      <c r="AM64" s="153">
        <v>3915</v>
      </c>
      <c r="AN64" s="153">
        <v>3584</v>
      </c>
      <c r="AO64" s="153">
        <v>5137</v>
      </c>
      <c r="AP64" s="153">
        <v>2582</v>
      </c>
      <c r="AQ64" s="153">
        <v>3046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13479</v>
      </c>
      <c r="AN65" s="153">
        <v>10547</v>
      </c>
      <c r="AO65" s="153">
        <v>10476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54211</v>
      </c>
      <c r="AN66" s="153">
        <v>30613</v>
      </c>
      <c r="AO66" s="153">
        <v>47216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M3</t>
        </is>
      </c>
      <c r="N67" s="155" t="inlineStr">
        <is>
          <t>Q</t>
        </is>
      </c>
      <c r="O67" s="155" t="inlineStr">
        <is>
          <t>J</t>
        </is>
      </c>
      <c r="P67" s="155" t="inlineStr">
        <is>
          <t>A</t>
        </is>
      </c>
      <c r="Q67" s="155" t="inlineStr">
        <is>
          <t>Q</t>
        </is>
      </c>
      <c r="R67" s="155" t="inlineStr">
        <is>
          <t>M2</t>
        </is>
      </c>
      <c r="S67" s="156" t="inlineStr">
        <is>
          <t>A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138041</v>
      </c>
      <c r="AN67" s="153">
        <v>99303</v>
      </c>
      <c r="AO67" s="153">
        <v>121729</v>
      </c>
      <c r="AP67" s="153">
        <v>112715</v>
      </c>
      <c r="AQ67" s="153">
        <v>110487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35353</v>
      </c>
      <c r="AN68" s="153">
        <v>129645</v>
      </c>
      <c r="AO68" s="153">
        <v>34526</v>
      </c>
      <c r="AP68" s="153">
        <v>46201</v>
      </c>
      <c r="AQ68" s="153">
        <v>38187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132957</v>
      </c>
      <c r="AN69" s="153">
        <v>30235</v>
      </c>
      <c r="AO69" s="153">
        <v>136926</v>
      </c>
      <c r="AP69" s="153">
        <v>136215</v>
      </c>
      <c r="AQ69" s="153">
        <v>159365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94</v>
      </c>
      <c r="AN75" s="153">
        <v>93</v>
      </c>
      <c r="AO75" s="153">
        <v>133</v>
      </c>
      <c r="AP75" s="153">
        <v>29</v>
      </c>
      <c r="AQ75" s="153">
        <v>17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M3</t>
        </is>
      </c>
      <c r="N76" s="155" t="inlineStr">
        <is>
          <t>M6</t>
        </is>
      </c>
      <c r="O76" s="155" t="inlineStr">
        <is>
          <t>M5</t>
        </is>
      </c>
      <c r="P76" s="155" t="inlineStr">
        <is>
          <t>M5</t>
        </is>
      </c>
      <c r="Q76" s="155" t="inlineStr">
        <is>
          <t>A</t>
        </is>
      </c>
      <c r="R76" s="155" t="inlineStr">
        <is>
          <t>TE</t>
        </is>
      </c>
      <c r="S76" s="156" t="inlineStr">
        <is>
          <t>J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322</v>
      </c>
      <c r="AN76" s="153">
        <v>273</v>
      </c>
      <c r="AO76" s="153">
        <v>270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1296</v>
      </c>
      <c r="AN77" s="153">
        <v>793</v>
      </c>
      <c r="AO77" s="153">
        <v>1219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3301</v>
      </c>
      <c r="AN78" s="153">
        <v>2571</v>
      </c>
      <c r="AO78" s="153">
        <v>3143</v>
      </c>
      <c r="AP78" s="153">
        <v>1283</v>
      </c>
      <c r="AQ78" s="153">
        <v>625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845</v>
      </c>
      <c r="AN79" s="153">
        <v>3357</v>
      </c>
      <c r="AO79" s="153">
        <v>891</v>
      </c>
      <c r="AP79" s="153">
        <v>526</v>
      </c>
      <c r="AQ79" s="153">
        <v>216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3179</v>
      </c>
      <c r="AN80" s="153">
        <v>783</v>
      </c>
      <c r="AO80" s="153">
        <v>3535</v>
      </c>
      <c r="AP80" s="153">
        <v>1551</v>
      </c>
      <c r="AQ80" s="153">
        <v>902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GQ</t>
        </is>
      </c>
      <c r="O85" s="155" t="inlineStr">
        <is>
          <t>A</t>
        </is>
      </c>
      <c r="P85" s="155" t="inlineStr">
        <is>
          <t>M2</t>
        </is>
      </c>
      <c r="Q85" s="155" t="inlineStr">
        <is>
          <t>M6</t>
        </is>
      </c>
      <c r="R85" s="155" t="inlineStr">
        <is>
          <t>M6</t>
        </is>
      </c>
      <c r="S85" s="156" t="inlineStr">
        <is>
          <t>M4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3915</v>
      </c>
      <c r="AN93" s="153">
        <v>3584</v>
      </c>
      <c r="AO93" s="153">
        <v>5137</v>
      </c>
      <c r="AP93" s="153">
        <v>2582</v>
      </c>
      <c r="AQ93" s="153">
        <v>3046</v>
      </c>
      <c r="AR93" s="153">
        <v>3063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G3</t>
        </is>
      </c>
      <c r="Q94" s="155" t="inlineStr">
        <is>
          <t>M5</t>
        </is>
      </c>
      <c r="R94" s="155" t="inlineStr">
        <is>
          <t>M6</t>
        </is>
      </c>
      <c r="S94" s="156" t="inlineStr">
        <is>
          <t>J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13479</v>
      </c>
      <c r="AN94" s="153">
        <v>10547</v>
      </c>
      <c r="AO94" s="153">
        <v>10476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54211</v>
      </c>
      <c r="AN95" s="153">
        <v>30613</v>
      </c>
      <c r="AO95" s="153">
        <v>47216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138041</v>
      </c>
      <c r="AN96" s="153">
        <v>99303</v>
      </c>
      <c r="AO96" s="153">
        <v>121729</v>
      </c>
      <c r="AP96" s="153">
        <v>112715</v>
      </c>
      <c r="AQ96" s="153">
        <v>110487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35353</v>
      </c>
      <c r="AN97" s="153">
        <v>129645</v>
      </c>
      <c r="AO97" s="153">
        <v>34526</v>
      </c>
      <c r="AP97" s="153">
        <v>46201</v>
      </c>
      <c r="AQ97" s="153">
        <v>38187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132957</v>
      </c>
      <c r="AN98" s="153">
        <v>30235</v>
      </c>
      <c r="AO98" s="153">
        <v>136926</v>
      </c>
      <c r="AP98" s="153">
        <v>136215</v>
      </c>
      <c r="AQ98" s="153">
        <v>159365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TE</t>
        </is>
      </c>
      <c r="N103" s="155" t="inlineStr">
        <is>
          <t>M2</t>
        </is>
      </c>
      <c r="O103" s="155" t="inlineStr">
        <is>
          <t>TE</t>
        </is>
      </c>
      <c r="P103" s="155" t="inlineStr">
        <is>
          <t>M4</t>
        </is>
      </c>
      <c r="Q103" s="155" t="inlineStr">
        <is>
          <t>M3</t>
        </is>
      </c>
      <c r="R103" s="155" t="inlineStr">
        <is>
          <t>J</t>
        </is>
      </c>
      <c r="S103" s="156" t="inlineStr">
        <is>
          <t>J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94</v>
      </c>
      <c r="AN104" s="153">
        <v>93</v>
      </c>
      <c r="AO104" s="153">
        <v>133</v>
      </c>
      <c r="AP104" s="153">
        <v>29</v>
      </c>
      <c r="AQ104" s="153">
        <v>17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322</v>
      </c>
      <c r="AN105" s="153">
        <v>273</v>
      </c>
      <c r="AO105" s="153">
        <v>270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1296</v>
      </c>
      <c r="AN106" s="153">
        <v>793</v>
      </c>
      <c r="AO106" s="153">
        <v>1219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3301</v>
      </c>
      <c r="AN107" s="153">
        <v>2571</v>
      </c>
      <c r="AO107" s="153">
        <v>3143</v>
      </c>
      <c r="AP107" s="153">
        <v>1283</v>
      </c>
      <c r="AQ107" s="153">
        <v>625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845</v>
      </c>
      <c r="AN108" s="153">
        <v>3357</v>
      </c>
      <c r="AO108" s="153">
        <v>891</v>
      </c>
      <c r="AP108" s="153">
        <v>526</v>
      </c>
      <c r="AQ108" s="153">
        <v>216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3179</v>
      </c>
      <c r="AN109" s="153">
        <v>783</v>
      </c>
      <c r="AO109" s="153">
        <v>3535</v>
      </c>
      <c r="AP109" s="153">
        <v>1551</v>
      </c>
      <c r="AQ109" s="153">
        <v>902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K</t>
        </is>
      </c>
      <c r="N112" s="155" t="inlineStr">
        <is>
          <t>M5</t>
        </is>
      </c>
      <c r="O112" s="155" t="inlineStr">
        <is>
          <t>Q</t>
        </is>
      </c>
      <c r="P112" s="155" t="inlineStr">
        <is>
          <t>J</t>
        </is>
      </c>
      <c r="Q112" s="155" t="inlineStr">
        <is>
          <t>M5</t>
        </is>
      </c>
      <c r="R112" s="155" t="inlineStr">
        <is>
          <t>GK</t>
        </is>
      </c>
      <c r="S112" s="156" t="inlineStr">
        <is>
          <t>M2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J</t>
        </is>
      </c>
      <c r="N121" s="155" t="inlineStr">
        <is>
          <t>M5</t>
        </is>
      </c>
      <c r="O121" s="155" t="inlineStr">
        <is>
          <t>TE</t>
        </is>
      </c>
      <c r="P121" s="155" t="inlineStr">
        <is>
          <t>J</t>
        </is>
      </c>
      <c r="Q121" s="155" t="inlineStr">
        <is>
          <t>M2</t>
        </is>
      </c>
      <c r="R121" s="155" t="inlineStr">
        <is>
          <t>K</t>
        </is>
      </c>
      <c r="S121" s="156" t="inlineStr">
        <is>
          <t>M5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3797</v>
      </c>
      <c r="AM122" s="153">
        <v>3915</v>
      </c>
      <c r="AN122" s="153">
        <v>3584</v>
      </c>
      <c r="AO122" s="153">
        <v>5137</v>
      </c>
      <c r="AP122" s="153">
        <v>2582</v>
      </c>
      <c r="AQ122" s="153">
        <v>3046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13479</v>
      </c>
      <c r="AN123" s="153">
        <v>10547</v>
      </c>
      <c r="AO123" s="153">
        <v>10476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54211</v>
      </c>
      <c r="AN124" s="153">
        <v>30613</v>
      </c>
      <c r="AO124" s="153">
        <v>47216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138041</v>
      </c>
      <c r="AN125" s="153">
        <v>99303</v>
      </c>
      <c r="AO125" s="153">
        <v>121729</v>
      </c>
      <c r="AP125" s="153">
        <v>112715</v>
      </c>
      <c r="AQ125" s="153">
        <v>110487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35353</v>
      </c>
      <c r="AN126" s="153">
        <v>129645</v>
      </c>
      <c r="AO126" s="153">
        <v>34526</v>
      </c>
      <c r="AP126" s="153">
        <v>46201</v>
      </c>
      <c r="AQ126" s="153">
        <v>38187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132957</v>
      </c>
      <c r="AN127" s="153">
        <v>30235</v>
      </c>
      <c r="AO127" s="153">
        <v>136926</v>
      </c>
      <c r="AP127" s="153">
        <v>136215</v>
      </c>
      <c r="AQ127" s="153">
        <v>159365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J</t>
        </is>
      </c>
      <c r="O130" s="155" t="inlineStr">
        <is>
          <t>M2</t>
        </is>
      </c>
      <c r="P130" s="155" t="inlineStr">
        <is>
          <t>GA</t>
        </is>
      </c>
      <c r="Q130" s="155" t="inlineStr">
        <is>
          <t>A</t>
        </is>
      </c>
      <c r="R130" s="155" t="inlineStr">
        <is>
          <t>Q</t>
        </is>
      </c>
      <c r="S130" s="156" t="inlineStr">
        <is>
          <t>K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94</v>
      </c>
      <c r="AN133" s="153">
        <v>93</v>
      </c>
      <c r="AO133" s="153">
        <v>133</v>
      </c>
      <c r="AP133" s="153">
        <v>29</v>
      </c>
      <c r="AQ133" s="153">
        <v>17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322</v>
      </c>
      <c r="AN134" s="153">
        <v>273</v>
      </c>
      <c r="AO134" s="153">
        <v>270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1296</v>
      </c>
      <c r="AN135" s="153">
        <v>793</v>
      </c>
      <c r="AO135" s="153">
        <v>1219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3301</v>
      </c>
      <c r="AN136" s="153">
        <v>2571</v>
      </c>
      <c r="AO136" s="153">
        <v>3143</v>
      </c>
      <c r="AP136" s="153">
        <v>1283</v>
      </c>
      <c r="AQ136" s="153">
        <v>625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845</v>
      </c>
      <c r="AN137" s="153">
        <v>3357</v>
      </c>
      <c r="AO137" s="153">
        <v>891</v>
      </c>
      <c r="AP137" s="153">
        <v>526</v>
      </c>
      <c r="AQ137" s="153">
        <v>216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3179</v>
      </c>
      <c r="AN138" s="153">
        <v>783</v>
      </c>
      <c r="AO138" s="153">
        <v>3535</v>
      </c>
      <c r="AP138" s="153">
        <v>1551</v>
      </c>
      <c r="AQ138" s="153">
        <v>902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GT</t>
        </is>
      </c>
      <c r="O139" s="155" t="inlineStr">
        <is>
          <t>Q</t>
        </is>
      </c>
      <c r="P139" s="155" t="inlineStr">
        <is>
          <t>GQ</t>
        </is>
      </c>
      <c r="Q139" s="155" t="inlineStr">
        <is>
          <t>Q</t>
        </is>
      </c>
      <c r="R139" s="155" t="inlineStr">
        <is>
          <t>M6</t>
        </is>
      </c>
      <c r="S139" s="156" t="inlineStr">
        <is>
          <t>M6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M6</t>
        </is>
      </c>
      <c r="N148" s="155" t="inlineStr">
        <is>
          <t>TE</t>
        </is>
      </c>
      <c r="O148" s="155" t="inlineStr">
        <is>
          <t>M3</t>
        </is>
      </c>
      <c r="P148" s="155" t="inlineStr">
        <is>
          <t>M5</t>
        </is>
      </c>
      <c r="Q148" s="155" t="inlineStr">
        <is>
          <t>M5</t>
        </is>
      </c>
      <c r="R148" s="155" t="inlineStr">
        <is>
          <t>Q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G5</t>
        </is>
      </c>
      <c r="O157" s="155" t="inlineStr">
        <is>
          <t>J</t>
        </is>
      </c>
      <c r="P157" s="155" t="inlineStr">
        <is>
          <t>M6</t>
        </is>
      </c>
      <c r="Q157" s="155" t="inlineStr">
        <is>
          <t>M5</t>
        </is>
      </c>
      <c r="R157" s="155" t="inlineStr">
        <is>
          <t>GT</t>
        </is>
      </c>
      <c r="S157" s="156" t="inlineStr">
        <is>
          <t>J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A</t>
        </is>
      </c>
      <c r="O166" s="155" t="inlineStr">
        <is>
          <t>A</t>
        </is>
      </c>
      <c r="P166" s="155" t="inlineStr">
        <is>
          <t>A</t>
        </is>
      </c>
      <c r="Q166" s="155" t="inlineStr">
        <is>
          <t>K</t>
        </is>
      </c>
      <c r="R166" s="155" t="inlineStr">
        <is>
          <t>Q</t>
        </is>
      </c>
      <c r="S166" s="156" t="inlineStr">
        <is>
          <t>J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Q</t>
        </is>
      </c>
      <c r="O175" s="155" t="inlineStr">
        <is>
          <t>M5</t>
        </is>
      </c>
      <c r="P175" s="155" t="inlineStr">
        <is>
          <t>M2</t>
        </is>
      </c>
      <c r="Q175" s="155" t="inlineStr">
        <is>
          <t>J</t>
        </is>
      </c>
      <c r="R175" s="155" t="inlineStr">
        <is>
          <t>K</t>
        </is>
      </c>
      <c r="S175" s="156" t="inlineStr">
        <is>
          <t>M6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TE</t>
        </is>
      </c>
      <c r="O184" s="155" t="inlineStr">
        <is>
          <t>TE</t>
        </is>
      </c>
      <c r="P184" s="155" t="inlineStr">
        <is>
          <t>M6</t>
        </is>
      </c>
      <c r="Q184" s="155" t="inlineStr">
        <is>
          <t>GA</t>
        </is>
      </c>
      <c r="R184" s="155" t="inlineStr">
        <is>
          <t>J</t>
        </is>
      </c>
      <c r="S184" s="156" t="inlineStr">
        <is>
          <t>J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TE</t>
        </is>
      </c>
      <c r="N193" s="155" t="inlineStr">
        <is>
          <t>A</t>
        </is>
      </c>
      <c r="O193" s="155" t="inlineStr">
        <is>
          <t>M6</t>
        </is>
      </c>
      <c r="P193" s="155" t="inlineStr">
        <is>
          <t>K</t>
        </is>
      </c>
      <c r="Q193" s="155" t="inlineStr">
        <is>
          <t>M6</t>
        </is>
      </c>
      <c r="R193" s="155" t="inlineStr">
        <is>
          <t>M6</t>
        </is>
      </c>
      <c r="S193" s="156" t="inlineStr">
        <is>
          <t>A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K</t>
        </is>
      </c>
      <c r="N202" s="155" t="inlineStr">
        <is>
          <t>Q</t>
        </is>
      </c>
      <c r="O202" s="155" t="inlineStr">
        <is>
          <t>GJ</t>
        </is>
      </c>
      <c r="P202" s="155" t="inlineStr">
        <is>
          <t>M3</t>
        </is>
      </c>
      <c r="Q202" s="155" t="inlineStr">
        <is>
          <t>G4</t>
        </is>
      </c>
      <c r="R202" s="155" t="inlineStr">
        <is>
          <t>K</t>
        </is>
      </c>
      <c r="S202" s="156" t="inlineStr">
        <is>
          <t>M2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7"/>
      <c r="W304" s="147"/>
      <c r="X304" s="147"/>
      <c r="Y304" s="147"/>
      <c r="Z304" s="147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TE</t>
        </is>
      </c>
      <c r="O4" s="155" t="inlineStr">
        <is>
          <t>TE</t>
        </is>
      </c>
      <c r="P4" s="155" t="inlineStr">
        <is>
          <t>M6</t>
        </is>
      </c>
      <c r="Q4" s="155" t="inlineStr">
        <is>
          <t>M6</t>
        </is>
      </c>
      <c r="R4" s="155" t="inlineStr">
        <is>
          <t>A</t>
        </is>
      </c>
      <c r="S4" s="156" t="inlineStr">
        <is>
          <t>J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M5</t>
        </is>
      </c>
      <c r="N5" s="38" t="inlineStr">
        <is>
          <t>GQ</t>
        </is>
      </c>
      <c r="O5" s="38" t="inlineStr">
        <is>
          <t>J</t>
        </is>
      </c>
      <c r="P5" s="38" t="inlineStr">
        <is>
          <t>J</t>
        </is>
      </c>
      <c r="Q5" s="38" t="inlineStr">
        <is>
          <t>A</t>
        </is>
      </c>
      <c r="R5" s="38" t="inlineStr">
        <is>
          <t>M3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8</v>
      </c>
      <c r="D6" s="152">
        <f t="shared" si="1"/>
        <v>4</v>
      </c>
      <c r="E6" s="152">
        <f t="shared" si="1"/>
        <v>4</v>
      </c>
      <c r="F6" s="152">
        <f t="shared" si="1"/>
        <v>8</v>
      </c>
      <c r="G6" s="152">
        <f t="shared" si="1"/>
        <v>8</v>
      </c>
      <c r="H6" s="152">
        <f t="shared" si="1"/>
        <v>8</v>
      </c>
      <c r="I6" s="152">
        <f t="shared" si="1"/>
        <v>8</v>
      </c>
      <c r="J6" s="150">
        <v>2</v>
      </c>
      <c r="L6" s="15">
        <v>3</v>
      </c>
      <c r="M6" s="38" t="inlineStr">
        <is>
          <t>A</t>
        </is>
      </c>
      <c r="N6" s="38" t="inlineStr">
        <is>
          <t>Q</t>
        </is>
      </c>
      <c r="O6" s="38" t="inlineStr">
        <is>
          <t>M4</t>
        </is>
      </c>
      <c r="P6" s="38" t="inlineStr">
        <is>
          <t>G3</t>
        </is>
      </c>
      <c r="Q6" s="38" t="inlineStr">
        <is>
          <t>GA</t>
        </is>
      </c>
      <c r="R6" s="38" t="inlineStr">
        <is>
          <t>M1</t>
        </is>
      </c>
      <c r="S6" s="24" t="inlineStr">
        <is>
          <t>TE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11391</v>
      </c>
      <c r="AM6" s="153">
        <v>11745</v>
      </c>
      <c r="AN6" s="153">
        <v>10752</v>
      </c>
      <c r="AO6" s="153">
        <v>15411</v>
      </c>
      <c r="AP6" s="153">
        <v>7746</v>
      </c>
      <c r="AQ6" s="153">
        <v>9138</v>
      </c>
      <c r="AR6" s="153">
        <v>9189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15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inlineStr">
        <is>
          <t>K</t>
        </is>
      </c>
      <c r="N7" s="38" t="inlineStr">
        <is>
          <t>GQ</t>
        </is>
      </c>
      <c r="O7" s="38" t="inlineStr">
        <is>
          <t>K</t>
        </is>
      </c>
      <c r="P7" s="38" t="inlineStr">
        <is>
          <t>M2</t>
        </is>
      </c>
      <c r="Q7" s="38" t="inlineStr">
        <is>
          <t>G6</t>
        </is>
      </c>
      <c r="R7" s="38" t="inlineStr">
        <is>
          <t>TE</t>
        </is>
      </c>
      <c r="S7" s="24" t="inlineStr">
        <is>
          <t>J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13479</v>
      </c>
      <c r="AN7" s="153">
        <v>10547</v>
      </c>
      <c r="AO7" s="153">
        <v>10476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inlineStr">
        <is>
          <t>M2</t>
        </is>
      </c>
      <c r="N8" s="38" t="inlineStr">
        <is>
          <t>M5</t>
        </is>
      </c>
      <c r="O8" s="38" t="inlineStr">
        <is>
          <t>M5</t>
        </is>
      </c>
      <c r="P8" s="38" t="inlineStr">
        <is>
          <t>A</t>
        </is>
      </c>
      <c r="Q8" s="38" t="inlineStr">
        <is>
          <t>Q</t>
        </is>
      </c>
      <c r="R8" s="38" t="inlineStr">
        <is>
          <t>GJ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54211</v>
      </c>
      <c r="AN8" s="153">
        <v>30613</v>
      </c>
      <c r="AO8" s="153">
        <v>47216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15</v>
      </c>
      <c r="F9" s="152">
        <f t="shared" si="1"/>
        <v>21</v>
      </c>
      <c r="G9" s="152">
        <f t="shared" si="1"/>
        <v>11</v>
      </c>
      <c r="H9" s="152">
        <f t="shared" si="1"/>
        <v>17</v>
      </c>
      <c r="I9" s="152">
        <f t="shared" si="1"/>
        <v>21</v>
      </c>
      <c r="J9" s="150">
        <v>5</v>
      </c>
      <c r="L9" s="14">
        <v>6</v>
      </c>
      <c r="M9" s="38" t="inlineStr">
        <is>
          <t>M4</t>
        </is>
      </c>
      <c r="N9" s="38" t="inlineStr">
        <is>
          <t>GQ</t>
        </is>
      </c>
      <c r="O9" s="38" t="inlineStr">
        <is>
          <t>M3</t>
        </is>
      </c>
      <c r="P9" s="38" t="inlineStr">
        <is>
          <t>TE</t>
        </is>
      </c>
      <c r="Q9" s="38" t="inlineStr">
        <is>
          <t>J</t>
        </is>
      </c>
      <c r="R9" s="38" t="inlineStr">
        <is>
          <t>J</t>
        </is>
      </c>
      <c r="S9" s="24" t="inlineStr">
        <is>
          <t>TE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138041</v>
      </c>
      <c r="AN9" s="153">
        <v>99303</v>
      </c>
      <c r="AO9" s="153">
        <v>121729</v>
      </c>
      <c r="AP9" s="153">
        <v>112715</v>
      </c>
      <c r="AQ9" s="153">
        <v>110487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20</v>
      </c>
      <c r="E10" s="152">
        <f t="shared" si="1"/>
        <v>14</v>
      </c>
      <c r="F10" s="152">
        <f t="shared" si="1"/>
        <v>12</v>
      </c>
      <c r="G10" s="152">
        <f t="shared" si="1"/>
        <v>20</v>
      </c>
      <c r="H10" s="152">
        <f t="shared" si="1"/>
        <v>13</v>
      </c>
      <c r="I10" s="152">
        <f t="shared" si="1"/>
        <v>16</v>
      </c>
      <c r="J10" s="150">
        <v>6</v>
      </c>
      <c r="L10" s="15">
        <v>7</v>
      </c>
      <c r="M10" s="38" t="inlineStr">
        <is>
          <t>A</t>
        </is>
      </c>
      <c r="N10" s="38" t="inlineStr">
        <is>
          <t>M6</t>
        </is>
      </c>
      <c r="O10" s="38" t="inlineStr">
        <is>
          <t>GJ</t>
        </is>
      </c>
      <c r="P10" s="38" t="inlineStr">
        <is>
          <t>GT</t>
        </is>
      </c>
      <c r="Q10" s="38" t="inlineStr">
        <is>
          <t>M2</t>
        </is>
      </c>
      <c r="R10" s="38" t="inlineStr">
        <is>
          <t>M6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35353</v>
      </c>
      <c r="AN10" s="153">
        <v>129645</v>
      </c>
      <c r="AO10" s="153">
        <v>34526</v>
      </c>
      <c r="AP10" s="153">
        <v>46201</v>
      </c>
      <c r="AQ10" s="153">
        <v>38187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23</v>
      </c>
      <c r="D11" s="152">
        <f t="shared" si="1"/>
        <v>6</v>
      </c>
      <c r="E11" s="152">
        <f t="shared" si="1"/>
        <v>16</v>
      </c>
      <c r="F11" s="152">
        <f t="shared" si="1"/>
        <v>19</v>
      </c>
      <c r="G11" s="152">
        <f t="shared" si="1"/>
        <v>11</v>
      </c>
      <c r="H11" s="152">
        <f t="shared" si="1"/>
        <v>21</v>
      </c>
      <c r="I11" s="152">
        <f t="shared" si="1"/>
        <v>25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GA</t>
        </is>
      </c>
      <c r="O11" s="38" t="inlineStr">
        <is>
          <t>M2</t>
        </is>
      </c>
      <c r="P11" s="38" t="inlineStr">
        <is>
          <t>M4</t>
        </is>
      </c>
      <c r="Q11" s="38" t="inlineStr">
        <is>
          <t>M5</t>
        </is>
      </c>
      <c r="R11" s="38" t="inlineStr">
        <is>
          <t>M4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132957</v>
      </c>
      <c r="AN11" s="153">
        <v>30235</v>
      </c>
      <c r="AO11" s="153">
        <v>136926</v>
      </c>
      <c r="AP11" s="153">
        <v>136215</v>
      </c>
      <c r="AQ11" s="153">
        <v>159365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10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A</t>
        </is>
      </c>
      <c r="O12" s="38" t="inlineStr">
        <is>
          <t>G4</t>
        </is>
      </c>
      <c r="P12" s="38" t="inlineStr">
        <is>
          <t>J</t>
        </is>
      </c>
      <c r="Q12" s="38" t="inlineStr">
        <is>
          <t>TE</t>
        </is>
      </c>
      <c r="R12" s="38" t="inlineStr">
        <is>
          <t>M4</t>
        </is>
      </c>
      <c r="S12" s="24" t="inlineStr">
        <is>
          <t>Q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41</v>
      </c>
      <c r="D13" s="10">
        <f t="shared" si="1"/>
        <v>6</v>
      </c>
      <c r="E13" s="10">
        <f t="shared" si="1"/>
        <v>15</v>
      </c>
      <c r="F13" s="10">
        <f t="shared" si="1"/>
        <v>17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5">
        <v>10</v>
      </c>
      <c r="M13" s="155" t="inlineStr">
        <is>
          <t>TE</t>
        </is>
      </c>
      <c r="N13" s="155" t="inlineStr">
        <is>
          <t>M5</t>
        </is>
      </c>
      <c r="O13" s="155" t="inlineStr">
        <is>
          <t>GA</t>
        </is>
      </c>
      <c r="P13" s="155" t="inlineStr">
        <is>
          <t>K</t>
        </is>
      </c>
      <c r="Q13" s="155" t="inlineStr">
        <is>
          <t>A</t>
        </is>
      </c>
      <c r="R13" s="155" t="inlineStr">
        <is>
          <t>J</t>
        </is>
      </c>
      <c r="S13" s="156" t="inlineStr">
        <is>
          <t>M4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10</v>
      </c>
      <c r="D14" s="10">
        <f t="shared" si="1"/>
        <v>35</v>
      </c>
      <c r="E14" s="10">
        <f t="shared" si="1"/>
        <v>18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Q</t>
        </is>
      </c>
      <c r="O14" s="38" t="inlineStr">
        <is>
          <t>J</t>
        </is>
      </c>
      <c r="P14" s="38" t="inlineStr">
        <is>
          <t>Q</t>
        </is>
      </c>
      <c r="Q14" s="38" t="inlineStr">
        <is>
          <t>M3</t>
        </is>
      </c>
      <c r="R14" s="38" t="inlineStr">
        <is>
          <t>K</t>
        </is>
      </c>
      <c r="S14" s="24" t="inlineStr">
        <is>
          <t>TE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37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M6</t>
        </is>
      </c>
      <c r="P15" s="38" t="inlineStr">
        <is>
          <t>M4</t>
        </is>
      </c>
      <c r="Q15" s="38" t="inlineStr">
        <is>
          <t>G6</t>
        </is>
      </c>
      <c r="R15" s="38" t="inlineStr">
        <is>
          <t>K</t>
        </is>
      </c>
      <c r="S15" s="24" t="inlineStr">
        <is>
          <t>J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34</v>
      </c>
      <c r="D16" s="10">
        <f t="shared" si="1"/>
        <v>22</v>
      </c>
      <c r="E16" s="10">
        <f t="shared" si="1"/>
        <v>16</v>
      </c>
      <c r="F16" s="10">
        <f t="shared" si="1"/>
        <v>13</v>
      </c>
      <c r="G16" s="10">
        <f t="shared" si="1"/>
        <v>18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inlineStr">
        <is>
          <t>TE</t>
        </is>
      </c>
      <c r="N16" s="38" t="inlineStr">
        <is>
          <t>GQ</t>
        </is>
      </c>
      <c r="O16" s="38" t="inlineStr">
        <is>
          <t>Q</t>
        </is>
      </c>
      <c r="P16" s="38" t="inlineStr">
        <is>
          <t>TE</t>
        </is>
      </c>
      <c r="Q16" s="38" t="inlineStr">
        <is>
          <t>M4</t>
        </is>
      </c>
      <c r="R16" s="38" t="inlineStr">
        <is>
          <t>G5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K</t>
        </is>
      </c>
      <c r="N17" s="38" t="inlineStr">
        <is>
          <t>A</t>
        </is>
      </c>
      <c r="O17" s="38" t="inlineStr">
        <is>
          <t>TE</t>
        </is>
      </c>
      <c r="P17" s="38" t="inlineStr">
        <is>
          <t>G5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K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282</v>
      </c>
      <c r="AN17" s="153">
        <v>279</v>
      </c>
      <c r="AO17" s="153">
        <v>399</v>
      </c>
      <c r="AP17" s="153">
        <v>87</v>
      </c>
      <c r="AQ17" s="153">
        <v>51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TE</t>
        </is>
      </c>
      <c r="N18" s="38" t="inlineStr">
        <is>
          <t>Q</t>
        </is>
      </c>
      <c r="O18" s="38" t="inlineStr">
        <is>
          <t>M5</t>
        </is>
      </c>
      <c r="P18" s="38" t="inlineStr">
        <is>
          <t>M4</t>
        </is>
      </c>
      <c r="Q18" s="38" t="inlineStr">
        <is>
          <t>M1</t>
        </is>
      </c>
      <c r="R18" s="38" t="inlineStr">
        <is>
          <t>J</t>
        </is>
      </c>
      <c r="S18" s="24" t="inlineStr">
        <is>
          <t>M4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322</v>
      </c>
      <c r="AN18" s="153">
        <v>273</v>
      </c>
      <c r="AO18" s="153">
        <v>270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K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M1</t>
        </is>
      </c>
      <c r="R19" s="38" t="inlineStr">
        <is>
          <t>M6</t>
        </is>
      </c>
      <c r="S19" s="24" t="inlineStr">
        <is>
          <t>M6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1296</v>
      </c>
      <c r="AN19" s="153">
        <v>793</v>
      </c>
      <c r="AO19" s="153">
        <v>1219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TE</t>
        </is>
      </c>
      <c r="N20" s="38" t="inlineStr">
        <is>
          <t>A</t>
        </is>
      </c>
      <c r="O20" s="38" t="inlineStr">
        <is>
          <t>TE</t>
        </is>
      </c>
      <c r="P20" s="38" t="inlineStr">
        <is>
          <t>A</t>
        </is>
      </c>
      <c r="Q20" s="38" t="inlineStr">
        <is>
          <t>G5</t>
        </is>
      </c>
      <c r="R20" s="38" t="inlineStr">
        <is>
          <t>Q</t>
        </is>
      </c>
      <c r="S20" s="24" t="inlineStr">
        <is>
          <t>M2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3301</v>
      </c>
      <c r="AN20" s="153">
        <v>2571</v>
      </c>
      <c r="AO20" s="153">
        <v>3143</v>
      </c>
      <c r="AP20" s="153">
        <v>1283</v>
      </c>
      <c r="AQ20" s="153">
        <v>625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K</t>
        </is>
      </c>
      <c r="N21" s="38" t="inlineStr">
        <is>
          <t>TE</t>
        </is>
      </c>
      <c r="O21" s="38" t="inlineStr">
        <is>
          <t>G2</t>
        </is>
      </c>
      <c r="P21" s="38" t="inlineStr">
        <is>
          <t>M2</t>
        </is>
      </c>
      <c r="Q21" s="38" t="inlineStr">
        <is>
          <t>A</t>
        </is>
      </c>
      <c r="R21" s="38" t="inlineStr">
        <is>
          <t>M4</t>
        </is>
      </c>
      <c r="S21" s="24" t="inlineStr">
        <is>
          <t>M6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845</v>
      </c>
      <c r="AN21" s="153">
        <v>3357</v>
      </c>
      <c r="AO21" s="153">
        <v>891</v>
      </c>
      <c r="AP21" s="153">
        <v>526</v>
      </c>
      <c r="AQ21" s="153">
        <v>216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J</t>
        </is>
      </c>
      <c r="O22" s="155" t="inlineStr">
        <is>
          <t>M4</t>
        </is>
      </c>
      <c r="P22" s="155" t="inlineStr">
        <is>
          <t>M4</t>
        </is>
      </c>
      <c r="Q22" s="155" t="inlineStr">
        <is>
          <t>TE</t>
        </is>
      </c>
      <c r="R22" s="155" t="inlineStr">
        <is>
          <t>K</t>
        </is>
      </c>
      <c r="S22" s="156" t="inlineStr">
        <is>
          <t>J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3179</v>
      </c>
      <c r="AN22" s="153">
        <v>783</v>
      </c>
      <c r="AO22" s="153">
        <v>3535</v>
      </c>
      <c r="AP22" s="153">
        <v>1551</v>
      </c>
      <c r="AQ22" s="153">
        <v>902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GA</t>
        </is>
      </c>
      <c r="O23" s="38" t="inlineStr">
        <is>
          <t>K</t>
        </is>
      </c>
      <c r="P23" s="38" t="inlineStr">
        <is>
          <t>M6</t>
        </is>
      </c>
      <c r="Q23" s="38" t="inlineStr">
        <is>
          <t>J</t>
        </is>
      </c>
      <c r="R23" s="38" t="inlineStr">
        <is>
          <t>M5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TE</t>
        </is>
      </c>
      <c r="N24" s="38" t="inlineStr">
        <is>
          <t>GT</t>
        </is>
      </c>
      <c r="O24" s="38" t="inlineStr">
        <is>
          <t>GQ</t>
        </is>
      </c>
      <c r="P24" s="38" t="inlineStr">
        <is>
          <t>M4</t>
        </is>
      </c>
      <c r="Q24" s="38" t="inlineStr">
        <is>
          <t>M5</t>
        </is>
      </c>
      <c r="R24" s="38" t="inlineStr">
        <is>
          <t>G4</t>
        </is>
      </c>
      <c r="S24" s="24" t="inlineStr">
        <is>
          <t>A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6</v>
      </c>
      <c r="F25" s="10">
        <f t="shared" si="11"/>
        <v>3</v>
      </c>
      <c r="G25" s="10">
        <f t="shared" si="12"/>
        <v>5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M3</t>
        </is>
      </c>
      <c r="O25" s="38" t="inlineStr">
        <is>
          <t>J</t>
        </is>
      </c>
      <c r="P25" s="38" t="inlineStr">
        <is>
          <t>J</t>
        </is>
      </c>
      <c r="Q25" s="38" t="inlineStr">
        <is>
          <t>G2</t>
        </is>
      </c>
      <c r="R25" s="38" t="inlineStr">
        <is>
          <t>K</t>
        </is>
      </c>
      <c r="S25" s="24" t="inlineStr">
        <is>
          <t>M4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5</v>
      </c>
      <c r="F26" s="10">
        <f t="shared" si="11"/>
        <v>5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G5</t>
        </is>
      </c>
      <c r="O26" s="38" t="inlineStr">
        <is>
          <t>J</t>
        </is>
      </c>
      <c r="P26" s="38" t="inlineStr">
        <is>
          <t>M4</t>
        </is>
      </c>
      <c r="Q26" s="38" t="inlineStr">
        <is>
          <t>Q</t>
        </is>
      </c>
      <c r="R26" s="38" t="inlineStr">
        <is>
          <t>M6</t>
        </is>
      </c>
      <c r="S26" s="24" t="inlineStr">
        <is>
          <t>A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M2</t>
        </is>
      </c>
      <c r="O27" s="38" t="inlineStr">
        <is>
          <t>A</t>
        </is>
      </c>
      <c r="P27" s="38" t="inlineStr">
        <is>
          <t>M6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TE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M1</t>
        </is>
      </c>
      <c r="N28" s="38" t="inlineStr">
        <is>
          <t>TE</t>
        </is>
      </c>
      <c r="O28" s="38" t="inlineStr">
        <is>
          <t>GT</t>
        </is>
      </c>
      <c r="P28" s="38" t="inlineStr">
        <is>
          <t>G6</t>
        </is>
      </c>
      <c r="Q28" s="38" t="inlineStr">
        <is>
          <t>GJ</t>
        </is>
      </c>
      <c r="R28" s="38" t="inlineStr">
        <is>
          <t>M3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M6</t>
        </is>
      </c>
      <c r="N29" s="38" t="inlineStr">
        <is>
          <t>Q</t>
        </is>
      </c>
      <c r="O29" s="38" t="inlineStr">
        <is>
          <t>M6</t>
        </is>
      </c>
      <c r="P29" s="38" t="inlineStr">
        <is>
          <t>J</t>
        </is>
      </c>
      <c r="Q29" s="38" t="inlineStr">
        <is>
          <t>G2</t>
        </is>
      </c>
      <c r="R29" s="38" t="inlineStr">
        <is>
          <t>Q</t>
        </is>
      </c>
      <c r="S29" s="24" t="inlineStr">
        <is>
          <t>M6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256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TE</t>
        </is>
      </c>
      <c r="N30" s="38" t="inlineStr">
        <is>
          <t>TE</t>
        </is>
      </c>
      <c r="O30" s="38" t="inlineStr">
        <is>
          <t>M6</t>
        </is>
      </c>
      <c r="P30" s="38" t="inlineStr">
        <is>
          <t>J</t>
        </is>
      </c>
      <c r="Q30" s="38" t="inlineStr">
        <is>
          <t>J</t>
        </is>
      </c>
      <c r="R30" s="38" t="inlineStr">
        <is>
          <t>GT</t>
        </is>
      </c>
      <c r="S30" s="24" t="inlineStr">
        <is>
          <t>M5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M4</t>
        </is>
      </c>
      <c r="N31" s="155" t="inlineStr">
        <is>
          <t>A</t>
        </is>
      </c>
      <c r="O31" s="155" t="inlineStr">
        <is>
          <t>K</t>
        </is>
      </c>
      <c r="P31" s="155" t="inlineStr">
        <is>
          <t>M5</t>
        </is>
      </c>
      <c r="Q31" s="155" t="inlineStr">
        <is>
          <t>M4</t>
        </is>
      </c>
      <c r="R31" s="155" t="inlineStr">
        <is>
          <t>GQ</t>
        </is>
      </c>
      <c r="S31" s="156" t="inlineStr">
        <is>
          <t>K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J</t>
        </is>
      </c>
      <c r="N32" s="38" t="inlineStr">
        <is>
          <t>M4</t>
        </is>
      </c>
      <c r="O32" s="38" t="inlineStr">
        <is>
          <t>M6</t>
        </is>
      </c>
      <c r="P32" s="38" t="inlineStr">
        <is>
          <t>M1</t>
        </is>
      </c>
      <c r="Q32" s="38" t="inlineStr">
        <is>
          <t>K</t>
        </is>
      </c>
      <c r="R32" s="38" t="inlineStr">
        <is>
          <t>M3</t>
        </is>
      </c>
      <c r="S32" s="24" t="inlineStr">
        <is>
          <t>M5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M1</t>
        </is>
      </c>
      <c r="N33" s="38" t="inlineStr">
        <is>
          <t>GQ</t>
        </is>
      </c>
      <c r="O33" s="38" t="inlineStr">
        <is>
          <t>M5</t>
        </is>
      </c>
      <c r="P33" s="38" t="inlineStr">
        <is>
          <t>K</t>
        </is>
      </c>
      <c r="Q33" s="38" t="inlineStr">
        <is>
          <t>GT</t>
        </is>
      </c>
      <c r="R33" s="38" t="inlineStr">
        <is>
          <t>K</t>
        </is>
      </c>
      <c r="S33" s="24" t="inlineStr">
        <is>
          <t>M6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TE</t>
        </is>
      </c>
      <c r="O34" s="38" t="inlineStr">
        <is>
          <t>GK</t>
        </is>
      </c>
      <c r="P34" s="38" t="inlineStr">
        <is>
          <t>M4</t>
        </is>
      </c>
      <c r="Q34" s="38" t="inlineStr">
        <is>
          <t>M6</t>
        </is>
      </c>
      <c r="R34" s="38" t="inlineStr">
        <is>
          <t>Q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M3</t>
        </is>
      </c>
      <c r="N35" s="38" t="inlineStr">
        <is>
          <t>J</t>
        </is>
      </c>
      <c r="O35" s="38" t="inlineStr">
        <is>
          <t>K</t>
        </is>
      </c>
      <c r="P35" s="38" t="inlineStr">
        <is>
          <t>M6</t>
        </is>
      </c>
      <c r="Q35" s="38" t="inlineStr">
        <is>
          <t>M3</t>
        </is>
      </c>
      <c r="R35" s="38" t="inlineStr">
        <is>
          <t>A</t>
        </is>
      </c>
      <c r="S35" s="24" t="inlineStr">
        <is>
          <t>M5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11391</v>
      </c>
      <c r="AM35" s="153">
        <v>11745</v>
      </c>
      <c r="AN35" s="153">
        <v>10752</v>
      </c>
      <c r="AO35" s="153">
        <v>15411</v>
      </c>
      <c r="AP35" s="153">
        <v>7746</v>
      </c>
      <c r="AQ35" s="153">
        <v>9138</v>
      </c>
      <c r="AR35" s="153">
        <v>9189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M5</t>
        </is>
      </c>
      <c r="O36" s="38" t="inlineStr">
        <is>
          <t>M1</t>
        </is>
      </c>
      <c r="P36" s="38" t="inlineStr">
        <is>
          <t>M1</t>
        </is>
      </c>
      <c r="Q36" s="38" t="inlineStr">
        <is>
          <t>M2</t>
        </is>
      </c>
      <c r="R36" s="38" t="inlineStr">
        <is>
          <t>G4</t>
        </is>
      </c>
      <c r="S36" s="24" t="inlineStr">
        <is>
          <t>J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13479</v>
      </c>
      <c r="AN36" s="153">
        <v>10547</v>
      </c>
      <c r="AO36" s="153">
        <v>10476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M4</t>
        </is>
      </c>
      <c r="N37" s="38" t="inlineStr">
        <is>
          <t>K</t>
        </is>
      </c>
      <c r="O37" s="38" t="inlineStr">
        <is>
          <t>M2</t>
        </is>
      </c>
      <c r="P37" s="38" t="inlineStr">
        <is>
          <t>J</t>
        </is>
      </c>
      <c r="Q37" s="38" t="inlineStr">
        <is>
          <t>Q</t>
        </is>
      </c>
      <c r="R37" s="38" t="inlineStr">
        <is>
          <t>M3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54211</v>
      </c>
      <c r="AN37" s="153">
        <v>30613</v>
      </c>
      <c r="AO37" s="153">
        <v>47216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G3</t>
        </is>
      </c>
      <c r="O38" s="38" t="inlineStr">
        <is>
          <t>M5</t>
        </is>
      </c>
      <c r="P38" s="38" t="inlineStr">
        <is>
          <t>M1</t>
        </is>
      </c>
      <c r="Q38" s="38" t="inlineStr">
        <is>
          <t>M6</t>
        </is>
      </c>
      <c r="R38" s="38" t="inlineStr">
        <is>
          <t>M2</t>
        </is>
      </c>
      <c r="S38" s="24" t="inlineStr">
        <is>
          <t>J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138041</v>
      </c>
      <c r="AN38" s="153">
        <v>99303</v>
      </c>
      <c r="AO38" s="153">
        <v>121729</v>
      </c>
      <c r="AP38" s="153">
        <v>112715</v>
      </c>
      <c r="AQ38" s="153">
        <v>110487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TE</t>
        </is>
      </c>
      <c r="N39" s="38" t="inlineStr">
        <is>
          <t>GA</t>
        </is>
      </c>
      <c r="O39" s="38" t="inlineStr">
        <is>
          <t>M2</t>
        </is>
      </c>
      <c r="P39" s="38" t="inlineStr">
        <is>
          <t>M2</t>
        </is>
      </c>
      <c r="Q39" s="38" t="inlineStr">
        <is>
          <t>TE</t>
        </is>
      </c>
      <c r="R39" s="38" t="inlineStr">
        <is>
          <t>Q</t>
        </is>
      </c>
      <c r="S39" s="24" t="inlineStr">
        <is>
          <t>M4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35353</v>
      </c>
      <c r="AN39" s="153">
        <v>129645</v>
      </c>
      <c r="AO39" s="153">
        <v>34526</v>
      </c>
      <c r="AP39" s="153">
        <v>46201</v>
      </c>
      <c r="AQ39" s="153">
        <v>38187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J</t>
        </is>
      </c>
      <c r="N40" s="155" t="inlineStr">
        <is>
          <t>G4</t>
        </is>
      </c>
      <c r="O40" s="155" t="inlineStr">
        <is>
          <t>A</t>
        </is>
      </c>
      <c r="P40" s="155" t="inlineStr">
        <is>
          <t>GQ</t>
        </is>
      </c>
      <c r="Q40" s="155" t="inlineStr">
        <is>
          <t>GT</t>
        </is>
      </c>
      <c r="R40" s="155" t="inlineStr">
        <is>
          <t>K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132957</v>
      </c>
      <c r="AN40" s="153">
        <v>30235</v>
      </c>
      <c r="AO40" s="153">
        <v>136926</v>
      </c>
      <c r="AP40" s="153">
        <v>136215</v>
      </c>
      <c r="AQ40" s="153">
        <v>159365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M3</t>
        </is>
      </c>
      <c r="N41" s="38" t="inlineStr">
        <is>
          <t>Q</t>
        </is>
      </c>
      <c r="O41" s="38" t="inlineStr">
        <is>
          <t>M6</t>
        </is>
      </c>
      <c r="P41" s="38" t="inlineStr">
        <is>
          <t>G5</t>
        </is>
      </c>
      <c r="Q41" s="38" t="inlineStr">
        <is>
          <t>G2</t>
        </is>
      </c>
      <c r="R41" s="38" t="inlineStr">
        <is>
          <t>A</t>
        </is>
      </c>
      <c r="S41" s="24" t="inlineStr">
        <is>
          <t>M3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G2</t>
        </is>
      </c>
      <c r="O42" s="38" t="inlineStr">
        <is>
          <t>M3</t>
        </is>
      </c>
      <c r="P42" s="38" t="inlineStr">
        <is>
          <t>A</t>
        </is>
      </c>
      <c r="Q42" s="38" t="inlineStr">
        <is>
          <t>A</t>
        </is>
      </c>
      <c r="R42" s="38" t="inlineStr">
        <is>
          <t>M6</t>
        </is>
      </c>
      <c r="S42" s="24" t="inlineStr">
        <is>
          <t>TE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M5</t>
        </is>
      </c>
      <c r="N43" s="38" t="inlineStr">
        <is>
          <t>GT</t>
        </is>
      </c>
      <c r="O43" s="38" t="inlineStr">
        <is>
          <t>M6</t>
        </is>
      </c>
      <c r="P43" s="38" t="inlineStr">
        <is>
          <t>K</t>
        </is>
      </c>
      <c r="Q43" s="38" t="inlineStr">
        <is>
          <t>A</t>
        </is>
      </c>
      <c r="R43" s="38" t="inlineStr">
        <is>
          <t>TE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M5</t>
        </is>
      </c>
      <c r="O44" s="38" t="inlineStr">
        <is>
          <t>GA</t>
        </is>
      </c>
      <c r="P44" s="38" t="inlineStr">
        <is>
          <t>M2</t>
        </is>
      </c>
      <c r="Q44" s="38" t="inlineStr">
        <is>
          <t>TE</t>
        </is>
      </c>
      <c r="R44" s="38" t="inlineStr">
        <is>
          <t>G2</t>
        </is>
      </c>
      <c r="S44" s="24" t="inlineStr">
        <is>
          <t>J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M6</t>
        </is>
      </c>
      <c r="O45" s="38" t="inlineStr">
        <is>
          <t>GQ</t>
        </is>
      </c>
      <c r="P45" s="38" t="inlineStr">
        <is>
          <t>M3</t>
        </is>
      </c>
      <c r="Q45" s="38" t="inlineStr">
        <is>
          <t>M5</t>
        </is>
      </c>
      <c r="R45" s="38" t="inlineStr">
        <is>
          <t>GK</t>
        </is>
      </c>
      <c r="S45" s="24" t="inlineStr">
        <is>
          <t>M5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TE</t>
        </is>
      </c>
      <c r="N46" s="38" t="inlineStr">
        <is>
          <t>K</t>
        </is>
      </c>
      <c r="O46" s="38" t="inlineStr">
        <is>
          <t>M4</t>
        </is>
      </c>
      <c r="P46" s="38" t="inlineStr">
        <is>
          <t>J</t>
        </is>
      </c>
      <c r="Q46" s="38" t="inlineStr">
        <is>
          <t>Q</t>
        </is>
      </c>
      <c r="R46" s="38" t="inlineStr">
        <is>
          <t>J</t>
        </is>
      </c>
      <c r="S46" s="24" t="inlineStr">
        <is>
          <t>J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282</v>
      </c>
      <c r="AN46" s="153">
        <v>279</v>
      </c>
      <c r="AO46" s="153">
        <v>399</v>
      </c>
      <c r="AP46" s="153">
        <v>87</v>
      </c>
      <c r="AQ46" s="153">
        <v>51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M1</t>
        </is>
      </c>
      <c r="O47" s="38" t="inlineStr">
        <is>
          <t>M3</t>
        </is>
      </c>
      <c r="P47" s="38" t="inlineStr">
        <is>
          <t>GK</t>
        </is>
      </c>
      <c r="Q47" s="38" t="inlineStr">
        <is>
          <t>TE</t>
        </is>
      </c>
      <c r="R47" s="38" t="inlineStr">
        <is>
          <t>M2</t>
        </is>
      </c>
      <c r="S47" s="24" t="inlineStr">
        <is>
          <t>M6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322</v>
      </c>
      <c r="AN47" s="153">
        <v>273</v>
      </c>
      <c r="AO47" s="153">
        <v>270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GT</t>
        </is>
      </c>
      <c r="O48" s="38" t="inlineStr">
        <is>
          <t>GK</t>
        </is>
      </c>
      <c r="P48" s="38" t="inlineStr">
        <is>
          <t>M2</t>
        </is>
      </c>
      <c r="Q48" s="38" t="inlineStr">
        <is>
          <t>A</t>
        </is>
      </c>
      <c r="R48" s="38" t="inlineStr">
        <is>
          <t>A</t>
        </is>
      </c>
      <c r="S48" s="24" t="inlineStr">
        <is>
          <t>TE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1296</v>
      </c>
      <c r="AN48" s="153">
        <v>793</v>
      </c>
      <c r="AO48" s="153">
        <v>1219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M3</t>
        </is>
      </c>
      <c r="N49" s="155" t="inlineStr">
        <is>
          <t>G5</t>
        </is>
      </c>
      <c r="O49" s="155" t="inlineStr">
        <is>
          <t>M4</t>
        </is>
      </c>
      <c r="P49" s="155" t="inlineStr">
        <is>
          <t>M4</t>
        </is>
      </c>
      <c r="Q49" s="155" t="inlineStr">
        <is>
          <t>K</t>
        </is>
      </c>
      <c r="R49" s="155" t="inlineStr">
        <is>
          <t>GJ</t>
        </is>
      </c>
      <c r="S49" s="156" t="inlineStr">
        <is>
          <t>A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3301</v>
      </c>
      <c r="AN49" s="153">
        <v>2571</v>
      </c>
      <c r="AO49" s="153">
        <v>3143</v>
      </c>
      <c r="AP49" s="153">
        <v>1283</v>
      </c>
      <c r="AQ49" s="153">
        <v>625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K</t>
        </is>
      </c>
      <c r="N50" s="38" t="inlineStr">
        <is>
          <t>G5</t>
        </is>
      </c>
      <c r="O50" s="38" t="inlineStr">
        <is>
          <t>TE</t>
        </is>
      </c>
      <c r="P50" s="38" t="inlineStr">
        <is>
          <t>M4</t>
        </is>
      </c>
      <c r="Q50" s="38" t="inlineStr">
        <is>
          <t>Q</t>
        </is>
      </c>
      <c r="R50" s="38" t="inlineStr">
        <is>
          <t>TE</t>
        </is>
      </c>
      <c r="S50" s="24" t="inlineStr">
        <is>
          <t>Q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845</v>
      </c>
      <c r="AN50" s="153">
        <v>3357</v>
      </c>
      <c r="AO50" s="153">
        <v>891</v>
      </c>
      <c r="AP50" s="153">
        <v>526</v>
      </c>
      <c r="AQ50" s="153">
        <v>216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WW</t>
        </is>
      </c>
      <c r="O51" s="38" t="inlineStr">
        <is>
          <t>M6</t>
        </is>
      </c>
      <c r="P51" s="38" t="inlineStr">
        <is>
          <t>GJ</t>
        </is>
      </c>
      <c r="Q51" s="38" t="inlineStr">
        <is>
          <t>GK</t>
        </is>
      </c>
      <c r="R51" s="38" t="inlineStr">
        <is>
          <t>Q</t>
        </is>
      </c>
      <c r="S51" s="24" t="inlineStr">
        <is>
          <t>J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3179</v>
      </c>
      <c r="AN51" s="153">
        <v>783</v>
      </c>
      <c r="AO51" s="153">
        <v>3535</v>
      </c>
      <c r="AP51" s="153">
        <v>1551</v>
      </c>
      <c r="AQ51" s="153">
        <v>902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M4</t>
        </is>
      </c>
      <c r="N52" s="38" t="inlineStr">
        <is>
          <t>M4</t>
        </is>
      </c>
      <c r="O52" s="38" t="inlineStr">
        <is>
          <t>G2</t>
        </is>
      </c>
      <c r="P52" s="38" t="inlineStr">
        <is>
          <t>M1</t>
        </is>
      </c>
      <c r="Q52" s="38" t="inlineStr">
        <is>
          <t>M3</t>
        </is>
      </c>
      <c r="R52" s="38" t="inlineStr">
        <is>
          <t>M3</t>
        </is>
      </c>
      <c r="S52" s="24" t="inlineStr">
        <is>
          <t>M4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M5</t>
        </is>
      </c>
      <c r="N53" s="38" t="inlineStr">
        <is>
          <t>M4</t>
        </is>
      </c>
      <c r="O53" s="38" t="inlineStr">
        <is>
          <t>G5</t>
        </is>
      </c>
      <c r="P53" s="38" t="inlineStr">
        <is>
          <t>M3</t>
        </is>
      </c>
      <c r="Q53" s="38" t="inlineStr">
        <is>
          <t>M3</t>
        </is>
      </c>
      <c r="R53" s="38" t="inlineStr">
        <is>
          <t>M4</t>
        </is>
      </c>
      <c r="S53" s="24" t="inlineStr">
        <is>
          <t>J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K</t>
        </is>
      </c>
      <c r="N54" s="38" t="inlineStr">
        <is>
          <t>G4</t>
        </is>
      </c>
      <c r="O54" s="38" t="inlineStr">
        <is>
          <t>J</t>
        </is>
      </c>
      <c r="P54" s="38" t="inlineStr">
        <is>
          <t>M1</t>
        </is>
      </c>
      <c r="Q54" s="38" t="inlineStr">
        <is>
          <t>GQ</t>
        </is>
      </c>
      <c r="R54" s="38" t="inlineStr">
        <is>
          <t>M4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TE</t>
        </is>
      </c>
      <c r="N55" s="38" t="inlineStr">
        <is>
          <t>Q</t>
        </is>
      </c>
      <c r="O55" s="38" t="inlineStr">
        <is>
          <t>Q</t>
        </is>
      </c>
      <c r="P55" s="38" t="inlineStr">
        <is>
          <t>J</t>
        </is>
      </c>
      <c r="Q55" s="38" t="inlineStr">
        <is>
          <t>M3</t>
        </is>
      </c>
      <c r="R55" s="38" t="inlineStr">
        <is>
          <t>GK</t>
        </is>
      </c>
      <c r="S55" s="24" t="inlineStr">
        <is>
          <t>M5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J</t>
        </is>
      </c>
      <c r="P56" s="38" t="inlineStr">
        <is>
          <t>M4</t>
        </is>
      </c>
      <c r="Q56" s="38" t="inlineStr">
        <is>
          <t>TE</t>
        </is>
      </c>
      <c r="R56" s="38" t="inlineStr">
        <is>
          <t>K</t>
        </is>
      </c>
      <c r="S56" s="24" t="inlineStr">
        <is>
          <t>M5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TE</t>
        </is>
      </c>
      <c r="N57" s="38" t="inlineStr">
        <is>
          <t>M5</t>
        </is>
      </c>
      <c r="O57" s="38" t="inlineStr">
        <is>
          <t>M5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G5</t>
        </is>
      </c>
      <c r="S57" s="24" t="inlineStr">
        <is>
          <t>Q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Q</t>
        </is>
      </c>
      <c r="N58" s="155" t="inlineStr">
        <is>
          <t>TE</t>
        </is>
      </c>
      <c r="O58" s="155" t="inlineStr">
        <is>
          <t>GJ</t>
        </is>
      </c>
      <c r="P58" s="155" t="inlineStr">
        <is>
          <t>Q</t>
        </is>
      </c>
      <c r="Q58" s="155" t="inlineStr">
        <is>
          <t>M5</t>
        </is>
      </c>
      <c r="R58" s="155" t="inlineStr">
        <is>
          <t>G2</t>
        </is>
      </c>
      <c r="S58" s="156" t="inlineStr">
        <is>
          <t>M2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256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Q</t>
        </is>
      </c>
      <c r="N59" s="38" t="inlineStr">
        <is>
          <t>TE</t>
        </is>
      </c>
      <c r="O59" s="38" t="inlineStr">
        <is>
          <t>A</t>
        </is>
      </c>
      <c r="P59" s="38" t="inlineStr">
        <is>
          <t>M4</t>
        </is>
      </c>
      <c r="Q59" s="38" t="inlineStr">
        <is>
          <t>M4</t>
        </is>
      </c>
      <c r="R59" s="38" t="inlineStr">
        <is>
          <t>K</t>
        </is>
      </c>
      <c r="S59" s="24" t="inlineStr">
        <is>
          <t>J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M6</t>
        </is>
      </c>
      <c r="N60" s="38" t="inlineStr">
        <is>
          <t>M5</t>
        </is>
      </c>
      <c r="O60" s="38" t="inlineStr">
        <is>
          <t>M4</t>
        </is>
      </c>
      <c r="P60" s="38" t="inlineStr">
        <is>
          <t>M4</t>
        </is>
      </c>
      <c r="Q60" s="38" t="inlineStr">
        <is>
          <t>M5</t>
        </is>
      </c>
      <c r="R60" s="38" t="inlineStr">
        <is>
          <t>K</t>
        </is>
      </c>
      <c r="S60" s="24" t="inlineStr">
        <is>
          <t>M1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M2</t>
        </is>
      </c>
      <c r="N61" s="38" t="inlineStr">
        <is>
          <t>G2</t>
        </is>
      </c>
      <c r="O61" s="38" t="inlineStr">
        <is>
          <t>Q</t>
        </is>
      </c>
      <c r="P61" s="38" t="inlineStr">
        <is>
          <t>TE</t>
        </is>
      </c>
      <c r="Q61" s="38" t="inlineStr">
        <is>
          <t>G5</t>
        </is>
      </c>
      <c r="R61" s="38" t="inlineStr">
        <is>
          <t>Q</t>
        </is>
      </c>
      <c r="S61" s="24" t="inlineStr">
        <is>
          <t>TE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K</t>
        </is>
      </c>
      <c r="N62" s="38" t="inlineStr">
        <is>
          <t>M3</t>
        </is>
      </c>
      <c r="O62" s="38" t="inlineStr">
        <is>
          <t>TE</t>
        </is>
      </c>
      <c r="P62" s="38" t="inlineStr">
        <is>
          <t>A</t>
        </is>
      </c>
      <c r="Q62" s="38" t="inlineStr">
        <is>
          <t>M4</t>
        </is>
      </c>
      <c r="R62" s="38" t="inlineStr">
        <is>
          <t>M6</t>
        </is>
      </c>
      <c r="S62" s="24" t="inlineStr">
        <is>
          <t>M5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K</t>
        </is>
      </c>
      <c r="N63" s="38" t="inlineStr">
        <is>
          <t>A</t>
        </is>
      </c>
      <c r="O63" s="38" t="inlineStr">
        <is>
          <t>TE</t>
        </is>
      </c>
      <c r="P63" s="38" t="inlineStr">
        <is>
          <t>M4</t>
        </is>
      </c>
      <c r="Q63" s="38" t="inlineStr">
        <is>
          <t>A</t>
        </is>
      </c>
      <c r="R63" s="38" t="inlineStr">
        <is>
          <t>M1</t>
        </is>
      </c>
      <c r="S63" s="24" t="inlineStr">
        <is>
          <t>A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M4</t>
        </is>
      </c>
      <c r="O64" s="38" t="inlineStr">
        <is>
          <t>M4</t>
        </is>
      </c>
      <c r="P64" s="38" t="inlineStr">
        <is>
          <t>M6</t>
        </is>
      </c>
      <c r="Q64" s="38" t="inlineStr">
        <is>
          <t>M6</t>
        </is>
      </c>
      <c r="R64" s="38" t="inlineStr">
        <is>
          <t>M5</t>
        </is>
      </c>
      <c r="S64" s="24" t="inlineStr">
        <is>
          <t>A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11391</v>
      </c>
      <c r="AM64" s="153">
        <v>11745</v>
      </c>
      <c r="AN64" s="153">
        <v>10752</v>
      </c>
      <c r="AO64" s="153">
        <v>15411</v>
      </c>
      <c r="AP64" s="153">
        <v>7746</v>
      </c>
      <c r="AQ64" s="153">
        <v>9138</v>
      </c>
      <c r="AR64" s="153">
        <v>9189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A</t>
        </is>
      </c>
      <c r="O65" s="38" t="inlineStr">
        <is>
          <t>Q</t>
        </is>
      </c>
      <c r="P65" s="38" t="inlineStr">
        <is>
          <t>A</t>
        </is>
      </c>
      <c r="Q65" s="38" t="inlineStr">
        <is>
          <t>J</t>
        </is>
      </c>
      <c r="R65" s="38" t="inlineStr">
        <is>
          <t>M4</t>
        </is>
      </c>
      <c r="S65" s="24" t="inlineStr">
        <is>
          <t>M2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13479</v>
      </c>
      <c r="AN65" s="153">
        <v>10547</v>
      </c>
      <c r="AO65" s="153">
        <v>10476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M5</t>
        </is>
      </c>
      <c r="O66" s="38" t="inlineStr">
        <is>
          <t>Q</t>
        </is>
      </c>
      <c r="P66" s="38" t="inlineStr">
        <is>
          <t>GQ</t>
        </is>
      </c>
      <c r="Q66" s="38" t="inlineStr">
        <is>
          <t>M2</t>
        </is>
      </c>
      <c r="R66" s="38" t="inlineStr">
        <is>
          <t>M6</t>
        </is>
      </c>
      <c r="S66" s="24" t="inlineStr">
        <is>
          <t>M3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54211</v>
      </c>
      <c r="AN66" s="153">
        <v>30613</v>
      </c>
      <c r="AO66" s="153">
        <v>47216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TE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GK</t>
        </is>
      </c>
      <c r="Q67" s="155" t="inlineStr">
        <is>
          <t>M5</t>
        </is>
      </c>
      <c r="R67" s="155" t="inlineStr">
        <is>
          <t>J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138041</v>
      </c>
      <c r="AN67" s="153">
        <v>99303</v>
      </c>
      <c r="AO67" s="153">
        <v>121729</v>
      </c>
      <c r="AP67" s="153">
        <v>112715</v>
      </c>
      <c r="AQ67" s="153">
        <v>110487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G6</t>
        </is>
      </c>
      <c r="O68" s="38" t="inlineStr">
        <is>
          <t>M2</t>
        </is>
      </c>
      <c r="P68" s="38" t="inlineStr">
        <is>
          <t>M4</t>
        </is>
      </c>
      <c r="Q68" s="38" t="inlineStr">
        <is>
          <t>M5</t>
        </is>
      </c>
      <c r="R68" s="38" t="inlineStr">
        <is>
          <t>GT</t>
        </is>
      </c>
      <c r="S68" s="24" t="inlineStr">
        <is>
          <t>M2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35353</v>
      </c>
      <c r="AN68" s="153">
        <v>129645</v>
      </c>
      <c r="AO68" s="153">
        <v>34526</v>
      </c>
      <c r="AP68" s="153">
        <v>46201</v>
      </c>
      <c r="AQ68" s="153">
        <v>38187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TE</t>
        </is>
      </c>
      <c r="N69" s="38" t="inlineStr">
        <is>
          <t>J</t>
        </is>
      </c>
      <c r="O69" s="38" t="inlineStr">
        <is>
          <t>M5</t>
        </is>
      </c>
      <c r="P69" s="38" t="inlineStr">
        <is>
          <t>M6</t>
        </is>
      </c>
      <c r="Q69" s="38" t="inlineStr">
        <is>
          <t>A</t>
        </is>
      </c>
      <c r="R69" s="38" t="inlineStr">
        <is>
          <t>TE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132957</v>
      </c>
      <c r="AN69" s="153">
        <v>30235</v>
      </c>
      <c r="AO69" s="153">
        <v>136926</v>
      </c>
      <c r="AP69" s="153">
        <v>136215</v>
      </c>
      <c r="AQ69" s="153">
        <v>159365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M4</t>
        </is>
      </c>
      <c r="N70" s="38" t="inlineStr">
        <is>
          <t>M4</t>
        </is>
      </c>
      <c r="O70" s="38" t="inlineStr">
        <is>
          <t>M5</t>
        </is>
      </c>
      <c r="P70" s="38" t="inlineStr">
        <is>
          <t>GQ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TE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0</v>
      </c>
      <c r="L71" s="15">
        <v>68</v>
      </c>
      <c r="M71" s="38" t="inlineStr">
        <is>
          <t>K</t>
        </is>
      </c>
      <c r="N71" s="38" t="inlineStr">
        <is>
          <t>TE</t>
        </is>
      </c>
      <c r="O71" s="38" t="inlineStr">
        <is>
          <t>TE</t>
        </is>
      </c>
      <c r="P71" s="38" t="inlineStr">
        <is>
          <t>M4</t>
        </is>
      </c>
      <c r="Q71" s="38" t="inlineStr">
        <is>
          <t>Q</t>
        </is>
      </c>
      <c r="R71" s="38" t="inlineStr">
        <is>
          <t>GQ</t>
        </is>
      </c>
      <c r="S71" s="24" t="inlineStr">
        <is>
          <t>M5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0</v>
      </c>
      <c r="L72" s="14">
        <v>69</v>
      </c>
      <c r="M72" s="38" t="inlineStr">
        <is>
          <t>K</t>
        </is>
      </c>
      <c r="N72" s="38" t="inlineStr">
        <is>
          <t>M5</t>
        </is>
      </c>
      <c r="O72" s="38" t="inlineStr">
        <is>
          <t>Q</t>
        </is>
      </c>
      <c r="P72" s="38" t="inlineStr">
        <is>
          <t>M5</t>
        </is>
      </c>
      <c r="Q72" s="38" t="inlineStr">
        <is>
          <t>GA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0</v>
      </c>
      <c r="L73" s="15">
        <v>70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GJ</t>
        </is>
      </c>
      <c r="Q73" s="38" t="inlineStr">
        <is>
          <t>M2</t>
        </is>
      </c>
      <c r="R73" s="38" t="inlineStr">
        <is>
          <t>GA</t>
        </is>
      </c>
      <c r="S73" s="24" t="inlineStr">
        <is>
          <t>M3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0</v>
      </c>
      <c r="L74" s="14">
        <v>71</v>
      </c>
      <c r="M74" s="38" t="inlineStr">
        <is>
          <t>A</t>
        </is>
      </c>
      <c r="N74" s="38" t="inlineStr">
        <is>
          <t>G2</t>
        </is>
      </c>
      <c r="O74" s="38" t="inlineStr">
        <is>
          <t>A</t>
        </is>
      </c>
      <c r="P74" s="38" t="inlineStr">
        <is>
          <t>WW</t>
        </is>
      </c>
      <c r="Q74" s="38" t="inlineStr">
        <is>
          <t>G5</t>
        </is>
      </c>
      <c r="R74" s="38" t="inlineStr">
        <is>
          <t>TE</t>
        </is>
      </c>
      <c r="S74" s="24" t="inlineStr">
        <is>
          <t>M6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TE</t>
        </is>
      </c>
      <c r="N75" s="38" t="inlineStr">
        <is>
          <t>Q</t>
        </is>
      </c>
      <c r="O75" s="38" t="inlineStr">
        <is>
          <t>M5</t>
        </is>
      </c>
      <c r="P75" s="38" t="inlineStr">
        <is>
          <t>M5</t>
        </is>
      </c>
      <c r="Q75" s="38" t="inlineStr">
        <is>
          <t>K</t>
        </is>
      </c>
      <c r="R75" s="38" t="inlineStr">
        <is>
          <t>M4</t>
        </is>
      </c>
      <c r="S75" s="24" t="inlineStr">
        <is>
          <t>A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282</v>
      </c>
      <c r="AN75" s="153">
        <v>279</v>
      </c>
      <c r="AO75" s="153">
        <v>399</v>
      </c>
      <c r="AP75" s="153">
        <v>87</v>
      </c>
      <c r="AQ75" s="153">
        <v>51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J</t>
        </is>
      </c>
      <c r="N76" s="155" t="inlineStr">
        <is>
          <t>GJ</t>
        </is>
      </c>
      <c r="O76" s="155" t="inlineStr">
        <is>
          <t>GT</t>
        </is>
      </c>
      <c r="P76" s="155" t="inlineStr">
        <is>
          <t>M6</t>
        </is>
      </c>
      <c r="Q76" s="155" t="inlineStr">
        <is>
          <t>M2</t>
        </is>
      </c>
      <c r="R76" s="155" t="inlineStr">
        <is>
          <t>M5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322</v>
      </c>
      <c r="AN76" s="153">
        <v>273</v>
      </c>
      <c r="AO76" s="153">
        <v>270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M4</t>
        </is>
      </c>
      <c r="N77" s="38" t="inlineStr">
        <is>
          <t>M2</t>
        </is>
      </c>
      <c r="O77" s="38" t="inlineStr">
        <is>
          <t>GT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M5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1296</v>
      </c>
      <c r="AN77" s="153">
        <v>793</v>
      </c>
      <c r="AO77" s="153">
        <v>1219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J</t>
        </is>
      </c>
      <c r="N78" s="38" t="inlineStr">
        <is>
          <t>Q</t>
        </is>
      </c>
      <c r="O78" s="38" t="inlineStr">
        <is>
          <t>M6</t>
        </is>
      </c>
      <c r="P78" s="38" t="inlineStr">
        <is>
          <t>K</t>
        </is>
      </c>
      <c r="Q78" s="38" t="inlineStr">
        <is>
          <t>M4</t>
        </is>
      </c>
      <c r="R78" s="38" t="inlineStr">
        <is>
          <t>TE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3301</v>
      </c>
      <c r="AN78" s="153">
        <v>2571</v>
      </c>
      <c r="AO78" s="153">
        <v>3143</v>
      </c>
      <c r="AP78" s="153">
        <v>1283</v>
      </c>
      <c r="AQ78" s="153">
        <v>625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Q</t>
        </is>
      </c>
      <c r="O79" s="38" t="inlineStr">
        <is>
          <t>A</t>
        </is>
      </c>
      <c r="P79" s="38" t="inlineStr">
        <is>
          <t>J</t>
        </is>
      </c>
      <c r="Q79" s="38" t="inlineStr">
        <is>
          <t>K</t>
        </is>
      </c>
      <c r="R79" s="38" t="inlineStr">
        <is>
          <t>M5</t>
        </is>
      </c>
      <c r="S79" s="24" t="inlineStr">
        <is>
          <t>J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845</v>
      </c>
      <c r="AN79" s="153">
        <v>3357</v>
      </c>
      <c r="AO79" s="153">
        <v>891</v>
      </c>
      <c r="AP79" s="153">
        <v>526</v>
      </c>
      <c r="AQ79" s="153">
        <v>216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TE</t>
        </is>
      </c>
      <c r="N80" s="38" t="inlineStr">
        <is>
          <t>A</t>
        </is>
      </c>
      <c r="O80" s="38" t="inlineStr">
        <is>
          <t>TE</t>
        </is>
      </c>
      <c r="P80" s="38" t="inlineStr">
        <is>
          <t>M4</t>
        </is>
      </c>
      <c r="Q80" s="38" t="inlineStr">
        <is>
          <t>G4</t>
        </is>
      </c>
      <c r="R80" s="38" t="inlineStr">
        <is>
          <t>J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3179</v>
      </c>
      <c r="AN80" s="153">
        <v>783</v>
      </c>
      <c r="AO80" s="153">
        <v>3535</v>
      </c>
      <c r="AP80" s="153">
        <v>1551</v>
      </c>
      <c r="AQ80" s="153">
        <v>902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M3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M5</t>
        </is>
      </c>
      <c r="Q81" s="38" t="inlineStr">
        <is>
          <t>A</t>
        </is>
      </c>
      <c r="R81" s="38" t="inlineStr">
        <is>
          <t>K</t>
        </is>
      </c>
      <c r="S81" s="24" t="inlineStr">
        <is>
          <t>J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TE</t>
        </is>
      </c>
      <c r="O82" s="38" t="inlineStr">
        <is>
          <t>M4</t>
        </is>
      </c>
      <c r="P82" s="38" t="inlineStr">
        <is>
          <t>A</t>
        </is>
      </c>
      <c r="Q82" s="38" t="inlineStr">
        <is>
          <t>TE</t>
        </is>
      </c>
      <c r="R82" s="38" t="inlineStr">
        <is>
          <t>GK</t>
        </is>
      </c>
      <c r="S82" s="24" t="inlineStr">
        <is>
          <t>K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M3</t>
        </is>
      </c>
      <c r="N83" s="38" t="inlineStr">
        <is>
          <t>GA</t>
        </is>
      </c>
      <c r="O83" s="38" t="inlineStr">
        <is>
          <t>A</t>
        </is>
      </c>
      <c r="P83" s="38" t="inlineStr">
        <is>
          <t>TE</t>
        </is>
      </c>
      <c r="Q83" s="38" t="inlineStr">
        <is>
          <t>M2</t>
        </is>
      </c>
      <c r="R83" s="38" t="inlineStr">
        <is>
          <t>M6</t>
        </is>
      </c>
      <c r="S83" s="24" t="inlineStr">
        <is>
          <t>M3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K</t>
        </is>
      </c>
      <c r="N84" s="38" t="inlineStr">
        <is>
          <t>M5</t>
        </is>
      </c>
      <c r="O84" s="38" t="inlineStr">
        <is>
          <t>M6</t>
        </is>
      </c>
      <c r="P84" s="38" t="inlineStr">
        <is>
          <t>GJ</t>
        </is>
      </c>
      <c r="Q84" s="38" t="inlineStr">
        <is>
          <t>M5</t>
        </is>
      </c>
      <c r="R84" s="38" t="inlineStr">
        <is>
          <t>A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G3</t>
        </is>
      </c>
      <c r="O85" s="155" t="inlineStr">
        <is>
          <t>M1</t>
        </is>
      </c>
      <c r="P85" s="155" t="inlineStr">
        <is>
          <t>A</t>
        </is>
      </c>
      <c r="Q85" s="155" t="inlineStr">
        <is>
          <t>M5</t>
        </is>
      </c>
      <c r="R85" s="155" t="inlineStr">
        <is>
          <t>M1</t>
        </is>
      </c>
      <c r="S85" s="156" t="inlineStr">
        <is>
          <t>A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Q</t>
        </is>
      </c>
      <c r="Q86" s="38" t="inlineStr">
        <is>
          <t>A</t>
        </is>
      </c>
      <c r="R86" s="38" t="inlineStr">
        <is>
          <t>G6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M2</t>
        </is>
      </c>
      <c r="N87" s="38" t="inlineStr">
        <is>
          <t>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GT</t>
        </is>
      </c>
      <c r="R87" s="38" t="inlineStr">
        <is>
          <t>M4</t>
        </is>
      </c>
      <c r="S87" s="24" t="inlineStr">
        <is>
          <t>K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256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A</t>
        </is>
      </c>
      <c r="N88" s="38" t="inlineStr">
        <is>
          <t>M5</t>
        </is>
      </c>
      <c r="O88" s="38" t="inlineStr">
        <is>
          <t>M3</t>
        </is>
      </c>
      <c r="P88" s="38" t="inlineStr">
        <is>
          <t>M2</t>
        </is>
      </c>
      <c r="Q88" s="38" t="inlineStr">
        <is>
          <t>A</t>
        </is>
      </c>
      <c r="R88" s="38" t="inlineStr">
        <is>
          <t>M6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TE</t>
        </is>
      </c>
      <c r="N89" s="38" t="inlineStr">
        <is>
          <t>Q</t>
        </is>
      </c>
      <c r="O89" s="38" t="inlineStr">
        <is>
          <t>J</t>
        </is>
      </c>
      <c r="P89" s="38" t="inlineStr">
        <is>
          <t>M6</t>
        </is>
      </c>
      <c r="Q89" s="38" t="inlineStr">
        <is>
          <t>M2</t>
        </is>
      </c>
      <c r="R89" s="38" t="inlineStr">
        <is>
          <t>M4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TE</t>
        </is>
      </c>
      <c r="N90" s="38" t="inlineStr">
        <is>
          <t>Q</t>
        </is>
      </c>
      <c r="O90" s="38" t="inlineStr">
        <is>
          <t>K</t>
        </is>
      </c>
      <c r="P90" s="38" t="inlineStr">
        <is>
          <t>GA</t>
        </is>
      </c>
      <c r="Q90" s="38" t="inlineStr">
        <is>
          <t>G4</t>
        </is>
      </c>
      <c r="R90" s="38" t="inlineStr">
        <is>
          <t>M1</t>
        </is>
      </c>
      <c r="S90" s="24" t="inlineStr">
        <is>
          <t>J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Q</t>
        </is>
      </c>
      <c r="N91" s="38" t="inlineStr">
        <is>
          <t>Q</t>
        </is>
      </c>
      <c r="O91" s="38" t="inlineStr">
        <is>
          <t>M2</t>
        </is>
      </c>
      <c r="P91" s="38" t="inlineStr">
        <is>
          <t>Q</t>
        </is>
      </c>
      <c r="Q91" s="38" t="inlineStr">
        <is>
          <t>M5</t>
        </is>
      </c>
      <c r="R91" s="38" t="inlineStr">
        <is>
          <t>M6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M6</t>
        </is>
      </c>
      <c r="O92" s="38" t="inlineStr">
        <is>
          <t>K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M6</t>
        </is>
      </c>
      <c r="S92" s="24" t="inlineStr">
        <is>
          <t>TE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inlineStr">
        <is>
          <t>M1</t>
        </is>
      </c>
      <c r="N93" s="38" t="inlineStr">
        <is>
          <t>M5</t>
        </is>
      </c>
      <c r="O93" s="38" t="inlineStr">
        <is>
          <t>G6</t>
        </is>
      </c>
      <c r="P93" s="38" t="inlineStr">
        <is>
          <t>M6</t>
        </is>
      </c>
      <c r="Q93" s="38" t="inlineStr">
        <is>
          <t>M2</t>
        </is>
      </c>
      <c r="R93" s="38" t="inlineStr">
        <is>
          <t>M2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11391</v>
      </c>
      <c r="AM93" s="153">
        <v>11745</v>
      </c>
      <c r="AN93" s="153">
        <v>10752</v>
      </c>
      <c r="AO93" s="153">
        <v>15411</v>
      </c>
      <c r="AP93" s="153">
        <v>7746</v>
      </c>
      <c r="AQ93" s="153">
        <v>9138</v>
      </c>
      <c r="AR93" s="153">
        <v>9189</v>
      </c>
      <c r="AS93" s="150">
        <v>2</v>
      </c>
    </row>
    <row r="94" spans="12:45" x14ac:dyDescent="0.3">
      <c r="L94" s="15">
        <v>91</v>
      </c>
      <c r="M94" s="155" t="inlineStr">
        <is>
          <t>K</t>
        </is>
      </c>
      <c r="N94" s="155" t="inlineStr">
        <is>
          <t>M5</t>
        </is>
      </c>
      <c r="O94" s="155" t="inlineStr">
        <is>
          <t>G2</t>
        </is>
      </c>
      <c r="P94" s="155" t="inlineStr">
        <is>
          <t>GK</t>
        </is>
      </c>
      <c r="Q94" s="155" t="inlineStr">
        <is>
          <t>M4</t>
        </is>
      </c>
      <c r="R94" s="155" t="inlineStr">
        <is>
          <t>M1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13479</v>
      </c>
      <c r="AN94" s="153">
        <v>10547</v>
      </c>
      <c r="AO94" s="153">
        <v>10476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M5</t>
        </is>
      </c>
      <c r="N95" s="38" t="inlineStr">
        <is>
          <t>GK</t>
        </is>
      </c>
      <c r="O95" s="38" t="inlineStr">
        <is>
          <t>M5</t>
        </is>
      </c>
      <c r="P95" s="38" t="inlineStr">
        <is>
          <t>J</t>
        </is>
      </c>
      <c r="Q95" s="38" t="inlineStr">
        <is>
          <t>M4</t>
        </is>
      </c>
      <c r="R95" s="38" t="inlineStr">
        <is>
          <t>K</t>
        </is>
      </c>
      <c r="S95" s="24" t="inlineStr">
        <is>
          <t>Q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54211</v>
      </c>
      <c r="AN95" s="153">
        <v>30613</v>
      </c>
      <c r="AO95" s="153">
        <v>47216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M2</t>
        </is>
      </c>
      <c r="O96" s="38" t="inlineStr">
        <is>
          <t>GQ</t>
        </is>
      </c>
      <c r="P96" s="38" t="inlineStr">
        <is>
          <t>M5</t>
        </is>
      </c>
      <c r="Q96" s="38" t="inlineStr">
        <is>
          <t>TE</t>
        </is>
      </c>
      <c r="R96" s="38" t="inlineStr">
        <is>
          <t>J</t>
        </is>
      </c>
      <c r="S96" s="24" t="inlineStr">
        <is>
          <t>M1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138041</v>
      </c>
      <c r="AN96" s="153">
        <v>99303</v>
      </c>
      <c r="AO96" s="153">
        <v>121729</v>
      </c>
      <c r="AP96" s="153">
        <v>112715</v>
      </c>
      <c r="AQ96" s="153">
        <v>110487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M3</t>
        </is>
      </c>
      <c r="O97" s="38" t="inlineStr">
        <is>
          <t>M3</t>
        </is>
      </c>
      <c r="P97" s="38" t="inlineStr">
        <is>
          <t>M3</t>
        </is>
      </c>
      <c r="Q97" s="38" t="inlineStr">
        <is>
          <t>GK</t>
        </is>
      </c>
      <c r="R97" s="38" t="inlineStr">
        <is>
          <t>K</t>
        </is>
      </c>
      <c r="S97" s="24" t="inlineStr">
        <is>
          <t>M1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35353</v>
      </c>
      <c r="AN97" s="153">
        <v>129645</v>
      </c>
      <c r="AO97" s="153">
        <v>34526</v>
      </c>
      <c r="AP97" s="153">
        <v>46201</v>
      </c>
      <c r="AQ97" s="153">
        <v>38187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Q</t>
        </is>
      </c>
      <c r="N98" s="38" t="inlineStr">
        <is>
          <t>Q</t>
        </is>
      </c>
      <c r="O98" s="38" t="inlineStr">
        <is>
          <t>M1</t>
        </is>
      </c>
      <c r="P98" s="38" t="inlineStr">
        <is>
          <t>K</t>
        </is>
      </c>
      <c r="Q98" s="38" t="inlineStr">
        <is>
          <t>K</t>
        </is>
      </c>
      <c r="R98" s="38" t="inlineStr">
        <is>
          <t>J</t>
        </is>
      </c>
      <c r="S98" s="24" t="inlineStr">
        <is>
          <t>M3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132957</v>
      </c>
      <c r="AN98" s="153">
        <v>30235</v>
      </c>
      <c r="AO98" s="153">
        <v>136926</v>
      </c>
      <c r="AP98" s="153">
        <v>136215</v>
      </c>
      <c r="AQ98" s="153">
        <v>159365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M4</t>
        </is>
      </c>
      <c r="N99" s="38" t="inlineStr">
        <is>
          <t>M4</t>
        </is>
      </c>
      <c r="O99" s="38" t="inlineStr">
        <is>
          <t>M2</t>
        </is>
      </c>
      <c r="P99" s="38" t="inlineStr">
        <is>
          <t>G6</t>
        </is>
      </c>
      <c r="Q99" s="38" t="inlineStr">
        <is>
          <t>M2</t>
        </is>
      </c>
      <c r="R99" s="38" t="inlineStr">
        <is>
          <t>A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M5</t>
        </is>
      </c>
      <c r="O100" s="38" t="inlineStr">
        <is>
          <t>M5</t>
        </is>
      </c>
      <c r="P100" s="38" t="inlineStr">
        <is>
          <t>M4</t>
        </is>
      </c>
      <c r="Q100" s="38" t="inlineStr">
        <is>
          <t>A</t>
        </is>
      </c>
      <c r="R100" s="38" t="inlineStr">
        <is>
          <t>M5</t>
        </is>
      </c>
      <c r="S100" s="24" t="inlineStr">
        <is>
          <t>M6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A</t>
        </is>
      </c>
      <c r="O101" s="38" t="inlineStr">
        <is>
          <t>GJ</t>
        </is>
      </c>
      <c r="P101" s="38" t="inlineStr">
        <is>
          <t>G2</t>
        </is>
      </c>
      <c r="Q101" s="38" t="inlineStr">
        <is>
          <t>GQ</t>
        </is>
      </c>
      <c r="R101" s="38" t="inlineStr">
        <is>
          <t>M3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M3</t>
        </is>
      </c>
      <c r="O102" s="38" t="inlineStr">
        <is>
          <t>M3</t>
        </is>
      </c>
      <c r="P102" s="38" t="inlineStr">
        <is>
          <t>TE</t>
        </is>
      </c>
      <c r="Q102" s="38" t="inlineStr">
        <is>
          <t>TE</t>
        </is>
      </c>
      <c r="R102" s="38" t="inlineStr">
        <is>
          <t>M6</t>
        </is>
      </c>
      <c r="S102" s="24" t="inlineStr">
        <is>
          <t>M2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G4</t>
        </is>
      </c>
      <c r="O103" s="155" t="inlineStr">
        <is>
          <t>K</t>
        </is>
      </c>
      <c r="P103" s="155" t="inlineStr">
        <is>
          <t>M3</t>
        </is>
      </c>
      <c r="Q103" s="155" t="inlineStr">
        <is>
          <t>WW</t>
        </is>
      </c>
      <c r="R103" s="155" t="inlineStr">
        <is>
          <t>J</t>
        </is>
      </c>
      <c r="S103" s="156" t="inlineStr">
        <is>
          <t>M5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TE</t>
        </is>
      </c>
      <c r="N104" s="38" t="inlineStr">
        <is>
          <t>Q</t>
        </is>
      </c>
      <c r="O104" s="38" t="inlineStr">
        <is>
          <t>G5</t>
        </is>
      </c>
      <c r="P104" s="38" t="inlineStr">
        <is>
          <t>A</t>
        </is>
      </c>
      <c r="Q104" s="38" t="inlineStr">
        <is>
          <t>TE</t>
        </is>
      </c>
      <c r="R104" s="38" t="inlineStr">
        <is>
          <t>J</t>
        </is>
      </c>
      <c r="S104" s="24" t="inlineStr">
        <is>
          <t>TE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282</v>
      </c>
      <c r="AN104" s="153">
        <v>279</v>
      </c>
      <c r="AO104" s="153">
        <v>399</v>
      </c>
      <c r="AP104" s="153">
        <v>87</v>
      </c>
      <c r="AQ104" s="153">
        <v>51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G6</t>
        </is>
      </c>
      <c r="P105" s="38" t="inlineStr">
        <is>
          <t>G4</t>
        </is>
      </c>
      <c r="Q105" s="38" t="inlineStr">
        <is>
          <t>M2</t>
        </is>
      </c>
      <c r="R105" s="38" t="inlineStr">
        <is>
          <t>J</t>
        </is>
      </c>
      <c r="S105" s="24" t="inlineStr">
        <is>
          <t>M6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322</v>
      </c>
      <c r="AN105" s="153">
        <v>273</v>
      </c>
      <c r="AO105" s="153">
        <v>270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M2</t>
        </is>
      </c>
      <c r="N106" s="38" t="inlineStr">
        <is>
          <t>G3</t>
        </is>
      </c>
      <c r="O106" s="38" t="inlineStr">
        <is>
          <t>K</t>
        </is>
      </c>
      <c r="P106" s="38" t="inlineStr">
        <is>
          <t>M4</t>
        </is>
      </c>
      <c r="Q106" s="38" t="inlineStr">
        <is>
          <t>M1</t>
        </is>
      </c>
      <c r="R106" s="38" t="inlineStr">
        <is>
          <t>M4</t>
        </is>
      </c>
      <c r="S106" s="24" t="inlineStr">
        <is>
          <t>M2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1296</v>
      </c>
      <c r="AN106" s="153">
        <v>793</v>
      </c>
      <c r="AO106" s="153">
        <v>1219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M1</t>
        </is>
      </c>
      <c r="N107" s="38" t="inlineStr">
        <is>
          <t>Q</t>
        </is>
      </c>
      <c r="O107" s="38" t="inlineStr">
        <is>
          <t>M4</t>
        </is>
      </c>
      <c r="P107" s="38" t="inlineStr">
        <is>
          <t>K</t>
        </is>
      </c>
      <c r="Q107" s="38" t="inlineStr">
        <is>
          <t>M2</t>
        </is>
      </c>
      <c r="R107" s="38" t="inlineStr">
        <is>
          <t>K</t>
        </is>
      </c>
      <c r="S107" s="24" t="inlineStr">
        <is>
          <t>J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3301</v>
      </c>
      <c r="AN107" s="153">
        <v>2571</v>
      </c>
      <c r="AO107" s="153">
        <v>3143</v>
      </c>
      <c r="AP107" s="153">
        <v>1283</v>
      </c>
      <c r="AQ107" s="153">
        <v>625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TE</t>
        </is>
      </c>
      <c r="N108" s="38" t="inlineStr">
        <is>
          <t>G5</t>
        </is>
      </c>
      <c r="O108" s="38" t="inlineStr">
        <is>
          <t>M6</t>
        </is>
      </c>
      <c r="P108" s="38" t="inlineStr">
        <is>
          <t>M3</t>
        </is>
      </c>
      <c r="Q108" s="38" t="inlineStr">
        <is>
          <t>M5</t>
        </is>
      </c>
      <c r="R108" s="38" t="inlineStr">
        <is>
          <t>M2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845</v>
      </c>
      <c r="AN108" s="153">
        <v>3357</v>
      </c>
      <c r="AO108" s="153">
        <v>891</v>
      </c>
      <c r="AP108" s="153">
        <v>526</v>
      </c>
      <c r="AQ108" s="153">
        <v>216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M1</t>
        </is>
      </c>
      <c r="P109" s="38" t="inlineStr">
        <is>
          <t>A</t>
        </is>
      </c>
      <c r="Q109" s="38" t="inlineStr">
        <is>
          <t>M3</t>
        </is>
      </c>
      <c r="R109" s="38" t="inlineStr">
        <is>
          <t>G6</t>
        </is>
      </c>
      <c r="S109" s="24" t="inlineStr">
        <is>
          <t>M6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3179</v>
      </c>
      <c r="AN109" s="153">
        <v>783</v>
      </c>
      <c r="AO109" s="153">
        <v>3535</v>
      </c>
      <c r="AP109" s="153">
        <v>1551</v>
      </c>
      <c r="AQ109" s="153">
        <v>902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A</t>
        </is>
      </c>
      <c r="N110" s="38" t="inlineStr">
        <is>
          <t>M2</t>
        </is>
      </c>
      <c r="O110" s="38" t="inlineStr">
        <is>
          <t>G4</t>
        </is>
      </c>
      <c r="P110" s="38" t="inlineStr">
        <is>
          <t>M3</t>
        </is>
      </c>
      <c r="Q110" s="38" t="inlineStr">
        <is>
          <t>TE</t>
        </is>
      </c>
      <c r="R110" s="38" t="inlineStr">
        <is>
          <t>M1</t>
        </is>
      </c>
      <c r="S110" s="24" t="inlineStr">
        <is>
          <t>M4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M6</t>
        </is>
      </c>
      <c r="N111" s="38" t="inlineStr">
        <is>
          <t>M5</t>
        </is>
      </c>
      <c r="O111" s="38" t="inlineStr">
        <is>
          <t>G4</t>
        </is>
      </c>
      <c r="P111" s="38" t="inlineStr">
        <is>
          <t>K</t>
        </is>
      </c>
      <c r="Q111" s="38" t="inlineStr">
        <is>
          <t>M6</t>
        </is>
      </c>
      <c r="R111" s="38" t="inlineStr">
        <is>
          <t>M5</t>
        </is>
      </c>
      <c r="S111" s="24" t="inlineStr">
        <is>
          <t>J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J</t>
        </is>
      </c>
      <c r="N112" s="155" t="inlineStr">
        <is>
          <t>M3</t>
        </is>
      </c>
      <c r="O112" s="155" t="inlineStr">
        <is>
          <t>J</t>
        </is>
      </c>
      <c r="P112" s="155" t="inlineStr">
        <is>
          <t>TE</t>
        </is>
      </c>
      <c r="Q112" s="155" t="inlineStr">
        <is>
          <t>K</t>
        </is>
      </c>
      <c r="R112" s="155" t="inlineStr">
        <is>
          <t>M6</t>
        </is>
      </c>
      <c r="S112" s="156" t="inlineStr">
        <is>
          <t>J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M3</t>
        </is>
      </c>
      <c r="N113" s="38" t="inlineStr">
        <is>
          <t>GT</t>
        </is>
      </c>
      <c r="O113" s="38" t="inlineStr">
        <is>
          <t>GQ</t>
        </is>
      </c>
      <c r="P113" s="38" t="inlineStr">
        <is>
          <t>G3</t>
        </is>
      </c>
      <c r="Q113" s="38" t="inlineStr">
        <is>
          <t>M5</t>
        </is>
      </c>
      <c r="R113" s="38" t="inlineStr">
        <is>
          <t>J</t>
        </is>
      </c>
      <c r="S113" s="24" t="inlineStr">
        <is>
          <t>M2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M2</t>
        </is>
      </c>
      <c r="O114" s="38" t="inlineStr">
        <is>
          <t>G4</t>
        </is>
      </c>
      <c r="P114" s="38" t="inlineStr">
        <is>
          <t>J</t>
        </is>
      </c>
      <c r="Q114" s="38" t="inlineStr">
        <is>
          <t>A</t>
        </is>
      </c>
      <c r="R114" s="38" t="inlineStr">
        <is>
          <t>A</t>
        </is>
      </c>
      <c r="S114" s="24" t="inlineStr">
        <is>
          <t>K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TE</t>
        </is>
      </c>
      <c r="O115" s="38" t="inlineStr">
        <is>
          <t>Q</t>
        </is>
      </c>
      <c r="P115" s="38" t="inlineStr">
        <is>
          <t>Q</t>
        </is>
      </c>
      <c r="Q115" s="38" t="inlineStr">
        <is>
          <t>Q</t>
        </is>
      </c>
      <c r="R115" s="38" t="inlineStr">
        <is>
          <t>J</t>
        </is>
      </c>
      <c r="S115" s="24" t="inlineStr">
        <is>
          <t>M2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M1</t>
        </is>
      </c>
      <c r="N116" s="38" t="inlineStr">
        <is>
          <t>M2</t>
        </is>
      </c>
      <c r="O116" s="38" t="inlineStr">
        <is>
          <t>GK</t>
        </is>
      </c>
      <c r="P116" s="38" t="inlineStr">
        <is>
          <t>G3</t>
        </is>
      </c>
      <c r="Q116" s="38" t="inlineStr">
        <is>
          <t>M2</t>
        </is>
      </c>
      <c r="R116" s="38" t="inlineStr">
        <is>
          <t>GK</t>
        </is>
      </c>
      <c r="S116" s="24" t="inlineStr">
        <is>
          <t>A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256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Q</t>
        </is>
      </c>
      <c r="O117" s="38" t="inlineStr">
        <is>
          <t>G4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TE</t>
        </is>
      </c>
      <c r="S117" s="24" t="inlineStr">
        <is>
          <t>J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J</t>
        </is>
      </c>
      <c r="R118" s="38" t="inlineStr">
        <is>
          <t>GT</t>
        </is>
      </c>
      <c r="S118" s="24" t="inlineStr">
        <is>
          <t>M4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M6</t>
        </is>
      </c>
      <c r="N119" s="38" t="inlineStr">
        <is>
          <t>M3</t>
        </is>
      </c>
      <c r="O119" s="38" t="inlineStr">
        <is>
          <t>G3</t>
        </is>
      </c>
      <c r="P119" s="38" t="inlineStr">
        <is>
          <t>M3</t>
        </is>
      </c>
      <c r="Q119" s="38" t="inlineStr">
        <is>
          <t>M1</t>
        </is>
      </c>
      <c r="R119" s="38" t="inlineStr">
        <is>
          <t>J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M3</t>
        </is>
      </c>
      <c r="N120" s="38" t="inlineStr">
        <is>
          <t>GJ</t>
        </is>
      </c>
      <c r="O120" s="38" t="inlineStr">
        <is>
          <t>K</t>
        </is>
      </c>
      <c r="P120" s="38" t="inlineStr">
        <is>
          <t>M1</t>
        </is>
      </c>
      <c r="Q120" s="38" t="inlineStr">
        <is>
          <t>G4</t>
        </is>
      </c>
      <c r="R120" s="38" t="inlineStr">
        <is>
          <t>J</t>
        </is>
      </c>
      <c r="S120" s="24" t="inlineStr">
        <is>
          <t>M4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TE</t>
        </is>
      </c>
      <c r="N121" s="155" t="inlineStr">
        <is>
          <t>TE</t>
        </is>
      </c>
      <c r="O121" s="155" t="inlineStr">
        <is>
          <t>J</t>
        </is>
      </c>
      <c r="P121" s="155" t="inlineStr">
        <is>
          <t>M6</t>
        </is>
      </c>
      <c r="Q121" s="155" t="inlineStr">
        <is>
          <t>GQ</t>
        </is>
      </c>
      <c r="R121" s="155" t="inlineStr">
        <is>
          <t>J</t>
        </is>
      </c>
      <c r="S121" s="156" t="inlineStr">
        <is>
          <t>K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G6</t>
        </is>
      </c>
      <c r="O122" s="38" t="inlineStr">
        <is>
          <t>J</t>
        </is>
      </c>
      <c r="P122" s="38" t="inlineStr">
        <is>
          <t>M6</t>
        </is>
      </c>
      <c r="Q122" s="38" t="inlineStr">
        <is>
          <t>M1</t>
        </is>
      </c>
      <c r="R122" s="38" t="inlineStr">
        <is>
          <t>K</t>
        </is>
      </c>
      <c r="S122" s="24" t="inlineStr">
        <is>
          <t>M3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11391</v>
      </c>
      <c r="AM122" s="153">
        <v>11745</v>
      </c>
      <c r="AN122" s="153">
        <v>10752</v>
      </c>
      <c r="AO122" s="153">
        <v>15411</v>
      </c>
      <c r="AP122" s="153">
        <v>7746</v>
      </c>
      <c r="AQ122" s="153">
        <v>9138</v>
      </c>
      <c r="AR122" s="153">
        <v>9189</v>
      </c>
      <c r="AS122" s="150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Q</t>
        </is>
      </c>
      <c r="O123" s="38" t="inlineStr">
        <is>
          <t>G3</t>
        </is>
      </c>
      <c r="P123" s="38" t="inlineStr">
        <is>
          <t>M2</t>
        </is>
      </c>
      <c r="Q123" s="38" t="inlineStr">
        <is>
          <t>K</t>
        </is>
      </c>
      <c r="R123" s="38" t="inlineStr">
        <is>
          <t>TE</t>
        </is>
      </c>
      <c r="S123" s="24" t="inlineStr">
        <is>
          <t>M6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13479</v>
      </c>
      <c r="AN123" s="153">
        <v>10547</v>
      </c>
      <c r="AO123" s="153">
        <v>10476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Q</t>
        </is>
      </c>
      <c r="N124" s="38" t="inlineStr">
        <is>
          <t>Q</t>
        </is>
      </c>
      <c r="O124" s="38" t="inlineStr">
        <is>
          <t>M5</t>
        </is>
      </c>
      <c r="P124" s="38" t="inlineStr">
        <is>
          <t>TE</t>
        </is>
      </c>
      <c r="Q124" s="38" t="inlineStr">
        <is>
          <t>TE</t>
        </is>
      </c>
      <c r="R124" s="38" t="inlineStr">
        <is>
          <t>M2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54211</v>
      </c>
      <c r="AN124" s="153">
        <v>30613</v>
      </c>
      <c r="AO124" s="153">
        <v>47216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A</t>
        </is>
      </c>
      <c r="N125" s="38" t="inlineStr">
        <is>
          <t>Q</t>
        </is>
      </c>
      <c r="O125" s="38" t="inlineStr">
        <is>
          <t>M2</t>
        </is>
      </c>
      <c r="P125" s="38" t="inlineStr">
        <is>
          <t>K</t>
        </is>
      </c>
      <c r="Q125" s="38" t="inlineStr">
        <is>
          <t>J</t>
        </is>
      </c>
      <c r="R125" s="38" t="inlineStr">
        <is>
          <t>M2</t>
        </is>
      </c>
      <c r="S125" s="24" t="inlineStr">
        <is>
          <t>Q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138041</v>
      </c>
      <c r="AN125" s="153">
        <v>99303</v>
      </c>
      <c r="AO125" s="153">
        <v>121729</v>
      </c>
      <c r="AP125" s="153">
        <v>112715</v>
      </c>
      <c r="AQ125" s="153">
        <v>110487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Q</t>
        </is>
      </c>
      <c r="O126" s="38" t="inlineStr">
        <is>
          <t>M6</t>
        </is>
      </c>
      <c r="P126" s="38" t="inlineStr">
        <is>
          <t>M6</t>
        </is>
      </c>
      <c r="Q126" s="38" t="inlineStr">
        <is>
          <t>J</t>
        </is>
      </c>
      <c r="R126" s="38" t="inlineStr">
        <is>
          <t>GJ</t>
        </is>
      </c>
      <c r="S126" s="24" t="inlineStr">
        <is>
          <t>M1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35353</v>
      </c>
      <c r="AN126" s="153">
        <v>129645</v>
      </c>
      <c r="AO126" s="153">
        <v>34526</v>
      </c>
      <c r="AP126" s="153">
        <v>46201</v>
      </c>
      <c r="AQ126" s="153">
        <v>38187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M4</t>
        </is>
      </c>
      <c r="O127" s="38" t="inlineStr">
        <is>
          <t>TE</t>
        </is>
      </c>
      <c r="P127" s="38" t="inlineStr">
        <is>
          <t>TE</t>
        </is>
      </c>
      <c r="Q127" s="38" t="inlineStr">
        <is>
          <t>M1</t>
        </is>
      </c>
      <c r="R127" s="38" t="inlineStr">
        <is>
          <t>Q</t>
        </is>
      </c>
      <c r="S127" s="24" t="inlineStr">
        <is>
          <t>M3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132957</v>
      </c>
      <c r="AN127" s="153">
        <v>30235</v>
      </c>
      <c r="AO127" s="153">
        <v>136926</v>
      </c>
      <c r="AP127" s="153">
        <v>136215</v>
      </c>
      <c r="AQ127" s="153">
        <v>159365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M2</t>
        </is>
      </c>
      <c r="O128" s="38" t="inlineStr">
        <is>
          <t>M4</t>
        </is>
      </c>
      <c r="P128" s="38" t="inlineStr">
        <is>
          <t>M6</t>
        </is>
      </c>
      <c r="Q128" s="38" t="inlineStr">
        <is>
          <t>Q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Q</t>
        </is>
      </c>
      <c r="O129" s="38" t="inlineStr">
        <is>
          <t>Q</t>
        </is>
      </c>
      <c r="P129" s="38" t="inlineStr">
        <is>
          <t>M2</t>
        </is>
      </c>
      <c r="Q129" s="38" t="inlineStr">
        <is>
          <t>GA</t>
        </is>
      </c>
      <c r="R129" s="38" t="inlineStr">
        <is>
          <t>G6</t>
        </is>
      </c>
      <c r="S129" s="24" t="inlineStr">
        <is>
          <t>A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M1</t>
        </is>
      </c>
      <c r="O130" s="155" t="inlineStr">
        <is>
          <t>K</t>
        </is>
      </c>
      <c r="P130" s="155" t="inlineStr">
        <is>
          <t>M2</t>
        </is>
      </c>
      <c r="Q130" s="155" t="inlineStr">
        <is>
          <t>J</t>
        </is>
      </c>
      <c r="R130" s="155" t="inlineStr">
        <is>
          <t>J</t>
        </is>
      </c>
      <c r="S130" s="156" t="inlineStr">
        <is>
          <t>Q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G3</t>
        </is>
      </c>
      <c r="O131" s="38" t="inlineStr">
        <is>
          <t>GJ</t>
        </is>
      </c>
      <c r="P131" s="38" t="inlineStr">
        <is>
          <t>M6</t>
        </is>
      </c>
      <c r="Q131" s="38" t="inlineStr">
        <is>
          <t>Q</t>
        </is>
      </c>
      <c r="R131" s="38" t="inlineStr">
        <is>
          <t>M2</t>
        </is>
      </c>
      <c r="S131" s="24" t="inlineStr">
        <is>
          <t>K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TE</t>
        </is>
      </c>
      <c r="O132" s="38" t="inlineStr">
        <is>
          <t>K</t>
        </is>
      </c>
      <c r="P132" s="38" t="inlineStr">
        <is>
          <t>GJ</t>
        </is>
      </c>
      <c r="Q132" s="38" t="inlineStr">
        <is>
          <t>J</t>
        </is>
      </c>
      <c r="R132" s="38" t="inlineStr">
        <is>
          <t>M6</t>
        </is>
      </c>
      <c r="S132" s="24" t="inlineStr">
        <is>
          <t>A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K</t>
        </is>
      </c>
      <c r="N133" s="38" t="inlineStr">
        <is>
          <t>M4</t>
        </is>
      </c>
      <c r="O133" s="38" t="inlineStr">
        <is>
          <t>GQ</t>
        </is>
      </c>
      <c r="P133" s="38" t="inlineStr">
        <is>
          <t>A</t>
        </is>
      </c>
      <c r="Q133" s="38" t="inlineStr">
        <is>
          <t>Q</t>
        </is>
      </c>
      <c r="R133" s="38" t="inlineStr">
        <is>
          <t>M1</t>
        </is>
      </c>
      <c r="S133" s="24" t="inlineStr">
        <is>
          <t>M5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282</v>
      </c>
      <c r="AN133" s="153">
        <v>279</v>
      </c>
      <c r="AO133" s="153">
        <v>399</v>
      </c>
      <c r="AP133" s="153">
        <v>87</v>
      </c>
      <c r="AQ133" s="153">
        <v>51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TE</t>
        </is>
      </c>
      <c r="N134" s="38" t="inlineStr">
        <is>
          <t>M3</t>
        </is>
      </c>
      <c r="O134" s="38" t="inlineStr">
        <is>
          <t>TE</t>
        </is>
      </c>
      <c r="P134" s="38" t="inlineStr">
        <is>
          <t>M2</t>
        </is>
      </c>
      <c r="Q134" s="38" t="inlineStr">
        <is>
          <t>G5</t>
        </is>
      </c>
      <c r="R134" s="38" t="inlineStr">
        <is>
          <t>M5</t>
        </is>
      </c>
      <c r="S134" s="24" t="inlineStr">
        <is>
          <t>M6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322</v>
      </c>
      <c r="AN134" s="153">
        <v>273</v>
      </c>
      <c r="AO134" s="153">
        <v>270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GQ</t>
        </is>
      </c>
      <c r="O135" s="38" t="inlineStr">
        <is>
          <t>GA</t>
        </is>
      </c>
      <c r="P135" s="38" t="inlineStr">
        <is>
          <t>TE</t>
        </is>
      </c>
      <c r="Q135" s="38" t="inlineStr">
        <is>
          <t>M6</t>
        </is>
      </c>
      <c r="R135" s="38" t="inlineStr">
        <is>
          <t>Q</t>
        </is>
      </c>
      <c r="S135" s="24" t="inlineStr">
        <is>
          <t>J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1296</v>
      </c>
      <c r="AN135" s="153">
        <v>793</v>
      </c>
      <c r="AO135" s="153">
        <v>1219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Q</t>
        </is>
      </c>
      <c r="O136" s="38" t="inlineStr">
        <is>
          <t>Q</t>
        </is>
      </c>
      <c r="P136" s="38" t="inlineStr">
        <is>
          <t>Q</t>
        </is>
      </c>
      <c r="Q136" s="38" t="inlineStr">
        <is>
          <t>M2</t>
        </is>
      </c>
      <c r="R136" s="38" t="inlineStr">
        <is>
          <t>K</t>
        </is>
      </c>
      <c r="S136" s="24" t="inlineStr">
        <is>
          <t>M5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3301</v>
      </c>
      <c r="AN136" s="153">
        <v>2571</v>
      </c>
      <c r="AO136" s="153">
        <v>3143</v>
      </c>
      <c r="AP136" s="153">
        <v>1283</v>
      </c>
      <c r="AQ136" s="153">
        <v>625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Q</t>
        </is>
      </c>
      <c r="N137" s="38" t="inlineStr">
        <is>
          <t>A</t>
        </is>
      </c>
      <c r="O137" s="38" t="inlineStr">
        <is>
          <t>Q</t>
        </is>
      </c>
      <c r="P137" s="38" t="inlineStr">
        <is>
          <t>K</t>
        </is>
      </c>
      <c r="Q137" s="38" t="inlineStr">
        <is>
          <t>TE</t>
        </is>
      </c>
      <c r="R137" s="38" t="inlineStr">
        <is>
          <t>TE</t>
        </is>
      </c>
      <c r="S137" s="24" t="inlineStr">
        <is>
          <t>TE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845</v>
      </c>
      <c r="AN137" s="153">
        <v>3357</v>
      </c>
      <c r="AO137" s="153">
        <v>891</v>
      </c>
      <c r="AP137" s="153">
        <v>526</v>
      </c>
      <c r="AQ137" s="153">
        <v>216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GA</t>
        </is>
      </c>
      <c r="O138" s="38" t="inlineStr">
        <is>
          <t>J</t>
        </is>
      </c>
      <c r="P138" s="38" t="inlineStr">
        <is>
          <t>A</t>
        </is>
      </c>
      <c r="Q138" s="38" t="inlineStr">
        <is>
          <t>M5</t>
        </is>
      </c>
      <c r="R138" s="38" t="inlineStr">
        <is>
          <t>TE</t>
        </is>
      </c>
      <c r="S138" s="24" t="inlineStr">
        <is>
          <t>M4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3179</v>
      </c>
      <c r="AN138" s="153">
        <v>783</v>
      </c>
      <c r="AO138" s="153">
        <v>3535</v>
      </c>
      <c r="AP138" s="153">
        <v>1551</v>
      </c>
      <c r="AQ138" s="153">
        <v>902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G5</t>
        </is>
      </c>
      <c r="O139" s="155" t="inlineStr">
        <is>
          <t>M4</t>
        </is>
      </c>
      <c r="P139" s="155" t="inlineStr">
        <is>
          <t>TE</t>
        </is>
      </c>
      <c r="Q139" s="155" t="inlineStr">
        <is>
          <t>M6</t>
        </is>
      </c>
      <c r="R139" s="155" t="inlineStr">
        <is>
          <t>K</t>
        </is>
      </c>
      <c r="S139" s="156" t="inlineStr">
        <is>
          <t>M4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M5</t>
        </is>
      </c>
      <c r="O140" s="38" t="inlineStr">
        <is>
          <t>TE</t>
        </is>
      </c>
      <c r="P140" s="38" t="inlineStr">
        <is>
          <t>K</t>
        </is>
      </c>
      <c r="Q140" s="38" t="inlineStr">
        <is>
          <t>GA</t>
        </is>
      </c>
      <c r="R140" s="38" t="inlineStr">
        <is>
          <t>Q</t>
        </is>
      </c>
      <c r="S140" s="24" t="inlineStr">
        <is>
          <t>J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M5</t>
        </is>
      </c>
      <c r="N141" s="38" t="inlineStr">
        <is>
          <t>GA</t>
        </is>
      </c>
      <c r="O141" s="38" t="inlineStr">
        <is>
          <t>Q</t>
        </is>
      </c>
      <c r="P141" s="38" t="inlineStr">
        <is>
          <t>K</t>
        </is>
      </c>
      <c r="Q141" s="38" t="inlineStr">
        <is>
          <t>GQ</t>
        </is>
      </c>
      <c r="R141" s="38" t="inlineStr">
        <is>
          <t>M1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M3</t>
        </is>
      </c>
      <c r="N142" s="38" t="inlineStr">
        <is>
          <t>G5</t>
        </is>
      </c>
      <c r="O142" s="38" t="inlineStr">
        <is>
          <t>Q</t>
        </is>
      </c>
      <c r="P142" s="38" t="inlineStr">
        <is>
          <t>M6</t>
        </is>
      </c>
      <c r="Q142" s="38" t="inlineStr">
        <is>
          <t>G3</t>
        </is>
      </c>
      <c r="R142" s="38" t="inlineStr">
        <is>
          <t>M5</t>
        </is>
      </c>
      <c r="S142" s="24" t="inlineStr">
        <is>
          <t>A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M1</t>
        </is>
      </c>
      <c r="N143" s="38" t="inlineStr">
        <is>
          <t>GQ</t>
        </is>
      </c>
      <c r="O143" s="38" t="inlineStr">
        <is>
          <t>J</t>
        </is>
      </c>
      <c r="P143" s="38" t="inlineStr">
        <is>
          <t>Q</t>
        </is>
      </c>
      <c r="Q143" s="38" t="inlineStr">
        <is>
          <t>GT</t>
        </is>
      </c>
      <c r="R143" s="38" t="inlineStr">
        <is>
          <t>G6</t>
        </is>
      </c>
      <c r="S143" s="24" t="inlineStr">
        <is>
          <t>M6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GA</t>
        </is>
      </c>
      <c r="O144" s="38" t="inlineStr">
        <is>
          <t>A</t>
        </is>
      </c>
      <c r="P144" s="38" t="inlineStr">
        <is>
          <t>G2</t>
        </is>
      </c>
      <c r="Q144" s="38" t="inlineStr">
        <is>
          <t>Q</t>
        </is>
      </c>
      <c r="R144" s="38" t="inlineStr">
        <is>
          <t>M6</t>
        </is>
      </c>
      <c r="S144" s="24" t="inlineStr">
        <is>
          <t>J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TE</t>
        </is>
      </c>
      <c r="O145" s="38" t="inlineStr">
        <is>
          <t>G3</t>
        </is>
      </c>
      <c r="P145" s="38" t="inlineStr">
        <is>
          <t>M1</t>
        </is>
      </c>
      <c r="Q145" s="38" t="inlineStr">
        <is>
          <t>Q</t>
        </is>
      </c>
      <c r="R145" s="38" t="inlineStr">
        <is>
          <t>M4</t>
        </is>
      </c>
      <c r="S145" s="24" t="inlineStr">
        <is>
          <t>K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256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TE</t>
        </is>
      </c>
      <c r="N146" s="38" t="inlineStr">
        <is>
          <t>M3</t>
        </is>
      </c>
      <c r="O146" s="38" t="inlineStr">
        <is>
          <t>Q</t>
        </is>
      </c>
      <c r="P146" s="38" t="inlineStr">
        <is>
          <t>J</t>
        </is>
      </c>
      <c r="Q146" s="38" t="inlineStr">
        <is>
          <t>Q</t>
        </is>
      </c>
      <c r="R146" s="38" t="inlineStr">
        <is>
          <t>J</t>
        </is>
      </c>
      <c r="S146" s="24" t="inlineStr">
        <is>
          <t>M6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M4</t>
        </is>
      </c>
      <c r="N147" s="38" t="inlineStr">
        <is>
          <t>GT</t>
        </is>
      </c>
      <c r="O147" s="38" t="inlineStr">
        <is>
          <t>M2</t>
        </is>
      </c>
      <c r="P147" s="38" t="inlineStr">
        <is>
          <t>GA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M4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GT</t>
        </is>
      </c>
      <c r="O148" s="155" t="inlineStr">
        <is>
          <t>M4</t>
        </is>
      </c>
      <c r="P148" s="155" t="inlineStr">
        <is>
          <t>M2</t>
        </is>
      </c>
      <c r="Q148" s="155" t="inlineStr">
        <is>
          <t>M3</t>
        </is>
      </c>
      <c r="R148" s="155" t="inlineStr">
        <is>
          <t>G4</t>
        </is>
      </c>
      <c r="S148" s="156" t="inlineStr">
        <is>
          <t>M1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J</t>
        </is>
      </c>
      <c r="N149" s="38" t="inlineStr">
        <is>
          <t>Q</t>
        </is>
      </c>
      <c r="O149" s="38" t="inlineStr">
        <is>
          <t>J</t>
        </is>
      </c>
      <c r="P149" s="38" t="inlineStr">
        <is>
          <t>M5</t>
        </is>
      </c>
      <c r="Q149" s="38" t="inlineStr">
        <is>
          <t>TE</t>
        </is>
      </c>
      <c r="R149" s="38" t="inlineStr">
        <is>
          <t>M5</t>
        </is>
      </c>
      <c r="S149" s="24" t="inlineStr">
        <is>
          <t>M2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M2</t>
        </is>
      </c>
      <c r="O150" s="38" t="inlineStr">
        <is>
          <t>A</t>
        </is>
      </c>
      <c r="P150" s="38" t="inlineStr">
        <is>
          <t>Q</t>
        </is>
      </c>
      <c r="Q150" s="38" t="inlineStr">
        <is>
          <t>J</t>
        </is>
      </c>
      <c r="R150" s="38" t="inlineStr">
        <is>
          <t>M6</t>
        </is>
      </c>
      <c r="S150" s="24" t="inlineStr">
        <is>
          <t>Q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Q</t>
        </is>
      </c>
      <c r="O151" s="38" t="inlineStr">
        <is>
          <t>J</t>
        </is>
      </c>
      <c r="P151" s="38" t="inlineStr">
        <is>
          <t>M5</t>
        </is>
      </c>
      <c r="Q151" s="38" t="inlineStr">
        <is>
          <t>M1</t>
        </is>
      </c>
      <c r="R151" s="38" t="inlineStr">
        <is>
          <t>J</t>
        </is>
      </c>
      <c r="S151" s="24" t="inlineStr">
        <is>
          <t>M2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K</t>
        </is>
      </c>
      <c r="N152" s="38" t="inlineStr">
        <is>
          <t>Q</t>
        </is>
      </c>
      <c r="O152" s="38" t="inlineStr">
        <is>
          <t>M3</t>
        </is>
      </c>
      <c r="P152" s="38" t="inlineStr">
        <is>
          <t>M4</t>
        </is>
      </c>
      <c r="Q152" s="38" t="inlineStr">
        <is>
          <t>GA</t>
        </is>
      </c>
      <c r="R152" s="38" t="inlineStr">
        <is>
          <t>M4</t>
        </is>
      </c>
      <c r="S152" s="24" t="inlineStr">
        <is>
          <t>M4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M1</t>
        </is>
      </c>
      <c r="N153" s="38" t="inlineStr">
        <is>
          <t>Q</t>
        </is>
      </c>
      <c r="O153" s="38" t="inlineStr">
        <is>
          <t>G2</t>
        </is>
      </c>
      <c r="P153" s="38" t="inlineStr">
        <is>
          <t>M5</t>
        </is>
      </c>
      <c r="Q153" s="38" t="inlineStr">
        <is>
          <t>K</t>
        </is>
      </c>
      <c r="R153" s="38" t="inlineStr">
        <is>
          <t>M2</t>
        </is>
      </c>
      <c r="S153" s="24" t="inlineStr">
        <is>
          <t>M4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Q</t>
        </is>
      </c>
      <c r="N154" s="38" t="inlineStr">
        <is>
          <t>M2</t>
        </is>
      </c>
      <c r="O154" s="38" t="inlineStr">
        <is>
          <t>M3</t>
        </is>
      </c>
      <c r="P154" s="38" t="inlineStr">
        <is>
          <t>M5</t>
        </is>
      </c>
      <c r="Q154" s="38" t="inlineStr">
        <is>
          <t>Q</t>
        </is>
      </c>
      <c r="R154" s="38" t="inlineStr">
        <is>
          <t>K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M5</t>
        </is>
      </c>
      <c r="N155" s="38" t="inlineStr">
        <is>
          <t>K</t>
        </is>
      </c>
      <c r="O155" s="38" t="inlineStr">
        <is>
          <t>G5</t>
        </is>
      </c>
      <c r="P155" s="38" t="inlineStr">
        <is>
          <t>M4</t>
        </is>
      </c>
      <c r="Q155" s="38" t="inlineStr">
        <is>
          <t>M6</t>
        </is>
      </c>
      <c r="R155" s="38" t="inlineStr">
        <is>
          <t>M4</t>
        </is>
      </c>
      <c r="S155" s="24" t="inlineStr">
        <is>
          <t>M6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M5</t>
        </is>
      </c>
      <c r="N156" s="38" t="inlineStr">
        <is>
          <t>A</t>
        </is>
      </c>
      <c r="O156" s="38" t="inlineStr">
        <is>
          <t>K</t>
        </is>
      </c>
      <c r="P156" s="38" t="inlineStr">
        <is>
          <t>G4</t>
        </is>
      </c>
      <c r="Q156" s="38" t="inlineStr">
        <is>
          <t>Q</t>
        </is>
      </c>
      <c r="R156" s="38" t="inlineStr">
        <is>
          <t>J</t>
        </is>
      </c>
      <c r="S156" s="24" t="inlineStr">
        <is>
          <t>K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A</t>
        </is>
      </c>
      <c r="O157" s="155" t="inlineStr">
        <is>
          <t>M4</t>
        </is>
      </c>
      <c r="P157" s="155" t="inlineStr">
        <is>
          <t>M4</t>
        </is>
      </c>
      <c r="Q157" s="155" t="inlineStr">
        <is>
          <t>G5</t>
        </is>
      </c>
      <c r="R157" s="155" t="inlineStr">
        <is>
          <t>M2</t>
        </is>
      </c>
      <c r="S157" s="156" t="inlineStr">
        <is>
          <t>Q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A</t>
        </is>
      </c>
      <c r="O158" s="38" t="inlineStr">
        <is>
          <t>A</t>
        </is>
      </c>
      <c r="P158" s="38" t="inlineStr">
        <is>
          <t>J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Q</t>
        </is>
      </c>
      <c r="O159" s="38" t="inlineStr">
        <is>
          <t>M3</t>
        </is>
      </c>
      <c r="P159" s="38" t="inlineStr">
        <is>
          <t>M3</t>
        </is>
      </c>
      <c r="Q159" s="38" t="inlineStr">
        <is>
          <t>M4</t>
        </is>
      </c>
      <c r="R159" s="38" t="inlineStr">
        <is>
          <t>A</t>
        </is>
      </c>
      <c r="S159" s="24" t="inlineStr">
        <is>
          <t>M6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M6</t>
        </is>
      </c>
      <c r="N160" s="38" t="inlineStr">
        <is>
          <t>G5</t>
        </is>
      </c>
      <c r="O160" s="38" t="inlineStr">
        <is>
          <t>GK</t>
        </is>
      </c>
      <c r="P160" s="38" t="inlineStr">
        <is>
          <t>G4</t>
        </is>
      </c>
      <c r="Q160" s="38" t="inlineStr">
        <is>
          <t>M6</t>
        </is>
      </c>
      <c r="R160" s="38" t="inlineStr">
        <is>
          <t>M6</t>
        </is>
      </c>
      <c r="S160" s="24" t="inlineStr">
        <is>
          <t>M1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K</t>
        </is>
      </c>
      <c r="O161" s="38" t="inlineStr">
        <is>
          <t>GT</t>
        </is>
      </c>
      <c r="P161" s="38" t="inlineStr">
        <is>
          <t>M6</t>
        </is>
      </c>
      <c r="Q161" s="38" t="inlineStr">
        <is>
          <t>M4</t>
        </is>
      </c>
      <c r="R161" s="38" t="inlineStr">
        <is>
          <t>M2</t>
        </is>
      </c>
      <c r="S161" s="24" t="inlineStr">
        <is>
          <t>K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M3</t>
        </is>
      </c>
      <c r="O162" s="38" t="inlineStr">
        <is>
          <t>M6</t>
        </is>
      </c>
      <c r="P162" s="38" t="inlineStr">
        <is>
          <t>Q</t>
        </is>
      </c>
      <c r="Q162" s="38" t="inlineStr">
        <is>
          <t>GA</t>
        </is>
      </c>
      <c r="R162" s="38" t="inlineStr">
        <is>
          <t>M4</t>
        </is>
      </c>
      <c r="S162" s="24" t="inlineStr">
        <is>
          <t>M6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M2</t>
        </is>
      </c>
      <c r="N163" s="38" t="inlineStr">
        <is>
          <t>GQ</t>
        </is>
      </c>
      <c r="O163" s="38" t="inlineStr">
        <is>
          <t>M4</t>
        </is>
      </c>
      <c r="P163" s="38" t="inlineStr">
        <is>
          <t>Q</t>
        </is>
      </c>
      <c r="Q163" s="38" t="inlineStr">
        <is>
          <t>M1</t>
        </is>
      </c>
      <c r="R163" s="38" t="inlineStr">
        <is>
          <t>Q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TE</t>
        </is>
      </c>
      <c r="N164" s="38" t="inlineStr">
        <is>
          <t>TE</t>
        </is>
      </c>
      <c r="O164" s="38" t="inlineStr">
        <is>
          <t>M6</t>
        </is>
      </c>
      <c r="P164" s="38" t="inlineStr">
        <is>
          <t>K</t>
        </is>
      </c>
      <c r="Q164" s="38" t="inlineStr">
        <is>
          <t>A</t>
        </is>
      </c>
      <c r="R164" s="38" t="inlineStr">
        <is>
          <t>Q</t>
        </is>
      </c>
      <c r="S164" s="24" t="inlineStr">
        <is>
          <t>J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M3</t>
        </is>
      </c>
      <c r="N165" s="38" t="inlineStr">
        <is>
          <t>M5</t>
        </is>
      </c>
      <c r="O165" s="38" t="inlineStr">
        <is>
          <t>Q</t>
        </is>
      </c>
      <c r="P165" s="38" t="inlineStr">
        <is>
          <t>TE</t>
        </is>
      </c>
      <c r="Q165" s="38" t="inlineStr">
        <is>
          <t>M4</t>
        </is>
      </c>
      <c r="R165" s="38" t="inlineStr">
        <is>
          <t>M4</t>
        </is>
      </c>
      <c r="S165" s="24" t="inlineStr">
        <is>
          <t>Q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TE</t>
        </is>
      </c>
      <c r="N166" s="155" t="inlineStr">
        <is>
          <t>M5</t>
        </is>
      </c>
      <c r="O166" s="155" t="inlineStr">
        <is>
          <t>GK</t>
        </is>
      </c>
      <c r="P166" s="155" t="inlineStr">
        <is>
          <t>K</t>
        </is>
      </c>
      <c r="Q166" s="155" t="inlineStr">
        <is>
          <t>A</t>
        </is>
      </c>
      <c r="R166" s="155" t="inlineStr">
        <is>
          <t>J</t>
        </is>
      </c>
      <c r="S166" s="156" t="inlineStr">
        <is>
          <t>Q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Q</t>
        </is>
      </c>
      <c r="O167" s="38" t="inlineStr">
        <is>
          <t>TE</t>
        </is>
      </c>
      <c r="P167" s="38" t="inlineStr">
        <is>
          <t>M1</t>
        </is>
      </c>
      <c r="Q167" s="38" t="inlineStr">
        <is>
          <t>TE</t>
        </is>
      </c>
      <c r="R167" s="38" t="inlineStr">
        <is>
          <t>M6</t>
        </is>
      </c>
      <c r="S167" s="24" t="inlineStr">
        <is>
          <t>J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A</t>
        </is>
      </c>
      <c r="O168" s="38" t="inlineStr">
        <is>
          <t>GA</t>
        </is>
      </c>
      <c r="P168" s="38" t="inlineStr">
        <is>
          <t>TE</t>
        </is>
      </c>
      <c r="Q168" s="38" t="inlineStr">
        <is>
          <t>M5</t>
        </is>
      </c>
      <c r="R168" s="38" t="inlineStr">
        <is>
          <t>G2</t>
        </is>
      </c>
      <c r="S168" s="24" t="inlineStr">
        <is>
          <t>M5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M2</t>
        </is>
      </c>
      <c r="O169" s="38" t="inlineStr">
        <is>
          <t>GQ</t>
        </is>
      </c>
      <c r="P169" s="38" t="inlineStr">
        <is>
          <t>J</t>
        </is>
      </c>
      <c r="Q169" s="38" t="inlineStr">
        <is>
          <t>GJ</t>
        </is>
      </c>
      <c r="R169" s="38" t="inlineStr">
        <is>
          <t>GA</t>
        </is>
      </c>
      <c r="S169" s="24" t="inlineStr">
        <is>
          <t>M6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TE</t>
        </is>
      </c>
      <c r="N170" s="38" t="inlineStr">
        <is>
          <t>A</t>
        </is>
      </c>
      <c r="O170" s="38" t="inlineStr">
        <is>
          <t>K</t>
        </is>
      </c>
      <c r="P170" s="38" t="inlineStr">
        <is>
          <t>M3</t>
        </is>
      </c>
      <c r="Q170" s="38" t="inlineStr">
        <is>
          <t>M4</t>
        </is>
      </c>
      <c r="R170" s="38" t="inlineStr">
        <is>
          <t>J</t>
        </is>
      </c>
      <c r="S170" s="24" t="inlineStr">
        <is>
          <t>M2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K</t>
        </is>
      </c>
      <c r="N171" s="38" t="inlineStr">
        <is>
          <t>GQ</t>
        </is>
      </c>
      <c r="O171" s="38" t="inlineStr">
        <is>
          <t>A</t>
        </is>
      </c>
      <c r="P171" s="38" t="inlineStr">
        <is>
          <t>J</t>
        </is>
      </c>
      <c r="Q171" s="38" t="inlineStr">
        <is>
          <t>A</t>
        </is>
      </c>
      <c r="R171" s="38" t="inlineStr">
        <is>
          <t>A</t>
        </is>
      </c>
      <c r="S171" s="24" t="inlineStr">
        <is>
          <t>M4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M2</t>
        </is>
      </c>
      <c r="P172" s="38" t="inlineStr">
        <is>
          <t>Q</t>
        </is>
      </c>
      <c r="Q172" s="38" t="inlineStr">
        <is>
          <t>M5</t>
        </is>
      </c>
      <c r="R172" s="38" t="inlineStr">
        <is>
          <t>WW</t>
        </is>
      </c>
      <c r="S172" s="24" t="inlineStr">
        <is>
          <t>J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Q</t>
        </is>
      </c>
      <c r="P173" s="38" t="inlineStr">
        <is>
          <t>J</t>
        </is>
      </c>
      <c r="Q173" s="38" t="inlineStr">
        <is>
          <t>M5</t>
        </is>
      </c>
      <c r="R173" s="38" t="inlineStr">
        <is>
          <t>M6</t>
        </is>
      </c>
      <c r="S173" s="24" t="inlineStr">
        <is>
          <t>M4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J</t>
        </is>
      </c>
      <c r="N174" s="38" t="inlineStr">
        <is>
          <t>TE</t>
        </is>
      </c>
      <c r="O174" s="38" t="inlineStr">
        <is>
          <t>G6</t>
        </is>
      </c>
      <c r="P174" s="38" t="inlineStr">
        <is>
          <t>G6</t>
        </is>
      </c>
      <c r="Q174" s="38" t="inlineStr">
        <is>
          <t>GJ</t>
        </is>
      </c>
      <c r="R174" s="38" t="inlineStr">
        <is>
          <t>GJ</t>
        </is>
      </c>
      <c r="S174" s="24" t="inlineStr">
        <is>
          <t>M5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K</t>
        </is>
      </c>
      <c r="N175" s="155" t="inlineStr">
        <is>
          <t>GT</t>
        </is>
      </c>
      <c r="O175" s="155" t="inlineStr">
        <is>
          <t>M5</t>
        </is>
      </c>
      <c r="P175" s="155" t="inlineStr">
        <is>
          <t>J</t>
        </is>
      </c>
      <c r="Q175" s="155" t="inlineStr">
        <is>
          <t>TE</t>
        </is>
      </c>
      <c r="R175" s="155" t="inlineStr">
        <is>
          <t>TE</t>
        </is>
      </c>
      <c r="S175" s="156" t="inlineStr">
        <is>
          <t>J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A</t>
        </is>
      </c>
      <c r="O176" s="38" t="inlineStr">
        <is>
          <t>M4</t>
        </is>
      </c>
      <c r="P176" s="38" t="inlineStr">
        <is>
          <t>G2</t>
        </is>
      </c>
      <c r="Q176" s="38" t="inlineStr">
        <is>
          <t>M2</t>
        </is>
      </c>
      <c r="R176" s="38" t="inlineStr">
        <is>
          <t>GJ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M2</t>
        </is>
      </c>
      <c r="N177" s="38" t="inlineStr">
        <is>
          <t>M1</t>
        </is>
      </c>
      <c r="O177" s="38" t="inlineStr">
        <is>
          <t>G6</t>
        </is>
      </c>
      <c r="P177" s="38" t="inlineStr">
        <is>
          <t>A</t>
        </is>
      </c>
      <c r="Q177" s="38" t="inlineStr">
        <is>
          <t>M5</t>
        </is>
      </c>
      <c r="R177" s="38" t="inlineStr">
        <is>
          <t>GQ</t>
        </is>
      </c>
      <c r="S177" s="24" t="inlineStr">
        <is>
          <t>M2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M5</t>
        </is>
      </c>
      <c r="N178" s="38" t="inlineStr">
        <is>
          <t>TE</t>
        </is>
      </c>
      <c r="O178" s="38" t="inlineStr">
        <is>
          <t>J</t>
        </is>
      </c>
      <c r="P178" s="38" t="inlineStr">
        <is>
          <t>G5</t>
        </is>
      </c>
      <c r="Q178" s="38" t="inlineStr">
        <is>
          <t>M5</t>
        </is>
      </c>
      <c r="R178" s="38" t="inlineStr">
        <is>
          <t>M5</t>
        </is>
      </c>
      <c r="S178" s="24" t="inlineStr">
        <is>
          <t>TE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TE</t>
        </is>
      </c>
      <c r="O179" s="38" t="inlineStr">
        <is>
          <t>A</t>
        </is>
      </c>
      <c r="P179" s="38" t="inlineStr">
        <is>
          <t>J</t>
        </is>
      </c>
      <c r="Q179" s="38" t="inlineStr">
        <is>
          <t>GT</t>
        </is>
      </c>
      <c r="R179" s="38" t="inlineStr">
        <is>
          <t>Q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K</t>
        </is>
      </c>
      <c r="N180" s="38" t="inlineStr">
        <is>
          <t>M5</t>
        </is>
      </c>
      <c r="O180" s="38" t="inlineStr">
        <is>
          <t>TE</t>
        </is>
      </c>
      <c r="P180" s="38" t="inlineStr">
        <is>
          <t>M6</t>
        </is>
      </c>
      <c r="Q180" s="38" t="inlineStr">
        <is>
          <t>A</t>
        </is>
      </c>
      <c r="R180" s="38" t="inlineStr">
        <is>
          <t>M5</t>
        </is>
      </c>
      <c r="S180" s="24" t="inlineStr">
        <is>
          <t>K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Q</t>
        </is>
      </c>
      <c r="P181" s="38" t="inlineStr">
        <is>
          <t>M5</t>
        </is>
      </c>
      <c r="Q181" s="38" t="inlineStr">
        <is>
          <t>G3</t>
        </is>
      </c>
      <c r="R181" s="38" t="inlineStr">
        <is>
          <t>G5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M1</t>
        </is>
      </c>
      <c r="O182" s="38" t="inlineStr">
        <is>
          <t>WW</t>
        </is>
      </c>
      <c r="P182" s="38" t="inlineStr">
        <is>
          <t>Q</t>
        </is>
      </c>
      <c r="Q182" s="38" t="inlineStr">
        <is>
          <t>Q</t>
        </is>
      </c>
      <c r="R182" s="38" t="inlineStr">
        <is>
          <t>M3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Q</t>
        </is>
      </c>
      <c r="N183" s="38" t="inlineStr">
        <is>
          <t>M6</t>
        </is>
      </c>
      <c r="O183" s="38" t="inlineStr">
        <is>
          <t>M2</t>
        </is>
      </c>
      <c r="P183" s="38" t="inlineStr">
        <is>
          <t>K</t>
        </is>
      </c>
      <c r="Q183" s="38" t="inlineStr">
        <is>
          <t>K</t>
        </is>
      </c>
      <c r="R183" s="38" t="inlineStr">
        <is>
          <t>M2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Q</t>
        </is>
      </c>
      <c r="O184" s="155" t="inlineStr">
        <is>
          <t>WW</t>
        </is>
      </c>
      <c r="P184" s="155" t="inlineStr">
        <is>
          <t>GT</t>
        </is>
      </c>
      <c r="Q184" s="155" t="inlineStr">
        <is>
          <t>M5</t>
        </is>
      </c>
      <c r="R184" s="155" t="inlineStr">
        <is>
          <t>K</t>
        </is>
      </c>
      <c r="S184" s="156" t="inlineStr">
        <is>
          <t>TE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M2</t>
        </is>
      </c>
      <c r="O185" s="38" t="inlineStr">
        <is>
          <t>G4</t>
        </is>
      </c>
      <c r="P185" s="38" t="inlineStr">
        <is>
          <t>M3</t>
        </is>
      </c>
      <c r="Q185" s="38" t="inlineStr">
        <is>
          <t>Q</t>
        </is>
      </c>
      <c r="R185" s="38" t="inlineStr">
        <is>
          <t>M5</t>
        </is>
      </c>
      <c r="S185" s="24" t="inlineStr">
        <is>
          <t>M2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K</t>
        </is>
      </c>
      <c r="O186" s="38" t="inlineStr">
        <is>
          <t>Q</t>
        </is>
      </c>
      <c r="P186" s="38" t="inlineStr">
        <is>
          <t>J</t>
        </is>
      </c>
      <c r="Q186" s="38" t="inlineStr">
        <is>
          <t>G6</t>
        </is>
      </c>
      <c r="R186" s="38" t="inlineStr">
        <is>
          <t>G4</t>
        </is>
      </c>
      <c r="S186" s="24" t="inlineStr">
        <is>
          <t>J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G3</t>
        </is>
      </c>
      <c r="P187" s="38" t="inlineStr">
        <is>
          <t>M3</t>
        </is>
      </c>
      <c r="Q187" s="38" t="inlineStr">
        <is>
          <t>Q</t>
        </is>
      </c>
      <c r="R187" s="38" t="inlineStr">
        <is>
          <t>TE</t>
        </is>
      </c>
      <c r="S187" s="24" t="inlineStr">
        <is>
          <t>K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Q</t>
        </is>
      </c>
      <c r="N188" s="38" t="inlineStr">
        <is>
          <t>Q</t>
        </is>
      </c>
      <c r="O188" s="38" t="inlineStr">
        <is>
          <t>Q</t>
        </is>
      </c>
      <c r="P188" s="38" t="inlineStr">
        <is>
          <t>J</t>
        </is>
      </c>
      <c r="Q188" s="38" t="inlineStr">
        <is>
          <t>Q</t>
        </is>
      </c>
      <c r="R188" s="38" t="inlineStr">
        <is>
          <t>G3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TE</t>
        </is>
      </c>
      <c r="N189" s="38" t="inlineStr">
        <is>
          <t>GT</t>
        </is>
      </c>
      <c r="O189" s="38" t="inlineStr">
        <is>
          <t>M6</t>
        </is>
      </c>
      <c r="P189" s="38" t="inlineStr">
        <is>
          <t>GT</t>
        </is>
      </c>
      <c r="Q189" s="38" t="inlineStr">
        <is>
          <t>A</t>
        </is>
      </c>
      <c r="R189" s="38" t="inlineStr">
        <is>
          <t>K</t>
        </is>
      </c>
      <c r="S189" s="24" t="inlineStr">
        <is>
          <t>M6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J</t>
        </is>
      </c>
      <c r="N190" s="38" t="inlineStr">
        <is>
          <t>TE</t>
        </is>
      </c>
      <c r="O190" s="38" t="inlineStr">
        <is>
          <t>TE</t>
        </is>
      </c>
      <c r="P190" s="38" t="inlineStr">
        <is>
          <t>K</t>
        </is>
      </c>
      <c r="Q190" s="38" t="inlineStr">
        <is>
          <t>M5</t>
        </is>
      </c>
      <c r="R190" s="38" t="inlineStr">
        <is>
          <t>A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M5</t>
        </is>
      </c>
      <c r="N191" s="38" t="inlineStr">
        <is>
          <t>G5</t>
        </is>
      </c>
      <c r="O191" s="38" t="inlineStr">
        <is>
          <t>G6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K</t>
        </is>
      </c>
      <c r="S191" s="24" t="inlineStr">
        <is>
          <t>M3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Q</t>
        </is>
      </c>
      <c r="N192" s="38" t="inlineStr">
        <is>
          <t>G2</t>
        </is>
      </c>
      <c r="O192" s="38" t="inlineStr">
        <is>
          <t>J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GA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M3</t>
        </is>
      </c>
      <c r="N193" s="155" t="inlineStr">
        <is>
          <t>GK</t>
        </is>
      </c>
      <c r="O193" s="155" t="inlineStr">
        <is>
          <t>J</t>
        </is>
      </c>
      <c r="P193" s="155" t="inlineStr">
        <is>
          <t>TE</t>
        </is>
      </c>
      <c r="Q193" s="155" t="inlineStr">
        <is>
          <t>J</t>
        </is>
      </c>
      <c r="R193" s="155" t="inlineStr">
        <is>
          <t>TE</t>
        </is>
      </c>
      <c r="S193" s="156" t="inlineStr">
        <is>
          <t>M1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A</t>
        </is>
      </c>
      <c r="O194" s="38" t="inlineStr">
        <is>
          <t>M5</t>
        </is>
      </c>
      <c r="P194" s="38" t="inlineStr">
        <is>
          <t>G6</t>
        </is>
      </c>
      <c r="Q194" s="38" t="inlineStr">
        <is>
          <t>GQ</t>
        </is>
      </c>
      <c r="R194" s="38" t="inlineStr">
        <is>
          <t>M4</t>
        </is>
      </c>
      <c r="S194" s="24" t="inlineStr">
        <is>
          <t>M6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K</t>
        </is>
      </c>
      <c r="N195" s="38" t="inlineStr">
        <is>
          <t>M3</t>
        </is>
      </c>
      <c r="O195" s="38" t="inlineStr">
        <is>
          <t>J</t>
        </is>
      </c>
      <c r="P195" s="38" t="inlineStr">
        <is>
          <t>J</t>
        </is>
      </c>
      <c r="Q195" s="38" t="inlineStr">
        <is>
          <t>M6</t>
        </is>
      </c>
      <c r="R195" s="38" t="inlineStr">
        <is>
          <t>M6</t>
        </is>
      </c>
      <c r="S195" s="24" t="inlineStr">
        <is>
          <t>WW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K</t>
        </is>
      </c>
      <c r="N196" s="38" t="inlineStr">
        <is>
          <t>TE</t>
        </is>
      </c>
      <c r="O196" s="38" t="inlineStr">
        <is>
          <t>M6</t>
        </is>
      </c>
      <c r="P196" s="38" t="inlineStr">
        <is>
          <t>M6</t>
        </is>
      </c>
      <c r="Q196" s="38" t="inlineStr">
        <is>
          <t>M3</t>
        </is>
      </c>
      <c r="R196" s="38" t="inlineStr">
        <is>
          <t>J</t>
        </is>
      </c>
      <c r="S196" s="24" t="inlineStr">
        <is>
          <t>K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Q</t>
        </is>
      </c>
      <c r="O197" s="38" t="inlineStr">
        <is>
          <t>GT</t>
        </is>
      </c>
      <c r="P197" s="38" t="inlineStr">
        <is>
          <t>GK</t>
        </is>
      </c>
      <c r="Q197" s="38" t="inlineStr">
        <is>
          <t>A</t>
        </is>
      </c>
      <c r="R197" s="38" t="inlineStr">
        <is>
          <t>M2</t>
        </is>
      </c>
      <c r="S197" s="24" t="inlineStr">
        <is>
          <t>M6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M3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G4</t>
        </is>
      </c>
      <c r="Q198" s="38" t="inlineStr">
        <is>
          <t>TE</t>
        </is>
      </c>
      <c r="R198" s="38" t="inlineStr">
        <is>
          <t>GK</t>
        </is>
      </c>
      <c r="S198" s="24" t="inlineStr">
        <is>
          <t>M2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M1</t>
        </is>
      </c>
      <c r="N199" s="38" t="inlineStr">
        <is>
          <t>M5</t>
        </is>
      </c>
      <c r="O199" s="38" t="inlineStr">
        <is>
          <t>GJ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M6</t>
        </is>
      </c>
      <c r="S199" s="24" t="inlineStr">
        <is>
          <t>M4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GQ</t>
        </is>
      </c>
      <c r="O200" s="38" t="inlineStr">
        <is>
          <t>M5</t>
        </is>
      </c>
      <c r="P200" s="38" t="inlineStr">
        <is>
          <t>J</t>
        </is>
      </c>
      <c r="Q200" s="38" t="inlineStr">
        <is>
          <t>G5</t>
        </is>
      </c>
      <c r="R200" s="38" t="inlineStr">
        <is>
          <t>K</t>
        </is>
      </c>
      <c r="S200" s="24" t="inlineStr">
        <is>
          <t>M5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TE</t>
        </is>
      </c>
      <c r="O201" s="38" t="inlineStr">
        <is>
          <t>K</t>
        </is>
      </c>
      <c r="P201" s="38" t="inlineStr">
        <is>
          <t>M3</t>
        </is>
      </c>
      <c r="Q201" s="38" t="inlineStr">
        <is>
          <t>M2</t>
        </is>
      </c>
      <c r="R201" s="38" t="inlineStr">
        <is>
          <t>A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A</t>
        </is>
      </c>
      <c r="N202" s="155" t="inlineStr">
        <is>
          <t>M2</t>
        </is>
      </c>
      <c r="O202" s="155" t="inlineStr">
        <is>
          <t>M3</t>
        </is>
      </c>
      <c r="P202" s="155" t="inlineStr">
        <is>
          <t>G4</t>
        </is>
      </c>
      <c r="Q202" s="155" t="inlineStr">
        <is>
          <t>TE</t>
        </is>
      </c>
      <c r="R202" s="155" t="inlineStr">
        <is>
          <t>J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M5</t>
        </is>
      </c>
      <c r="O203" s="38" t="inlineStr">
        <is>
          <t>TE</t>
        </is>
      </c>
      <c r="P203" s="38" t="inlineStr">
        <is>
          <t>GJ</t>
        </is>
      </c>
      <c r="Q203" s="38" t="inlineStr">
        <is>
          <t>Q</t>
        </is>
      </c>
      <c r="R203" s="38" t="inlineStr">
        <is>
          <t>A</t>
        </is>
      </c>
      <c r="S203" s="24" t="inlineStr">
        <is>
          <t>K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K32" sqref="K3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M1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4</v>
      </c>
      <c r="E6" s="152">
        <f t="shared" si="1"/>
        <v>5</v>
      </c>
      <c r="F6" s="152">
        <f t="shared" si="1"/>
        <v>4</v>
      </c>
      <c r="G6" s="152">
        <f t="shared" si="1"/>
        <v>4</v>
      </c>
      <c r="H6" s="152">
        <f t="shared" si="1"/>
        <v>4</v>
      </c>
      <c r="I6" s="152">
        <f t="shared" si="1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6032</v>
      </c>
      <c r="AN6" s="153">
        <v>4965</v>
      </c>
      <c r="AO6" s="153">
        <v>43031</v>
      </c>
      <c r="AP6" s="153">
        <v>17051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5</v>
      </c>
      <c r="E7" s="152">
        <f t="shared" si="1"/>
        <v>6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M1</t>
        </is>
      </c>
      <c r="R7" s="38" t="inlineStr">
        <is>
          <t>M1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18097</v>
      </c>
      <c r="AN7" s="153">
        <v>18442</v>
      </c>
      <c r="AO7" s="153">
        <v>18827</v>
      </c>
      <c r="AP7" s="153">
        <v>17051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8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inlineStr">
        <is>
          <t>M1</t>
        </is>
      </c>
      <c r="N8" s="38" t="inlineStr">
        <is>
          <t>M5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37056</v>
      </c>
      <c r="AN8" s="153">
        <v>62417</v>
      </c>
      <c r="AO8" s="153">
        <v>26895</v>
      </c>
      <c r="AP8" s="153">
        <v>22734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21</v>
      </c>
      <c r="F9" s="152">
        <f t="shared" si="1"/>
        <v>11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145640</v>
      </c>
      <c r="AN9" s="153">
        <v>29081</v>
      </c>
      <c r="AO9" s="153">
        <v>34963</v>
      </c>
      <c r="AP9" s="153">
        <v>142086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28</v>
      </c>
      <c r="E10" s="152">
        <f t="shared" si="1"/>
        <v>10</v>
      </c>
      <c r="F10" s="152">
        <f t="shared" si="1"/>
        <v>26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inlineStr">
        <is>
          <t>M4</t>
        </is>
      </c>
      <c r="N10" s="38" t="inlineStr">
        <is>
          <t>M1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31886</v>
      </c>
      <c r="AN10" s="153">
        <v>121998</v>
      </c>
      <c r="AO10" s="153">
        <v>201711</v>
      </c>
      <c r="AP10" s="153">
        <v>11367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28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27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157705</v>
      </c>
      <c r="AN11" s="153">
        <v>75184</v>
      </c>
      <c r="AO11" s="153">
        <v>18827</v>
      </c>
      <c r="AP11" s="153">
        <v>250073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32</v>
      </c>
      <c r="E12" s="10">
        <f t="shared" si="1"/>
        <v>15</v>
      </c>
      <c r="F12" s="10">
        <f t="shared" si="1"/>
        <v>29</v>
      </c>
      <c r="G12" s="10">
        <f t="shared" si="1"/>
        <v>23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31</v>
      </c>
      <c r="F13" s="10">
        <f t="shared" si="1"/>
        <v>13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inlineStr">
        <is>
          <t>K</t>
        </is>
      </c>
      <c r="N13" s="155" t="inlineStr">
        <is>
          <t>Q</t>
        </is>
      </c>
      <c r="O13" s="155" t="inlineStr">
        <is>
          <t>M6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32</v>
      </c>
      <c r="E14" s="10">
        <f t="shared" si="1"/>
        <v>8</v>
      </c>
      <c r="F14" s="10">
        <f t="shared" si="1"/>
        <v>25</v>
      </c>
      <c r="G14" s="10">
        <f t="shared" si="1"/>
        <v>19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12</v>
      </c>
      <c r="E15" s="10">
        <f t="shared" si="1"/>
        <v>34</v>
      </c>
      <c r="F15" s="10">
        <f t="shared" si="1"/>
        <v>15</v>
      </c>
      <c r="G15" s="10">
        <f t="shared" si="1"/>
        <v>25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M1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33</v>
      </c>
      <c r="E16" s="10">
        <f t="shared" si="1"/>
        <v>16</v>
      </c>
      <c r="F16" s="10">
        <f t="shared" si="1"/>
        <v>27</v>
      </c>
      <c r="G16" s="10">
        <f t="shared" si="1"/>
        <v>20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1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M1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103</v>
      </c>
      <c r="AN17" s="153">
        <v>89</v>
      </c>
      <c r="AO17" s="153">
        <v>447</v>
      </c>
      <c r="AP17" s="153">
        <v>92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1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308</v>
      </c>
      <c r="AN18" s="153">
        <v>331</v>
      </c>
      <c r="AO18" s="153">
        <v>195</v>
      </c>
      <c r="AP18" s="153">
        <v>92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M1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630</v>
      </c>
      <c r="AN19" s="153">
        <v>1120</v>
      </c>
      <c r="AO19" s="153">
        <v>279</v>
      </c>
      <c r="AP19" s="153">
        <v>123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2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2476</v>
      </c>
      <c r="AN20" s="153">
        <v>522</v>
      </c>
      <c r="AO20" s="153">
        <v>363</v>
      </c>
      <c r="AP20" s="153">
        <v>771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4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M1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542</v>
      </c>
      <c r="AN21" s="153">
        <v>2190</v>
      </c>
      <c r="AO21" s="153">
        <v>2093</v>
      </c>
      <c r="AP21" s="153">
        <v>62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A</t>
        </is>
      </c>
      <c r="S22" s="156" t="inlineStr">
        <is>
          <t>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2681</v>
      </c>
      <c r="AN22" s="153">
        <v>1350</v>
      </c>
      <c r="AO22" s="153">
        <v>195</v>
      </c>
      <c r="AP22" s="153">
        <v>1356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5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inlineStr">
        <is>
          <t>M1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4</v>
      </c>
      <c r="E25" s="10">
        <f t="shared" si="10"/>
        <v>1</v>
      </c>
      <c r="F25" s="10">
        <f t="shared" si="11"/>
        <v>3</v>
      </c>
      <c r="G25" s="10">
        <f t="shared" si="12"/>
        <v>3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M1</t>
        </is>
      </c>
      <c r="P25" s="38" t="inlineStr">
        <is>
          <t>GA</t>
        </is>
      </c>
      <c r="Q25" s="38" t="inlineStr">
        <is>
          <t>M1</t>
        </is>
      </c>
      <c r="R25" s="38" t="inlineStr">
        <is>
          <t>Q</t>
        </is>
      </c>
      <c r="S25" s="24" t="inlineStr">
        <is>
          <t>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M1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1</v>
      </c>
      <c r="F27" s="10">
        <f t="shared" si="11"/>
        <v>4</v>
      </c>
      <c r="G27" s="10">
        <f t="shared" si="12"/>
        <v>3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M1</t>
        </is>
      </c>
      <c r="S27" s="24" t="inlineStr">
        <is>
          <t>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M1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M1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M1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6032</v>
      </c>
      <c r="AN35" s="153">
        <v>4965</v>
      </c>
      <c r="AO35" s="153">
        <v>43031</v>
      </c>
      <c r="AP35" s="153">
        <v>17051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M1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M1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18097</v>
      </c>
      <c r="AN36" s="153">
        <v>18442</v>
      </c>
      <c r="AO36" s="153">
        <v>18827</v>
      </c>
      <c r="AP36" s="153">
        <v>17051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M1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37056</v>
      </c>
      <c r="AN37" s="153">
        <v>62417</v>
      </c>
      <c r="AO37" s="153">
        <v>26895</v>
      </c>
      <c r="AP37" s="153">
        <v>22734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M1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145640</v>
      </c>
      <c r="AN38" s="153">
        <v>29081</v>
      </c>
      <c r="AO38" s="153">
        <v>34963</v>
      </c>
      <c r="AP38" s="153">
        <v>142086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31886</v>
      </c>
      <c r="AN39" s="153">
        <v>121998</v>
      </c>
      <c r="AO39" s="153">
        <v>201711</v>
      </c>
      <c r="AP39" s="153">
        <v>11367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157705</v>
      </c>
      <c r="AN40" s="153">
        <v>75184</v>
      </c>
      <c r="AO40" s="153">
        <v>18827</v>
      </c>
      <c r="AP40" s="153">
        <v>250073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M1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M1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M1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M1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103</v>
      </c>
      <c r="AN46" s="153">
        <v>89</v>
      </c>
      <c r="AO46" s="153">
        <v>447</v>
      </c>
      <c r="AP46" s="153">
        <v>92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M1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308</v>
      </c>
      <c r="AN47" s="153">
        <v>331</v>
      </c>
      <c r="AO47" s="153">
        <v>195</v>
      </c>
      <c r="AP47" s="153">
        <v>92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M1</t>
        </is>
      </c>
      <c r="R48" s="38" t="inlineStr">
        <is>
          <t>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630</v>
      </c>
      <c r="AN48" s="153">
        <v>1120</v>
      </c>
      <c r="AO48" s="153">
        <v>279</v>
      </c>
      <c r="AP48" s="153">
        <v>123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M1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2476</v>
      </c>
      <c r="AN49" s="153">
        <v>522</v>
      </c>
      <c r="AO49" s="153">
        <v>363</v>
      </c>
      <c r="AP49" s="153">
        <v>771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542</v>
      </c>
      <c r="AN50" s="153">
        <v>2190</v>
      </c>
      <c r="AO50" s="153">
        <v>2093</v>
      </c>
      <c r="AP50" s="153">
        <v>62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2681</v>
      </c>
      <c r="AN51" s="153">
        <v>1350</v>
      </c>
      <c r="AO51" s="153">
        <v>195</v>
      </c>
      <c r="AP51" s="153">
        <v>1356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M1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M1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M6</t>
        </is>
      </c>
      <c r="N57" s="38" t="inlineStr">
        <is>
          <t>M1</t>
        </is>
      </c>
      <c r="O57" s="38" t="inlineStr">
        <is>
          <t>M1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M4</t>
        </is>
      </c>
      <c r="N58" s="155" t="inlineStr">
        <is>
          <t>A</t>
        </is>
      </c>
      <c r="O58" s="155" t="inlineStr">
        <is>
          <t>M5</t>
        </is>
      </c>
      <c r="P58" s="155" t="inlineStr">
        <is>
          <t>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M1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M1</t>
        </is>
      </c>
      <c r="O63" s="38" t="inlineStr">
        <is>
          <t>M1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6032</v>
      </c>
      <c r="AN64" s="153">
        <v>4965</v>
      </c>
      <c r="AO64" s="153">
        <v>43031</v>
      </c>
      <c r="AP64" s="153">
        <v>17051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M1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18097</v>
      </c>
      <c r="AN65" s="153">
        <v>18442</v>
      </c>
      <c r="AO65" s="153">
        <v>18827</v>
      </c>
      <c r="AP65" s="153">
        <v>17051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TE</t>
        </is>
      </c>
      <c r="R66" s="38" t="inlineStr">
        <is>
          <t>M4</t>
        </is>
      </c>
      <c r="S66" s="24" t="inlineStr">
        <is>
          <t>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37056</v>
      </c>
      <c r="AN66" s="153">
        <v>62417</v>
      </c>
      <c r="AO66" s="153">
        <v>26895</v>
      </c>
      <c r="AP66" s="153">
        <v>22734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145640</v>
      </c>
      <c r="AN67" s="153">
        <v>29081</v>
      </c>
      <c r="AO67" s="153">
        <v>34963</v>
      </c>
      <c r="AP67" s="153">
        <v>142086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M1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31886</v>
      </c>
      <c r="AN68" s="153">
        <v>121998</v>
      </c>
      <c r="AO68" s="153">
        <v>201711</v>
      </c>
      <c r="AP68" s="153">
        <v>11367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157705</v>
      </c>
      <c r="AN69" s="153">
        <v>75184</v>
      </c>
      <c r="AO69" s="153">
        <v>18827</v>
      </c>
      <c r="AP69" s="153">
        <v>250073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M1</t>
        </is>
      </c>
      <c r="P70" s="38" t="inlineStr">
        <is>
          <t>M1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M1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M1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103</v>
      </c>
      <c r="AN75" s="153">
        <v>89</v>
      </c>
      <c r="AO75" s="153">
        <v>447</v>
      </c>
      <c r="AP75" s="153">
        <v>92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308</v>
      </c>
      <c r="AN76" s="153">
        <v>331</v>
      </c>
      <c r="AO76" s="153">
        <v>195</v>
      </c>
      <c r="AP76" s="153">
        <v>92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M1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630</v>
      </c>
      <c r="AN77" s="153">
        <v>1120</v>
      </c>
      <c r="AO77" s="153">
        <v>279</v>
      </c>
      <c r="AP77" s="153">
        <v>123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M1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2476</v>
      </c>
      <c r="AN78" s="153">
        <v>522</v>
      </c>
      <c r="AO78" s="153">
        <v>363</v>
      </c>
      <c r="AP78" s="153">
        <v>771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542</v>
      </c>
      <c r="AN79" s="153">
        <v>2190</v>
      </c>
      <c r="AO79" s="153">
        <v>2093</v>
      </c>
      <c r="AP79" s="153">
        <v>62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M1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2681</v>
      </c>
      <c r="AN80" s="153">
        <v>1350</v>
      </c>
      <c r="AO80" s="153">
        <v>195</v>
      </c>
      <c r="AP80" s="153">
        <v>1356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M1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M1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M1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TE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M1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M1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M1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M1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6032</v>
      </c>
      <c r="AN93" s="153">
        <v>4965</v>
      </c>
      <c r="AO93" s="153">
        <v>43031</v>
      </c>
      <c r="AP93" s="153">
        <v>17051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M1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18097</v>
      </c>
      <c r="AN94" s="153">
        <v>18442</v>
      </c>
      <c r="AO94" s="153">
        <v>18827</v>
      </c>
      <c r="AP94" s="153">
        <v>17051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37056</v>
      </c>
      <c r="AN95" s="153">
        <v>62417</v>
      </c>
      <c r="AO95" s="153">
        <v>26895</v>
      </c>
      <c r="AP95" s="153">
        <v>22734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M1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145640</v>
      </c>
      <c r="AN96" s="153">
        <v>29081</v>
      </c>
      <c r="AO96" s="153">
        <v>34963</v>
      </c>
      <c r="AP96" s="153">
        <v>142086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M1</t>
        </is>
      </c>
      <c r="P97" s="38" t="inlineStr">
        <is>
          <t>M1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31886</v>
      </c>
      <c r="AN97" s="153">
        <v>121998</v>
      </c>
      <c r="AO97" s="153">
        <v>201711</v>
      </c>
      <c r="AP97" s="153">
        <v>11367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157705</v>
      </c>
      <c r="AN98" s="153">
        <v>75184</v>
      </c>
      <c r="AO98" s="153">
        <v>18827</v>
      </c>
      <c r="AP98" s="153">
        <v>250073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M1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M1</t>
        </is>
      </c>
      <c r="S103" s="156" t="inlineStr">
        <is>
          <t>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M1</t>
        </is>
      </c>
      <c r="N104" s="38" t="inlineStr">
        <is>
          <t>G4</t>
        </is>
      </c>
      <c r="O104" s="38" t="inlineStr">
        <is>
          <t>M1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103</v>
      </c>
      <c r="AN104" s="153">
        <v>89</v>
      </c>
      <c r="AO104" s="153">
        <v>447</v>
      </c>
      <c r="AP104" s="153">
        <v>92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M1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M1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308</v>
      </c>
      <c r="AN105" s="153">
        <v>331</v>
      </c>
      <c r="AO105" s="153">
        <v>195</v>
      </c>
      <c r="AP105" s="153">
        <v>92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630</v>
      </c>
      <c r="AN106" s="153">
        <v>1120</v>
      </c>
      <c r="AO106" s="153">
        <v>279</v>
      </c>
      <c r="AP106" s="153">
        <v>123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2476</v>
      </c>
      <c r="AN107" s="153">
        <v>522</v>
      </c>
      <c r="AO107" s="153">
        <v>363</v>
      </c>
      <c r="AP107" s="153">
        <v>771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542</v>
      </c>
      <c r="AN108" s="153">
        <v>2190</v>
      </c>
      <c r="AO108" s="153">
        <v>2093</v>
      </c>
      <c r="AP108" s="153">
        <v>62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2681</v>
      </c>
      <c r="AN109" s="153">
        <v>1350</v>
      </c>
      <c r="AO109" s="153">
        <v>195</v>
      </c>
      <c r="AP109" s="153">
        <v>1356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M1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M1</t>
        </is>
      </c>
      <c r="Q111" s="38" t="inlineStr">
        <is>
          <t>M1</t>
        </is>
      </c>
      <c r="R111" s="38" t="inlineStr">
        <is>
          <t>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M1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M1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M1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J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K</t>
        </is>
      </c>
      <c r="R121" s="155" t="inlineStr">
        <is>
          <t>M1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6032</v>
      </c>
      <c r="AN122" s="153">
        <v>4965</v>
      </c>
      <c r="AO122" s="153">
        <v>43031</v>
      </c>
      <c r="AP122" s="153">
        <v>17051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M1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18097</v>
      </c>
      <c r="AN123" s="153">
        <v>18442</v>
      </c>
      <c r="AO123" s="153">
        <v>18827</v>
      </c>
      <c r="AP123" s="153">
        <v>17051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37056</v>
      </c>
      <c r="AN124" s="153">
        <v>62417</v>
      </c>
      <c r="AO124" s="153">
        <v>26895</v>
      </c>
      <c r="AP124" s="153">
        <v>22734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M1</t>
        </is>
      </c>
      <c r="Q125" s="38" t="inlineStr">
        <is>
          <t>M1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145640</v>
      </c>
      <c r="AN125" s="153">
        <v>29081</v>
      </c>
      <c r="AO125" s="153">
        <v>34963</v>
      </c>
      <c r="AP125" s="153">
        <v>142086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31886</v>
      </c>
      <c r="AN126" s="153">
        <v>121998</v>
      </c>
      <c r="AO126" s="153">
        <v>201711</v>
      </c>
      <c r="AP126" s="153">
        <v>11367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157705</v>
      </c>
      <c r="AN127" s="153">
        <v>75184</v>
      </c>
      <c r="AO127" s="153">
        <v>18827</v>
      </c>
      <c r="AP127" s="153">
        <v>250073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M1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TE</t>
        </is>
      </c>
      <c r="O130" s="155" t="inlineStr">
        <is>
          <t>M1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M1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M1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M1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M1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M1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103</v>
      </c>
      <c r="AN133" s="153">
        <v>89</v>
      </c>
      <c r="AO133" s="153">
        <v>447</v>
      </c>
      <c r="AP133" s="153">
        <v>92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308</v>
      </c>
      <c r="AN134" s="153">
        <v>331</v>
      </c>
      <c r="AO134" s="153">
        <v>195</v>
      </c>
      <c r="AP134" s="153">
        <v>92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630</v>
      </c>
      <c r="AN135" s="153">
        <v>1120</v>
      </c>
      <c r="AO135" s="153">
        <v>279</v>
      </c>
      <c r="AP135" s="153">
        <v>123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2476</v>
      </c>
      <c r="AN136" s="153">
        <v>522</v>
      </c>
      <c r="AO136" s="153">
        <v>363</v>
      </c>
      <c r="AP136" s="153">
        <v>771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M1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542</v>
      </c>
      <c r="AN137" s="153">
        <v>2190</v>
      </c>
      <c r="AO137" s="153">
        <v>2093</v>
      </c>
      <c r="AP137" s="153">
        <v>62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2681</v>
      </c>
      <c r="AN138" s="153">
        <v>1350</v>
      </c>
      <c r="AO138" s="153">
        <v>195</v>
      </c>
      <c r="AP138" s="153">
        <v>1356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K</t>
        </is>
      </c>
      <c r="N139" s="155" t="inlineStr">
        <is>
          <t>M1</t>
        </is>
      </c>
      <c r="O139" s="155" t="inlineStr">
        <is>
          <t>GJ</t>
        </is>
      </c>
      <c r="P139" s="155" t="inlineStr">
        <is>
          <t>M1</t>
        </is>
      </c>
      <c r="Q139" s="155" t="inlineStr">
        <is>
          <t>TE</t>
        </is>
      </c>
      <c r="R139" s="155" t="inlineStr">
        <is>
          <t>M1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M1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M1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M1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M1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M1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M1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G1</t>
        </is>
      </c>
      <c r="O153" s="38" t="inlineStr">
        <is>
          <t>GK</t>
        </is>
      </c>
      <c r="P153" s="38" t="inlineStr">
        <is>
          <t>M1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M1</t>
        </is>
      </c>
      <c r="R154" s="38" t="inlineStr">
        <is>
          <t>J</t>
        </is>
      </c>
      <c r="S154" s="24" t="inlineStr">
        <is>
          <t>M1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M1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M1</t>
        </is>
      </c>
      <c r="N161" s="38" t="inlineStr">
        <is>
          <t>M1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M1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M1</t>
        </is>
      </c>
      <c r="R166" s="155" t="inlineStr">
        <is>
          <t>A</t>
        </is>
      </c>
      <c r="S166" s="156" t="inlineStr">
        <is>
          <t>M5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M1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M1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M1</t>
        </is>
      </c>
      <c r="N169" s="38" t="inlineStr">
        <is>
          <t>M1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M1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M1</t>
        </is>
      </c>
      <c r="Q175" s="155" t="inlineStr">
        <is>
          <t>M4</t>
        </is>
      </c>
      <c r="R175" s="155" t="inlineStr">
        <is>
          <t>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M1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M1</t>
        </is>
      </c>
      <c r="R178" s="38" t="inlineStr">
        <is>
          <t>M1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M1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M1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M5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M1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M1</t>
        </is>
      </c>
      <c r="R190" s="38" t="inlineStr">
        <is>
          <t>GQ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M1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M1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M1</t>
        </is>
      </c>
      <c r="N193" s="155" t="inlineStr">
        <is>
          <t>TE</t>
        </is>
      </c>
      <c r="O193" s="155" t="inlineStr">
        <is>
          <t>M6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M1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M1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M1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M1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activeCell="T27" sqref="T27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A</t>
        </is>
      </c>
      <c r="O4" s="155" t="inlineStr">
        <is>
          <t>J</t>
        </is>
      </c>
      <c r="P4" s="155" t="inlineStr">
        <is>
          <t>A</t>
        </is>
      </c>
      <c r="Q4" s="155" t="inlineStr">
        <is>
          <t>Q</t>
        </is>
      </c>
      <c r="R4" s="155" t="inlineStr">
        <is>
          <t>K</t>
        </is>
      </c>
      <c r="S4" s="156" t="inlineStr">
        <is>
          <t>J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M6</t>
        </is>
      </c>
      <c r="N5" s="38" t="inlineStr">
        <is>
          <t>M2</t>
        </is>
      </c>
      <c r="O5" s="38" t="inlineStr">
        <is>
          <t>A</t>
        </is>
      </c>
      <c r="P5" s="38" t="inlineStr">
        <is>
          <t>K</t>
        </is>
      </c>
      <c r="Q5" s="38" t="inlineStr">
        <is>
          <t>Q</t>
        </is>
      </c>
      <c r="R5" s="38" t="inlineStr">
        <is>
          <t>M6</t>
        </is>
      </c>
      <c r="S5" s="24" t="inlineStr">
        <is>
          <t>M5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5</v>
      </c>
      <c r="E6" s="152">
        <f t="shared" si="1"/>
        <v>6</v>
      </c>
      <c r="F6" s="152">
        <f t="shared" si="1"/>
        <v>6</v>
      </c>
      <c r="G6" s="152">
        <f t="shared" si="1"/>
        <v>6</v>
      </c>
      <c r="H6" s="152">
        <f t="shared" si="1"/>
        <v>4</v>
      </c>
      <c r="I6" s="152">
        <f t="shared" si="1"/>
        <v>2</v>
      </c>
      <c r="J6" s="150">
        <v>2</v>
      </c>
      <c r="L6" s="15">
        <v>3</v>
      </c>
      <c r="M6" s="38" t="inlineStr">
        <is>
          <t>M6</t>
        </is>
      </c>
      <c r="N6" s="38" t="inlineStr">
        <is>
          <t>WW</t>
        </is>
      </c>
      <c r="O6" s="38" t="inlineStr">
        <is>
          <t>M5</t>
        </is>
      </c>
      <c r="P6" s="38" t="inlineStr">
        <is>
          <t>GA</t>
        </is>
      </c>
      <c r="Q6" s="38" t="inlineStr">
        <is>
          <t>J</t>
        </is>
      </c>
      <c r="R6" s="38" t="inlineStr">
        <is>
          <t>K</t>
        </is>
      </c>
      <c r="S6" s="24" t="inlineStr">
        <is>
          <t>K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6032</v>
      </c>
      <c r="AN6" s="153">
        <v>4965</v>
      </c>
      <c r="AO6" s="153">
        <v>43031</v>
      </c>
      <c r="AP6" s="153">
        <v>17051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5</v>
      </c>
      <c r="E7" s="152">
        <f t="shared" si="1"/>
        <v>6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inlineStr">
        <is>
          <t>M2</t>
        </is>
      </c>
      <c r="N7" s="38" t="inlineStr">
        <is>
          <t>TE</t>
        </is>
      </c>
      <c r="O7" s="38" t="inlineStr">
        <is>
          <t>J</t>
        </is>
      </c>
      <c r="P7" s="38" t="inlineStr">
        <is>
          <t>M2</t>
        </is>
      </c>
      <c r="Q7" s="38" t="inlineStr">
        <is>
          <t>GK</t>
        </is>
      </c>
      <c r="R7" s="38" t="inlineStr">
        <is>
          <t>Q</t>
        </is>
      </c>
      <c r="S7" s="24" t="inlineStr">
        <is>
          <t>M5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18097</v>
      </c>
      <c r="AN7" s="153">
        <v>18442</v>
      </c>
      <c r="AO7" s="153">
        <v>18827</v>
      </c>
      <c r="AP7" s="153">
        <v>17051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8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inlineStr">
        <is>
          <t>K</t>
        </is>
      </c>
      <c r="N8" s="38" t="inlineStr">
        <is>
          <t>M3</t>
        </is>
      </c>
      <c r="O8" s="38" t="inlineStr">
        <is>
          <t>GK</t>
        </is>
      </c>
      <c r="P8" s="38" t="inlineStr">
        <is>
          <t>GA</t>
        </is>
      </c>
      <c r="Q8" s="38" t="inlineStr">
        <is>
          <t>G5</t>
        </is>
      </c>
      <c r="R8" s="38" t="inlineStr">
        <is>
          <t>M6</t>
        </is>
      </c>
      <c r="S8" s="24" t="inlineStr">
        <is>
          <t>J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37056</v>
      </c>
      <c r="AN8" s="153">
        <v>62417</v>
      </c>
      <c r="AO8" s="153">
        <v>26895</v>
      </c>
      <c r="AP8" s="153">
        <v>22734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21</v>
      </c>
      <c r="F9" s="152">
        <f t="shared" si="1"/>
        <v>11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inlineStr">
        <is>
          <t>J</t>
        </is>
      </c>
      <c r="N9" s="38" t="inlineStr">
        <is>
          <t>Q</t>
        </is>
      </c>
      <c r="O9" s="38" t="inlineStr">
        <is>
          <t>M4</t>
        </is>
      </c>
      <c r="P9" s="38" t="inlineStr">
        <is>
          <t>M6</t>
        </is>
      </c>
      <c r="Q9" s="38" t="inlineStr">
        <is>
          <t>Q</t>
        </is>
      </c>
      <c r="R9" s="38" t="inlineStr">
        <is>
          <t>TE</t>
        </is>
      </c>
      <c r="S9" s="24" t="inlineStr">
        <is>
          <t>J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145640</v>
      </c>
      <c r="AN9" s="153">
        <v>29081</v>
      </c>
      <c r="AO9" s="153">
        <v>34963</v>
      </c>
      <c r="AP9" s="153">
        <v>142086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28</v>
      </c>
      <c r="E10" s="152">
        <f t="shared" si="1"/>
        <v>10</v>
      </c>
      <c r="F10" s="152">
        <f t="shared" si="1"/>
        <v>26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inlineStr">
        <is>
          <t>M4</t>
        </is>
      </c>
      <c r="N10" s="38" t="inlineStr">
        <is>
          <t>GA</t>
        </is>
      </c>
      <c r="O10" s="38" t="inlineStr">
        <is>
          <t>TE</t>
        </is>
      </c>
      <c r="P10" s="38" t="inlineStr">
        <is>
          <t>M5</t>
        </is>
      </c>
      <c r="Q10" s="38" t="inlineStr">
        <is>
          <t>Q</t>
        </is>
      </c>
      <c r="R10" s="38" t="inlineStr">
        <is>
          <t>M1</t>
        </is>
      </c>
      <c r="S10" s="24" t="inlineStr">
        <is>
          <t>M4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31886</v>
      </c>
      <c r="AN10" s="153">
        <v>121998</v>
      </c>
      <c r="AO10" s="153">
        <v>201711</v>
      </c>
      <c r="AP10" s="153">
        <v>11367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28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29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TE</t>
        </is>
      </c>
      <c r="O11" s="38" t="inlineStr">
        <is>
          <t>A</t>
        </is>
      </c>
      <c r="P11" s="38" t="inlineStr">
        <is>
          <t>TE</t>
        </is>
      </c>
      <c r="Q11" s="38" t="inlineStr">
        <is>
          <t>M4</t>
        </is>
      </c>
      <c r="R11" s="38" t="inlineStr">
        <is>
          <t>GJ</t>
        </is>
      </c>
      <c r="S11" s="24" t="inlineStr">
        <is>
          <t>A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157705</v>
      </c>
      <c r="AN11" s="153">
        <v>75184</v>
      </c>
      <c r="AO11" s="153">
        <v>18827</v>
      </c>
      <c r="AP11" s="153">
        <v>250073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32</v>
      </c>
      <c r="E12" s="10">
        <f t="shared" si="1"/>
        <v>15</v>
      </c>
      <c r="F12" s="10">
        <f t="shared" si="1"/>
        <v>27</v>
      </c>
      <c r="G12" s="10">
        <f t="shared" si="1"/>
        <v>23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GQ</t>
        </is>
      </c>
      <c r="O12" s="38" t="inlineStr">
        <is>
          <t>M4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K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31</v>
      </c>
      <c r="F13" s="10">
        <f t="shared" si="1"/>
        <v>13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inlineStr">
        <is>
          <t>M4</t>
        </is>
      </c>
      <c r="N13" s="155" t="inlineStr">
        <is>
          <t>M5</t>
        </is>
      </c>
      <c r="O13" s="155" t="inlineStr">
        <is>
          <t>M4</t>
        </is>
      </c>
      <c r="P13" s="155" t="inlineStr">
        <is>
          <t>M3</t>
        </is>
      </c>
      <c r="Q13" s="155" t="inlineStr">
        <is>
          <t>M4</t>
        </is>
      </c>
      <c r="R13" s="155" t="inlineStr">
        <is>
          <t>Q</t>
        </is>
      </c>
      <c r="S13" s="156" t="inlineStr">
        <is>
          <t>A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32</v>
      </c>
      <c r="E14" s="10">
        <f t="shared" si="1"/>
        <v>8</v>
      </c>
      <c r="F14" s="10">
        <f t="shared" si="1"/>
        <v>25</v>
      </c>
      <c r="G14" s="10">
        <f t="shared" si="1"/>
        <v>19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K</t>
        </is>
      </c>
      <c r="N14" s="38" t="inlineStr">
        <is>
          <t>M6</t>
        </is>
      </c>
      <c r="O14" s="38" t="inlineStr">
        <is>
          <t>M6</t>
        </is>
      </c>
      <c r="P14" s="38" t="inlineStr">
        <is>
          <t>M6</t>
        </is>
      </c>
      <c r="Q14" s="38" t="inlineStr">
        <is>
          <t>J</t>
        </is>
      </c>
      <c r="R14" s="38" t="inlineStr">
        <is>
          <t>Q</t>
        </is>
      </c>
      <c r="S14" s="24" t="inlineStr">
        <is>
          <t>K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12</v>
      </c>
      <c r="E15" s="10">
        <f t="shared" si="1"/>
        <v>33</v>
      </c>
      <c r="F15" s="10">
        <f t="shared" si="1"/>
        <v>15</v>
      </c>
      <c r="G15" s="10">
        <f t="shared" si="1"/>
        <v>23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TE</t>
        </is>
      </c>
      <c r="O15" s="38" t="inlineStr">
        <is>
          <t>TE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A</t>
        </is>
      </c>
      <c r="S15" s="24" t="inlineStr">
        <is>
          <t>M6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32</v>
      </c>
      <c r="E16" s="10">
        <f t="shared" si="1"/>
        <v>16</v>
      </c>
      <c r="F16" s="10">
        <f t="shared" si="1"/>
        <v>27</v>
      </c>
      <c r="G16" s="10">
        <f t="shared" si="1"/>
        <v>20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M6</t>
        </is>
      </c>
      <c r="N16" s="38" t="inlineStr">
        <is>
          <t>A</t>
        </is>
      </c>
      <c r="O16" s="38" t="inlineStr">
        <is>
          <t>Q</t>
        </is>
      </c>
      <c r="P16" s="38" t="inlineStr">
        <is>
          <t>J</t>
        </is>
      </c>
      <c r="Q16" s="38" t="inlineStr">
        <is>
          <t>M5</t>
        </is>
      </c>
      <c r="R16" s="38" t="inlineStr">
        <is>
          <t>A</t>
        </is>
      </c>
      <c r="S16" s="24" t="inlineStr">
        <is>
          <t>A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1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J</t>
        </is>
      </c>
      <c r="N17" s="38" t="inlineStr">
        <is>
          <t>M4</t>
        </is>
      </c>
      <c r="O17" s="38" t="inlineStr">
        <is>
          <t>M4</t>
        </is>
      </c>
      <c r="P17" s="38" t="inlineStr">
        <is>
          <t>M4</t>
        </is>
      </c>
      <c r="Q17" s="38" t="inlineStr">
        <is>
          <t>J</t>
        </is>
      </c>
      <c r="R17" s="38" t="inlineStr">
        <is>
          <t>A</t>
        </is>
      </c>
      <c r="S17" s="24" t="inlineStr">
        <is>
          <t>M5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103</v>
      </c>
      <c r="AN17" s="153">
        <v>89</v>
      </c>
      <c r="AO17" s="153">
        <v>447</v>
      </c>
      <c r="AP17" s="153">
        <v>92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1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A</t>
        </is>
      </c>
      <c r="N18" s="38" t="inlineStr">
        <is>
          <t>A</t>
        </is>
      </c>
      <c r="O18" s="38" t="inlineStr">
        <is>
          <t>J</t>
        </is>
      </c>
      <c r="P18" s="38" t="inlineStr">
        <is>
          <t>M5</t>
        </is>
      </c>
      <c r="Q18" s="38" t="inlineStr">
        <is>
          <t>K</t>
        </is>
      </c>
      <c r="R18" s="38" t="inlineStr">
        <is>
          <t>K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308</v>
      </c>
      <c r="AN18" s="153">
        <v>331</v>
      </c>
      <c r="AO18" s="153">
        <v>195</v>
      </c>
      <c r="AP18" s="153">
        <v>92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K</t>
        </is>
      </c>
      <c r="N19" s="38" t="inlineStr">
        <is>
          <t>A</t>
        </is>
      </c>
      <c r="O19" s="38" t="inlineStr">
        <is>
          <t>J</t>
        </is>
      </c>
      <c r="P19" s="38" t="inlineStr">
        <is>
          <t>M5</t>
        </is>
      </c>
      <c r="Q19" s="38" t="inlineStr">
        <is>
          <t>J</t>
        </is>
      </c>
      <c r="R19" s="38" t="inlineStr">
        <is>
          <t>M6</t>
        </is>
      </c>
      <c r="S19" s="24" t="inlineStr">
        <is>
          <t>M6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630</v>
      </c>
      <c r="AN19" s="153">
        <v>1120</v>
      </c>
      <c r="AO19" s="153">
        <v>279</v>
      </c>
      <c r="AP19" s="153">
        <v>123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2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J</t>
        </is>
      </c>
      <c r="N20" s="38" t="inlineStr">
        <is>
          <t>A</t>
        </is>
      </c>
      <c r="O20" s="38" t="inlineStr">
        <is>
          <t>GK</t>
        </is>
      </c>
      <c r="P20" s="38" t="inlineStr">
        <is>
          <t>TE</t>
        </is>
      </c>
      <c r="Q20" s="38" t="inlineStr">
        <is>
          <t>Q</t>
        </is>
      </c>
      <c r="R20" s="38" t="inlineStr">
        <is>
          <t>M6</t>
        </is>
      </c>
      <c r="S20" s="24" t="inlineStr">
        <is>
          <t>M6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2476</v>
      </c>
      <c r="AN20" s="153">
        <v>522</v>
      </c>
      <c r="AO20" s="153">
        <v>363</v>
      </c>
      <c r="AP20" s="153">
        <v>771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4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inlineStr">
        <is>
          <t>J</t>
        </is>
      </c>
      <c r="N21" s="38" t="inlineStr">
        <is>
          <t>GK</t>
        </is>
      </c>
      <c r="O21" s="38" t="inlineStr">
        <is>
          <t>M4</t>
        </is>
      </c>
      <c r="P21" s="38" t="inlineStr">
        <is>
          <t>TE</t>
        </is>
      </c>
      <c r="Q21" s="38" t="inlineStr">
        <is>
          <t>TE</t>
        </is>
      </c>
      <c r="R21" s="38" t="inlineStr">
        <is>
          <t>TE</t>
        </is>
      </c>
      <c r="S21" s="24" t="inlineStr">
        <is>
          <t>TE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542</v>
      </c>
      <c r="AN21" s="153">
        <v>2190</v>
      </c>
      <c r="AO21" s="153">
        <v>2093</v>
      </c>
      <c r="AP21" s="153">
        <v>62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inlineStr">
        <is>
          <t>M4</t>
        </is>
      </c>
      <c r="N22" s="155" t="inlineStr">
        <is>
          <t>GT</t>
        </is>
      </c>
      <c r="O22" s="155" t="inlineStr">
        <is>
          <t>M1</t>
        </is>
      </c>
      <c r="P22" s="155" t="inlineStr">
        <is>
          <t>A</t>
        </is>
      </c>
      <c r="Q22" s="155" t="inlineStr">
        <is>
          <t>M2</t>
        </is>
      </c>
      <c r="R22" s="155" t="inlineStr">
        <is>
          <t>M5</t>
        </is>
      </c>
      <c r="S22" s="156" t="inlineStr">
        <is>
          <t>M6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2681</v>
      </c>
      <c r="AN22" s="153">
        <v>1350</v>
      </c>
      <c r="AO22" s="153">
        <v>195</v>
      </c>
      <c r="AP22" s="153">
        <v>1356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5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inlineStr">
        <is>
          <t>J</t>
        </is>
      </c>
      <c r="N23" s="38" t="inlineStr">
        <is>
          <t>M5</t>
        </is>
      </c>
      <c r="O23" s="38" t="inlineStr">
        <is>
          <t>J</t>
        </is>
      </c>
      <c r="P23" s="38" t="inlineStr">
        <is>
          <t>TE</t>
        </is>
      </c>
      <c r="Q23" s="38" t="inlineStr">
        <is>
          <t>TE</t>
        </is>
      </c>
      <c r="R23" s="38" t="inlineStr">
        <is>
          <t>J</t>
        </is>
      </c>
      <c r="S23" s="24" t="inlineStr">
        <is>
          <t>TE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TE</t>
        </is>
      </c>
      <c r="O24" s="38" t="inlineStr">
        <is>
          <t>J</t>
        </is>
      </c>
      <c r="P24" s="38" t="inlineStr">
        <is>
          <t>M5</t>
        </is>
      </c>
      <c r="Q24" s="38" t="inlineStr">
        <is>
          <t>M5</t>
        </is>
      </c>
      <c r="R24" s="38" t="inlineStr">
        <is>
          <t>M4</t>
        </is>
      </c>
      <c r="S24" s="24" t="inlineStr">
        <is>
          <t>M4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4</v>
      </c>
      <c r="E25" s="10">
        <f t="shared" si="10"/>
        <v>1</v>
      </c>
      <c r="F25" s="10">
        <f t="shared" si="11"/>
        <v>3</v>
      </c>
      <c r="G25" s="10">
        <f t="shared" si="12"/>
        <v>3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inlineStr">
        <is>
          <t>K</t>
        </is>
      </c>
      <c r="N25" s="38" t="inlineStr">
        <is>
          <t>Q</t>
        </is>
      </c>
      <c r="O25" s="38" t="inlineStr">
        <is>
          <t>TE</t>
        </is>
      </c>
      <c r="P25" s="38" t="inlineStr">
        <is>
          <t>GQ</t>
        </is>
      </c>
      <c r="Q25" s="38" t="inlineStr">
        <is>
          <t>TE</t>
        </is>
      </c>
      <c r="R25" s="38" t="inlineStr">
        <is>
          <t>K</t>
        </is>
      </c>
      <c r="S25" s="24" t="inlineStr">
        <is>
          <t>M6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TE</t>
        </is>
      </c>
      <c r="O26" s="38" t="inlineStr">
        <is>
          <t>Q</t>
        </is>
      </c>
      <c r="P26" s="38" t="inlineStr">
        <is>
          <t>M1</t>
        </is>
      </c>
      <c r="Q26" s="38" t="inlineStr">
        <is>
          <t>J</t>
        </is>
      </c>
      <c r="R26" s="38" t="inlineStr">
        <is>
          <t>M3</t>
        </is>
      </c>
      <c r="S26" s="24" t="inlineStr">
        <is>
          <t>TE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1</v>
      </c>
      <c r="F27" s="10">
        <f t="shared" si="11"/>
        <v>4</v>
      </c>
      <c r="G27" s="10">
        <f t="shared" si="12"/>
        <v>3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Q</t>
        </is>
      </c>
      <c r="O27" s="38" t="inlineStr">
        <is>
          <t>M6</t>
        </is>
      </c>
      <c r="P27" s="38" t="inlineStr">
        <is>
          <t>M4</t>
        </is>
      </c>
      <c r="Q27" s="38" t="inlineStr">
        <is>
          <t>A</t>
        </is>
      </c>
      <c r="R27" s="38" t="inlineStr">
        <is>
          <t>J</t>
        </is>
      </c>
      <c r="S27" s="24" t="inlineStr">
        <is>
          <t>A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M4</t>
        </is>
      </c>
      <c r="N28" s="38" t="inlineStr">
        <is>
          <t>TE</t>
        </is>
      </c>
      <c r="O28" s="38" t="inlineStr">
        <is>
          <t>K</t>
        </is>
      </c>
      <c r="P28" s="38" t="inlineStr">
        <is>
          <t>J</t>
        </is>
      </c>
      <c r="Q28" s="38" t="inlineStr">
        <is>
          <t>M6</t>
        </is>
      </c>
      <c r="R28" s="38" t="inlineStr">
        <is>
          <t>G5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K</t>
        </is>
      </c>
      <c r="O29" s="38" t="inlineStr">
        <is>
          <t>K</t>
        </is>
      </c>
      <c r="P29" s="38" t="inlineStr">
        <is>
          <t>GA</t>
        </is>
      </c>
      <c r="Q29" s="38" t="inlineStr">
        <is>
          <t>K</t>
        </is>
      </c>
      <c r="R29" s="38" t="inlineStr">
        <is>
          <t>J</t>
        </is>
      </c>
      <c r="S29" s="24" t="inlineStr">
        <is>
          <t>K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K</t>
        </is>
      </c>
      <c r="N30" s="38" t="inlineStr">
        <is>
          <t>Q</t>
        </is>
      </c>
      <c r="O30" s="38" t="inlineStr">
        <is>
          <t>A</t>
        </is>
      </c>
      <c r="P30" s="38" t="inlineStr">
        <is>
          <t>TE</t>
        </is>
      </c>
      <c r="Q30" s="38" t="inlineStr">
        <is>
          <t>J</t>
        </is>
      </c>
      <c r="R30" s="38" t="inlineStr">
        <is>
          <t>M4</t>
        </is>
      </c>
      <c r="S30" s="24" t="inlineStr">
        <is>
          <t>M5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J</t>
        </is>
      </c>
      <c r="N31" s="155" t="inlineStr">
        <is>
          <t>M6</t>
        </is>
      </c>
      <c r="O31" s="155" t="inlineStr">
        <is>
          <t>A</t>
        </is>
      </c>
      <c r="P31" s="155" t="inlineStr">
        <is>
          <t>M1</t>
        </is>
      </c>
      <c r="Q31" s="155" t="inlineStr">
        <is>
          <t>M5</t>
        </is>
      </c>
      <c r="R31" s="155" t="inlineStr">
        <is>
          <t>Q</t>
        </is>
      </c>
      <c r="S31" s="156" t="inlineStr">
        <is>
          <t>M4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GJ</t>
        </is>
      </c>
      <c r="O32" s="38" t="inlineStr">
        <is>
          <t>M6</t>
        </is>
      </c>
      <c r="P32" s="38" t="inlineStr">
        <is>
          <t>M3</t>
        </is>
      </c>
      <c r="Q32" s="38" t="inlineStr">
        <is>
          <t>J</t>
        </is>
      </c>
      <c r="R32" s="38" t="inlineStr">
        <is>
          <t>TE</t>
        </is>
      </c>
      <c r="S32" s="24" t="inlineStr">
        <is>
          <t>TE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M6</t>
        </is>
      </c>
      <c r="N33" s="38" t="inlineStr">
        <is>
          <t>M6</t>
        </is>
      </c>
      <c r="O33" s="38" t="inlineStr">
        <is>
          <t>M3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K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J</t>
        </is>
      </c>
      <c r="N34" s="38" t="inlineStr">
        <is>
          <t>M5</t>
        </is>
      </c>
      <c r="O34" s="38" t="inlineStr">
        <is>
          <t>M5</t>
        </is>
      </c>
      <c r="P34" s="38" t="inlineStr">
        <is>
          <t>A</t>
        </is>
      </c>
      <c r="Q34" s="38" t="inlineStr">
        <is>
          <t>M4</t>
        </is>
      </c>
      <c r="R34" s="38" t="inlineStr">
        <is>
          <t>M5</t>
        </is>
      </c>
      <c r="S34" s="24" t="inlineStr">
        <is>
          <t>TE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M5</t>
        </is>
      </c>
      <c r="N35" s="38" t="inlineStr">
        <is>
          <t>K</t>
        </is>
      </c>
      <c r="O35" s="38" t="inlineStr">
        <is>
          <t>M4</t>
        </is>
      </c>
      <c r="P35" s="38" t="inlineStr">
        <is>
          <t>A</t>
        </is>
      </c>
      <c r="Q35" s="38" t="inlineStr">
        <is>
          <t>A</t>
        </is>
      </c>
      <c r="R35" s="38" t="inlineStr">
        <is>
          <t>J</t>
        </is>
      </c>
      <c r="S35" s="24" t="inlineStr">
        <is>
          <t>M4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6032</v>
      </c>
      <c r="AN35" s="153">
        <v>4965</v>
      </c>
      <c r="AO35" s="153">
        <v>43031</v>
      </c>
      <c r="AP35" s="153">
        <v>17051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M6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M5</t>
        </is>
      </c>
      <c r="Q36" s="38" t="inlineStr">
        <is>
          <t>GT</t>
        </is>
      </c>
      <c r="R36" s="38" t="inlineStr">
        <is>
          <t>M4</t>
        </is>
      </c>
      <c r="S36" s="24" t="inlineStr">
        <is>
          <t>Q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18097</v>
      </c>
      <c r="AN36" s="153">
        <v>18442</v>
      </c>
      <c r="AO36" s="153">
        <v>18827</v>
      </c>
      <c r="AP36" s="153">
        <v>17051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M6</t>
        </is>
      </c>
      <c r="N37" s="38" t="inlineStr">
        <is>
          <t>M5</t>
        </is>
      </c>
      <c r="O37" s="38" t="inlineStr">
        <is>
          <t>J</t>
        </is>
      </c>
      <c r="P37" s="38" t="inlineStr">
        <is>
          <t>Q</t>
        </is>
      </c>
      <c r="Q37" s="38" t="inlineStr">
        <is>
          <t>M6</t>
        </is>
      </c>
      <c r="R37" s="38" t="inlineStr">
        <is>
          <t>M6</t>
        </is>
      </c>
      <c r="S37" s="24" t="inlineStr">
        <is>
          <t>M6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37056</v>
      </c>
      <c r="AN37" s="153">
        <v>62417</v>
      </c>
      <c r="AO37" s="153">
        <v>26895</v>
      </c>
      <c r="AP37" s="153">
        <v>22734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M5</t>
        </is>
      </c>
      <c r="O38" s="38" t="inlineStr">
        <is>
          <t>J</t>
        </is>
      </c>
      <c r="P38" s="38" t="inlineStr">
        <is>
          <t>M6</t>
        </is>
      </c>
      <c r="Q38" s="38" t="inlineStr">
        <is>
          <t>M5</t>
        </is>
      </c>
      <c r="R38" s="38" t="inlineStr">
        <is>
          <t>A</t>
        </is>
      </c>
      <c r="S38" s="24" t="inlineStr">
        <is>
          <t>K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145640</v>
      </c>
      <c r="AN38" s="153">
        <v>29081</v>
      </c>
      <c r="AO38" s="153">
        <v>34963</v>
      </c>
      <c r="AP38" s="153">
        <v>142086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A</t>
        </is>
      </c>
      <c r="O39" s="38" t="inlineStr">
        <is>
          <t>M6</t>
        </is>
      </c>
      <c r="P39" s="38" t="inlineStr">
        <is>
          <t>TE</t>
        </is>
      </c>
      <c r="Q39" s="38" t="inlineStr">
        <is>
          <t>TE</t>
        </is>
      </c>
      <c r="R39" s="38" t="inlineStr">
        <is>
          <t>J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31886</v>
      </c>
      <c r="AN39" s="153">
        <v>121998</v>
      </c>
      <c r="AO39" s="153">
        <v>201711</v>
      </c>
      <c r="AP39" s="153">
        <v>11367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J</t>
        </is>
      </c>
      <c r="N40" s="155" t="inlineStr">
        <is>
          <t>TE</t>
        </is>
      </c>
      <c r="O40" s="155" t="inlineStr">
        <is>
          <t>K</t>
        </is>
      </c>
      <c r="P40" s="155" t="inlineStr">
        <is>
          <t>J</t>
        </is>
      </c>
      <c r="Q40" s="155" t="inlineStr">
        <is>
          <t>G5</t>
        </is>
      </c>
      <c r="R40" s="155" t="inlineStr">
        <is>
          <t>M5</t>
        </is>
      </c>
      <c r="S40" s="156" t="inlineStr">
        <is>
          <t>M6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157705</v>
      </c>
      <c r="AN40" s="153">
        <v>75184</v>
      </c>
      <c r="AO40" s="153">
        <v>18827</v>
      </c>
      <c r="AP40" s="153">
        <v>250073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M5</t>
        </is>
      </c>
      <c r="O41" s="38" t="inlineStr">
        <is>
          <t>M6</t>
        </is>
      </c>
      <c r="P41" s="38" t="inlineStr">
        <is>
          <t>J</t>
        </is>
      </c>
      <c r="Q41" s="38" t="inlineStr">
        <is>
          <t>GJ</t>
        </is>
      </c>
      <c r="R41" s="38" t="inlineStr">
        <is>
          <t>M6</t>
        </is>
      </c>
      <c r="S41" s="24" t="inlineStr">
        <is>
          <t>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M5</t>
        </is>
      </c>
      <c r="O42" s="38" t="inlineStr">
        <is>
          <t>M4</t>
        </is>
      </c>
      <c r="P42" s="38" t="inlineStr">
        <is>
          <t>A</t>
        </is>
      </c>
      <c r="Q42" s="38" t="inlineStr">
        <is>
          <t>TE</t>
        </is>
      </c>
      <c r="R42" s="38" t="inlineStr">
        <is>
          <t>WW</t>
        </is>
      </c>
      <c r="S42" s="24" t="inlineStr">
        <is>
          <t>M5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A</t>
        </is>
      </c>
      <c r="O43" s="38" t="inlineStr">
        <is>
          <t>K</t>
        </is>
      </c>
      <c r="P43" s="38" t="inlineStr">
        <is>
          <t>M5</t>
        </is>
      </c>
      <c r="Q43" s="38" t="inlineStr">
        <is>
          <t>M5</t>
        </is>
      </c>
      <c r="R43" s="38" t="inlineStr">
        <is>
          <t>Q</t>
        </is>
      </c>
      <c r="S43" s="24" t="inlineStr">
        <is>
          <t>M4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J</t>
        </is>
      </c>
      <c r="N44" s="38" t="inlineStr">
        <is>
          <t>A</t>
        </is>
      </c>
      <c r="O44" s="38" t="inlineStr">
        <is>
          <t>Q</t>
        </is>
      </c>
      <c r="P44" s="38" t="inlineStr">
        <is>
          <t>M5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K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J</t>
        </is>
      </c>
      <c r="O45" s="38" t="inlineStr">
        <is>
          <t>A</t>
        </is>
      </c>
      <c r="P45" s="38" t="inlineStr">
        <is>
          <t>M5</t>
        </is>
      </c>
      <c r="Q45" s="38" t="inlineStr">
        <is>
          <t>M4</t>
        </is>
      </c>
      <c r="R45" s="38" t="inlineStr">
        <is>
          <t>M4</t>
        </is>
      </c>
      <c r="S45" s="24" t="inlineStr">
        <is>
          <t>M1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GT</t>
        </is>
      </c>
      <c r="O46" s="38" t="inlineStr">
        <is>
          <t>M6</t>
        </is>
      </c>
      <c r="P46" s="38" t="inlineStr">
        <is>
          <t>TE</t>
        </is>
      </c>
      <c r="Q46" s="38" t="inlineStr">
        <is>
          <t>TE</t>
        </is>
      </c>
      <c r="R46" s="38" t="inlineStr">
        <is>
          <t>M6</t>
        </is>
      </c>
      <c r="S46" s="24" t="inlineStr">
        <is>
          <t>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103</v>
      </c>
      <c r="AN46" s="153">
        <v>89</v>
      </c>
      <c r="AO46" s="153">
        <v>447</v>
      </c>
      <c r="AP46" s="153">
        <v>92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J</t>
        </is>
      </c>
      <c r="N47" s="38" t="inlineStr">
        <is>
          <t>A</t>
        </is>
      </c>
      <c r="O47" s="38" t="inlineStr">
        <is>
          <t>M6</t>
        </is>
      </c>
      <c r="P47" s="38" t="inlineStr">
        <is>
          <t>M5</t>
        </is>
      </c>
      <c r="Q47" s="38" t="inlineStr">
        <is>
          <t>G4</t>
        </is>
      </c>
      <c r="R47" s="38" t="inlineStr">
        <is>
          <t>M6</t>
        </is>
      </c>
      <c r="S47" s="24" t="inlineStr">
        <is>
          <t>A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308</v>
      </c>
      <c r="AN47" s="153">
        <v>331</v>
      </c>
      <c r="AO47" s="153">
        <v>195</v>
      </c>
      <c r="AP47" s="153">
        <v>92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M4</t>
        </is>
      </c>
      <c r="O48" s="38" t="inlineStr">
        <is>
          <t>G3</t>
        </is>
      </c>
      <c r="P48" s="38" t="inlineStr">
        <is>
          <t>M6</t>
        </is>
      </c>
      <c r="Q48" s="38" t="inlineStr">
        <is>
          <t>M5</t>
        </is>
      </c>
      <c r="R48" s="38" t="inlineStr">
        <is>
          <t>Q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630</v>
      </c>
      <c r="AN48" s="153">
        <v>1120</v>
      </c>
      <c r="AO48" s="153">
        <v>279</v>
      </c>
      <c r="AP48" s="153">
        <v>123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M5</t>
        </is>
      </c>
      <c r="O49" s="155" t="inlineStr">
        <is>
          <t>J</t>
        </is>
      </c>
      <c r="P49" s="155" t="inlineStr">
        <is>
          <t>M4</t>
        </is>
      </c>
      <c r="Q49" s="155" t="inlineStr">
        <is>
          <t>A</t>
        </is>
      </c>
      <c r="R49" s="155" t="inlineStr">
        <is>
          <t>M5</t>
        </is>
      </c>
      <c r="S49" s="156" t="inlineStr">
        <is>
          <t>M6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2476</v>
      </c>
      <c r="AN49" s="153">
        <v>522</v>
      </c>
      <c r="AO49" s="153">
        <v>363</v>
      </c>
      <c r="AP49" s="153">
        <v>771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K</t>
        </is>
      </c>
      <c r="N50" s="38" t="inlineStr">
        <is>
          <t>M4</t>
        </is>
      </c>
      <c r="O50" s="38" t="inlineStr">
        <is>
          <t>M1</t>
        </is>
      </c>
      <c r="P50" s="38" t="inlineStr">
        <is>
          <t>Q</t>
        </is>
      </c>
      <c r="Q50" s="38" t="inlineStr">
        <is>
          <t>M1</t>
        </is>
      </c>
      <c r="R50" s="38" t="inlineStr">
        <is>
          <t>M6</t>
        </is>
      </c>
      <c r="S50" s="24" t="inlineStr">
        <is>
          <t>TE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542</v>
      </c>
      <c r="AN50" s="153">
        <v>2190</v>
      </c>
      <c r="AO50" s="153">
        <v>2093</v>
      </c>
      <c r="AP50" s="153">
        <v>62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Q</t>
        </is>
      </c>
      <c r="O51" s="38" t="inlineStr">
        <is>
          <t>A</t>
        </is>
      </c>
      <c r="P51" s="38" t="inlineStr">
        <is>
          <t>M6</t>
        </is>
      </c>
      <c r="Q51" s="38" t="inlineStr">
        <is>
          <t>M5</t>
        </is>
      </c>
      <c r="R51" s="38" t="inlineStr">
        <is>
          <t>G4</t>
        </is>
      </c>
      <c r="S51" s="24" t="inlineStr">
        <is>
          <t>K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2681</v>
      </c>
      <c r="AN51" s="153">
        <v>1350</v>
      </c>
      <c r="AO51" s="153">
        <v>195</v>
      </c>
      <c r="AP51" s="153">
        <v>1356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M6</t>
        </is>
      </c>
      <c r="N52" s="38" t="inlineStr">
        <is>
          <t>M5</t>
        </is>
      </c>
      <c r="O52" s="38" t="inlineStr">
        <is>
          <t>K</t>
        </is>
      </c>
      <c r="P52" s="38" t="inlineStr">
        <is>
          <t>M1</t>
        </is>
      </c>
      <c r="Q52" s="38" t="inlineStr">
        <is>
          <t>Q</t>
        </is>
      </c>
      <c r="R52" s="38" t="inlineStr">
        <is>
          <t>M5</t>
        </is>
      </c>
      <c r="S52" s="24" t="inlineStr">
        <is>
          <t>M5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0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M2</t>
        </is>
      </c>
      <c r="P53" s="38" t="inlineStr">
        <is>
          <t>TE</t>
        </is>
      </c>
      <c r="Q53" s="38" t="inlineStr">
        <is>
          <t>K</t>
        </is>
      </c>
      <c r="R53" s="38" t="inlineStr">
        <is>
          <t>M4</t>
        </is>
      </c>
      <c r="S53" s="24" t="inlineStr">
        <is>
          <t>M5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0</v>
      </c>
      <c r="L54" s="14">
        <v>51</v>
      </c>
      <c r="M54" s="38" t="inlineStr">
        <is>
          <t>M6</t>
        </is>
      </c>
      <c r="N54" s="38" t="inlineStr">
        <is>
          <t>A</t>
        </is>
      </c>
      <c r="O54" s="38" t="inlineStr">
        <is>
          <t>K</t>
        </is>
      </c>
      <c r="P54" s="38" t="inlineStr">
        <is>
          <t>TE</t>
        </is>
      </c>
      <c r="Q54" s="38" t="inlineStr">
        <is>
          <t>M2</t>
        </is>
      </c>
      <c r="R54" s="38" t="inlineStr">
        <is>
          <t>J</t>
        </is>
      </c>
      <c r="S54" s="24" t="inlineStr">
        <is>
          <t>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0</v>
      </c>
      <c r="L55" s="15">
        <v>52</v>
      </c>
      <c r="M55" s="38" t="inlineStr">
        <is>
          <t>J</t>
        </is>
      </c>
      <c r="N55" s="38" t="inlineStr">
        <is>
          <t>A</t>
        </is>
      </c>
      <c r="O55" s="38" t="inlineStr">
        <is>
          <t>K</t>
        </is>
      </c>
      <c r="P55" s="38" t="inlineStr">
        <is>
          <t>K</t>
        </is>
      </c>
      <c r="Q55" s="38" t="inlineStr">
        <is>
          <t>M5</t>
        </is>
      </c>
      <c r="R55" s="38" t="inlineStr">
        <is>
          <t>A</t>
        </is>
      </c>
      <c r="S55" s="24" t="inlineStr">
        <is>
          <t>M3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0</v>
      </c>
      <c r="L56" s="14">
        <v>53</v>
      </c>
      <c r="M56" s="38" t="inlineStr">
        <is>
          <t>M6</t>
        </is>
      </c>
      <c r="N56" s="38" t="inlineStr">
        <is>
          <t>J</t>
        </is>
      </c>
      <c r="O56" s="38" t="inlineStr">
        <is>
          <t>GA</t>
        </is>
      </c>
      <c r="P56" s="38" t="inlineStr">
        <is>
          <t>A</t>
        </is>
      </c>
      <c r="Q56" s="38" t="inlineStr">
        <is>
          <t>A</t>
        </is>
      </c>
      <c r="R56" s="38" t="inlineStr">
        <is>
          <t>M1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0</v>
      </c>
      <c r="L57" s="15">
        <v>54</v>
      </c>
      <c r="M57" s="38" t="inlineStr">
        <is>
          <t>K</t>
        </is>
      </c>
      <c r="N57" s="38" t="inlineStr">
        <is>
          <t>TE</t>
        </is>
      </c>
      <c r="O57" s="38" t="inlineStr">
        <is>
          <t>J</t>
        </is>
      </c>
      <c r="P57" s="38" t="inlineStr">
        <is>
          <t>M4</t>
        </is>
      </c>
      <c r="Q57" s="38" t="inlineStr">
        <is>
          <t>A</t>
        </is>
      </c>
      <c r="R57" s="38" t="inlineStr">
        <is>
          <t>GJ</t>
        </is>
      </c>
      <c r="S57" s="24" t="inlineStr">
        <is>
          <t>Q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0</v>
      </c>
      <c r="L58" s="15">
        <v>55</v>
      </c>
      <c r="M58" s="155" t="inlineStr">
        <is>
          <t>M6</t>
        </is>
      </c>
      <c r="N58" s="155" t="inlineStr">
        <is>
          <t>M3</t>
        </is>
      </c>
      <c r="O58" s="155" t="inlineStr">
        <is>
          <t>M1</t>
        </is>
      </c>
      <c r="P58" s="155" t="inlineStr">
        <is>
          <t>G6</t>
        </is>
      </c>
      <c r="Q58" s="155" t="inlineStr">
        <is>
          <t>M6</t>
        </is>
      </c>
      <c r="R58" s="155" t="inlineStr">
        <is>
          <t>GK</t>
        </is>
      </c>
      <c r="S58" s="156" t="inlineStr">
        <is>
          <t>J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0</v>
      </c>
      <c r="L59" s="14">
        <v>56</v>
      </c>
      <c r="M59" s="38" t="inlineStr">
        <is>
          <t>A</t>
        </is>
      </c>
      <c r="N59" s="38" t="inlineStr">
        <is>
          <t>M5</t>
        </is>
      </c>
      <c r="O59" s="38" t="inlineStr">
        <is>
          <t>TE</t>
        </is>
      </c>
      <c r="P59" s="38" t="inlineStr">
        <is>
          <t>M5</t>
        </is>
      </c>
      <c r="Q59" s="38" t="inlineStr">
        <is>
          <t>A</t>
        </is>
      </c>
      <c r="R59" s="38" t="inlineStr">
        <is>
          <t>K</t>
        </is>
      </c>
      <c r="S59" s="24" t="inlineStr">
        <is>
          <t>M5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0</v>
      </c>
      <c r="L60" s="15">
        <v>57</v>
      </c>
      <c r="M60" s="38" t="inlineStr">
        <is>
          <t>J</t>
        </is>
      </c>
      <c r="N60" s="38" t="inlineStr">
        <is>
          <t>K</t>
        </is>
      </c>
      <c r="O60" s="38" t="inlineStr">
        <is>
          <t>J</t>
        </is>
      </c>
      <c r="P60" s="38" t="inlineStr">
        <is>
          <t>A</t>
        </is>
      </c>
      <c r="Q60" s="38" t="inlineStr">
        <is>
          <t>TE</t>
        </is>
      </c>
      <c r="R60" s="38" t="inlineStr">
        <is>
          <t>A</t>
        </is>
      </c>
      <c r="S60" s="24" t="inlineStr">
        <is>
          <t>M4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0</v>
      </c>
      <c r="L61" s="14">
        <v>58</v>
      </c>
      <c r="M61" s="38" t="inlineStr">
        <is>
          <t>K</t>
        </is>
      </c>
      <c r="N61" s="38" t="inlineStr">
        <is>
          <t>M5</t>
        </is>
      </c>
      <c r="O61" s="38" t="inlineStr">
        <is>
          <t>J</t>
        </is>
      </c>
      <c r="P61" s="38" t="inlineStr">
        <is>
          <t>M3</t>
        </is>
      </c>
      <c r="Q61" s="38" t="inlineStr">
        <is>
          <t>G5</t>
        </is>
      </c>
      <c r="R61" s="38" t="inlineStr">
        <is>
          <t>M4</t>
        </is>
      </c>
      <c r="S61" s="24" t="inlineStr">
        <is>
          <t>M6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0</v>
      </c>
      <c r="L62" s="15">
        <v>59</v>
      </c>
      <c r="M62" s="38" t="inlineStr">
        <is>
          <t>M6</t>
        </is>
      </c>
      <c r="N62" s="38" t="inlineStr">
        <is>
          <t>J</t>
        </is>
      </c>
      <c r="O62" s="38" t="inlineStr">
        <is>
          <t>TE</t>
        </is>
      </c>
      <c r="P62" s="38" t="inlineStr">
        <is>
          <t>Q</t>
        </is>
      </c>
      <c r="Q62" s="38" t="inlineStr">
        <is>
          <t>A</t>
        </is>
      </c>
      <c r="R62" s="38" t="inlineStr">
        <is>
          <t>GA</t>
        </is>
      </c>
      <c r="S62" s="24" t="inlineStr">
        <is>
          <t>M4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0</v>
      </c>
      <c r="L63" s="14">
        <v>60</v>
      </c>
      <c r="M63" s="38" t="inlineStr">
        <is>
          <t>M3</t>
        </is>
      </c>
      <c r="N63" s="38" t="inlineStr">
        <is>
          <t>TE</t>
        </is>
      </c>
      <c r="O63" s="38" t="inlineStr">
        <is>
          <t>J</t>
        </is>
      </c>
      <c r="P63" s="38" t="inlineStr">
        <is>
          <t>GT</t>
        </is>
      </c>
      <c r="Q63" s="38" t="inlineStr">
        <is>
          <t>G2</t>
        </is>
      </c>
      <c r="R63" s="38" t="inlineStr">
        <is>
          <t>M6</t>
        </is>
      </c>
      <c r="S63" s="24" t="inlineStr">
        <is>
          <t>Q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J</t>
        </is>
      </c>
      <c r="N64" s="38" t="inlineStr">
        <is>
          <t>Q</t>
        </is>
      </c>
      <c r="O64" s="38" t="inlineStr">
        <is>
          <t>M6</t>
        </is>
      </c>
      <c r="P64" s="38" t="inlineStr">
        <is>
          <t>M5</t>
        </is>
      </c>
      <c r="Q64" s="38" t="inlineStr">
        <is>
          <t>M4</t>
        </is>
      </c>
      <c r="R64" s="38" t="inlineStr">
        <is>
          <t>M4</t>
        </is>
      </c>
      <c r="S64" s="24" t="inlineStr">
        <is>
          <t>Q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6032</v>
      </c>
      <c r="AN64" s="153">
        <v>4965</v>
      </c>
      <c r="AO64" s="153">
        <v>43031</v>
      </c>
      <c r="AP64" s="153">
        <v>17051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J</t>
        </is>
      </c>
      <c r="N65" s="38" t="inlineStr">
        <is>
          <t>Q</t>
        </is>
      </c>
      <c r="O65" s="38" t="inlineStr">
        <is>
          <t>G6</t>
        </is>
      </c>
      <c r="P65" s="38" t="inlineStr">
        <is>
          <t>M5</t>
        </is>
      </c>
      <c r="Q65" s="38" t="inlineStr">
        <is>
          <t>TE</t>
        </is>
      </c>
      <c r="R65" s="38" t="inlineStr">
        <is>
          <t>K</t>
        </is>
      </c>
      <c r="S65" s="24" t="inlineStr">
        <is>
          <t>K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18097</v>
      </c>
      <c r="AN65" s="153">
        <v>18442</v>
      </c>
      <c r="AO65" s="153">
        <v>18827</v>
      </c>
      <c r="AP65" s="153">
        <v>17051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M6</t>
        </is>
      </c>
      <c r="N66" s="38" t="inlineStr">
        <is>
          <t>TE</t>
        </is>
      </c>
      <c r="O66" s="38" t="inlineStr">
        <is>
          <t>K</t>
        </is>
      </c>
      <c r="P66" s="38" t="inlineStr">
        <is>
          <t>GK</t>
        </is>
      </c>
      <c r="Q66" s="38" t="inlineStr">
        <is>
          <t>K</t>
        </is>
      </c>
      <c r="R66" s="38" t="inlineStr">
        <is>
          <t>Q</t>
        </is>
      </c>
      <c r="S66" s="24" t="inlineStr">
        <is>
          <t>Q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37056</v>
      </c>
      <c r="AN66" s="153">
        <v>62417</v>
      </c>
      <c r="AO66" s="153">
        <v>26895</v>
      </c>
      <c r="AP66" s="153">
        <v>22734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M1</t>
        </is>
      </c>
      <c r="N67" s="155" t="inlineStr">
        <is>
          <t>TE</t>
        </is>
      </c>
      <c r="O67" s="155" t="inlineStr">
        <is>
          <t>K</t>
        </is>
      </c>
      <c r="P67" s="155" t="inlineStr">
        <is>
          <t>M3</t>
        </is>
      </c>
      <c r="Q67" s="155" t="inlineStr">
        <is>
          <t>G6</t>
        </is>
      </c>
      <c r="R67" s="155" t="inlineStr">
        <is>
          <t>A</t>
        </is>
      </c>
      <c r="S67" s="156" t="inlineStr">
        <is>
          <t>J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145640</v>
      </c>
      <c r="AN67" s="153">
        <v>29081</v>
      </c>
      <c r="AO67" s="153">
        <v>34963</v>
      </c>
      <c r="AP67" s="153">
        <v>142086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M6</t>
        </is>
      </c>
      <c r="N68" s="38" t="inlineStr">
        <is>
          <t>Q</t>
        </is>
      </c>
      <c r="O68" s="38" t="inlineStr">
        <is>
          <t>M6</t>
        </is>
      </c>
      <c r="P68" s="38" t="inlineStr">
        <is>
          <t>M1</t>
        </is>
      </c>
      <c r="Q68" s="38" t="inlineStr">
        <is>
          <t>K</t>
        </is>
      </c>
      <c r="R68" s="38" t="inlineStr">
        <is>
          <t>M5</t>
        </is>
      </c>
      <c r="S68" s="24" t="inlineStr">
        <is>
          <t>M6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31886</v>
      </c>
      <c r="AN68" s="153">
        <v>121998</v>
      </c>
      <c r="AO68" s="153">
        <v>201711</v>
      </c>
      <c r="AP68" s="153">
        <v>11367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TE</t>
        </is>
      </c>
      <c r="P69" s="38" t="inlineStr">
        <is>
          <t>TE</t>
        </is>
      </c>
      <c r="Q69" s="38" t="inlineStr">
        <is>
          <t>GT</t>
        </is>
      </c>
      <c r="R69" s="38" t="inlineStr">
        <is>
          <t>M3</t>
        </is>
      </c>
      <c r="S69" s="24" t="inlineStr">
        <is>
          <t>M5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157705</v>
      </c>
      <c r="AN69" s="153">
        <v>75184</v>
      </c>
      <c r="AO69" s="153">
        <v>18827</v>
      </c>
      <c r="AP69" s="153">
        <v>250073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K</t>
        </is>
      </c>
      <c r="N70" s="38" t="inlineStr">
        <is>
          <t>M1</t>
        </is>
      </c>
      <c r="O70" s="38" t="inlineStr">
        <is>
          <t>K</t>
        </is>
      </c>
      <c r="P70" s="38" t="inlineStr">
        <is>
          <t>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A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TE</t>
        </is>
      </c>
      <c r="N71" s="38" t="inlineStr">
        <is>
          <t>M5</t>
        </is>
      </c>
      <c r="O71" s="38" t="inlineStr">
        <is>
          <t>M2</t>
        </is>
      </c>
      <c r="P71" s="38" t="inlineStr">
        <is>
          <t>TE</t>
        </is>
      </c>
      <c r="Q71" s="38" t="inlineStr">
        <is>
          <t>K</t>
        </is>
      </c>
      <c r="R71" s="38" t="inlineStr">
        <is>
          <t>J</t>
        </is>
      </c>
      <c r="S71" s="24" t="inlineStr">
        <is>
          <t>M4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J</t>
        </is>
      </c>
      <c r="N72" s="38" t="inlineStr">
        <is>
          <t>M3</t>
        </is>
      </c>
      <c r="O72" s="38" t="inlineStr">
        <is>
          <t>M3</t>
        </is>
      </c>
      <c r="P72" s="38" t="inlineStr">
        <is>
          <t>Q</t>
        </is>
      </c>
      <c r="Q72" s="38" t="inlineStr">
        <is>
          <t>Q</t>
        </is>
      </c>
      <c r="R72" s="38" t="inlineStr">
        <is>
          <t>TE</t>
        </is>
      </c>
      <c r="S72" s="24" t="inlineStr">
        <is>
          <t>Q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K</t>
        </is>
      </c>
      <c r="N73" s="38" t="inlineStr">
        <is>
          <t>Q</t>
        </is>
      </c>
      <c r="O73" s="38" t="inlineStr">
        <is>
          <t>M4</t>
        </is>
      </c>
      <c r="P73" s="38" t="inlineStr">
        <is>
          <t>TE</t>
        </is>
      </c>
      <c r="Q73" s="38" t="inlineStr">
        <is>
          <t>M1</t>
        </is>
      </c>
      <c r="R73" s="38" t="inlineStr">
        <is>
          <t>J</t>
        </is>
      </c>
      <c r="S73" s="24" t="inlineStr">
        <is>
          <t>M5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Q</t>
        </is>
      </c>
      <c r="N74" s="38" t="inlineStr">
        <is>
          <t>TE</t>
        </is>
      </c>
      <c r="O74" s="38" t="inlineStr">
        <is>
          <t>M2</t>
        </is>
      </c>
      <c r="P74" s="38" t="inlineStr">
        <is>
          <t>J</t>
        </is>
      </c>
      <c r="Q74" s="38" t="inlineStr">
        <is>
          <t>M6</t>
        </is>
      </c>
      <c r="R74" s="38" t="inlineStr">
        <is>
          <t>M4</t>
        </is>
      </c>
      <c r="S74" s="24" t="inlineStr">
        <is>
          <t>M6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A</t>
        </is>
      </c>
      <c r="N75" s="38" t="inlineStr">
        <is>
          <t>M5</t>
        </is>
      </c>
      <c r="O75" s="38" t="inlineStr">
        <is>
          <t>M4</t>
        </is>
      </c>
      <c r="P75" s="38" t="inlineStr">
        <is>
          <t>Q</t>
        </is>
      </c>
      <c r="Q75" s="38" t="inlineStr">
        <is>
          <t>M5</t>
        </is>
      </c>
      <c r="R75" s="38" t="inlineStr">
        <is>
          <t>M6</t>
        </is>
      </c>
      <c r="S75" s="24" t="inlineStr">
        <is>
          <t>TE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103</v>
      </c>
      <c r="AN75" s="153">
        <v>89</v>
      </c>
      <c r="AO75" s="153">
        <v>447</v>
      </c>
      <c r="AP75" s="153">
        <v>92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J</t>
        </is>
      </c>
      <c r="N76" s="155" t="inlineStr">
        <is>
          <t>TE</t>
        </is>
      </c>
      <c r="O76" s="155" t="inlineStr">
        <is>
          <t>J</t>
        </is>
      </c>
      <c r="P76" s="155" t="inlineStr">
        <is>
          <t>M4</t>
        </is>
      </c>
      <c r="Q76" s="155" t="inlineStr">
        <is>
          <t>TE</t>
        </is>
      </c>
      <c r="R76" s="155" t="inlineStr">
        <is>
          <t>TE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308</v>
      </c>
      <c r="AN76" s="153">
        <v>331</v>
      </c>
      <c r="AO76" s="153">
        <v>195</v>
      </c>
      <c r="AP76" s="153">
        <v>92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M4</t>
        </is>
      </c>
      <c r="N77" s="38" t="inlineStr">
        <is>
          <t>TE</t>
        </is>
      </c>
      <c r="O77" s="38" t="inlineStr">
        <is>
          <t>M4</t>
        </is>
      </c>
      <c r="P77" s="38" t="inlineStr">
        <is>
          <t>A</t>
        </is>
      </c>
      <c r="Q77" s="38" t="inlineStr">
        <is>
          <t>Q</t>
        </is>
      </c>
      <c r="R77" s="38" t="inlineStr">
        <is>
          <t>Q</t>
        </is>
      </c>
      <c r="S77" s="24" t="inlineStr">
        <is>
          <t>J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630</v>
      </c>
      <c r="AN77" s="153">
        <v>1120</v>
      </c>
      <c r="AO77" s="153">
        <v>279</v>
      </c>
      <c r="AP77" s="153">
        <v>123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M6</t>
        </is>
      </c>
      <c r="N78" s="38" t="inlineStr">
        <is>
          <t>Q</t>
        </is>
      </c>
      <c r="O78" s="38" t="inlineStr">
        <is>
          <t>K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M5</t>
        </is>
      </c>
      <c r="S78" s="24" t="inlineStr">
        <is>
          <t>WW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2476</v>
      </c>
      <c r="AN78" s="153">
        <v>522</v>
      </c>
      <c r="AO78" s="153">
        <v>363</v>
      </c>
      <c r="AP78" s="153">
        <v>771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TE</t>
        </is>
      </c>
      <c r="O79" s="38" t="inlineStr">
        <is>
          <t>M1</t>
        </is>
      </c>
      <c r="P79" s="38" t="inlineStr">
        <is>
          <t>Q</t>
        </is>
      </c>
      <c r="Q79" s="38" t="inlineStr">
        <is>
          <t>G4</t>
        </is>
      </c>
      <c r="R79" s="38" t="inlineStr">
        <is>
          <t>K</t>
        </is>
      </c>
      <c r="S79" s="24" t="inlineStr">
        <is>
          <t>Q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542</v>
      </c>
      <c r="AN79" s="153">
        <v>2190</v>
      </c>
      <c r="AO79" s="153">
        <v>2093</v>
      </c>
      <c r="AP79" s="153">
        <v>62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M5</t>
        </is>
      </c>
      <c r="N80" s="38" t="inlineStr">
        <is>
          <t>A</t>
        </is>
      </c>
      <c r="O80" s="38" t="inlineStr">
        <is>
          <t>M6</t>
        </is>
      </c>
      <c r="P80" s="38" t="inlineStr">
        <is>
          <t>J</t>
        </is>
      </c>
      <c r="Q80" s="38" t="inlineStr">
        <is>
          <t>M6</t>
        </is>
      </c>
      <c r="R80" s="38" t="inlineStr">
        <is>
          <t>J</t>
        </is>
      </c>
      <c r="S80" s="24" t="inlineStr">
        <is>
          <t>M6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2681</v>
      </c>
      <c r="AN80" s="153">
        <v>1350</v>
      </c>
      <c r="AO80" s="153">
        <v>195</v>
      </c>
      <c r="AP80" s="153">
        <v>1356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K</t>
        </is>
      </c>
      <c r="O81" s="38" t="inlineStr">
        <is>
          <t>A</t>
        </is>
      </c>
      <c r="P81" s="38" t="inlineStr">
        <is>
          <t>M5</t>
        </is>
      </c>
      <c r="Q81" s="38" t="inlineStr">
        <is>
          <t>M6</t>
        </is>
      </c>
      <c r="R81" s="38" t="inlineStr">
        <is>
          <t>A</t>
        </is>
      </c>
      <c r="S81" s="24" t="inlineStr">
        <is>
          <t>J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A</t>
        </is>
      </c>
      <c r="O82" s="38" t="inlineStr">
        <is>
          <t>J</t>
        </is>
      </c>
      <c r="P82" s="38" t="inlineStr">
        <is>
          <t>GJ</t>
        </is>
      </c>
      <c r="Q82" s="38" t="inlineStr">
        <is>
          <t>M3</t>
        </is>
      </c>
      <c r="R82" s="38" t="inlineStr">
        <is>
          <t>Q</t>
        </is>
      </c>
      <c r="S82" s="24" t="inlineStr">
        <is>
          <t>Q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K</t>
        </is>
      </c>
      <c r="O83" s="38" t="inlineStr">
        <is>
          <t>M6</t>
        </is>
      </c>
      <c r="P83" s="38" t="inlineStr">
        <is>
          <t>M4</t>
        </is>
      </c>
      <c r="Q83" s="38" t="inlineStr">
        <is>
          <t>Q</t>
        </is>
      </c>
      <c r="R83" s="38" t="inlineStr">
        <is>
          <t>M5</t>
        </is>
      </c>
      <c r="S83" s="24" t="inlineStr">
        <is>
          <t>K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M4</t>
        </is>
      </c>
      <c r="N84" s="38" t="inlineStr">
        <is>
          <t>J</t>
        </is>
      </c>
      <c r="O84" s="38" t="inlineStr">
        <is>
          <t>Q</t>
        </is>
      </c>
      <c r="P84" s="38" t="inlineStr">
        <is>
          <t>M5</t>
        </is>
      </c>
      <c r="Q84" s="38" t="inlineStr">
        <is>
          <t>A</t>
        </is>
      </c>
      <c r="R84" s="38" t="inlineStr">
        <is>
          <t>M6</t>
        </is>
      </c>
      <c r="S84" s="24" t="inlineStr">
        <is>
          <t>M6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M4</t>
        </is>
      </c>
      <c r="N85" s="155" t="inlineStr">
        <is>
          <t>Q</t>
        </is>
      </c>
      <c r="O85" s="155" t="inlineStr">
        <is>
          <t>M4</t>
        </is>
      </c>
      <c r="P85" s="155" t="inlineStr">
        <is>
          <t>A</t>
        </is>
      </c>
      <c r="Q85" s="155" t="inlineStr">
        <is>
          <t>Q</t>
        </is>
      </c>
      <c r="R85" s="155" t="inlineStr">
        <is>
          <t>M5</t>
        </is>
      </c>
      <c r="S85" s="156" t="inlineStr">
        <is>
          <t>A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M1</t>
        </is>
      </c>
      <c r="N86" s="38" t="inlineStr">
        <is>
          <t>Q</t>
        </is>
      </c>
      <c r="O86" s="38" t="inlineStr">
        <is>
          <t>M4</t>
        </is>
      </c>
      <c r="P86" s="38" t="inlineStr">
        <is>
          <t>M1</t>
        </is>
      </c>
      <c r="Q86" s="38" t="inlineStr">
        <is>
          <t>K</t>
        </is>
      </c>
      <c r="R86" s="38" t="inlineStr">
        <is>
          <t>A</t>
        </is>
      </c>
      <c r="S86" s="24" t="inlineStr">
        <is>
          <t>A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K</t>
        </is>
      </c>
      <c r="O87" s="38" t="inlineStr">
        <is>
          <t>M6</t>
        </is>
      </c>
      <c r="P87" s="38" t="inlineStr">
        <is>
          <t>M5</t>
        </is>
      </c>
      <c r="Q87" s="38" t="inlineStr">
        <is>
          <t>J</t>
        </is>
      </c>
      <c r="R87" s="38" t="inlineStr">
        <is>
          <t>M2</t>
        </is>
      </c>
      <c r="S87" s="24" t="inlineStr">
        <is>
          <t>Q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M6</t>
        </is>
      </c>
      <c r="N88" s="38" t="inlineStr">
        <is>
          <t>Q</t>
        </is>
      </c>
      <c r="O88" s="38" t="inlineStr">
        <is>
          <t>M4</t>
        </is>
      </c>
      <c r="P88" s="38" t="inlineStr">
        <is>
          <t>Q</t>
        </is>
      </c>
      <c r="Q88" s="38" t="inlineStr">
        <is>
          <t>M6</t>
        </is>
      </c>
      <c r="R88" s="38" t="inlineStr">
        <is>
          <t>M4</t>
        </is>
      </c>
      <c r="S88" s="24" t="inlineStr">
        <is>
          <t>M4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M4</t>
        </is>
      </c>
      <c r="N89" s="38" t="inlineStr">
        <is>
          <t>M3</t>
        </is>
      </c>
      <c r="O89" s="38" t="inlineStr">
        <is>
          <t>M5</t>
        </is>
      </c>
      <c r="P89" s="38" t="inlineStr">
        <is>
          <t>J</t>
        </is>
      </c>
      <c r="Q89" s="38" t="inlineStr">
        <is>
          <t>A</t>
        </is>
      </c>
      <c r="R89" s="38" t="inlineStr">
        <is>
          <t>TE</t>
        </is>
      </c>
      <c r="S89" s="24" t="inlineStr">
        <is>
          <t>TE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M4</t>
        </is>
      </c>
      <c r="O90" s="38" t="inlineStr">
        <is>
          <t>M6</t>
        </is>
      </c>
      <c r="P90" s="38" t="inlineStr">
        <is>
          <t>M5</t>
        </is>
      </c>
      <c r="Q90" s="38" t="inlineStr">
        <is>
          <t>A</t>
        </is>
      </c>
      <c r="R90" s="38" t="inlineStr">
        <is>
          <t>K</t>
        </is>
      </c>
      <c r="S90" s="24" t="inlineStr">
        <is>
          <t>M2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J</t>
        </is>
      </c>
      <c r="O91" s="38" t="inlineStr">
        <is>
          <t>M5</t>
        </is>
      </c>
      <c r="P91" s="38" t="inlineStr">
        <is>
          <t>M2</t>
        </is>
      </c>
      <c r="Q91" s="38" t="inlineStr">
        <is>
          <t>M6</t>
        </is>
      </c>
      <c r="R91" s="38" t="inlineStr">
        <is>
          <t>J</t>
        </is>
      </c>
      <c r="S91" s="24" t="inlineStr">
        <is>
          <t>M6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GT</t>
        </is>
      </c>
      <c r="O92" s="38" t="inlineStr">
        <is>
          <t>TE</t>
        </is>
      </c>
      <c r="P92" s="38" t="inlineStr">
        <is>
          <t>J</t>
        </is>
      </c>
      <c r="Q92" s="38" t="inlineStr">
        <is>
          <t>TE</t>
        </is>
      </c>
      <c r="R92" s="38" t="inlineStr">
        <is>
          <t>M4</t>
        </is>
      </c>
      <c r="S92" s="24" t="inlineStr">
        <is>
          <t>M4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J</t>
        </is>
      </c>
      <c r="N93" s="38" t="inlineStr">
        <is>
          <t>M1</t>
        </is>
      </c>
      <c r="O93" s="38" t="inlineStr">
        <is>
          <t>M5</t>
        </is>
      </c>
      <c r="P93" s="38" t="inlineStr">
        <is>
          <t>M2</t>
        </is>
      </c>
      <c r="Q93" s="38" t="inlineStr">
        <is>
          <t>M4</t>
        </is>
      </c>
      <c r="R93" s="38" t="inlineStr">
        <is>
          <t>M5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6032</v>
      </c>
      <c r="AN93" s="153">
        <v>4965</v>
      </c>
      <c r="AO93" s="153">
        <v>43031</v>
      </c>
      <c r="AP93" s="153">
        <v>17051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K</t>
        </is>
      </c>
      <c r="N94" s="155" t="inlineStr">
        <is>
          <t>GA</t>
        </is>
      </c>
      <c r="O94" s="155" t="inlineStr">
        <is>
          <t>A</t>
        </is>
      </c>
      <c r="P94" s="155" t="inlineStr">
        <is>
          <t>Q</t>
        </is>
      </c>
      <c r="Q94" s="155" t="inlineStr">
        <is>
          <t>K</t>
        </is>
      </c>
      <c r="R94" s="155" t="inlineStr">
        <is>
          <t>A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18097</v>
      </c>
      <c r="AN94" s="153">
        <v>18442</v>
      </c>
      <c r="AO94" s="153">
        <v>18827</v>
      </c>
      <c r="AP94" s="153">
        <v>17051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M6</t>
        </is>
      </c>
      <c r="N95" s="38" t="inlineStr">
        <is>
          <t>M2</t>
        </is>
      </c>
      <c r="O95" s="38" t="inlineStr">
        <is>
          <t>K</t>
        </is>
      </c>
      <c r="P95" s="38" t="inlineStr">
        <is>
          <t>TE</t>
        </is>
      </c>
      <c r="Q95" s="38" t="inlineStr">
        <is>
          <t>A</t>
        </is>
      </c>
      <c r="R95" s="38" t="inlineStr">
        <is>
          <t>TE</t>
        </is>
      </c>
      <c r="S95" s="24" t="inlineStr">
        <is>
          <t>K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37056</v>
      </c>
      <c r="AN95" s="153">
        <v>62417</v>
      </c>
      <c r="AO95" s="153">
        <v>26895</v>
      </c>
      <c r="AP95" s="153">
        <v>22734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inlineStr">
        <is>
          <t>M2</t>
        </is>
      </c>
      <c r="N96" s="38" t="inlineStr">
        <is>
          <t>M6</t>
        </is>
      </c>
      <c r="O96" s="38" t="inlineStr">
        <is>
          <t>K</t>
        </is>
      </c>
      <c r="P96" s="38" t="inlineStr">
        <is>
          <t>K</t>
        </is>
      </c>
      <c r="Q96" s="38" t="inlineStr">
        <is>
          <t>M5</t>
        </is>
      </c>
      <c r="R96" s="38" t="inlineStr">
        <is>
          <t>Q</t>
        </is>
      </c>
      <c r="S96" s="24" t="inlineStr">
        <is>
          <t>J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145640</v>
      </c>
      <c r="AN96" s="153">
        <v>29081</v>
      </c>
      <c r="AO96" s="153">
        <v>34963</v>
      </c>
      <c r="AP96" s="153">
        <v>142086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inlineStr">
        <is>
          <t>M4</t>
        </is>
      </c>
      <c r="N97" s="38" t="inlineStr">
        <is>
          <t>G5</t>
        </is>
      </c>
      <c r="O97" s="38" t="inlineStr">
        <is>
          <t>M1</t>
        </is>
      </c>
      <c r="P97" s="38" t="inlineStr">
        <is>
          <t>J</t>
        </is>
      </c>
      <c r="Q97" s="38" t="inlineStr">
        <is>
          <t>K</t>
        </is>
      </c>
      <c r="R97" s="38" t="inlineStr">
        <is>
          <t>TE</t>
        </is>
      </c>
      <c r="S97" s="24" t="inlineStr">
        <is>
          <t>A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31886</v>
      </c>
      <c r="AN97" s="153">
        <v>121998</v>
      </c>
      <c r="AO97" s="153">
        <v>201711</v>
      </c>
      <c r="AP97" s="153">
        <v>11367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inlineStr">
        <is>
          <t>K</t>
        </is>
      </c>
      <c r="N98" s="38" t="inlineStr">
        <is>
          <t>M2</t>
        </is>
      </c>
      <c r="O98" s="38" t="inlineStr">
        <is>
          <t>K</t>
        </is>
      </c>
      <c r="P98" s="38" t="inlineStr">
        <is>
          <t>Q</t>
        </is>
      </c>
      <c r="Q98" s="38" t="inlineStr">
        <is>
          <t>Q</t>
        </is>
      </c>
      <c r="R98" s="38" t="inlineStr">
        <is>
          <t>M6</t>
        </is>
      </c>
      <c r="S98" s="24" t="inlineStr">
        <is>
          <t>TE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157705</v>
      </c>
      <c r="AN98" s="153">
        <v>75184</v>
      </c>
      <c r="AO98" s="153">
        <v>18827</v>
      </c>
      <c r="AP98" s="153">
        <v>250073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TE</t>
        </is>
      </c>
      <c r="O99" s="38" t="inlineStr">
        <is>
          <t>M5</t>
        </is>
      </c>
      <c r="P99" s="38" t="inlineStr">
        <is>
          <t>A</t>
        </is>
      </c>
      <c r="Q99" s="38" t="inlineStr">
        <is>
          <t>M4</t>
        </is>
      </c>
      <c r="R99" s="38" t="inlineStr">
        <is>
          <t>M2</t>
        </is>
      </c>
      <c r="S99" s="24" t="inlineStr">
        <is>
          <t>M4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A</t>
        </is>
      </c>
      <c r="O100" s="38" t="inlineStr">
        <is>
          <t>K</t>
        </is>
      </c>
      <c r="P100" s="38" t="inlineStr">
        <is>
          <t>J</t>
        </is>
      </c>
      <c r="Q100" s="38" t="inlineStr">
        <is>
          <t>TE</t>
        </is>
      </c>
      <c r="R100" s="38" t="inlineStr">
        <is>
          <t>TE</t>
        </is>
      </c>
      <c r="S100" s="24" t="inlineStr">
        <is>
          <t>TE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J</t>
        </is>
      </c>
      <c r="O101" s="38" t="inlineStr">
        <is>
          <t>J</t>
        </is>
      </c>
      <c r="P101" s="38" t="inlineStr">
        <is>
          <t>J</t>
        </is>
      </c>
      <c r="Q101" s="38" t="inlineStr">
        <is>
          <t>A</t>
        </is>
      </c>
      <c r="R101" s="38" t="inlineStr">
        <is>
          <t>GT</t>
        </is>
      </c>
      <c r="S101" s="24" t="inlineStr">
        <is>
          <t>K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K</t>
        </is>
      </c>
      <c r="N102" s="38" t="inlineStr">
        <is>
          <t>M5</t>
        </is>
      </c>
      <c r="O102" s="38" t="inlineStr">
        <is>
          <t>M6</t>
        </is>
      </c>
      <c r="P102" s="38" t="inlineStr">
        <is>
          <t>M5</t>
        </is>
      </c>
      <c r="Q102" s="38" t="inlineStr">
        <is>
          <t>Q</t>
        </is>
      </c>
      <c r="R102" s="38" t="inlineStr">
        <is>
          <t>K</t>
        </is>
      </c>
      <c r="S102" s="24" t="inlineStr">
        <is>
          <t>M6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inlineStr">
        <is>
          <t>M3</t>
        </is>
      </c>
      <c r="N103" s="155" t="inlineStr">
        <is>
          <t>M5</t>
        </is>
      </c>
      <c r="O103" s="155" t="inlineStr">
        <is>
          <t>M6</t>
        </is>
      </c>
      <c r="P103" s="155" t="inlineStr">
        <is>
          <t>TE</t>
        </is>
      </c>
      <c r="Q103" s="155" t="inlineStr">
        <is>
          <t>G3</t>
        </is>
      </c>
      <c r="R103" s="155" t="inlineStr">
        <is>
          <t>M6</t>
        </is>
      </c>
      <c r="S103" s="156" t="inlineStr">
        <is>
          <t>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J</t>
        </is>
      </c>
      <c r="O104" s="38" t="inlineStr">
        <is>
          <t>K</t>
        </is>
      </c>
      <c r="P104" s="38" t="inlineStr">
        <is>
          <t>Q</t>
        </is>
      </c>
      <c r="Q104" s="38" t="inlineStr">
        <is>
          <t>M6</t>
        </is>
      </c>
      <c r="R104" s="38" t="inlineStr">
        <is>
          <t>K</t>
        </is>
      </c>
      <c r="S104" s="24" t="inlineStr">
        <is>
          <t>M6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103</v>
      </c>
      <c r="AN104" s="153">
        <v>89</v>
      </c>
      <c r="AO104" s="153">
        <v>447</v>
      </c>
      <c r="AP104" s="153">
        <v>92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Q</t>
        </is>
      </c>
      <c r="N105" s="38" t="inlineStr">
        <is>
          <t>M5</t>
        </is>
      </c>
      <c r="O105" s="38" t="inlineStr">
        <is>
          <t>GJ</t>
        </is>
      </c>
      <c r="P105" s="38" t="inlineStr">
        <is>
          <t>GT</t>
        </is>
      </c>
      <c r="Q105" s="38" t="inlineStr">
        <is>
          <t>A</t>
        </is>
      </c>
      <c r="R105" s="38" t="inlineStr">
        <is>
          <t>M2</t>
        </is>
      </c>
      <c r="S105" s="24" t="inlineStr">
        <is>
          <t>J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308</v>
      </c>
      <c r="AN105" s="153">
        <v>331</v>
      </c>
      <c r="AO105" s="153">
        <v>195</v>
      </c>
      <c r="AP105" s="153">
        <v>92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M6</t>
        </is>
      </c>
      <c r="O106" s="38" t="inlineStr">
        <is>
          <t>J</t>
        </is>
      </c>
      <c r="P106" s="38" t="inlineStr">
        <is>
          <t>K</t>
        </is>
      </c>
      <c r="Q106" s="38" t="inlineStr">
        <is>
          <t>TE</t>
        </is>
      </c>
      <c r="R106" s="38" t="inlineStr">
        <is>
          <t>Q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630</v>
      </c>
      <c r="AN106" s="153">
        <v>1120</v>
      </c>
      <c r="AO106" s="153">
        <v>279</v>
      </c>
      <c r="AP106" s="153">
        <v>123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G6</t>
        </is>
      </c>
      <c r="O107" s="38" t="inlineStr">
        <is>
          <t>M4</t>
        </is>
      </c>
      <c r="P107" s="38" t="inlineStr">
        <is>
          <t>G4</t>
        </is>
      </c>
      <c r="Q107" s="38" t="inlineStr">
        <is>
          <t>M1</t>
        </is>
      </c>
      <c r="R107" s="38" t="inlineStr">
        <is>
          <t>TE</t>
        </is>
      </c>
      <c r="S107" s="24" t="inlineStr">
        <is>
          <t>M5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2476</v>
      </c>
      <c r="AN107" s="153">
        <v>522</v>
      </c>
      <c r="AO107" s="153">
        <v>363</v>
      </c>
      <c r="AP107" s="153">
        <v>771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Q</t>
        </is>
      </c>
      <c r="O108" s="38" t="inlineStr">
        <is>
          <t>J</t>
        </is>
      </c>
      <c r="P108" s="38" t="inlineStr">
        <is>
          <t>TE</t>
        </is>
      </c>
      <c r="Q108" s="38" t="inlineStr">
        <is>
          <t>A</t>
        </is>
      </c>
      <c r="R108" s="38" t="inlineStr">
        <is>
          <t>M6</t>
        </is>
      </c>
      <c r="S108" s="24" t="inlineStr">
        <is>
          <t>Q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542</v>
      </c>
      <c r="AN108" s="153">
        <v>2190</v>
      </c>
      <c r="AO108" s="153">
        <v>2093</v>
      </c>
      <c r="AP108" s="153">
        <v>62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G5</t>
        </is>
      </c>
      <c r="O109" s="38" t="inlineStr">
        <is>
          <t>M3</t>
        </is>
      </c>
      <c r="P109" s="38" t="inlineStr">
        <is>
          <t>GT</t>
        </is>
      </c>
      <c r="Q109" s="38" t="inlineStr">
        <is>
          <t>TE</t>
        </is>
      </c>
      <c r="R109" s="38" t="inlineStr">
        <is>
          <t>M3</t>
        </is>
      </c>
      <c r="S109" s="24" t="inlineStr">
        <is>
          <t>M6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2681</v>
      </c>
      <c r="AN109" s="153">
        <v>1350</v>
      </c>
      <c r="AO109" s="153">
        <v>195</v>
      </c>
      <c r="AP109" s="153">
        <v>1356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K</t>
        </is>
      </c>
      <c r="N110" s="38" t="inlineStr">
        <is>
          <t>A</t>
        </is>
      </c>
      <c r="O110" s="38" t="inlineStr">
        <is>
          <t>M6</t>
        </is>
      </c>
      <c r="P110" s="38" t="inlineStr">
        <is>
          <t>TE</t>
        </is>
      </c>
      <c r="Q110" s="38" t="inlineStr">
        <is>
          <t>GQ</t>
        </is>
      </c>
      <c r="R110" s="38" t="inlineStr">
        <is>
          <t>M6</t>
        </is>
      </c>
      <c r="S110" s="24" t="inlineStr">
        <is>
          <t>K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K</t>
        </is>
      </c>
      <c r="N111" s="38" t="inlineStr">
        <is>
          <t>A</t>
        </is>
      </c>
      <c r="O111" s="38" t="inlineStr">
        <is>
          <t>M2</t>
        </is>
      </c>
      <c r="P111" s="38" t="inlineStr">
        <is>
          <t>GA</t>
        </is>
      </c>
      <c r="Q111" s="38" t="inlineStr">
        <is>
          <t>TE</t>
        </is>
      </c>
      <c r="R111" s="38" t="inlineStr">
        <is>
          <t>M5</t>
        </is>
      </c>
      <c r="S111" s="24" t="inlineStr">
        <is>
          <t>K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M6</t>
        </is>
      </c>
      <c r="N112" s="155" t="inlineStr">
        <is>
          <t>GQ</t>
        </is>
      </c>
      <c r="O112" s="155" t="inlineStr">
        <is>
          <t>J</t>
        </is>
      </c>
      <c r="P112" s="155" t="inlineStr">
        <is>
          <t>M2</t>
        </is>
      </c>
      <c r="Q112" s="155" t="inlineStr">
        <is>
          <t>M5</t>
        </is>
      </c>
      <c r="R112" s="155" t="inlineStr">
        <is>
          <t>M4</t>
        </is>
      </c>
      <c r="S112" s="156" t="inlineStr">
        <is>
          <t>M4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M3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K</t>
        </is>
      </c>
      <c r="R113" s="38" t="inlineStr">
        <is>
          <t>J</t>
        </is>
      </c>
      <c r="S113" s="24" t="inlineStr">
        <is>
          <t>M4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Q</t>
        </is>
      </c>
      <c r="O114" s="38" t="inlineStr">
        <is>
          <t>K</t>
        </is>
      </c>
      <c r="P114" s="38" t="inlineStr">
        <is>
          <t>GT</t>
        </is>
      </c>
      <c r="Q114" s="38" t="inlineStr">
        <is>
          <t>A</t>
        </is>
      </c>
      <c r="R114" s="38" t="inlineStr">
        <is>
          <t>K</t>
        </is>
      </c>
      <c r="S114" s="24" t="inlineStr">
        <is>
          <t>M5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M5</t>
        </is>
      </c>
      <c r="O115" s="38" t="inlineStr">
        <is>
          <t>A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M4</t>
        </is>
      </c>
      <c r="S115" s="24" t="inlineStr">
        <is>
          <t>TE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M6</t>
        </is>
      </c>
      <c r="N116" s="38" t="inlineStr">
        <is>
          <t>A</t>
        </is>
      </c>
      <c r="O116" s="38" t="inlineStr">
        <is>
          <t>K</t>
        </is>
      </c>
      <c r="P116" s="38" t="inlineStr">
        <is>
          <t>A</t>
        </is>
      </c>
      <c r="Q116" s="38" t="inlineStr">
        <is>
          <t>G6</t>
        </is>
      </c>
      <c r="R116" s="38" t="inlineStr">
        <is>
          <t>K</t>
        </is>
      </c>
      <c r="S116" s="24" t="inlineStr">
        <is>
          <t>M6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J</t>
        </is>
      </c>
      <c r="N117" s="38" t="inlineStr">
        <is>
          <t>TE</t>
        </is>
      </c>
      <c r="O117" s="38" t="inlineStr">
        <is>
          <t>J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M5</t>
        </is>
      </c>
      <c r="S117" s="24" t="inlineStr">
        <is>
          <t>A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M4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M4</t>
        </is>
      </c>
      <c r="R118" s="38" t="inlineStr">
        <is>
          <t>J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A</t>
        </is>
      </c>
      <c r="O119" s="38" t="inlineStr">
        <is>
          <t>G5</t>
        </is>
      </c>
      <c r="P119" s="38" t="inlineStr">
        <is>
          <t>G5</t>
        </is>
      </c>
      <c r="Q119" s="38" t="inlineStr">
        <is>
          <t>J</t>
        </is>
      </c>
      <c r="R119" s="38" t="inlineStr">
        <is>
          <t>K</t>
        </is>
      </c>
      <c r="S119" s="24" t="inlineStr">
        <is>
          <t>M2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TE</t>
        </is>
      </c>
      <c r="O120" s="38" t="inlineStr">
        <is>
          <t>M6</t>
        </is>
      </c>
      <c r="P120" s="38" t="inlineStr">
        <is>
          <t>A</t>
        </is>
      </c>
      <c r="Q120" s="38" t="inlineStr">
        <is>
          <t>Q</t>
        </is>
      </c>
      <c r="R120" s="38" t="inlineStr">
        <is>
          <t>J</t>
        </is>
      </c>
      <c r="S120" s="24" t="inlineStr">
        <is>
          <t>M4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M6</t>
        </is>
      </c>
      <c r="N121" s="155" t="inlineStr">
        <is>
          <t>Q</t>
        </is>
      </c>
      <c r="O121" s="155" t="inlineStr">
        <is>
          <t>WW</t>
        </is>
      </c>
      <c r="P121" s="155" t="inlineStr">
        <is>
          <t>Q</t>
        </is>
      </c>
      <c r="Q121" s="155" t="inlineStr">
        <is>
          <t>M6</t>
        </is>
      </c>
      <c r="R121" s="155" t="inlineStr">
        <is>
          <t>J</t>
        </is>
      </c>
      <c r="S121" s="156" t="inlineStr">
        <is>
          <t>TE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K</t>
        </is>
      </c>
      <c r="N122" s="38" t="inlineStr">
        <is>
          <t>A</t>
        </is>
      </c>
      <c r="O122" s="38" t="inlineStr">
        <is>
          <t>K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M3</t>
        </is>
      </c>
      <c r="S122" s="24" t="inlineStr">
        <is>
          <t>M4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6032</v>
      </c>
      <c r="AN122" s="153">
        <v>4965</v>
      </c>
      <c r="AO122" s="153">
        <v>43031</v>
      </c>
      <c r="AP122" s="153">
        <v>17051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M3</t>
        </is>
      </c>
      <c r="N123" s="38" t="inlineStr">
        <is>
          <t>A</t>
        </is>
      </c>
      <c r="O123" s="38" t="inlineStr">
        <is>
          <t>M6</t>
        </is>
      </c>
      <c r="P123" s="38" t="inlineStr">
        <is>
          <t>M4</t>
        </is>
      </c>
      <c r="Q123" s="38" t="inlineStr">
        <is>
          <t>GJ</t>
        </is>
      </c>
      <c r="R123" s="38" t="inlineStr">
        <is>
          <t>TE</t>
        </is>
      </c>
      <c r="S123" s="24" t="inlineStr">
        <is>
          <t>M5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18097</v>
      </c>
      <c r="AN123" s="153">
        <v>18442</v>
      </c>
      <c r="AO123" s="153">
        <v>18827</v>
      </c>
      <c r="AP123" s="153">
        <v>17051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M6</t>
        </is>
      </c>
      <c r="N124" s="38" t="inlineStr">
        <is>
          <t>J</t>
        </is>
      </c>
      <c r="O124" s="38" t="inlineStr">
        <is>
          <t>J</t>
        </is>
      </c>
      <c r="P124" s="38" t="inlineStr">
        <is>
          <t>TE</t>
        </is>
      </c>
      <c r="Q124" s="38" t="inlineStr">
        <is>
          <t>A</t>
        </is>
      </c>
      <c r="R124" s="38" t="inlineStr">
        <is>
          <t>A</t>
        </is>
      </c>
      <c r="S124" s="24" t="inlineStr">
        <is>
          <t>M5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37056</v>
      </c>
      <c r="AN124" s="153">
        <v>62417</v>
      </c>
      <c r="AO124" s="153">
        <v>26895</v>
      </c>
      <c r="AP124" s="153">
        <v>22734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inlineStr">
        <is>
          <t>K</t>
        </is>
      </c>
      <c r="N125" s="38" t="inlineStr">
        <is>
          <t>A</t>
        </is>
      </c>
      <c r="O125" s="38" t="inlineStr">
        <is>
          <t>TE</t>
        </is>
      </c>
      <c r="P125" s="38" t="inlineStr">
        <is>
          <t>M5</t>
        </is>
      </c>
      <c r="Q125" s="38" t="inlineStr">
        <is>
          <t>TE</t>
        </is>
      </c>
      <c r="R125" s="38" t="inlineStr">
        <is>
          <t>TE</t>
        </is>
      </c>
      <c r="S125" s="24" t="inlineStr">
        <is>
          <t>A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145640</v>
      </c>
      <c r="AN125" s="153">
        <v>29081</v>
      </c>
      <c r="AO125" s="153">
        <v>34963</v>
      </c>
      <c r="AP125" s="153">
        <v>142086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G5</t>
        </is>
      </c>
      <c r="O126" s="38" t="inlineStr">
        <is>
          <t>J</t>
        </is>
      </c>
      <c r="P126" s="38" t="inlineStr">
        <is>
          <t>M6</t>
        </is>
      </c>
      <c r="Q126" s="38" t="inlineStr">
        <is>
          <t>A</t>
        </is>
      </c>
      <c r="R126" s="38" t="inlineStr">
        <is>
          <t>M4</t>
        </is>
      </c>
      <c r="S126" s="24" t="inlineStr">
        <is>
          <t>TE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31886</v>
      </c>
      <c r="AN126" s="153">
        <v>121998</v>
      </c>
      <c r="AO126" s="153">
        <v>201711</v>
      </c>
      <c r="AP126" s="153">
        <v>11367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A</t>
        </is>
      </c>
      <c r="O127" s="38" t="inlineStr">
        <is>
          <t>M1</t>
        </is>
      </c>
      <c r="P127" s="38" t="inlineStr">
        <is>
          <t>TE</t>
        </is>
      </c>
      <c r="Q127" s="38" t="inlineStr">
        <is>
          <t>M6</t>
        </is>
      </c>
      <c r="R127" s="38" t="inlineStr">
        <is>
          <t>K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157705</v>
      </c>
      <c r="AN127" s="153">
        <v>75184</v>
      </c>
      <c r="AO127" s="153">
        <v>18827</v>
      </c>
      <c r="AP127" s="153">
        <v>250073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inlineStr">
        <is>
          <t>M5</t>
        </is>
      </c>
      <c r="N128" s="38" t="inlineStr">
        <is>
          <t>GA</t>
        </is>
      </c>
      <c r="O128" s="38" t="inlineStr">
        <is>
          <t>M3</t>
        </is>
      </c>
      <c r="P128" s="38" t="inlineStr">
        <is>
          <t>TE</t>
        </is>
      </c>
      <c r="Q128" s="38" t="inlineStr">
        <is>
          <t>A</t>
        </is>
      </c>
      <c r="R128" s="38" t="inlineStr">
        <is>
          <t>M6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A</t>
        </is>
      </c>
      <c r="O129" s="38" t="inlineStr">
        <is>
          <t>A</t>
        </is>
      </c>
      <c r="P129" s="38" t="inlineStr">
        <is>
          <t>G3</t>
        </is>
      </c>
      <c r="Q129" s="38" t="inlineStr">
        <is>
          <t>J</t>
        </is>
      </c>
      <c r="R129" s="38" t="inlineStr">
        <is>
          <t>M6</t>
        </is>
      </c>
      <c r="S129" s="24" t="inlineStr">
        <is>
          <t>J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G2</t>
        </is>
      </c>
      <c r="O130" s="155" t="inlineStr">
        <is>
          <t>G6</t>
        </is>
      </c>
      <c r="P130" s="155" t="inlineStr">
        <is>
          <t>A</t>
        </is>
      </c>
      <c r="Q130" s="155" t="inlineStr">
        <is>
          <t>M6</t>
        </is>
      </c>
      <c r="R130" s="155" t="inlineStr">
        <is>
          <t>K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M5</t>
        </is>
      </c>
      <c r="O131" s="38" t="inlineStr">
        <is>
          <t>J</t>
        </is>
      </c>
      <c r="P131" s="38" t="inlineStr">
        <is>
          <t>M5</t>
        </is>
      </c>
      <c r="Q131" s="38" t="inlineStr">
        <is>
          <t>GQ</t>
        </is>
      </c>
      <c r="R131" s="38" t="inlineStr">
        <is>
          <t>K</t>
        </is>
      </c>
      <c r="S131" s="24" t="inlineStr">
        <is>
          <t>J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K</t>
        </is>
      </c>
      <c r="N132" s="38" t="inlineStr">
        <is>
          <t>M1</t>
        </is>
      </c>
      <c r="O132" s="38" t="inlineStr">
        <is>
          <t>M6</t>
        </is>
      </c>
      <c r="P132" s="38" t="inlineStr">
        <is>
          <t>M6</t>
        </is>
      </c>
      <c r="Q132" s="38" t="inlineStr">
        <is>
          <t>M4</t>
        </is>
      </c>
      <c r="R132" s="38" t="inlineStr">
        <is>
          <t>TE</t>
        </is>
      </c>
      <c r="S132" s="24" t="inlineStr">
        <is>
          <t>TE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M2</t>
        </is>
      </c>
      <c r="O133" s="38" t="inlineStr">
        <is>
          <t>M6</t>
        </is>
      </c>
      <c r="P133" s="38" t="inlineStr">
        <is>
          <t>K</t>
        </is>
      </c>
      <c r="Q133" s="38" t="inlineStr">
        <is>
          <t>J</t>
        </is>
      </c>
      <c r="R133" s="38" t="inlineStr">
        <is>
          <t>G6</t>
        </is>
      </c>
      <c r="S133" s="24" t="inlineStr">
        <is>
          <t>TE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103</v>
      </c>
      <c r="AN133" s="153">
        <v>89</v>
      </c>
      <c r="AO133" s="153">
        <v>447</v>
      </c>
      <c r="AP133" s="153">
        <v>92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K</t>
        </is>
      </c>
      <c r="N134" s="38" t="inlineStr">
        <is>
          <t>A</t>
        </is>
      </c>
      <c r="O134" s="38" t="inlineStr">
        <is>
          <t>A</t>
        </is>
      </c>
      <c r="P134" s="38" t="inlineStr">
        <is>
          <t>TE</t>
        </is>
      </c>
      <c r="Q134" s="38" t="inlineStr">
        <is>
          <t>TE</t>
        </is>
      </c>
      <c r="R134" s="38" t="inlineStr">
        <is>
          <t>Q</t>
        </is>
      </c>
      <c r="S134" s="24" t="inlineStr">
        <is>
          <t>K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308</v>
      </c>
      <c r="AN134" s="153">
        <v>331</v>
      </c>
      <c r="AO134" s="153">
        <v>195</v>
      </c>
      <c r="AP134" s="153">
        <v>92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M5</t>
        </is>
      </c>
      <c r="O135" s="38" t="inlineStr">
        <is>
          <t>GT</t>
        </is>
      </c>
      <c r="P135" s="38" t="inlineStr">
        <is>
          <t>A</t>
        </is>
      </c>
      <c r="Q135" s="38" t="inlineStr">
        <is>
          <t>A</t>
        </is>
      </c>
      <c r="R135" s="38" t="inlineStr">
        <is>
          <t>K</t>
        </is>
      </c>
      <c r="S135" s="24" t="inlineStr">
        <is>
          <t>M4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630</v>
      </c>
      <c r="AN135" s="153">
        <v>1120</v>
      </c>
      <c r="AO135" s="153">
        <v>279</v>
      </c>
      <c r="AP135" s="153">
        <v>123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K</t>
        </is>
      </c>
      <c r="N136" s="38" t="inlineStr">
        <is>
          <t>GQ</t>
        </is>
      </c>
      <c r="O136" s="38" t="inlineStr">
        <is>
          <t>K</t>
        </is>
      </c>
      <c r="P136" s="38" t="inlineStr">
        <is>
          <t>K</t>
        </is>
      </c>
      <c r="Q136" s="38" t="inlineStr">
        <is>
          <t>TE</t>
        </is>
      </c>
      <c r="R136" s="38" t="inlineStr">
        <is>
          <t>J</t>
        </is>
      </c>
      <c r="S136" s="24" t="inlineStr">
        <is>
          <t>A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2476</v>
      </c>
      <c r="AN136" s="153">
        <v>522</v>
      </c>
      <c r="AO136" s="153">
        <v>363</v>
      </c>
      <c r="AP136" s="153">
        <v>771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Q</t>
        </is>
      </c>
      <c r="O137" s="38" t="inlineStr">
        <is>
          <t>G2</t>
        </is>
      </c>
      <c r="P137" s="38" t="inlineStr">
        <is>
          <t>Q</t>
        </is>
      </c>
      <c r="Q137" s="38" t="inlineStr">
        <is>
          <t>J</t>
        </is>
      </c>
      <c r="R137" s="38" t="inlineStr">
        <is>
          <t>Q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542</v>
      </c>
      <c r="AN137" s="153">
        <v>2190</v>
      </c>
      <c r="AO137" s="153">
        <v>2093</v>
      </c>
      <c r="AP137" s="153">
        <v>62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M6</t>
        </is>
      </c>
      <c r="N138" s="38" t="inlineStr">
        <is>
          <t>M1</t>
        </is>
      </c>
      <c r="O138" s="38" t="inlineStr">
        <is>
          <t>Q</t>
        </is>
      </c>
      <c r="P138" s="38" t="inlineStr">
        <is>
          <t>TE</t>
        </is>
      </c>
      <c r="Q138" s="38" t="inlineStr">
        <is>
          <t>GA</t>
        </is>
      </c>
      <c r="R138" s="38" t="inlineStr">
        <is>
          <t>M6</t>
        </is>
      </c>
      <c r="S138" s="24" t="inlineStr">
        <is>
          <t>M6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2681</v>
      </c>
      <c r="AN138" s="153">
        <v>1350</v>
      </c>
      <c r="AO138" s="153">
        <v>195</v>
      </c>
      <c r="AP138" s="153">
        <v>1356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M6</t>
        </is>
      </c>
      <c r="N139" s="155" t="inlineStr">
        <is>
          <t>GQ</t>
        </is>
      </c>
      <c r="O139" s="155" t="inlineStr">
        <is>
          <t>K</t>
        </is>
      </c>
      <c r="P139" s="155" t="inlineStr">
        <is>
          <t>M3</t>
        </is>
      </c>
      <c r="Q139" s="155" t="inlineStr">
        <is>
          <t>M6</t>
        </is>
      </c>
      <c r="R139" s="155" t="inlineStr">
        <is>
          <t>K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M6</t>
        </is>
      </c>
      <c r="N140" s="38" t="inlineStr">
        <is>
          <t>Q</t>
        </is>
      </c>
      <c r="O140" s="38" t="inlineStr">
        <is>
          <t>K</t>
        </is>
      </c>
      <c r="P140" s="38" t="inlineStr">
        <is>
          <t>M5</t>
        </is>
      </c>
      <c r="Q140" s="38" t="inlineStr">
        <is>
          <t>J</t>
        </is>
      </c>
      <c r="R140" s="38" t="inlineStr">
        <is>
          <t>A</t>
        </is>
      </c>
      <c r="S140" s="24" t="inlineStr">
        <is>
          <t>J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M6</t>
        </is>
      </c>
      <c r="O141" s="38" t="inlineStr">
        <is>
          <t>M6</t>
        </is>
      </c>
      <c r="P141" s="38" t="inlineStr">
        <is>
          <t>M6</t>
        </is>
      </c>
      <c r="Q141" s="38" t="inlineStr">
        <is>
          <t>M4</t>
        </is>
      </c>
      <c r="R141" s="38" t="inlineStr">
        <is>
          <t>A</t>
        </is>
      </c>
      <c r="S141" s="24" t="inlineStr">
        <is>
          <t>J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A</t>
        </is>
      </c>
      <c r="O142" s="38" t="inlineStr">
        <is>
          <t>M5</t>
        </is>
      </c>
      <c r="P142" s="38" t="inlineStr">
        <is>
          <t>K</t>
        </is>
      </c>
      <c r="Q142" s="38" t="inlineStr">
        <is>
          <t>M5</t>
        </is>
      </c>
      <c r="R142" s="38" t="inlineStr">
        <is>
          <t>J</t>
        </is>
      </c>
      <c r="S142" s="24" t="inlineStr">
        <is>
          <t>K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M1</t>
        </is>
      </c>
      <c r="N143" s="38" t="inlineStr">
        <is>
          <t>M5</t>
        </is>
      </c>
      <c r="O143" s="38" t="inlineStr">
        <is>
          <t>K</t>
        </is>
      </c>
      <c r="P143" s="38" t="inlineStr">
        <is>
          <t>A</t>
        </is>
      </c>
      <c r="Q143" s="38" t="inlineStr">
        <is>
          <t>J</t>
        </is>
      </c>
      <c r="R143" s="38" t="inlineStr">
        <is>
          <t>M4</t>
        </is>
      </c>
      <c r="S143" s="24" t="inlineStr">
        <is>
          <t>K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TE</t>
        </is>
      </c>
      <c r="O144" s="38" t="inlineStr">
        <is>
          <t>GJ</t>
        </is>
      </c>
      <c r="P144" s="38" t="inlineStr">
        <is>
          <t>J</t>
        </is>
      </c>
      <c r="Q144" s="38" t="inlineStr">
        <is>
          <t>K</t>
        </is>
      </c>
      <c r="R144" s="38" t="inlineStr">
        <is>
          <t>Q</t>
        </is>
      </c>
      <c r="S144" s="24" t="inlineStr">
        <is>
          <t>A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M6</t>
        </is>
      </c>
      <c r="N145" s="38" t="inlineStr">
        <is>
          <t>J</t>
        </is>
      </c>
      <c r="O145" s="38" t="inlineStr">
        <is>
          <t>M2</t>
        </is>
      </c>
      <c r="P145" s="38" t="inlineStr">
        <is>
          <t>M4</t>
        </is>
      </c>
      <c r="Q145" s="38" t="inlineStr">
        <is>
          <t>M1</t>
        </is>
      </c>
      <c r="R145" s="38" t="inlineStr">
        <is>
          <t>K</t>
        </is>
      </c>
      <c r="S145" s="24" t="inlineStr">
        <is>
          <t>M1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M3</t>
        </is>
      </c>
      <c r="P146" s="38" t="inlineStr">
        <is>
          <t>A</t>
        </is>
      </c>
      <c r="Q146" s="38" t="inlineStr">
        <is>
          <t>J</t>
        </is>
      </c>
      <c r="R146" s="38" t="inlineStr">
        <is>
          <t>K</t>
        </is>
      </c>
      <c r="S146" s="24" t="inlineStr">
        <is>
          <t>M6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J</t>
        </is>
      </c>
      <c r="N147" s="38" t="inlineStr">
        <is>
          <t>TE</t>
        </is>
      </c>
      <c r="O147" s="38" t="inlineStr">
        <is>
          <t>M4</t>
        </is>
      </c>
      <c r="P147" s="38" t="inlineStr">
        <is>
          <t>J</t>
        </is>
      </c>
      <c r="Q147" s="38" t="inlineStr">
        <is>
          <t>K</t>
        </is>
      </c>
      <c r="R147" s="38" t="inlineStr">
        <is>
          <t>TE</t>
        </is>
      </c>
      <c r="S147" s="24" t="inlineStr">
        <is>
          <t>A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M6</t>
        </is>
      </c>
      <c r="N148" s="155" t="inlineStr">
        <is>
          <t>TE</t>
        </is>
      </c>
      <c r="O148" s="155" t="inlineStr">
        <is>
          <t>Q</t>
        </is>
      </c>
      <c r="P148" s="155" t="inlineStr">
        <is>
          <t>Q</t>
        </is>
      </c>
      <c r="Q148" s="155" t="inlineStr">
        <is>
          <t>J</t>
        </is>
      </c>
      <c r="R148" s="155" t="inlineStr">
        <is>
          <t>M4</t>
        </is>
      </c>
      <c r="S148" s="156" t="inlineStr">
        <is>
          <t>Q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M4</t>
        </is>
      </c>
      <c r="N149" s="38" t="inlineStr">
        <is>
          <t>TE</t>
        </is>
      </c>
      <c r="O149" s="38" t="inlineStr">
        <is>
          <t>J</t>
        </is>
      </c>
      <c r="P149" s="38" t="inlineStr">
        <is>
          <t>Q</t>
        </is>
      </c>
      <c r="Q149" s="38" t="inlineStr">
        <is>
          <t>K</t>
        </is>
      </c>
      <c r="R149" s="38" t="inlineStr">
        <is>
          <t>A</t>
        </is>
      </c>
      <c r="S149" s="24" t="inlineStr">
        <is>
          <t>M6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M6</t>
        </is>
      </c>
      <c r="O150" s="38" t="inlineStr">
        <is>
          <t>A</t>
        </is>
      </c>
      <c r="P150" s="38" t="inlineStr">
        <is>
          <t>TE</t>
        </is>
      </c>
      <c r="Q150" s="38" t="inlineStr">
        <is>
          <t>M2</t>
        </is>
      </c>
      <c r="R150" s="38" t="inlineStr">
        <is>
          <t>K</t>
        </is>
      </c>
      <c r="S150" s="24" t="inlineStr">
        <is>
          <t>M5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K</t>
        </is>
      </c>
      <c r="N151" s="38" t="inlineStr">
        <is>
          <t>Q</t>
        </is>
      </c>
      <c r="O151" s="38" t="inlineStr">
        <is>
          <t>TE</t>
        </is>
      </c>
      <c r="P151" s="38" t="inlineStr">
        <is>
          <t>A</t>
        </is>
      </c>
      <c r="Q151" s="38" t="inlineStr">
        <is>
          <t>TE</t>
        </is>
      </c>
      <c r="R151" s="38" t="inlineStr">
        <is>
          <t>K</t>
        </is>
      </c>
      <c r="S151" s="24" t="inlineStr">
        <is>
          <t>Q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K</t>
        </is>
      </c>
      <c r="N152" s="38" t="inlineStr">
        <is>
          <t>TE</t>
        </is>
      </c>
      <c r="O152" s="38" t="inlineStr">
        <is>
          <t>M6</t>
        </is>
      </c>
      <c r="P152" s="38" t="inlineStr">
        <is>
          <t>K</t>
        </is>
      </c>
      <c r="Q152" s="38" t="inlineStr">
        <is>
          <t>M5</t>
        </is>
      </c>
      <c r="R152" s="38" t="inlineStr">
        <is>
          <t>A</t>
        </is>
      </c>
      <c r="S152" s="24" t="inlineStr">
        <is>
          <t>Q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M2</t>
        </is>
      </c>
      <c r="O153" s="38" t="inlineStr">
        <is>
          <t>GQ</t>
        </is>
      </c>
      <c r="P153" s="38" t="inlineStr">
        <is>
          <t>GJ</t>
        </is>
      </c>
      <c r="Q153" s="38" t="inlineStr">
        <is>
          <t>M1</t>
        </is>
      </c>
      <c r="R153" s="38" t="inlineStr">
        <is>
          <t>J</t>
        </is>
      </c>
      <c r="S153" s="24" t="inlineStr">
        <is>
          <t>TE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M1</t>
        </is>
      </c>
      <c r="O154" s="38" t="inlineStr">
        <is>
          <t>J</t>
        </is>
      </c>
      <c r="P154" s="38" t="inlineStr">
        <is>
          <t>Q</t>
        </is>
      </c>
      <c r="Q154" s="38" t="inlineStr">
        <is>
          <t>M2</t>
        </is>
      </c>
      <c r="R154" s="38" t="inlineStr">
        <is>
          <t>TE</t>
        </is>
      </c>
      <c r="S154" s="24" t="inlineStr">
        <is>
          <t>Q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M5</t>
        </is>
      </c>
      <c r="O155" s="38" t="inlineStr">
        <is>
          <t>G4</t>
        </is>
      </c>
      <c r="P155" s="38" t="inlineStr">
        <is>
          <t>TE</t>
        </is>
      </c>
      <c r="Q155" s="38" t="inlineStr">
        <is>
          <t>GJ</t>
        </is>
      </c>
      <c r="R155" s="38" t="inlineStr">
        <is>
          <t>K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J</t>
        </is>
      </c>
      <c r="N156" s="38" t="inlineStr">
        <is>
          <t>J</t>
        </is>
      </c>
      <c r="O156" s="38" t="inlineStr">
        <is>
          <t>K</t>
        </is>
      </c>
      <c r="P156" s="38" t="inlineStr">
        <is>
          <t>M6</t>
        </is>
      </c>
      <c r="Q156" s="38" t="inlineStr">
        <is>
          <t>G6</t>
        </is>
      </c>
      <c r="R156" s="38" t="inlineStr">
        <is>
          <t>M3</t>
        </is>
      </c>
      <c r="S156" s="24" t="inlineStr">
        <is>
          <t>M2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K</t>
        </is>
      </c>
      <c r="N157" s="155" t="inlineStr">
        <is>
          <t>Q</t>
        </is>
      </c>
      <c r="O157" s="155" t="inlineStr">
        <is>
          <t>GJ</t>
        </is>
      </c>
      <c r="P157" s="155" t="inlineStr">
        <is>
          <t>G5</t>
        </is>
      </c>
      <c r="Q157" s="155" t="inlineStr">
        <is>
          <t>J</t>
        </is>
      </c>
      <c r="R157" s="155" t="inlineStr">
        <is>
          <t>M4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Q</t>
        </is>
      </c>
      <c r="N158" s="38" t="inlineStr">
        <is>
          <t>TE</t>
        </is>
      </c>
      <c r="O158" s="38" t="inlineStr">
        <is>
          <t>TE</t>
        </is>
      </c>
      <c r="P158" s="38" t="inlineStr">
        <is>
          <t>M1</t>
        </is>
      </c>
      <c r="Q158" s="38" t="inlineStr">
        <is>
          <t>M4</t>
        </is>
      </c>
      <c r="R158" s="38" t="inlineStr">
        <is>
          <t>J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GJ</t>
        </is>
      </c>
      <c r="O159" s="38" t="inlineStr">
        <is>
          <t>TE</t>
        </is>
      </c>
      <c r="P159" s="38" t="inlineStr">
        <is>
          <t>A</t>
        </is>
      </c>
      <c r="Q159" s="38" t="inlineStr">
        <is>
          <t>J</t>
        </is>
      </c>
      <c r="R159" s="38" t="inlineStr">
        <is>
          <t>J</t>
        </is>
      </c>
      <c r="S159" s="24" t="inlineStr">
        <is>
          <t>A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TE</t>
        </is>
      </c>
      <c r="N160" s="38" t="inlineStr">
        <is>
          <t>M5</t>
        </is>
      </c>
      <c r="O160" s="38" t="inlineStr">
        <is>
          <t>TE</t>
        </is>
      </c>
      <c r="P160" s="38" t="inlineStr">
        <is>
          <t>Q</t>
        </is>
      </c>
      <c r="Q160" s="38" t="inlineStr">
        <is>
          <t>A</t>
        </is>
      </c>
      <c r="R160" s="38" t="inlineStr">
        <is>
          <t>Q</t>
        </is>
      </c>
      <c r="S160" s="24" t="inlineStr">
        <is>
          <t>M4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M3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Q</t>
        </is>
      </c>
      <c r="Q161" s="38" t="inlineStr">
        <is>
          <t>K</t>
        </is>
      </c>
      <c r="R161" s="38" t="inlineStr">
        <is>
          <t>A</t>
        </is>
      </c>
      <c r="S161" s="24" t="inlineStr">
        <is>
          <t>M6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TE</t>
        </is>
      </c>
      <c r="O162" s="38" t="inlineStr">
        <is>
          <t>J</t>
        </is>
      </c>
      <c r="P162" s="38" t="inlineStr">
        <is>
          <t>GQ</t>
        </is>
      </c>
      <c r="Q162" s="38" t="inlineStr">
        <is>
          <t>M3</t>
        </is>
      </c>
      <c r="R162" s="38" t="inlineStr">
        <is>
          <t>M1</t>
        </is>
      </c>
      <c r="S162" s="24" t="inlineStr">
        <is>
          <t>M5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M2</t>
        </is>
      </c>
      <c r="N163" s="38" t="inlineStr">
        <is>
          <t>Q</t>
        </is>
      </c>
      <c r="O163" s="38" t="inlineStr">
        <is>
          <t>M5</t>
        </is>
      </c>
      <c r="P163" s="38" t="inlineStr">
        <is>
          <t>A</t>
        </is>
      </c>
      <c r="Q163" s="38" t="inlineStr">
        <is>
          <t>M5</t>
        </is>
      </c>
      <c r="R163" s="38" t="inlineStr">
        <is>
          <t>M4</t>
        </is>
      </c>
      <c r="S163" s="24" t="inlineStr">
        <is>
          <t>M4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M5</t>
        </is>
      </c>
      <c r="O164" s="38" t="inlineStr">
        <is>
          <t>J</t>
        </is>
      </c>
      <c r="P164" s="38" t="inlineStr">
        <is>
          <t>J</t>
        </is>
      </c>
      <c r="Q164" s="38" t="inlineStr">
        <is>
          <t>GT</t>
        </is>
      </c>
      <c r="R164" s="38" t="inlineStr">
        <is>
          <t>A</t>
        </is>
      </c>
      <c r="S164" s="24" t="inlineStr">
        <is>
          <t>J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A</t>
        </is>
      </c>
      <c r="O165" s="38" t="inlineStr">
        <is>
          <t>M3</t>
        </is>
      </c>
      <c r="P165" s="38" t="inlineStr">
        <is>
          <t>TE</t>
        </is>
      </c>
      <c r="Q165" s="38" t="inlineStr">
        <is>
          <t>M6</t>
        </is>
      </c>
      <c r="R165" s="38" t="inlineStr">
        <is>
          <t>M4</t>
        </is>
      </c>
      <c r="S165" s="24" t="inlineStr">
        <is>
          <t>TE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K</t>
        </is>
      </c>
      <c r="N166" s="155" t="inlineStr">
        <is>
          <t>GA</t>
        </is>
      </c>
      <c r="O166" s="155" t="inlineStr">
        <is>
          <t>M4</t>
        </is>
      </c>
      <c r="P166" s="155" t="inlineStr">
        <is>
          <t>M4</t>
        </is>
      </c>
      <c r="Q166" s="155" t="inlineStr">
        <is>
          <t>TE</t>
        </is>
      </c>
      <c r="R166" s="155" t="inlineStr">
        <is>
          <t>M6</t>
        </is>
      </c>
      <c r="S166" s="156" t="inlineStr">
        <is>
          <t>J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M6</t>
        </is>
      </c>
      <c r="N167" s="38" t="inlineStr">
        <is>
          <t>GA</t>
        </is>
      </c>
      <c r="O167" s="38" t="inlineStr">
        <is>
          <t>J</t>
        </is>
      </c>
      <c r="P167" s="38" t="inlineStr">
        <is>
          <t>A</t>
        </is>
      </c>
      <c r="Q167" s="38" t="inlineStr">
        <is>
          <t>K</t>
        </is>
      </c>
      <c r="R167" s="38" t="inlineStr">
        <is>
          <t>M4</t>
        </is>
      </c>
      <c r="S167" s="24" t="inlineStr">
        <is>
          <t>K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M4</t>
        </is>
      </c>
      <c r="N168" s="38" t="inlineStr">
        <is>
          <t>TE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GA</t>
        </is>
      </c>
      <c r="R168" s="38" t="inlineStr">
        <is>
          <t>M6</t>
        </is>
      </c>
      <c r="S168" s="24" t="inlineStr">
        <is>
          <t>M3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GT</t>
        </is>
      </c>
      <c r="O169" s="38" t="inlineStr">
        <is>
          <t>M6</t>
        </is>
      </c>
      <c r="P169" s="38" t="inlineStr">
        <is>
          <t>J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M6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M6</t>
        </is>
      </c>
      <c r="N170" s="38" t="inlineStr">
        <is>
          <t>A</t>
        </is>
      </c>
      <c r="O170" s="38" t="inlineStr">
        <is>
          <t>TE</t>
        </is>
      </c>
      <c r="P170" s="38" t="inlineStr">
        <is>
          <t>M5</t>
        </is>
      </c>
      <c r="Q170" s="38" t="inlineStr">
        <is>
          <t>K</t>
        </is>
      </c>
      <c r="R170" s="38" t="inlineStr">
        <is>
          <t>GQ</t>
        </is>
      </c>
      <c r="S170" s="24" t="inlineStr">
        <is>
          <t>M6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M4</t>
        </is>
      </c>
      <c r="N171" s="38" t="inlineStr">
        <is>
          <t>M5</t>
        </is>
      </c>
      <c r="O171" s="38" t="inlineStr">
        <is>
          <t>K</t>
        </is>
      </c>
      <c r="P171" s="38" t="inlineStr">
        <is>
          <t>Q</t>
        </is>
      </c>
      <c r="Q171" s="38" t="inlineStr">
        <is>
          <t>A</t>
        </is>
      </c>
      <c r="R171" s="38" t="inlineStr">
        <is>
          <t>M5</t>
        </is>
      </c>
      <c r="S171" s="24" t="inlineStr">
        <is>
          <t>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TE</t>
        </is>
      </c>
      <c r="P172" s="38" t="inlineStr">
        <is>
          <t>M5</t>
        </is>
      </c>
      <c r="Q172" s="38" t="inlineStr">
        <is>
          <t>Q</t>
        </is>
      </c>
      <c r="R172" s="38" t="inlineStr">
        <is>
          <t>Q</t>
        </is>
      </c>
      <c r="S172" s="24" t="inlineStr">
        <is>
          <t>M4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M6</t>
        </is>
      </c>
      <c r="N173" s="38" t="inlineStr">
        <is>
          <t>G4</t>
        </is>
      </c>
      <c r="O173" s="38" t="inlineStr">
        <is>
          <t>GK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M5</t>
        </is>
      </c>
      <c r="S173" s="24" t="inlineStr">
        <is>
          <t>Q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M6</t>
        </is>
      </c>
      <c r="N174" s="38" t="inlineStr">
        <is>
          <t>GT</t>
        </is>
      </c>
      <c r="O174" s="38" t="inlineStr">
        <is>
          <t>M4</t>
        </is>
      </c>
      <c r="P174" s="38" t="inlineStr">
        <is>
          <t>Q</t>
        </is>
      </c>
      <c r="Q174" s="38" t="inlineStr">
        <is>
          <t>M4</t>
        </is>
      </c>
      <c r="R174" s="38" t="inlineStr">
        <is>
          <t>J</t>
        </is>
      </c>
      <c r="S174" s="24" t="inlineStr">
        <is>
          <t>A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M4</t>
        </is>
      </c>
      <c r="N175" s="155" t="inlineStr">
        <is>
          <t>Q</t>
        </is>
      </c>
      <c r="O175" s="155" t="inlineStr">
        <is>
          <t>M6</t>
        </is>
      </c>
      <c r="P175" s="155" t="inlineStr">
        <is>
          <t>M5</t>
        </is>
      </c>
      <c r="Q175" s="155" t="inlineStr">
        <is>
          <t>J</t>
        </is>
      </c>
      <c r="R175" s="155" t="inlineStr">
        <is>
          <t>TE</t>
        </is>
      </c>
      <c r="S175" s="156" t="inlineStr">
        <is>
          <t>M6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Q</t>
        </is>
      </c>
      <c r="O176" s="38" t="inlineStr">
        <is>
          <t>M4</t>
        </is>
      </c>
      <c r="P176" s="38" t="inlineStr">
        <is>
          <t>M6</t>
        </is>
      </c>
      <c r="Q176" s="38" t="inlineStr">
        <is>
          <t>GQ</t>
        </is>
      </c>
      <c r="R176" s="38" t="inlineStr">
        <is>
          <t>M5</t>
        </is>
      </c>
      <c r="S176" s="24" t="inlineStr">
        <is>
          <t>A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M6</t>
        </is>
      </c>
      <c r="O177" s="38" t="inlineStr">
        <is>
          <t>M4</t>
        </is>
      </c>
      <c r="P177" s="38" t="inlineStr">
        <is>
          <t>GK</t>
        </is>
      </c>
      <c r="Q177" s="38" t="inlineStr">
        <is>
          <t>M6</t>
        </is>
      </c>
      <c r="R177" s="38" t="inlineStr">
        <is>
          <t>M6</t>
        </is>
      </c>
      <c r="S177" s="24" t="inlineStr">
        <is>
          <t>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K</t>
        </is>
      </c>
      <c r="N178" s="38" t="inlineStr">
        <is>
          <t>M5</t>
        </is>
      </c>
      <c r="O178" s="38" t="inlineStr">
        <is>
          <t>J</t>
        </is>
      </c>
      <c r="P178" s="38" t="inlineStr">
        <is>
          <t>Q</t>
        </is>
      </c>
      <c r="Q178" s="38" t="inlineStr">
        <is>
          <t>M3</t>
        </is>
      </c>
      <c r="R178" s="38" t="inlineStr">
        <is>
          <t>M6</t>
        </is>
      </c>
      <c r="S178" s="24" t="inlineStr">
        <is>
          <t>J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K</t>
        </is>
      </c>
      <c r="O179" s="38" t="inlineStr">
        <is>
          <t>K</t>
        </is>
      </c>
      <c r="P179" s="38" t="inlineStr">
        <is>
          <t>TE</t>
        </is>
      </c>
      <c r="Q179" s="38" t="inlineStr">
        <is>
          <t>M6</t>
        </is>
      </c>
      <c r="R179" s="38" t="inlineStr">
        <is>
          <t>Q</t>
        </is>
      </c>
      <c r="S179" s="24" t="inlineStr">
        <is>
          <t>M4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K</t>
        </is>
      </c>
      <c r="N180" s="38" t="inlineStr">
        <is>
          <t>G5</t>
        </is>
      </c>
      <c r="O180" s="38" t="inlineStr">
        <is>
          <t>M6</t>
        </is>
      </c>
      <c r="P180" s="38" t="inlineStr">
        <is>
          <t>M4</t>
        </is>
      </c>
      <c r="Q180" s="38" t="inlineStr">
        <is>
          <t>K</t>
        </is>
      </c>
      <c r="R180" s="38" t="inlineStr">
        <is>
          <t>M5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K</t>
        </is>
      </c>
      <c r="O181" s="38" t="inlineStr">
        <is>
          <t>Q</t>
        </is>
      </c>
      <c r="P181" s="38" t="inlineStr">
        <is>
          <t>K</t>
        </is>
      </c>
      <c r="Q181" s="38" t="inlineStr">
        <is>
          <t>M6</t>
        </is>
      </c>
      <c r="R181" s="38" t="inlineStr">
        <is>
          <t>M5</t>
        </is>
      </c>
      <c r="S181" s="24" t="inlineStr">
        <is>
          <t>J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J</t>
        </is>
      </c>
      <c r="N182" s="38" t="inlineStr">
        <is>
          <t>J</t>
        </is>
      </c>
      <c r="O182" s="38" t="inlineStr">
        <is>
          <t>G4</t>
        </is>
      </c>
      <c r="P182" s="38" t="inlineStr">
        <is>
          <t>K</t>
        </is>
      </c>
      <c r="Q182" s="38" t="inlineStr">
        <is>
          <t>Q</t>
        </is>
      </c>
      <c r="R182" s="38" t="inlineStr">
        <is>
          <t>TE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J</t>
        </is>
      </c>
      <c r="N183" s="38" t="inlineStr">
        <is>
          <t>M5</t>
        </is>
      </c>
      <c r="O183" s="38" t="inlineStr">
        <is>
          <t>M6</t>
        </is>
      </c>
      <c r="P183" s="38" t="inlineStr">
        <is>
          <t>G5</t>
        </is>
      </c>
      <c r="Q183" s="38" t="inlineStr">
        <is>
          <t>M5</t>
        </is>
      </c>
      <c r="R183" s="38" t="inlineStr">
        <is>
          <t>K</t>
        </is>
      </c>
      <c r="S183" s="24" t="inlineStr">
        <is>
          <t>Q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Q</t>
        </is>
      </c>
      <c r="O184" s="155" t="inlineStr">
        <is>
          <t>M5</t>
        </is>
      </c>
      <c r="P184" s="155" t="inlineStr">
        <is>
          <t>A</t>
        </is>
      </c>
      <c r="Q184" s="155" t="inlineStr">
        <is>
          <t>M5</t>
        </is>
      </c>
      <c r="R184" s="155" t="inlineStr">
        <is>
          <t>M5</t>
        </is>
      </c>
      <c r="S184" s="156" t="inlineStr">
        <is>
          <t>M6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M6</t>
        </is>
      </c>
      <c r="N185" s="38" t="inlineStr">
        <is>
          <t>TE</t>
        </is>
      </c>
      <c r="O185" s="38" t="inlineStr">
        <is>
          <t>A</t>
        </is>
      </c>
      <c r="P185" s="38" t="inlineStr">
        <is>
          <t>A</t>
        </is>
      </c>
      <c r="Q185" s="38" t="inlineStr">
        <is>
          <t>M1</t>
        </is>
      </c>
      <c r="R185" s="38" t="inlineStr">
        <is>
          <t>TE</t>
        </is>
      </c>
      <c r="S185" s="24" t="inlineStr">
        <is>
          <t>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A</t>
        </is>
      </c>
      <c r="O186" s="38" t="inlineStr">
        <is>
          <t>G6</t>
        </is>
      </c>
      <c r="P186" s="38" t="inlineStr">
        <is>
          <t>M2</t>
        </is>
      </c>
      <c r="Q186" s="38" t="inlineStr">
        <is>
          <t>J</t>
        </is>
      </c>
      <c r="R186" s="38" t="inlineStr">
        <is>
          <t>J</t>
        </is>
      </c>
      <c r="S186" s="24" t="inlineStr">
        <is>
          <t>TE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M4</t>
        </is>
      </c>
      <c r="N187" s="38" t="inlineStr">
        <is>
          <t>TE</t>
        </is>
      </c>
      <c r="O187" s="38" t="inlineStr">
        <is>
          <t>K</t>
        </is>
      </c>
      <c r="P187" s="38" t="inlineStr">
        <is>
          <t>GQ</t>
        </is>
      </c>
      <c r="Q187" s="38" t="inlineStr">
        <is>
          <t>M4</t>
        </is>
      </c>
      <c r="R187" s="38" t="inlineStr">
        <is>
          <t>M6</t>
        </is>
      </c>
      <c r="S187" s="24" t="inlineStr">
        <is>
          <t>M3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J</t>
        </is>
      </c>
      <c r="N188" s="38" t="inlineStr">
        <is>
          <t>Q</t>
        </is>
      </c>
      <c r="O188" s="38" t="inlineStr">
        <is>
          <t>M4</t>
        </is>
      </c>
      <c r="P188" s="38" t="inlineStr">
        <is>
          <t>TE</t>
        </is>
      </c>
      <c r="Q188" s="38" t="inlineStr">
        <is>
          <t>Q</t>
        </is>
      </c>
      <c r="R188" s="38" t="inlineStr">
        <is>
          <t>A</t>
        </is>
      </c>
      <c r="S188" s="24" t="inlineStr">
        <is>
          <t>M5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G1</t>
        </is>
      </c>
      <c r="O189" s="38" t="inlineStr">
        <is>
          <t>K</t>
        </is>
      </c>
      <c r="P189" s="38" t="inlineStr">
        <is>
          <t>G2</t>
        </is>
      </c>
      <c r="Q189" s="38" t="inlineStr">
        <is>
          <t>GK</t>
        </is>
      </c>
      <c r="R189" s="38" t="inlineStr">
        <is>
          <t>M4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Q</t>
        </is>
      </c>
      <c r="O190" s="38" t="inlineStr">
        <is>
          <t>M5</t>
        </is>
      </c>
      <c r="P190" s="38" t="inlineStr">
        <is>
          <t>Q</t>
        </is>
      </c>
      <c r="Q190" s="38" t="inlineStr">
        <is>
          <t>M5</t>
        </is>
      </c>
      <c r="R190" s="38" t="inlineStr">
        <is>
          <t>G6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M4</t>
        </is>
      </c>
      <c r="N191" s="38" t="inlineStr">
        <is>
          <t>J</t>
        </is>
      </c>
      <c r="O191" s="38" t="inlineStr">
        <is>
          <t>Q</t>
        </is>
      </c>
      <c r="P191" s="38" t="inlineStr">
        <is>
          <t>WW</t>
        </is>
      </c>
      <c r="Q191" s="38" t="inlineStr">
        <is>
          <t>M4</t>
        </is>
      </c>
      <c r="R191" s="38" t="inlineStr">
        <is>
          <t>A</t>
        </is>
      </c>
      <c r="S191" s="24" t="inlineStr">
        <is>
          <t>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J</t>
        </is>
      </c>
      <c r="N192" s="38" t="inlineStr">
        <is>
          <t>TE</t>
        </is>
      </c>
      <c r="O192" s="38" t="inlineStr">
        <is>
          <t>M3</t>
        </is>
      </c>
      <c r="P192" s="38" t="inlineStr">
        <is>
          <t>A</t>
        </is>
      </c>
      <c r="Q192" s="38" t="inlineStr">
        <is>
          <t>GK</t>
        </is>
      </c>
      <c r="R192" s="38" t="inlineStr">
        <is>
          <t>Q</t>
        </is>
      </c>
      <c r="S192" s="24" t="inlineStr">
        <is>
          <t>K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K</t>
        </is>
      </c>
      <c r="N193" s="155" t="inlineStr">
        <is>
          <t>Q</t>
        </is>
      </c>
      <c r="O193" s="155" t="inlineStr">
        <is>
          <t>J</t>
        </is>
      </c>
      <c r="P193" s="155" t="inlineStr">
        <is>
          <t>M4</t>
        </is>
      </c>
      <c r="Q193" s="155" t="inlineStr">
        <is>
          <t>WW</t>
        </is>
      </c>
      <c r="R193" s="155" t="inlineStr">
        <is>
          <t>M4</t>
        </is>
      </c>
      <c r="S193" s="156" t="inlineStr">
        <is>
          <t>M5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Q</t>
        </is>
      </c>
      <c r="O194" s="38" t="inlineStr">
        <is>
          <t>M3</t>
        </is>
      </c>
      <c r="P194" s="38" t="inlineStr">
        <is>
          <t>K</t>
        </is>
      </c>
      <c r="Q194" s="38" t="inlineStr">
        <is>
          <t>A</t>
        </is>
      </c>
      <c r="R194" s="38" t="inlineStr">
        <is>
          <t>M6</t>
        </is>
      </c>
      <c r="S194" s="24" t="inlineStr">
        <is>
          <t>Q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J</t>
        </is>
      </c>
      <c r="N195" s="38" t="inlineStr">
        <is>
          <t>TE</t>
        </is>
      </c>
      <c r="O195" s="38" t="inlineStr">
        <is>
          <t>M6</t>
        </is>
      </c>
      <c r="P195" s="38" t="inlineStr">
        <is>
          <t>M2</t>
        </is>
      </c>
      <c r="Q195" s="38" t="inlineStr">
        <is>
          <t>K</t>
        </is>
      </c>
      <c r="R195" s="38" t="inlineStr">
        <is>
          <t>GK</t>
        </is>
      </c>
      <c r="S195" s="24" t="inlineStr">
        <is>
          <t>M2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M2</t>
        </is>
      </c>
      <c r="P196" s="38" t="inlineStr">
        <is>
          <t>G6</t>
        </is>
      </c>
      <c r="Q196" s="38" t="inlineStr">
        <is>
          <t>A</t>
        </is>
      </c>
      <c r="R196" s="38" t="inlineStr">
        <is>
          <t>G5</t>
        </is>
      </c>
      <c r="S196" s="24" t="inlineStr">
        <is>
          <t>M4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Q</t>
        </is>
      </c>
      <c r="O197" s="38" t="inlineStr">
        <is>
          <t>A</t>
        </is>
      </c>
      <c r="P197" s="38" t="inlineStr">
        <is>
          <t>M5</t>
        </is>
      </c>
      <c r="Q197" s="38" t="inlineStr">
        <is>
          <t>M3</t>
        </is>
      </c>
      <c r="R197" s="38" t="inlineStr">
        <is>
          <t>M2</t>
        </is>
      </c>
      <c r="S197" s="24" t="inlineStr">
        <is>
          <t>J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K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M6</t>
        </is>
      </c>
      <c r="Q198" s="38" t="inlineStr">
        <is>
          <t>Q</t>
        </is>
      </c>
      <c r="R198" s="38" t="inlineStr">
        <is>
          <t>J</t>
        </is>
      </c>
      <c r="S198" s="24" t="inlineStr">
        <is>
          <t>M6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K</t>
        </is>
      </c>
      <c r="N199" s="38" t="inlineStr">
        <is>
          <t>M5</t>
        </is>
      </c>
      <c r="O199" s="38" t="inlineStr">
        <is>
          <t>J</t>
        </is>
      </c>
      <c r="P199" s="38" t="inlineStr">
        <is>
          <t>G4</t>
        </is>
      </c>
      <c r="Q199" s="38" t="inlineStr">
        <is>
          <t>GA</t>
        </is>
      </c>
      <c r="R199" s="38" t="inlineStr">
        <is>
          <t>M5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A</t>
        </is>
      </c>
      <c r="N200" s="38" t="inlineStr">
        <is>
          <t>K</t>
        </is>
      </c>
      <c r="O200" s="38" t="inlineStr">
        <is>
          <t>A</t>
        </is>
      </c>
      <c r="P200" s="38" t="inlineStr">
        <is>
          <t>Q</t>
        </is>
      </c>
      <c r="Q200" s="38" t="inlineStr">
        <is>
          <t>M5</t>
        </is>
      </c>
      <c r="R200" s="38" t="inlineStr">
        <is>
          <t>M1</t>
        </is>
      </c>
      <c r="S200" s="24" t="inlineStr">
        <is>
          <t>A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M5</t>
        </is>
      </c>
      <c r="O201" s="38" t="inlineStr">
        <is>
          <t>J</t>
        </is>
      </c>
      <c r="P201" s="38" t="inlineStr">
        <is>
          <t>A</t>
        </is>
      </c>
      <c r="Q201" s="38" t="inlineStr">
        <is>
          <t>M4</t>
        </is>
      </c>
      <c r="R201" s="38" t="inlineStr">
        <is>
          <t>J</t>
        </is>
      </c>
      <c r="S201" s="24" t="inlineStr">
        <is>
          <t>TE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K</t>
        </is>
      </c>
      <c r="P202" s="155" t="inlineStr">
        <is>
          <t>A</t>
        </is>
      </c>
      <c r="Q202" s="155" t="inlineStr">
        <is>
          <t>J</t>
        </is>
      </c>
      <c r="R202" s="155" t="inlineStr">
        <is>
          <t>M4</t>
        </is>
      </c>
      <c r="S202" s="156" t="inlineStr">
        <is>
          <t>M3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M4</t>
        </is>
      </c>
      <c r="O203" s="38" t="inlineStr">
        <is>
          <t>M6</t>
        </is>
      </c>
      <c r="P203" s="38" t="inlineStr">
        <is>
          <t>M6</t>
        </is>
      </c>
      <c r="Q203" s="38" t="inlineStr">
        <is>
          <t>M4</t>
        </is>
      </c>
      <c r="R203" s="38" t="inlineStr">
        <is>
          <t>M5</t>
        </is>
      </c>
      <c r="S203" s="24" t="inlineStr">
        <is>
          <t>K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4</v>
      </c>
      <c r="E6" s="152">
        <f t="shared" si="1"/>
        <v>5</v>
      </c>
      <c r="F6" s="152">
        <f t="shared" si="1"/>
        <v>4</v>
      </c>
      <c r="G6" s="152">
        <f t="shared" si="1"/>
        <v>4</v>
      </c>
      <c r="H6" s="152">
        <f t="shared" si="1"/>
        <v>4</v>
      </c>
      <c r="I6" s="152">
        <f t="shared" si="1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6032</v>
      </c>
      <c r="AN6" s="153">
        <v>4965</v>
      </c>
      <c r="AO6" s="153">
        <v>43031</v>
      </c>
      <c r="AP6" s="153">
        <v>17051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5</v>
      </c>
      <c r="E7" s="152">
        <f t="shared" si="1"/>
        <v>6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18097</v>
      </c>
      <c r="AN7" s="153">
        <v>18442</v>
      </c>
      <c r="AO7" s="153">
        <v>18827</v>
      </c>
      <c r="AP7" s="153">
        <v>17051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8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inlineStr">
        <is>
          <t>J</t>
        </is>
      </c>
      <c r="N8" s="38" t="inlineStr">
        <is>
          <t>M5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37056</v>
      </c>
      <c r="AN8" s="153">
        <v>62417</v>
      </c>
      <c r="AO8" s="153">
        <v>26895</v>
      </c>
      <c r="AP8" s="153">
        <v>22734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21</v>
      </c>
      <c r="F9" s="152">
        <f t="shared" si="1"/>
        <v>11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145640</v>
      </c>
      <c r="AN9" s="153">
        <v>29081</v>
      </c>
      <c r="AO9" s="153">
        <v>34963</v>
      </c>
      <c r="AP9" s="153">
        <v>142086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28</v>
      </c>
      <c r="E10" s="152">
        <f t="shared" si="1"/>
        <v>10</v>
      </c>
      <c r="F10" s="152">
        <f t="shared" si="1"/>
        <v>26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31886</v>
      </c>
      <c r="AN10" s="153">
        <v>121998</v>
      </c>
      <c r="AO10" s="153">
        <v>201711</v>
      </c>
      <c r="AP10" s="153">
        <v>11367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28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27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157705</v>
      </c>
      <c r="AN11" s="153">
        <v>75184</v>
      </c>
      <c r="AO11" s="153">
        <v>18827</v>
      </c>
      <c r="AP11" s="153">
        <v>250073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32</v>
      </c>
      <c r="E12" s="10">
        <f t="shared" si="1"/>
        <v>15</v>
      </c>
      <c r="F12" s="10">
        <f t="shared" si="1"/>
        <v>29</v>
      </c>
      <c r="G12" s="10">
        <f t="shared" si="1"/>
        <v>23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31</v>
      </c>
      <c r="F13" s="10">
        <f t="shared" si="1"/>
        <v>13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inlineStr">
        <is>
          <t>K</t>
        </is>
      </c>
      <c r="N13" s="155" t="inlineStr">
        <is>
          <t>Q</t>
        </is>
      </c>
      <c r="O13" s="155" t="inlineStr">
        <is>
          <t>M6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32</v>
      </c>
      <c r="E14" s="10">
        <f t="shared" si="1"/>
        <v>8</v>
      </c>
      <c r="F14" s="10">
        <f t="shared" si="1"/>
        <v>25</v>
      </c>
      <c r="G14" s="10">
        <f t="shared" si="1"/>
        <v>19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12</v>
      </c>
      <c r="E15" s="10">
        <f t="shared" si="1"/>
        <v>34</v>
      </c>
      <c r="F15" s="10">
        <f t="shared" si="1"/>
        <v>15</v>
      </c>
      <c r="G15" s="10">
        <f t="shared" si="1"/>
        <v>25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33</v>
      </c>
      <c r="E16" s="10">
        <f t="shared" si="1"/>
        <v>16</v>
      </c>
      <c r="F16" s="10">
        <f t="shared" si="1"/>
        <v>27</v>
      </c>
      <c r="G16" s="10">
        <f t="shared" si="1"/>
        <v>20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1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103</v>
      </c>
      <c r="AN17" s="153">
        <v>89</v>
      </c>
      <c r="AO17" s="153">
        <v>447</v>
      </c>
      <c r="AP17" s="153">
        <v>92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1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308</v>
      </c>
      <c r="AN18" s="153">
        <v>331</v>
      </c>
      <c r="AO18" s="153">
        <v>195</v>
      </c>
      <c r="AP18" s="153">
        <v>92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630</v>
      </c>
      <c r="AN19" s="153">
        <v>1120</v>
      </c>
      <c r="AO19" s="153">
        <v>279</v>
      </c>
      <c r="AP19" s="153">
        <v>123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2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2476</v>
      </c>
      <c r="AN20" s="153">
        <v>522</v>
      </c>
      <c r="AO20" s="153">
        <v>363</v>
      </c>
      <c r="AP20" s="153">
        <v>771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4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542</v>
      </c>
      <c r="AN21" s="153">
        <v>2190</v>
      </c>
      <c r="AO21" s="153">
        <v>2093</v>
      </c>
      <c r="AP21" s="153">
        <v>62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A</t>
        </is>
      </c>
      <c r="S22" s="156" t="inlineStr">
        <is>
          <t>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2681</v>
      </c>
      <c r="AN22" s="153">
        <v>1350</v>
      </c>
      <c r="AO22" s="153">
        <v>195</v>
      </c>
      <c r="AP22" s="153">
        <v>1356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5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4</v>
      </c>
      <c r="E25" s="10">
        <f t="shared" si="10"/>
        <v>1</v>
      </c>
      <c r="F25" s="10">
        <f t="shared" si="11"/>
        <v>3</v>
      </c>
      <c r="G25" s="10">
        <f t="shared" si="12"/>
        <v>3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1</v>
      </c>
      <c r="F27" s="10">
        <f t="shared" si="11"/>
        <v>4</v>
      </c>
      <c r="G27" s="10">
        <f t="shared" si="12"/>
        <v>3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J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6032</v>
      </c>
      <c r="AN35" s="153">
        <v>4965</v>
      </c>
      <c r="AO35" s="153">
        <v>43031</v>
      </c>
      <c r="AP35" s="153">
        <v>17051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18097</v>
      </c>
      <c r="AN36" s="153">
        <v>18442</v>
      </c>
      <c r="AO36" s="153">
        <v>18827</v>
      </c>
      <c r="AP36" s="153">
        <v>17051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37056</v>
      </c>
      <c r="AN37" s="153">
        <v>62417</v>
      </c>
      <c r="AO37" s="153">
        <v>26895</v>
      </c>
      <c r="AP37" s="153">
        <v>22734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145640</v>
      </c>
      <c r="AN38" s="153">
        <v>29081</v>
      </c>
      <c r="AO38" s="153">
        <v>34963</v>
      </c>
      <c r="AP38" s="153">
        <v>142086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31886</v>
      </c>
      <c r="AN39" s="153">
        <v>121998</v>
      </c>
      <c r="AO39" s="153">
        <v>201711</v>
      </c>
      <c r="AP39" s="153">
        <v>11367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157705</v>
      </c>
      <c r="AN40" s="153">
        <v>75184</v>
      </c>
      <c r="AO40" s="153">
        <v>18827</v>
      </c>
      <c r="AP40" s="153">
        <v>250073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103</v>
      </c>
      <c r="AN46" s="153">
        <v>89</v>
      </c>
      <c r="AO46" s="153">
        <v>447</v>
      </c>
      <c r="AP46" s="153">
        <v>92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308</v>
      </c>
      <c r="AN47" s="153">
        <v>331</v>
      </c>
      <c r="AO47" s="153">
        <v>195</v>
      </c>
      <c r="AP47" s="153">
        <v>92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J</t>
        </is>
      </c>
      <c r="R48" s="38" t="inlineStr">
        <is>
          <t>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630</v>
      </c>
      <c r="AN48" s="153">
        <v>1120</v>
      </c>
      <c r="AO48" s="153">
        <v>279</v>
      </c>
      <c r="AP48" s="153">
        <v>123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M5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2476</v>
      </c>
      <c r="AN49" s="153">
        <v>522</v>
      </c>
      <c r="AO49" s="153">
        <v>363</v>
      </c>
      <c r="AP49" s="153">
        <v>771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542</v>
      </c>
      <c r="AN50" s="153">
        <v>2190</v>
      </c>
      <c r="AO50" s="153">
        <v>2093</v>
      </c>
      <c r="AP50" s="153">
        <v>62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2681</v>
      </c>
      <c r="AN51" s="153">
        <v>1350</v>
      </c>
      <c r="AO51" s="153">
        <v>195</v>
      </c>
      <c r="AP51" s="153">
        <v>1356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M6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M4</t>
        </is>
      </c>
      <c r="N58" s="155" t="inlineStr">
        <is>
          <t>A</t>
        </is>
      </c>
      <c r="O58" s="155" t="inlineStr">
        <is>
          <t>M5</t>
        </is>
      </c>
      <c r="P58" s="155" t="inlineStr">
        <is>
          <t>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6032</v>
      </c>
      <c r="AN64" s="153">
        <v>4965</v>
      </c>
      <c r="AO64" s="153">
        <v>43031</v>
      </c>
      <c r="AP64" s="153">
        <v>17051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18097</v>
      </c>
      <c r="AN65" s="153">
        <v>18442</v>
      </c>
      <c r="AO65" s="153">
        <v>18827</v>
      </c>
      <c r="AP65" s="153">
        <v>17051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TE</t>
        </is>
      </c>
      <c r="R66" s="38" t="inlineStr">
        <is>
          <t>M4</t>
        </is>
      </c>
      <c r="S66" s="24" t="inlineStr">
        <is>
          <t>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37056</v>
      </c>
      <c r="AN66" s="153">
        <v>62417</v>
      </c>
      <c r="AO66" s="153">
        <v>26895</v>
      </c>
      <c r="AP66" s="153">
        <v>22734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145640</v>
      </c>
      <c r="AN67" s="153">
        <v>29081</v>
      </c>
      <c r="AO67" s="153">
        <v>34963</v>
      </c>
      <c r="AP67" s="153">
        <v>142086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31886</v>
      </c>
      <c r="AN68" s="153">
        <v>121998</v>
      </c>
      <c r="AO68" s="153">
        <v>201711</v>
      </c>
      <c r="AP68" s="153">
        <v>11367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157705</v>
      </c>
      <c r="AN69" s="153">
        <v>75184</v>
      </c>
      <c r="AO69" s="153">
        <v>18827</v>
      </c>
      <c r="AP69" s="153">
        <v>250073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103</v>
      </c>
      <c r="AN75" s="153">
        <v>89</v>
      </c>
      <c r="AO75" s="153">
        <v>447</v>
      </c>
      <c r="AP75" s="153">
        <v>92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308</v>
      </c>
      <c r="AN76" s="153">
        <v>331</v>
      </c>
      <c r="AO76" s="153">
        <v>195</v>
      </c>
      <c r="AP76" s="153">
        <v>92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630</v>
      </c>
      <c r="AN77" s="153">
        <v>1120</v>
      </c>
      <c r="AO77" s="153">
        <v>279</v>
      </c>
      <c r="AP77" s="153">
        <v>123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2476</v>
      </c>
      <c r="AN78" s="153">
        <v>522</v>
      </c>
      <c r="AO78" s="153">
        <v>363</v>
      </c>
      <c r="AP78" s="153">
        <v>771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542</v>
      </c>
      <c r="AN79" s="153">
        <v>2190</v>
      </c>
      <c r="AO79" s="153">
        <v>2093</v>
      </c>
      <c r="AP79" s="153">
        <v>62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2681</v>
      </c>
      <c r="AN80" s="153">
        <v>1350</v>
      </c>
      <c r="AO80" s="153">
        <v>195</v>
      </c>
      <c r="AP80" s="153">
        <v>1356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TE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6032</v>
      </c>
      <c r="AN93" s="153">
        <v>4965</v>
      </c>
      <c r="AO93" s="153">
        <v>43031</v>
      </c>
      <c r="AP93" s="153">
        <v>17051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Q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18097</v>
      </c>
      <c r="AN94" s="153">
        <v>18442</v>
      </c>
      <c r="AO94" s="153">
        <v>18827</v>
      </c>
      <c r="AP94" s="153">
        <v>17051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37056</v>
      </c>
      <c r="AN95" s="153">
        <v>62417</v>
      </c>
      <c r="AO95" s="153">
        <v>26895</v>
      </c>
      <c r="AP95" s="153">
        <v>22734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145640</v>
      </c>
      <c r="AN96" s="153">
        <v>29081</v>
      </c>
      <c r="AO96" s="153">
        <v>34963</v>
      </c>
      <c r="AP96" s="153">
        <v>142086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31886</v>
      </c>
      <c r="AN97" s="153">
        <v>121998</v>
      </c>
      <c r="AO97" s="153">
        <v>201711</v>
      </c>
      <c r="AP97" s="153">
        <v>11367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157705</v>
      </c>
      <c r="AN98" s="153">
        <v>75184</v>
      </c>
      <c r="AO98" s="153">
        <v>18827</v>
      </c>
      <c r="AP98" s="153">
        <v>250073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A</t>
        </is>
      </c>
      <c r="S103" s="156" t="inlineStr">
        <is>
          <t>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103</v>
      </c>
      <c r="AN104" s="153">
        <v>89</v>
      </c>
      <c r="AO104" s="153">
        <v>447</v>
      </c>
      <c r="AP104" s="153">
        <v>92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308</v>
      </c>
      <c r="AN105" s="153">
        <v>331</v>
      </c>
      <c r="AO105" s="153">
        <v>195</v>
      </c>
      <c r="AP105" s="153">
        <v>92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630</v>
      </c>
      <c r="AN106" s="153">
        <v>1120</v>
      </c>
      <c r="AO106" s="153">
        <v>279</v>
      </c>
      <c r="AP106" s="153">
        <v>123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2476</v>
      </c>
      <c r="AN107" s="153">
        <v>522</v>
      </c>
      <c r="AO107" s="153">
        <v>363</v>
      </c>
      <c r="AP107" s="153">
        <v>771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542</v>
      </c>
      <c r="AN108" s="153">
        <v>2190</v>
      </c>
      <c r="AO108" s="153">
        <v>2093</v>
      </c>
      <c r="AP108" s="153">
        <v>62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2681</v>
      </c>
      <c r="AN109" s="153">
        <v>1350</v>
      </c>
      <c r="AO109" s="153">
        <v>195</v>
      </c>
      <c r="AP109" s="153">
        <v>1356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J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K</t>
        </is>
      </c>
      <c r="R121" s="155" t="inlineStr">
        <is>
          <t>GJ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6032</v>
      </c>
      <c r="AN122" s="153">
        <v>4965</v>
      </c>
      <c r="AO122" s="153">
        <v>43031</v>
      </c>
      <c r="AP122" s="153">
        <v>17051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18097</v>
      </c>
      <c r="AN123" s="153">
        <v>18442</v>
      </c>
      <c r="AO123" s="153">
        <v>18827</v>
      </c>
      <c r="AP123" s="153">
        <v>17051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37056</v>
      </c>
      <c r="AN124" s="153">
        <v>62417</v>
      </c>
      <c r="AO124" s="153">
        <v>26895</v>
      </c>
      <c r="AP124" s="153">
        <v>22734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145640</v>
      </c>
      <c r="AN125" s="153">
        <v>29081</v>
      </c>
      <c r="AO125" s="153">
        <v>34963</v>
      </c>
      <c r="AP125" s="153">
        <v>142086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31886</v>
      </c>
      <c r="AN126" s="153">
        <v>121998</v>
      </c>
      <c r="AO126" s="153">
        <v>201711</v>
      </c>
      <c r="AP126" s="153">
        <v>11367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157705</v>
      </c>
      <c r="AN127" s="153">
        <v>75184</v>
      </c>
      <c r="AO127" s="153">
        <v>18827</v>
      </c>
      <c r="AP127" s="153">
        <v>250073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TE</t>
        </is>
      </c>
      <c r="O130" s="155" t="inlineStr">
        <is>
          <t>M6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J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103</v>
      </c>
      <c r="AN133" s="153">
        <v>89</v>
      </c>
      <c r="AO133" s="153">
        <v>447</v>
      </c>
      <c r="AP133" s="153">
        <v>92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308</v>
      </c>
      <c r="AN134" s="153">
        <v>331</v>
      </c>
      <c r="AO134" s="153">
        <v>195</v>
      </c>
      <c r="AP134" s="153">
        <v>92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630</v>
      </c>
      <c r="AN135" s="153">
        <v>1120</v>
      </c>
      <c r="AO135" s="153">
        <v>279</v>
      </c>
      <c r="AP135" s="153">
        <v>123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2476</v>
      </c>
      <c r="AN136" s="153">
        <v>522</v>
      </c>
      <c r="AO136" s="153">
        <v>363</v>
      </c>
      <c r="AP136" s="153">
        <v>771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542</v>
      </c>
      <c r="AN137" s="153">
        <v>2190</v>
      </c>
      <c r="AO137" s="153">
        <v>2093</v>
      </c>
      <c r="AP137" s="153">
        <v>62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2681</v>
      </c>
      <c r="AN138" s="153">
        <v>1350</v>
      </c>
      <c r="AO138" s="153">
        <v>195</v>
      </c>
      <c r="AP138" s="153">
        <v>1356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K</t>
        </is>
      </c>
      <c r="N139" s="155" t="inlineStr">
        <is>
          <t>A</t>
        </is>
      </c>
      <c r="O139" s="155" t="inlineStr">
        <is>
          <t>GJ</t>
        </is>
      </c>
      <c r="P139" s="155" t="inlineStr">
        <is>
          <t>Q</t>
        </is>
      </c>
      <c r="Q139" s="155" t="inlineStr">
        <is>
          <t>TE</t>
        </is>
      </c>
      <c r="R139" s="155" t="inlineStr">
        <is>
          <t>M6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M4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G1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TE</t>
        </is>
      </c>
      <c r="R166" s="155" t="inlineStr">
        <is>
          <t>A</t>
        </is>
      </c>
      <c r="S166" s="156" t="inlineStr">
        <is>
          <t>M5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M6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TE</t>
        </is>
      </c>
      <c r="Q175" s="155" t="inlineStr">
        <is>
          <t>M4</t>
        </is>
      </c>
      <c r="R175" s="155" t="inlineStr">
        <is>
          <t>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M5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J</t>
        </is>
      </c>
      <c r="N193" s="155" t="inlineStr">
        <is>
          <t>TE</t>
        </is>
      </c>
      <c r="O193" s="155" t="inlineStr">
        <is>
          <t>M6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M4</t>
        </is>
      </c>
      <c r="N4" s="155" t="inlineStr">
        <is>
          <t>TE</t>
        </is>
      </c>
      <c r="O4" s="155" t="inlineStr">
        <is>
          <t>J</t>
        </is>
      </c>
      <c r="P4" s="155" t="inlineStr">
        <is>
          <t>M4</t>
        </is>
      </c>
      <c r="Q4" s="155" t="inlineStr">
        <is>
          <t>G2</t>
        </is>
      </c>
      <c r="R4" s="155" t="inlineStr">
        <is>
          <t>M4</t>
        </is>
      </c>
      <c r="S4" s="156" t="inlineStr">
        <is>
          <t>M6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0</v>
      </c>
      <c r="AD4" s="17">
        <v>0</v>
      </c>
      <c r="AE4" s="17">
        <v>1</v>
      </c>
      <c r="AF4" s="17">
        <v>1</v>
      </c>
      <c r="AG4" s="17">
        <v>1</v>
      </c>
      <c r="AH4" s="17">
        <v>1</v>
      </c>
      <c r="AI4" s="174">
        <v>0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0</v>
      </c>
      <c r="AD5" s="18">
        <v>0</v>
      </c>
      <c r="AE5" s="18">
        <v>1</v>
      </c>
      <c r="AF5" s="18">
        <v>1</v>
      </c>
      <c r="AG5" s="18">
        <v>1</v>
      </c>
      <c r="AH5" s="18">
        <v>1</v>
      </c>
      <c r="AI5" s="4">
        <v>0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2</v>
      </c>
      <c r="D6" s="152">
        <f t="shared" si="1"/>
        <v>1</v>
      </c>
      <c r="E6" s="152">
        <f t="shared" si="1"/>
        <v>1</v>
      </c>
      <c r="F6" s="152">
        <f t="shared" si="1"/>
        <v>2</v>
      </c>
      <c r="G6" s="152">
        <f t="shared" si="1"/>
        <v>2</v>
      </c>
      <c r="H6" s="152">
        <f t="shared" si="1"/>
        <v>2</v>
      </c>
      <c r="I6" s="152">
        <f t="shared" si="1"/>
        <v>2</v>
      </c>
      <c r="J6" s="150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0</v>
      </c>
      <c r="AD6" s="18">
        <v>0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3915</v>
      </c>
      <c r="AN6" s="153">
        <v>3584</v>
      </c>
      <c r="AO6" s="153">
        <v>5137</v>
      </c>
      <c r="AP6" s="153">
        <v>2582</v>
      </c>
      <c r="AQ6" s="153">
        <v>3046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16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0</v>
      </c>
      <c r="AD7" s="18">
        <v>0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13479</v>
      </c>
      <c r="AN7" s="153">
        <v>10547</v>
      </c>
      <c r="AO7" s="153">
        <v>10476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0</v>
      </c>
      <c r="AD8" s="18">
        <v>0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54211</v>
      </c>
      <c r="AN8" s="153">
        <v>30613</v>
      </c>
      <c r="AO8" s="153">
        <v>47216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16</v>
      </c>
      <c r="F9" s="152">
        <f t="shared" si="1"/>
        <v>22</v>
      </c>
      <c r="G9" s="152">
        <f t="shared" si="1"/>
        <v>11</v>
      </c>
      <c r="H9" s="152">
        <f t="shared" si="1"/>
        <v>18</v>
      </c>
      <c r="I9" s="152">
        <f t="shared" si="1"/>
        <v>22</v>
      </c>
      <c r="J9" s="150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0</v>
      </c>
      <c r="AD9" s="18">
        <v>0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138041</v>
      </c>
      <c r="AN9" s="153">
        <v>99303</v>
      </c>
      <c r="AO9" s="153">
        <v>121729</v>
      </c>
      <c r="AP9" s="153">
        <v>112715</v>
      </c>
      <c r="AQ9" s="153">
        <v>110487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21</v>
      </c>
      <c r="E10" s="152">
        <f t="shared" si="1"/>
        <v>14</v>
      </c>
      <c r="F10" s="152">
        <f t="shared" si="1"/>
        <v>13</v>
      </c>
      <c r="G10" s="152">
        <f t="shared" si="1"/>
        <v>21</v>
      </c>
      <c r="H10" s="152">
        <f t="shared" si="1"/>
        <v>14</v>
      </c>
      <c r="I10" s="152">
        <f t="shared" si="1"/>
        <v>17</v>
      </c>
      <c r="J10" s="150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0</v>
      </c>
      <c r="AD10" s="18">
        <v>0</v>
      </c>
      <c r="AE10" s="18">
        <v>1</v>
      </c>
      <c r="AF10" s="18">
        <v>1</v>
      </c>
      <c r="AG10" s="18">
        <v>1</v>
      </c>
      <c r="AH10" s="18">
        <v>1</v>
      </c>
      <c r="AI10" s="4">
        <v>0</v>
      </c>
      <c r="AK10" s="153" t="s">
        <v>64</v>
      </c>
      <c r="AL10" s="153">
        <v>148371</v>
      </c>
      <c r="AM10" s="153">
        <v>35353</v>
      </c>
      <c r="AN10" s="153">
        <v>129645</v>
      </c>
      <c r="AO10" s="153">
        <v>34526</v>
      </c>
      <c r="AP10" s="153">
        <v>46201</v>
      </c>
      <c r="AQ10" s="153">
        <v>38187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24</v>
      </c>
      <c r="D11" s="152">
        <f t="shared" si="1"/>
        <v>6</v>
      </c>
      <c r="E11" s="152">
        <f t="shared" si="1"/>
        <v>16</v>
      </c>
      <c r="F11" s="152">
        <f t="shared" si="1"/>
        <v>20</v>
      </c>
      <c r="G11" s="152">
        <f t="shared" si="1"/>
        <v>12</v>
      </c>
      <c r="H11" s="152">
        <f t="shared" si="1"/>
        <v>22</v>
      </c>
      <c r="I11" s="152">
        <f t="shared" si="1"/>
        <v>26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0</v>
      </c>
      <c r="AD11" s="18">
        <v>0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132957</v>
      </c>
      <c r="AN11" s="153">
        <v>30235</v>
      </c>
      <c r="AO11" s="153">
        <v>136926</v>
      </c>
      <c r="AP11" s="153">
        <v>136215</v>
      </c>
      <c r="AQ11" s="153">
        <v>159365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0</v>
      </c>
      <c r="AD12" s="18">
        <v>0</v>
      </c>
      <c r="AE12" s="18">
        <v>1</v>
      </c>
      <c r="AF12" s="18">
        <v>1</v>
      </c>
      <c r="AG12" s="18">
        <v>1</v>
      </c>
      <c r="AH12" s="18">
        <v>1</v>
      </c>
      <c r="AI12" s="4">
        <v>0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5" t="inlineStr">
        <is>
          <t>A</t>
        </is>
      </c>
      <c r="N13" s="155" t="inlineStr">
        <is>
          <t>J</t>
        </is>
      </c>
      <c r="O13" s="155" t="inlineStr">
        <is>
          <t>K</t>
        </is>
      </c>
      <c r="P13" s="155" t="inlineStr">
        <is>
          <t>Q</t>
        </is>
      </c>
      <c r="Q13" s="155" t="inlineStr">
        <is>
          <t>M5</t>
        </is>
      </c>
      <c r="R13" s="155" t="inlineStr">
        <is>
          <t>M4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0</v>
      </c>
      <c r="AD13" s="18">
        <v>0</v>
      </c>
      <c r="AE13" s="18">
        <v>1</v>
      </c>
      <c r="AF13" s="18">
        <v>1</v>
      </c>
      <c r="AG13" s="18">
        <v>1</v>
      </c>
      <c r="AH13" s="18">
        <v>1</v>
      </c>
      <c r="AI13" s="4">
        <v>0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0</v>
      </c>
      <c r="AD14" s="18">
        <v>0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0</v>
      </c>
      <c r="AD15" s="18">
        <v>0</v>
      </c>
      <c r="AE15" s="18">
        <v>1</v>
      </c>
      <c r="AF15" s="18">
        <v>1</v>
      </c>
      <c r="AG15" s="18">
        <v>1</v>
      </c>
      <c r="AH15" s="18">
        <v>1</v>
      </c>
      <c r="AI15" s="4">
        <v>0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0</v>
      </c>
      <c r="AD16" s="18">
        <v>0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0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94</v>
      </c>
      <c r="AN17" s="153">
        <v>93</v>
      </c>
      <c r="AO17" s="153">
        <v>133</v>
      </c>
      <c r="AP17" s="153">
        <v>29</v>
      </c>
      <c r="AQ17" s="153">
        <v>17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0</v>
      </c>
      <c r="AE18" s="18">
        <v>1</v>
      </c>
      <c r="AF18" s="18">
        <v>1</v>
      </c>
      <c r="AG18" s="18">
        <v>1</v>
      </c>
      <c r="AH18" s="18">
        <v>1</v>
      </c>
      <c r="AI18" s="4">
        <v>0</v>
      </c>
      <c r="AK18" s="153" t="s">
        <v>224</v>
      </c>
      <c r="AL18" s="153">
        <v>0</v>
      </c>
      <c r="AM18" s="153">
        <v>322</v>
      </c>
      <c r="AN18" s="153">
        <v>273</v>
      </c>
      <c r="AO18" s="153">
        <v>270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0</v>
      </c>
      <c r="AE19" s="18">
        <v>1</v>
      </c>
      <c r="AF19" s="18">
        <v>1</v>
      </c>
      <c r="AG19" s="18">
        <v>1</v>
      </c>
      <c r="AH19" s="18">
        <v>1</v>
      </c>
      <c r="AI19" s="4">
        <v>0</v>
      </c>
      <c r="AK19" s="153" t="s">
        <v>226</v>
      </c>
      <c r="AL19" s="153">
        <v>0</v>
      </c>
      <c r="AM19" s="153">
        <v>1296</v>
      </c>
      <c r="AN19" s="153">
        <v>793</v>
      </c>
      <c r="AO19" s="153">
        <v>1219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0</v>
      </c>
      <c r="AE20" s="18">
        <v>1</v>
      </c>
      <c r="AF20" s="18">
        <v>1</v>
      </c>
      <c r="AG20" s="18">
        <v>1</v>
      </c>
      <c r="AH20" s="18">
        <v>1</v>
      </c>
      <c r="AI20" s="4">
        <v>0</v>
      </c>
      <c r="AK20" s="153" t="s">
        <v>228</v>
      </c>
      <c r="AL20" s="153">
        <v>0</v>
      </c>
      <c r="AM20" s="153">
        <v>3301</v>
      </c>
      <c r="AN20" s="153">
        <v>2571</v>
      </c>
      <c r="AO20" s="153">
        <v>3143</v>
      </c>
      <c r="AP20" s="153">
        <v>1283</v>
      </c>
      <c r="AQ20" s="153">
        <v>625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0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845</v>
      </c>
      <c r="AN21" s="153">
        <v>3357</v>
      </c>
      <c r="AO21" s="153">
        <v>891</v>
      </c>
      <c r="AP21" s="153">
        <v>526</v>
      </c>
      <c r="AQ21" s="153">
        <v>216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J</t>
        </is>
      </c>
      <c r="N22" s="155" t="inlineStr">
        <is>
          <t>Q</t>
        </is>
      </c>
      <c r="O22" s="155" t="inlineStr">
        <is>
          <t>GT</t>
        </is>
      </c>
      <c r="P22" s="155" t="inlineStr">
        <is>
          <t>TE</t>
        </is>
      </c>
      <c r="Q22" s="155" t="inlineStr">
        <is>
          <t>M6</t>
        </is>
      </c>
      <c r="R22" s="155" t="inlineStr">
        <is>
          <t>A</t>
        </is>
      </c>
      <c r="S22" s="156" t="inlineStr">
        <is>
          <t>M6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0</v>
      </c>
      <c r="AE22" s="18">
        <v>1</v>
      </c>
      <c r="AF22" s="18">
        <v>1</v>
      </c>
      <c r="AG22" s="18">
        <v>1</v>
      </c>
      <c r="AH22" s="18">
        <v>1</v>
      </c>
      <c r="AI22" s="4">
        <v>0</v>
      </c>
      <c r="AK22" s="153" t="s">
        <v>232</v>
      </c>
      <c r="AL22" s="153">
        <v>0</v>
      </c>
      <c r="AM22" s="153">
        <v>3179</v>
      </c>
      <c r="AN22" s="153">
        <v>783</v>
      </c>
      <c r="AO22" s="153">
        <v>3535</v>
      </c>
      <c r="AP22" s="153">
        <v>1551</v>
      </c>
      <c r="AQ22" s="153">
        <v>902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0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0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0</v>
      </c>
      <c r="AE25" s="18">
        <v>1</v>
      </c>
      <c r="AF25" s="18">
        <v>1</v>
      </c>
      <c r="AG25" s="18">
        <v>1</v>
      </c>
      <c r="AH25" s="18">
        <v>1</v>
      </c>
      <c r="AI25" s="4">
        <v>0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0</v>
      </c>
      <c r="AD26" s="18">
        <v>0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0</v>
      </c>
      <c r="AD27" s="18">
        <v>0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0</v>
      </c>
      <c r="AD28" s="18">
        <v>0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0</v>
      </c>
      <c r="AD29" s="18">
        <v>0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0</v>
      </c>
      <c r="AD30" s="18">
        <v>0</v>
      </c>
      <c r="AE30" s="18">
        <v>1</v>
      </c>
      <c r="AF30" s="18">
        <v>1</v>
      </c>
      <c r="AG30" s="18">
        <v>1</v>
      </c>
      <c r="AH30" s="18">
        <v>1</v>
      </c>
      <c r="AI30" s="4">
        <v>0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M2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M4</t>
        </is>
      </c>
      <c r="R31" s="155" t="inlineStr">
        <is>
          <t>G3</t>
        </is>
      </c>
      <c r="S31" s="156" t="inlineStr">
        <is>
          <t>Q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0</v>
      </c>
      <c r="AD31" s="18">
        <v>0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0</v>
      </c>
      <c r="AD32" s="18">
        <v>0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0</v>
      </c>
      <c r="AD33" s="18">
        <v>0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0</v>
      </c>
      <c r="AD34" s="18">
        <v>0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0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3915</v>
      </c>
      <c r="AN35" s="153">
        <v>3584</v>
      </c>
      <c r="AO35" s="153">
        <v>5137</v>
      </c>
      <c r="AP35" s="153">
        <v>2582</v>
      </c>
      <c r="AQ35" s="153">
        <v>3046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0</v>
      </c>
      <c r="AD36" s="18">
        <v>0</v>
      </c>
      <c r="AE36" s="18">
        <v>1</v>
      </c>
      <c r="AF36" s="18">
        <v>1</v>
      </c>
      <c r="AG36" s="18">
        <v>1</v>
      </c>
      <c r="AH36" s="18">
        <v>1</v>
      </c>
      <c r="AI36" s="4">
        <v>0</v>
      </c>
      <c r="AK36" s="153" t="s">
        <v>21</v>
      </c>
      <c r="AL36" s="153">
        <v>11926</v>
      </c>
      <c r="AM36" s="153">
        <v>13479</v>
      </c>
      <c r="AN36" s="153">
        <v>10547</v>
      </c>
      <c r="AO36" s="153">
        <v>10476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0</v>
      </c>
      <c r="AD37" s="18">
        <v>0</v>
      </c>
      <c r="AE37" s="18">
        <v>1</v>
      </c>
      <c r="AF37" s="18">
        <v>1</v>
      </c>
      <c r="AG37" s="18">
        <v>1</v>
      </c>
      <c r="AH37" s="18">
        <v>1</v>
      </c>
      <c r="AI37" s="4">
        <v>0</v>
      </c>
      <c r="AK37" s="153" t="s">
        <v>17</v>
      </c>
      <c r="AL37" s="153">
        <v>32432</v>
      </c>
      <c r="AM37" s="153">
        <v>54211</v>
      </c>
      <c r="AN37" s="153">
        <v>30613</v>
      </c>
      <c r="AO37" s="153">
        <v>47216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0</v>
      </c>
      <c r="AE38" s="18">
        <v>1</v>
      </c>
      <c r="AF38" s="18">
        <v>1</v>
      </c>
      <c r="AG38" s="18">
        <v>1</v>
      </c>
      <c r="AH38" s="18">
        <v>1</v>
      </c>
      <c r="AI38" s="4">
        <v>0</v>
      </c>
      <c r="AK38" s="153" t="s">
        <v>18</v>
      </c>
      <c r="AL38" s="153">
        <v>95567</v>
      </c>
      <c r="AM38" s="153">
        <v>138041</v>
      </c>
      <c r="AN38" s="153">
        <v>99303</v>
      </c>
      <c r="AO38" s="153">
        <v>121729</v>
      </c>
      <c r="AP38" s="153">
        <v>112715</v>
      </c>
      <c r="AQ38" s="153">
        <v>110487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0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35353</v>
      </c>
      <c r="AN39" s="153">
        <v>129645</v>
      </c>
      <c r="AO39" s="153">
        <v>34526</v>
      </c>
      <c r="AP39" s="153">
        <v>46201</v>
      </c>
      <c r="AQ39" s="153">
        <v>38187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K</t>
        </is>
      </c>
      <c r="N40" s="155" t="inlineStr">
        <is>
          <t>TE</t>
        </is>
      </c>
      <c r="O40" s="155" t="inlineStr">
        <is>
          <t>M5</t>
        </is>
      </c>
      <c r="P40" s="155" t="inlineStr">
        <is>
          <t>GQ</t>
        </is>
      </c>
      <c r="Q40" s="155" t="inlineStr">
        <is>
          <t>A</t>
        </is>
      </c>
      <c r="R40" s="155" t="inlineStr">
        <is>
          <t>A</t>
        </is>
      </c>
      <c r="S40" s="156" t="inlineStr">
        <is>
          <t>A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0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132957</v>
      </c>
      <c r="AN40" s="153">
        <v>30235</v>
      </c>
      <c r="AO40" s="153">
        <v>136926</v>
      </c>
      <c r="AP40" s="153">
        <v>136215</v>
      </c>
      <c r="AQ40" s="153">
        <v>159365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0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0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0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0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0</v>
      </c>
      <c r="AD46" s="18">
        <v>0</v>
      </c>
      <c r="AE46" s="18">
        <v>1</v>
      </c>
      <c r="AF46" s="18">
        <v>1</v>
      </c>
      <c r="AG46" s="18">
        <v>1</v>
      </c>
      <c r="AH46" s="18">
        <v>1</v>
      </c>
      <c r="AI46" s="4">
        <v>0</v>
      </c>
      <c r="AK46" s="153" t="s">
        <v>222</v>
      </c>
      <c r="AL46" s="153">
        <v>0</v>
      </c>
      <c r="AM46" s="153">
        <v>94</v>
      </c>
      <c r="AN46" s="153">
        <v>93</v>
      </c>
      <c r="AO46" s="153">
        <v>133</v>
      </c>
      <c r="AP46" s="153">
        <v>29</v>
      </c>
      <c r="AQ46" s="153">
        <v>17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0</v>
      </c>
      <c r="AD47" s="18">
        <v>0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322</v>
      </c>
      <c r="AN47" s="153">
        <v>273</v>
      </c>
      <c r="AO47" s="153">
        <v>270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0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1296</v>
      </c>
      <c r="AN48" s="153">
        <v>793</v>
      </c>
      <c r="AO48" s="153">
        <v>1219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TE</t>
        </is>
      </c>
      <c r="N49" s="155" t="inlineStr">
        <is>
          <t>M2</t>
        </is>
      </c>
      <c r="O49" s="155" t="inlineStr">
        <is>
          <t>G4</t>
        </is>
      </c>
      <c r="P49" s="155" t="inlineStr">
        <is>
          <t>M4</t>
        </is>
      </c>
      <c r="Q49" s="155" t="inlineStr">
        <is>
          <t>A</t>
        </is>
      </c>
      <c r="R49" s="155" t="inlineStr">
        <is>
          <t>J</t>
        </is>
      </c>
      <c r="S49" s="156" t="inlineStr">
        <is>
          <t>J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0</v>
      </c>
      <c r="AD49" s="18">
        <v>0</v>
      </c>
      <c r="AE49" s="18">
        <v>1</v>
      </c>
      <c r="AF49" s="18">
        <v>1</v>
      </c>
      <c r="AG49" s="18">
        <v>1</v>
      </c>
      <c r="AH49" s="18">
        <v>1</v>
      </c>
      <c r="AI49" s="4">
        <v>0</v>
      </c>
      <c r="AK49" s="153" t="s">
        <v>228</v>
      </c>
      <c r="AL49" s="153">
        <v>0</v>
      </c>
      <c r="AM49" s="153">
        <v>3301</v>
      </c>
      <c r="AN49" s="153">
        <v>2571</v>
      </c>
      <c r="AO49" s="153">
        <v>3143</v>
      </c>
      <c r="AP49" s="153">
        <v>1283</v>
      </c>
      <c r="AQ49" s="153">
        <v>625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0</v>
      </c>
      <c r="AD50" s="18">
        <v>0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845</v>
      </c>
      <c r="AN50" s="153">
        <v>3357</v>
      </c>
      <c r="AO50" s="153">
        <v>891</v>
      </c>
      <c r="AP50" s="153">
        <v>526</v>
      </c>
      <c r="AQ50" s="153">
        <v>216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0</v>
      </c>
      <c r="AD51" s="18">
        <v>0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3179</v>
      </c>
      <c r="AN51" s="153">
        <v>783</v>
      </c>
      <c r="AO51" s="153">
        <v>3535</v>
      </c>
      <c r="AP51" s="153">
        <v>1551</v>
      </c>
      <c r="AQ51" s="153">
        <v>902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0</v>
      </c>
      <c r="AD52" s="18">
        <v>0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0</v>
      </c>
      <c r="AD53" s="18">
        <v>0</v>
      </c>
      <c r="AE53" s="18">
        <v>1</v>
      </c>
      <c r="AF53" s="18">
        <v>1</v>
      </c>
      <c r="AG53" s="18">
        <v>1</v>
      </c>
      <c r="AH53" s="18">
        <v>1</v>
      </c>
      <c r="AI53" s="4">
        <v>0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0</v>
      </c>
      <c r="AD54" s="18">
        <v>0</v>
      </c>
      <c r="AE54" s="18">
        <v>1</v>
      </c>
      <c r="AF54" s="18">
        <v>1</v>
      </c>
      <c r="AG54" s="18">
        <v>1</v>
      </c>
      <c r="AH54" s="18">
        <v>1</v>
      </c>
      <c r="AI54" s="4">
        <v>0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0</v>
      </c>
      <c r="AD55" s="18">
        <v>0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0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K</t>
        </is>
      </c>
      <c r="N58" s="155" t="inlineStr">
        <is>
          <t>M2</t>
        </is>
      </c>
      <c r="O58" s="155" t="inlineStr">
        <is>
          <t>M6</t>
        </is>
      </c>
      <c r="P58" s="155" t="inlineStr">
        <is>
          <t>M2</t>
        </is>
      </c>
      <c r="Q58" s="155" t="inlineStr">
        <is>
          <t>GT</t>
        </is>
      </c>
      <c r="R58" s="155" t="inlineStr">
        <is>
          <t>A</t>
        </is>
      </c>
      <c r="S58" s="156" t="inlineStr">
        <is>
          <t>M4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0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0</v>
      </c>
      <c r="AE60" s="18">
        <v>1</v>
      </c>
      <c r="AF60" s="18">
        <v>1</v>
      </c>
      <c r="AG60" s="18">
        <v>1</v>
      </c>
      <c r="AH60" s="18">
        <v>1</v>
      </c>
      <c r="AI60" s="4">
        <v>0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0</v>
      </c>
      <c r="AE61" s="18">
        <v>1</v>
      </c>
      <c r="AF61" s="18">
        <v>1</v>
      </c>
      <c r="AG61" s="18">
        <v>1</v>
      </c>
      <c r="AH61" s="18">
        <v>1</v>
      </c>
      <c r="AI61" s="4">
        <v>0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0</v>
      </c>
      <c r="AD62" s="18">
        <v>0</v>
      </c>
      <c r="AE62" s="18">
        <v>1</v>
      </c>
      <c r="AF62" s="18">
        <v>1</v>
      </c>
      <c r="AG62" s="18">
        <v>1</v>
      </c>
      <c r="AH62" s="18">
        <v>1</v>
      </c>
      <c r="AI62" s="4">
        <v>0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0</v>
      </c>
      <c r="AD63" s="18">
        <v>0</v>
      </c>
      <c r="AE63" s="18">
        <v>1</v>
      </c>
      <c r="AF63" s="18">
        <v>1</v>
      </c>
      <c r="AG63" s="18">
        <v>1</v>
      </c>
      <c r="AH63" s="18">
        <v>1</v>
      </c>
      <c r="AI63" s="4">
        <v>0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0</v>
      </c>
      <c r="AD64" s="18">
        <v>0</v>
      </c>
      <c r="AE64" s="18">
        <v>1</v>
      </c>
      <c r="AF64" s="18">
        <v>1</v>
      </c>
      <c r="AG64" s="18">
        <v>1</v>
      </c>
      <c r="AH64" s="18">
        <v>1</v>
      </c>
      <c r="AI64" s="4">
        <v>0</v>
      </c>
      <c r="AK64" s="153" t="s">
        <v>20</v>
      </c>
      <c r="AL64" s="153">
        <v>3797</v>
      </c>
      <c r="AM64" s="153">
        <v>3915</v>
      </c>
      <c r="AN64" s="153">
        <v>3584</v>
      </c>
      <c r="AO64" s="153">
        <v>5137</v>
      </c>
      <c r="AP64" s="153">
        <v>2582</v>
      </c>
      <c r="AQ64" s="153">
        <v>3046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0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0</v>
      </c>
      <c r="AK65" s="153" t="s">
        <v>21</v>
      </c>
      <c r="AL65" s="153">
        <v>11926</v>
      </c>
      <c r="AM65" s="153">
        <v>13479</v>
      </c>
      <c r="AN65" s="153">
        <v>10547</v>
      </c>
      <c r="AO65" s="153">
        <v>10476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0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54211</v>
      </c>
      <c r="AN66" s="153">
        <v>30613</v>
      </c>
      <c r="AO66" s="153">
        <v>47216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M3</t>
        </is>
      </c>
      <c r="N67" s="155" t="inlineStr">
        <is>
          <t>Q</t>
        </is>
      </c>
      <c r="O67" s="155" t="inlineStr">
        <is>
          <t>J</t>
        </is>
      </c>
      <c r="P67" s="155" t="inlineStr">
        <is>
          <t>A</t>
        </is>
      </c>
      <c r="Q67" s="155" t="inlineStr">
        <is>
          <t>Q</t>
        </is>
      </c>
      <c r="R67" s="155" t="inlineStr">
        <is>
          <t>M2</t>
        </is>
      </c>
      <c r="S67" s="156" t="inlineStr">
        <is>
          <t>A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0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138041</v>
      </c>
      <c r="AN67" s="153">
        <v>99303</v>
      </c>
      <c r="AO67" s="153">
        <v>121729</v>
      </c>
      <c r="AP67" s="153">
        <v>112715</v>
      </c>
      <c r="AQ67" s="153">
        <v>110487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0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35353</v>
      </c>
      <c r="AN68" s="153">
        <v>129645</v>
      </c>
      <c r="AO68" s="153">
        <v>34526</v>
      </c>
      <c r="AP68" s="153">
        <v>46201</v>
      </c>
      <c r="AQ68" s="153">
        <v>38187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0</v>
      </c>
      <c r="AD69" s="18">
        <v>0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132957</v>
      </c>
      <c r="AN69" s="153">
        <v>30235</v>
      </c>
      <c r="AO69" s="153">
        <v>136926</v>
      </c>
      <c r="AP69" s="153">
        <v>136215</v>
      </c>
      <c r="AQ69" s="153">
        <v>159365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0</v>
      </c>
      <c r="AD70" s="18">
        <v>0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0</v>
      </c>
      <c r="AD71" s="18">
        <v>0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0</v>
      </c>
      <c r="AD72" s="18">
        <v>0</v>
      </c>
      <c r="AE72" s="18">
        <v>1</v>
      </c>
      <c r="AF72" s="18">
        <v>1</v>
      </c>
      <c r="AG72" s="18">
        <v>1</v>
      </c>
      <c r="AH72" s="18">
        <v>1</v>
      </c>
      <c r="AI72" s="4">
        <v>0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0</v>
      </c>
      <c r="AD73" s="18">
        <v>0</v>
      </c>
      <c r="AE73" s="18">
        <v>1</v>
      </c>
      <c r="AF73" s="18">
        <v>1</v>
      </c>
      <c r="AG73" s="18">
        <v>1</v>
      </c>
      <c r="AH73" s="18">
        <v>1</v>
      </c>
      <c r="AI73" s="4">
        <v>0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0</v>
      </c>
      <c r="AD74" s="18">
        <v>0</v>
      </c>
      <c r="AE74" s="18">
        <v>1</v>
      </c>
      <c r="AF74" s="18">
        <v>1</v>
      </c>
      <c r="AG74" s="18">
        <v>1</v>
      </c>
      <c r="AH74" s="18">
        <v>1</v>
      </c>
      <c r="AI74" s="4">
        <v>0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0</v>
      </c>
      <c r="AD75" s="18">
        <v>0</v>
      </c>
      <c r="AE75" s="18">
        <v>1</v>
      </c>
      <c r="AF75" s="18">
        <v>1</v>
      </c>
      <c r="AG75" s="18">
        <v>1</v>
      </c>
      <c r="AH75" s="18">
        <v>1</v>
      </c>
      <c r="AI75" s="4">
        <v>0</v>
      </c>
      <c r="AK75" s="153" t="s">
        <v>222</v>
      </c>
      <c r="AL75" s="153">
        <v>0</v>
      </c>
      <c r="AM75" s="153">
        <v>94</v>
      </c>
      <c r="AN75" s="153">
        <v>93</v>
      </c>
      <c r="AO75" s="153">
        <v>133</v>
      </c>
      <c r="AP75" s="153">
        <v>29</v>
      </c>
      <c r="AQ75" s="153">
        <v>17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M3</t>
        </is>
      </c>
      <c r="N76" s="155" t="inlineStr">
        <is>
          <t>M6</t>
        </is>
      </c>
      <c r="O76" s="155" t="inlineStr">
        <is>
          <t>M5</t>
        </is>
      </c>
      <c r="P76" s="155" t="inlineStr">
        <is>
          <t>M5</t>
        </is>
      </c>
      <c r="Q76" s="155" t="inlineStr">
        <is>
          <t>A</t>
        </is>
      </c>
      <c r="R76" s="155" t="inlineStr">
        <is>
          <t>TE</t>
        </is>
      </c>
      <c r="S76" s="156" t="inlineStr">
        <is>
          <t>J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0</v>
      </c>
      <c r="AD76" s="18">
        <v>0</v>
      </c>
      <c r="AE76" s="18">
        <v>1</v>
      </c>
      <c r="AF76" s="18">
        <v>1</v>
      </c>
      <c r="AG76" s="18">
        <v>1</v>
      </c>
      <c r="AH76" s="18">
        <v>1</v>
      </c>
      <c r="AI76" s="4">
        <v>0</v>
      </c>
      <c r="AK76" s="153" t="s">
        <v>224</v>
      </c>
      <c r="AL76" s="153">
        <v>0</v>
      </c>
      <c r="AM76" s="153">
        <v>322</v>
      </c>
      <c r="AN76" s="153">
        <v>273</v>
      </c>
      <c r="AO76" s="153">
        <v>270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0</v>
      </c>
      <c r="AD77" s="18">
        <v>0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1296</v>
      </c>
      <c r="AN77" s="153">
        <v>793</v>
      </c>
      <c r="AO77" s="153">
        <v>1219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0</v>
      </c>
      <c r="AD78" s="18">
        <v>0</v>
      </c>
      <c r="AE78" s="18">
        <v>1</v>
      </c>
      <c r="AF78" s="18">
        <v>1</v>
      </c>
      <c r="AG78" s="18">
        <v>1</v>
      </c>
      <c r="AH78" s="18">
        <v>1</v>
      </c>
      <c r="AI78" s="4">
        <v>0</v>
      </c>
      <c r="AK78" s="153" t="s">
        <v>228</v>
      </c>
      <c r="AL78" s="153">
        <v>0</v>
      </c>
      <c r="AM78" s="153">
        <v>3301</v>
      </c>
      <c r="AN78" s="153">
        <v>2571</v>
      </c>
      <c r="AO78" s="153">
        <v>3143</v>
      </c>
      <c r="AP78" s="153">
        <v>1283</v>
      </c>
      <c r="AQ78" s="153">
        <v>625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0</v>
      </c>
      <c r="AD79" s="18">
        <v>0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845</v>
      </c>
      <c r="AN79" s="153">
        <v>3357</v>
      </c>
      <c r="AO79" s="153">
        <v>891</v>
      </c>
      <c r="AP79" s="153">
        <v>526</v>
      </c>
      <c r="AQ79" s="153">
        <v>216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0</v>
      </c>
      <c r="AE80" s="18">
        <v>1</v>
      </c>
      <c r="AF80" s="18">
        <v>1</v>
      </c>
      <c r="AG80" s="18">
        <v>1</v>
      </c>
      <c r="AH80" s="18">
        <v>1</v>
      </c>
      <c r="AI80" s="4">
        <v>0</v>
      </c>
      <c r="AK80" s="153" t="s">
        <v>232</v>
      </c>
      <c r="AL80" s="153">
        <v>0</v>
      </c>
      <c r="AM80" s="153">
        <v>3179</v>
      </c>
      <c r="AN80" s="153">
        <v>783</v>
      </c>
      <c r="AO80" s="153">
        <v>3535</v>
      </c>
      <c r="AP80" s="153">
        <v>1551</v>
      </c>
      <c r="AQ80" s="153">
        <v>902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0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0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0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0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GQ</t>
        </is>
      </c>
      <c r="O85" s="155" t="inlineStr">
        <is>
          <t>A</t>
        </is>
      </c>
      <c r="P85" s="155" t="inlineStr">
        <is>
          <t>M2</t>
        </is>
      </c>
      <c r="Q85" s="155" t="inlineStr">
        <is>
          <t>M6</t>
        </is>
      </c>
      <c r="R85" s="155" t="inlineStr">
        <is>
          <t>M6</t>
        </is>
      </c>
      <c r="S85" s="156" t="inlineStr">
        <is>
          <t>M4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0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0</v>
      </c>
      <c r="AE86" s="18">
        <v>1</v>
      </c>
      <c r="AF86" s="18">
        <v>1</v>
      </c>
      <c r="AG86" s="18">
        <v>1</v>
      </c>
      <c r="AH86" s="18">
        <v>1</v>
      </c>
      <c r="AI86" s="4">
        <v>0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0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0</v>
      </c>
      <c r="AE88" s="18">
        <v>1</v>
      </c>
      <c r="AF88" s="18">
        <v>1</v>
      </c>
      <c r="AG88" s="18">
        <v>1</v>
      </c>
      <c r="AH88" s="18">
        <v>1</v>
      </c>
      <c r="AI88" s="4">
        <v>0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0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0</v>
      </c>
      <c r="AE90" s="18">
        <v>1</v>
      </c>
      <c r="AF90" s="18">
        <v>1</v>
      </c>
      <c r="AG90" s="18">
        <v>1</v>
      </c>
      <c r="AH90" s="18">
        <v>1</v>
      </c>
      <c r="AI90" s="4">
        <v>0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0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0</v>
      </c>
      <c r="AE92" s="18">
        <v>1</v>
      </c>
      <c r="AF92" s="18">
        <v>1</v>
      </c>
      <c r="AG92" s="18">
        <v>1</v>
      </c>
      <c r="AH92" s="18">
        <v>1</v>
      </c>
      <c r="AI92" s="4">
        <v>0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0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3915</v>
      </c>
      <c r="AN93" s="153">
        <v>3584</v>
      </c>
      <c r="AO93" s="153">
        <v>5137</v>
      </c>
      <c r="AP93" s="153">
        <v>2582</v>
      </c>
      <c r="AQ93" s="153">
        <v>3046</v>
      </c>
      <c r="AR93" s="153">
        <v>3063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G3</t>
        </is>
      </c>
      <c r="Q94" s="155" t="inlineStr">
        <is>
          <t>M5</t>
        </is>
      </c>
      <c r="R94" s="155" t="inlineStr">
        <is>
          <t>M6</t>
        </is>
      </c>
      <c r="S94" s="156" t="inlineStr">
        <is>
          <t>J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0</v>
      </c>
      <c r="AE94" s="18">
        <v>1</v>
      </c>
      <c r="AF94" s="18">
        <v>1</v>
      </c>
      <c r="AG94" s="18">
        <v>1</v>
      </c>
      <c r="AH94" s="18">
        <v>1</v>
      </c>
      <c r="AI94" s="4">
        <v>0</v>
      </c>
      <c r="AK94" s="153" t="s">
        <v>21</v>
      </c>
      <c r="AL94" s="153">
        <v>11926</v>
      </c>
      <c r="AM94" s="153">
        <v>13479</v>
      </c>
      <c r="AN94" s="153">
        <v>10547</v>
      </c>
      <c r="AO94" s="153">
        <v>10476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0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54211</v>
      </c>
      <c r="AN95" s="153">
        <v>30613</v>
      </c>
      <c r="AO95" s="153">
        <v>47216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0</v>
      </c>
      <c r="AD96" s="18">
        <v>0</v>
      </c>
      <c r="AE96" s="18">
        <v>1</v>
      </c>
      <c r="AF96" s="18">
        <v>1</v>
      </c>
      <c r="AG96" s="18">
        <v>1</v>
      </c>
      <c r="AH96" s="18">
        <v>1</v>
      </c>
      <c r="AI96" s="4">
        <v>0</v>
      </c>
      <c r="AK96" s="153" t="s">
        <v>18</v>
      </c>
      <c r="AL96" s="153">
        <v>95567</v>
      </c>
      <c r="AM96" s="153">
        <v>138041</v>
      </c>
      <c r="AN96" s="153">
        <v>99303</v>
      </c>
      <c r="AO96" s="153">
        <v>121729</v>
      </c>
      <c r="AP96" s="153">
        <v>112715</v>
      </c>
      <c r="AQ96" s="153">
        <v>110487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0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0</v>
      </c>
      <c r="AK97" s="153" t="s">
        <v>64</v>
      </c>
      <c r="AL97" s="153">
        <v>148371</v>
      </c>
      <c r="AM97" s="153">
        <v>35353</v>
      </c>
      <c r="AN97" s="153">
        <v>129645</v>
      </c>
      <c r="AO97" s="153">
        <v>34526</v>
      </c>
      <c r="AP97" s="153">
        <v>46201</v>
      </c>
      <c r="AQ97" s="153">
        <v>38187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0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0</v>
      </c>
      <c r="AK98" s="153" t="s">
        <v>89</v>
      </c>
      <c r="AL98" s="153">
        <v>33812</v>
      </c>
      <c r="AM98" s="153">
        <v>132957</v>
      </c>
      <c r="AN98" s="153">
        <v>30235</v>
      </c>
      <c r="AO98" s="153">
        <v>136926</v>
      </c>
      <c r="AP98" s="153">
        <v>136215</v>
      </c>
      <c r="AQ98" s="153">
        <v>159365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0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0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0</v>
      </c>
      <c r="AD100" s="18">
        <v>0</v>
      </c>
      <c r="AE100" s="18">
        <v>1</v>
      </c>
      <c r="AF100" s="18">
        <v>1</v>
      </c>
      <c r="AG100" s="18">
        <v>1</v>
      </c>
      <c r="AH100" s="18">
        <v>1</v>
      </c>
      <c r="AI100" s="4">
        <v>0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0</v>
      </c>
      <c r="AD101" s="18">
        <v>0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0</v>
      </c>
      <c r="AD102" s="18">
        <v>0</v>
      </c>
      <c r="AE102" s="18">
        <v>1</v>
      </c>
      <c r="AF102" s="18">
        <v>1</v>
      </c>
      <c r="AG102" s="18">
        <v>1</v>
      </c>
      <c r="AH102" s="18">
        <v>1</v>
      </c>
      <c r="AI102" s="4">
        <v>0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TE</t>
        </is>
      </c>
      <c r="N103" s="155" t="inlineStr">
        <is>
          <t>M2</t>
        </is>
      </c>
      <c r="O103" s="155" t="inlineStr">
        <is>
          <t>TE</t>
        </is>
      </c>
      <c r="P103" s="155" t="inlineStr">
        <is>
          <t>M4</t>
        </is>
      </c>
      <c r="Q103" s="155" t="inlineStr">
        <is>
          <t>M3</t>
        </is>
      </c>
      <c r="R103" s="155" t="inlineStr">
        <is>
          <t>J</t>
        </is>
      </c>
      <c r="S103" s="156" t="inlineStr">
        <is>
          <t>J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0</v>
      </c>
      <c r="AE103" s="18">
        <v>1</v>
      </c>
      <c r="AF103" s="18">
        <v>1</v>
      </c>
      <c r="AG103" s="18">
        <v>1</v>
      </c>
      <c r="AH103" s="18">
        <v>1</v>
      </c>
      <c r="AI103" s="4">
        <v>0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0</v>
      </c>
      <c r="AD104" s="18">
        <v>0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94</v>
      </c>
      <c r="AN104" s="153">
        <v>93</v>
      </c>
      <c r="AO104" s="153">
        <v>133</v>
      </c>
      <c r="AP104" s="153">
        <v>29</v>
      </c>
      <c r="AQ104" s="153">
        <v>17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0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0</v>
      </c>
      <c r="AK105" s="153" t="s">
        <v>224</v>
      </c>
      <c r="AL105" s="153">
        <v>0</v>
      </c>
      <c r="AM105" s="153">
        <v>322</v>
      </c>
      <c r="AN105" s="153">
        <v>273</v>
      </c>
      <c r="AO105" s="153">
        <v>270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0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0</v>
      </c>
      <c r="AK106" s="153" t="s">
        <v>226</v>
      </c>
      <c r="AL106" s="153">
        <v>0</v>
      </c>
      <c r="AM106" s="153">
        <v>1296</v>
      </c>
      <c r="AN106" s="153">
        <v>793</v>
      </c>
      <c r="AO106" s="153">
        <v>1219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0</v>
      </c>
      <c r="AD107" s="18">
        <v>0</v>
      </c>
      <c r="AE107" s="18">
        <v>1</v>
      </c>
      <c r="AF107" s="18">
        <v>1</v>
      </c>
      <c r="AG107" s="18">
        <v>1</v>
      </c>
      <c r="AH107" s="18">
        <v>1</v>
      </c>
      <c r="AI107" s="4">
        <v>0</v>
      </c>
      <c r="AK107" s="153" t="s">
        <v>228</v>
      </c>
      <c r="AL107" s="153">
        <v>0</v>
      </c>
      <c r="AM107" s="153">
        <v>3301</v>
      </c>
      <c r="AN107" s="153">
        <v>2571</v>
      </c>
      <c r="AO107" s="153">
        <v>3143</v>
      </c>
      <c r="AP107" s="153">
        <v>1283</v>
      </c>
      <c r="AQ107" s="153">
        <v>625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0</v>
      </c>
      <c r="AD108" s="18">
        <v>0</v>
      </c>
      <c r="AE108" s="18">
        <v>1</v>
      </c>
      <c r="AF108" s="18">
        <v>1</v>
      </c>
      <c r="AG108" s="18">
        <v>1</v>
      </c>
      <c r="AH108" s="18">
        <v>1</v>
      </c>
      <c r="AI108" s="4">
        <v>0</v>
      </c>
      <c r="AK108" s="153" t="s">
        <v>230</v>
      </c>
      <c r="AL108" s="153">
        <v>0</v>
      </c>
      <c r="AM108" s="153">
        <v>845</v>
      </c>
      <c r="AN108" s="153">
        <v>3357</v>
      </c>
      <c r="AO108" s="153">
        <v>891</v>
      </c>
      <c r="AP108" s="153">
        <v>526</v>
      </c>
      <c r="AQ108" s="153">
        <v>216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0</v>
      </c>
      <c r="AD109" s="18">
        <v>0</v>
      </c>
      <c r="AE109" s="18">
        <v>1</v>
      </c>
      <c r="AF109" s="18">
        <v>1</v>
      </c>
      <c r="AG109" s="18">
        <v>1</v>
      </c>
      <c r="AH109" s="18">
        <v>1</v>
      </c>
      <c r="AI109" s="4">
        <v>0</v>
      </c>
      <c r="AK109" s="153" t="s">
        <v>232</v>
      </c>
      <c r="AL109" s="153">
        <v>0</v>
      </c>
      <c r="AM109" s="153">
        <v>3179</v>
      </c>
      <c r="AN109" s="153">
        <v>783</v>
      </c>
      <c r="AO109" s="153">
        <v>3535</v>
      </c>
      <c r="AP109" s="153">
        <v>1551</v>
      </c>
      <c r="AQ109" s="153">
        <v>902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0</v>
      </c>
      <c r="AD110" s="18">
        <v>0</v>
      </c>
      <c r="AE110" s="18">
        <v>1</v>
      </c>
      <c r="AF110" s="18">
        <v>1</v>
      </c>
      <c r="AG110" s="18">
        <v>1</v>
      </c>
      <c r="AH110" s="18">
        <v>1</v>
      </c>
      <c r="AI110" s="4">
        <v>0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0</v>
      </c>
      <c r="AD111" s="18">
        <v>0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K</t>
        </is>
      </c>
      <c r="N112" s="155" t="inlineStr">
        <is>
          <t>M5</t>
        </is>
      </c>
      <c r="O112" s="155" t="inlineStr">
        <is>
          <t>Q</t>
        </is>
      </c>
      <c r="P112" s="155" t="inlineStr">
        <is>
          <t>J</t>
        </is>
      </c>
      <c r="Q112" s="155" t="inlineStr">
        <is>
          <t>M5</t>
        </is>
      </c>
      <c r="R112" s="155" t="inlineStr">
        <is>
          <t>GK</t>
        </is>
      </c>
      <c r="S112" s="156" t="inlineStr">
        <is>
          <t>M2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0</v>
      </c>
      <c r="AD112" s="18">
        <v>0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0</v>
      </c>
      <c r="AD113" s="18">
        <v>0</v>
      </c>
      <c r="AE113" s="18">
        <v>1</v>
      </c>
      <c r="AF113" s="18">
        <v>1</v>
      </c>
      <c r="AG113" s="18">
        <v>1</v>
      </c>
      <c r="AH113" s="18">
        <v>1</v>
      </c>
      <c r="AI113" s="4">
        <v>0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0</v>
      </c>
      <c r="AD114" s="18">
        <v>0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0</v>
      </c>
      <c r="AD115" s="18">
        <v>0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0</v>
      </c>
      <c r="AD116" s="18">
        <v>0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0</v>
      </c>
      <c r="AD117" s="18">
        <v>0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0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0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0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0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0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0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J</t>
        </is>
      </c>
      <c r="N121" s="155" t="inlineStr">
        <is>
          <t>M5</t>
        </is>
      </c>
      <c r="O121" s="155" t="inlineStr">
        <is>
          <t>TE</t>
        </is>
      </c>
      <c r="P121" s="155" t="inlineStr">
        <is>
          <t>J</t>
        </is>
      </c>
      <c r="Q121" s="155" t="inlineStr">
        <is>
          <t>M2</t>
        </is>
      </c>
      <c r="R121" s="155" t="inlineStr">
        <is>
          <t>K</t>
        </is>
      </c>
      <c r="S121" s="156" t="inlineStr">
        <is>
          <t>M5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0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0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0</v>
      </c>
      <c r="AK122" s="153" t="s">
        <v>20</v>
      </c>
      <c r="AL122" s="153">
        <v>3797</v>
      </c>
      <c r="AM122" s="153">
        <v>3915</v>
      </c>
      <c r="AN122" s="153">
        <v>3584</v>
      </c>
      <c r="AO122" s="153">
        <v>5137</v>
      </c>
      <c r="AP122" s="153">
        <v>2582</v>
      </c>
      <c r="AQ122" s="153">
        <v>3046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0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0</v>
      </c>
      <c r="AK123" s="153" t="s">
        <v>21</v>
      </c>
      <c r="AL123" s="153">
        <v>11926</v>
      </c>
      <c r="AM123" s="153">
        <v>13479</v>
      </c>
      <c r="AN123" s="153">
        <v>10547</v>
      </c>
      <c r="AO123" s="153">
        <v>10476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0</v>
      </c>
      <c r="AD124" s="18">
        <v>0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54211</v>
      </c>
      <c r="AN124" s="153">
        <v>30613</v>
      </c>
      <c r="AO124" s="153">
        <v>47216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0</v>
      </c>
      <c r="AD125" s="18">
        <v>0</v>
      </c>
      <c r="AE125" s="18">
        <v>1</v>
      </c>
      <c r="AF125" s="18">
        <v>1</v>
      </c>
      <c r="AG125" s="18">
        <v>1</v>
      </c>
      <c r="AH125" s="18">
        <v>1</v>
      </c>
      <c r="AI125" s="18">
        <v>0</v>
      </c>
      <c r="AK125" s="153" t="s">
        <v>18</v>
      </c>
      <c r="AL125" s="153">
        <v>95567</v>
      </c>
      <c r="AM125" s="153">
        <v>138041</v>
      </c>
      <c r="AN125" s="153">
        <v>99303</v>
      </c>
      <c r="AO125" s="153">
        <v>121729</v>
      </c>
      <c r="AP125" s="153">
        <v>112715</v>
      </c>
      <c r="AQ125" s="153">
        <v>110487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0</v>
      </c>
      <c r="AD126" s="18">
        <v>0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35353</v>
      </c>
      <c r="AN126" s="153">
        <v>129645</v>
      </c>
      <c r="AO126" s="153">
        <v>34526</v>
      </c>
      <c r="AP126" s="153">
        <v>46201</v>
      </c>
      <c r="AQ126" s="153">
        <v>38187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0</v>
      </c>
      <c r="AD127" s="18">
        <v>0</v>
      </c>
      <c r="AE127" s="18">
        <v>1</v>
      </c>
      <c r="AF127" s="18">
        <v>1</v>
      </c>
      <c r="AG127" s="18">
        <v>1</v>
      </c>
      <c r="AH127" s="18">
        <v>1</v>
      </c>
      <c r="AI127" s="18">
        <v>0</v>
      </c>
      <c r="AK127" s="153" t="s">
        <v>89</v>
      </c>
      <c r="AL127" s="153">
        <v>33812</v>
      </c>
      <c r="AM127" s="153">
        <v>132957</v>
      </c>
      <c r="AN127" s="153">
        <v>30235</v>
      </c>
      <c r="AO127" s="153">
        <v>136926</v>
      </c>
      <c r="AP127" s="153">
        <v>136215</v>
      </c>
      <c r="AQ127" s="153">
        <v>159365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0</v>
      </c>
      <c r="AD128" s="18">
        <v>0</v>
      </c>
      <c r="AE128" s="18">
        <v>1</v>
      </c>
      <c r="AF128" s="18">
        <v>1</v>
      </c>
      <c r="AG128" s="18">
        <v>1</v>
      </c>
      <c r="AH128" s="18">
        <v>1</v>
      </c>
      <c r="AI128" s="18">
        <v>0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0</v>
      </c>
      <c r="AD129" s="18">
        <v>0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J</t>
        </is>
      </c>
      <c r="O130" s="155" t="inlineStr">
        <is>
          <t>M2</t>
        </is>
      </c>
      <c r="P130" s="155" t="inlineStr">
        <is>
          <t>GA</t>
        </is>
      </c>
      <c r="Q130" s="155" t="inlineStr">
        <is>
          <t>A</t>
        </is>
      </c>
      <c r="R130" s="155" t="inlineStr">
        <is>
          <t>Q</t>
        </is>
      </c>
      <c r="S130" s="156" t="inlineStr">
        <is>
          <t>K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0</v>
      </c>
      <c r="AD130" s="18">
        <v>0</v>
      </c>
      <c r="AE130" s="18">
        <v>1</v>
      </c>
      <c r="AF130" s="18">
        <v>1</v>
      </c>
      <c r="AG130" s="18">
        <v>1</v>
      </c>
      <c r="AH130" s="18">
        <v>1</v>
      </c>
      <c r="AI130" s="18">
        <v>0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0</v>
      </c>
      <c r="AD131" s="18">
        <v>0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0</v>
      </c>
      <c r="AD132" s="18">
        <v>0</v>
      </c>
      <c r="AE132" s="18">
        <v>1</v>
      </c>
      <c r="AF132" s="18">
        <v>1</v>
      </c>
      <c r="AG132" s="18">
        <v>1</v>
      </c>
      <c r="AH132" s="18">
        <v>1</v>
      </c>
      <c r="AI132" s="18">
        <v>0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0</v>
      </c>
      <c r="AD133" s="18">
        <v>0</v>
      </c>
      <c r="AE133" s="18">
        <v>1</v>
      </c>
      <c r="AF133" s="18">
        <v>1</v>
      </c>
      <c r="AG133" s="18">
        <v>1</v>
      </c>
      <c r="AH133" s="18">
        <v>1</v>
      </c>
      <c r="AI133" s="18">
        <v>0</v>
      </c>
      <c r="AK133" s="153" t="s">
        <v>222</v>
      </c>
      <c r="AL133" s="153">
        <v>0</v>
      </c>
      <c r="AM133" s="153">
        <v>94</v>
      </c>
      <c r="AN133" s="153">
        <v>93</v>
      </c>
      <c r="AO133" s="153">
        <v>133</v>
      </c>
      <c r="AP133" s="153">
        <v>29</v>
      </c>
      <c r="AQ133" s="153">
        <v>17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0</v>
      </c>
      <c r="AD134" s="18">
        <v>0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322</v>
      </c>
      <c r="AN134" s="153">
        <v>273</v>
      </c>
      <c r="AO134" s="153">
        <v>270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0</v>
      </c>
      <c r="AD135" s="18">
        <v>0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1296</v>
      </c>
      <c r="AN135" s="153">
        <v>793</v>
      </c>
      <c r="AO135" s="153">
        <v>1219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0</v>
      </c>
      <c r="AD136" s="18">
        <v>0</v>
      </c>
      <c r="AE136" s="18">
        <v>1</v>
      </c>
      <c r="AF136" s="18">
        <v>1</v>
      </c>
      <c r="AG136" s="18">
        <v>1</v>
      </c>
      <c r="AH136" s="18">
        <v>1</v>
      </c>
      <c r="AI136" s="18">
        <v>0</v>
      </c>
      <c r="AK136" s="153" t="s">
        <v>228</v>
      </c>
      <c r="AL136" s="153">
        <v>0</v>
      </c>
      <c r="AM136" s="153">
        <v>3301</v>
      </c>
      <c r="AN136" s="153">
        <v>2571</v>
      </c>
      <c r="AO136" s="153">
        <v>3143</v>
      </c>
      <c r="AP136" s="153">
        <v>1283</v>
      </c>
      <c r="AQ136" s="153">
        <v>625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0</v>
      </c>
      <c r="AD137" s="18">
        <v>0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845</v>
      </c>
      <c r="AN137" s="153">
        <v>3357</v>
      </c>
      <c r="AO137" s="153">
        <v>891</v>
      </c>
      <c r="AP137" s="153">
        <v>526</v>
      </c>
      <c r="AQ137" s="153">
        <v>216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0</v>
      </c>
      <c r="AD138" s="18">
        <v>0</v>
      </c>
      <c r="AE138" s="18">
        <v>1</v>
      </c>
      <c r="AF138" s="18">
        <v>1</v>
      </c>
      <c r="AG138" s="18">
        <v>1</v>
      </c>
      <c r="AH138" s="18">
        <v>1</v>
      </c>
      <c r="AI138" s="18">
        <v>0</v>
      </c>
      <c r="AK138" s="153" t="s">
        <v>232</v>
      </c>
      <c r="AL138" s="153">
        <v>0</v>
      </c>
      <c r="AM138" s="153">
        <v>3179</v>
      </c>
      <c r="AN138" s="153">
        <v>783</v>
      </c>
      <c r="AO138" s="153">
        <v>3535</v>
      </c>
      <c r="AP138" s="153">
        <v>1551</v>
      </c>
      <c r="AQ138" s="153">
        <v>902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GT</t>
        </is>
      </c>
      <c r="O139" s="155" t="inlineStr">
        <is>
          <t>Q</t>
        </is>
      </c>
      <c r="P139" s="155" t="inlineStr">
        <is>
          <t>GQ</t>
        </is>
      </c>
      <c r="Q139" s="155" t="inlineStr">
        <is>
          <t>Q</t>
        </is>
      </c>
      <c r="R139" s="155" t="inlineStr">
        <is>
          <t>M6</t>
        </is>
      </c>
      <c r="S139" s="156" t="inlineStr">
        <is>
          <t>M6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0</v>
      </c>
      <c r="AD139" s="18">
        <v>0</v>
      </c>
      <c r="AE139" s="18">
        <v>1</v>
      </c>
      <c r="AF139" s="18">
        <v>1</v>
      </c>
      <c r="AG139" s="18">
        <v>1</v>
      </c>
      <c r="AH139" s="18">
        <v>1</v>
      </c>
      <c r="AI139" s="18">
        <v>0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0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0</v>
      </c>
      <c r="AD141" s="18">
        <v>0</v>
      </c>
      <c r="AE141" s="18">
        <v>1</v>
      </c>
      <c r="AF141" s="18">
        <v>1</v>
      </c>
      <c r="AG141" s="18">
        <v>1</v>
      </c>
      <c r="AH141" s="18">
        <v>1</v>
      </c>
      <c r="AI141" s="18">
        <v>0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0</v>
      </c>
      <c r="AD142" s="18">
        <v>0</v>
      </c>
      <c r="AE142" s="18">
        <v>1</v>
      </c>
      <c r="AF142" s="18">
        <v>1</v>
      </c>
      <c r="AG142" s="18">
        <v>1</v>
      </c>
      <c r="AH142" s="18">
        <v>1</v>
      </c>
      <c r="AI142" s="18">
        <v>0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0</v>
      </c>
      <c r="AD143" s="18">
        <v>0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0</v>
      </c>
      <c r="AD144" s="18">
        <v>0</v>
      </c>
      <c r="AE144" s="18">
        <v>1</v>
      </c>
      <c r="AF144" s="18">
        <v>1</v>
      </c>
      <c r="AG144" s="18">
        <v>1</v>
      </c>
      <c r="AH144" s="18">
        <v>1</v>
      </c>
      <c r="AI144" s="18">
        <v>0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0</v>
      </c>
      <c r="AD145" s="18">
        <v>0</v>
      </c>
      <c r="AE145" s="18">
        <v>1</v>
      </c>
      <c r="AF145" s="18">
        <v>1</v>
      </c>
      <c r="AG145" s="18">
        <v>1</v>
      </c>
      <c r="AH145" s="18">
        <v>1</v>
      </c>
      <c r="AI145" s="18">
        <v>0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0</v>
      </c>
      <c r="AD146" s="18">
        <v>0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0</v>
      </c>
      <c r="AD147" s="18">
        <v>0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M6</t>
        </is>
      </c>
      <c r="N148" s="155" t="inlineStr">
        <is>
          <t>TE</t>
        </is>
      </c>
      <c r="O148" s="155" t="inlineStr">
        <is>
          <t>M3</t>
        </is>
      </c>
      <c r="P148" s="155" t="inlineStr">
        <is>
          <t>M5</t>
        </is>
      </c>
      <c r="Q148" s="155" t="inlineStr">
        <is>
          <t>M5</t>
        </is>
      </c>
      <c r="R148" s="155" t="inlineStr">
        <is>
          <t>Q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0</v>
      </c>
      <c r="AD148" s="18">
        <v>0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0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0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0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0</v>
      </c>
      <c r="AE155" s="18">
        <v>1</v>
      </c>
      <c r="AF155" s="18">
        <v>1</v>
      </c>
      <c r="AG155" s="18">
        <v>1</v>
      </c>
      <c r="AH155" s="18">
        <v>1</v>
      </c>
      <c r="AI155" s="18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0</v>
      </c>
      <c r="AE156" s="18">
        <v>1</v>
      </c>
      <c r="AF156" s="18">
        <v>1</v>
      </c>
      <c r="AG156" s="18">
        <v>1</v>
      </c>
      <c r="AH156" s="18">
        <v>1</v>
      </c>
      <c r="AI156" s="18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G5</t>
        </is>
      </c>
      <c r="O157" s="155" t="inlineStr">
        <is>
          <t>J</t>
        </is>
      </c>
      <c r="P157" s="155" t="inlineStr">
        <is>
          <t>M6</t>
        </is>
      </c>
      <c r="Q157" s="155" t="inlineStr">
        <is>
          <t>M5</t>
        </is>
      </c>
      <c r="R157" s="155" t="inlineStr">
        <is>
          <t>GT</t>
        </is>
      </c>
      <c r="S157" s="156" t="inlineStr">
        <is>
          <t>J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0</v>
      </c>
      <c r="AE157" s="18">
        <v>1</v>
      </c>
      <c r="AF157" s="18">
        <v>1</v>
      </c>
      <c r="AG157" s="18">
        <v>1</v>
      </c>
      <c r="AH157" s="18">
        <v>1</v>
      </c>
      <c r="AI157" s="18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0</v>
      </c>
      <c r="AD158" s="18">
        <v>0</v>
      </c>
      <c r="AE158" s="18">
        <v>1</v>
      </c>
      <c r="AF158" s="18">
        <v>1</v>
      </c>
      <c r="AG158" s="18">
        <v>1</v>
      </c>
      <c r="AH158" s="18">
        <v>1</v>
      </c>
      <c r="AI158" s="18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0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0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0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0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0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0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0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A</t>
        </is>
      </c>
      <c r="O166" s="155" t="inlineStr">
        <is>
          <t>A</t>
        </is>
      </c>
      <c r="P166" s="155" t="inlineStr">
        <is>
          <t>A</t>
        </is>
      </c>
      <c r="Q166" s="155" t="inlineStr">
        <is>
          <t>K</t>
        </is>
      </c>
      <c r="R166" s="155" t="inlineStr">
        <is>
          <t>Q</t>
        </is>
      </c>
      <c r="S166" s="156" t="inlineStr">
        <is>
          <t>J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0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0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0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0</v>
      </c>
      <c r="AD169" s="18">
        <v>0</v>
      </c>
      <c r="AE169" s="18">
        <v>1</v>
      </c>
      <c r="AF169" s="18">
        <v>1</v>
      </c>
      <c r="AG169" s="18">
        <v>1</v>
      </c>
      <c r="AH169" s="18">
        <v>1</v>
      </c>
      <c r="AI169" s="18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0</v>
      </c>
      <c r="AD170" s="18">
        <v>0</v>
      </c>
      <c r="AE170" s="18">
        <v>1</v>
      </c>
      <c r="AF170" s="18">
        <v>1</v>
      </c>
      <c r="AG170" s="18">
        <v>1</v>
      </c>
      <c r="AH170" s="18">
        <v>1</v>
      </c>
      <c r="AI170" s="18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0</v>
      </c>
      <c r="AD171" s="18">
        <v>0</v>
      </c>
      <c r="AE171" s="18">
        <v>1</v>
      </c>
      <c r="AF171" s="18">
        <v>1</v>
      </c>
      <c r="AG171" s="18">
        <v>1</v>
      </c>
      <c r="AH171" s="18">
        <v>1</v>
      </c>
      <c r="AI171" s="18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0</v>
      </c>
      <c r="AD172" s="18">
        <v>0</v>
      </c>
      <c r="AE172" s="18">
        <v>1</v>
      </c>
      <c r="AF172" s="18">
        <v>1</v>
      </c>
      <c r="AG172" s="18">
        <v>1</v>
      </c>
      <c r="AH172" s="18">
        <v>1</v>
      </c>
      <c r="AI172" s="18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0</v>
      </c>
      <c r="AD173" s="18">
        <v>0</v>
      </c>
      <c r="AE173" s="18">
        <v>1</v>
      </c>
      <c r="AF173" s="18">
        <v>1</v>
      </c>
      <c r="AG173" s="18">
        <v>1</v>
      </c>
      <c r="AH173" s="18">
        <v>1</v>
      </c>
      <c r="AI173" s="18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0</v>
      </c>
      <c r="AD174" s="18">
        <v>0</v>
      </c>
      <c r="AE174" s="18">
        <v>1</v>
      </c>
      <c r="AF174" s="18">
        <v>1</v>
      </c>
      <c r="AG174" s="18">
        <v>1</v>
      </c>
      <c r="AH174" s="18">
        <v>1</v>
      </c>
      <c r="AI174" s="18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Q</t>
        </is>
      </c>
      <c r="O175" s="155" t="inlineStr">
        <is>
          <t>M5</t>
        </is>
      </c>
      <c r="P175" s="155" t="inlineStr">
        <is>
          <t>M2</t>
        </is>
      </c>
      <c r="Q175" s="155" t="inlineStr">
        <is>
          <t>J</t>
        </is>
      </c>
      <c r="R175" s="155" t="inlineStr">
        <is>
          <t>K</t>
        </is>
      </c>
      <c r="S175" s="156" t="inlineStr">
        <is>
          <t>M6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0</v>
      </c>
      <c r="AD175" s="18">
        <v>0</v>
      </c>
      <c r="AE175" s="18">
        <v>1</v>
      </c>
      <c r="AF175" s="18">
        <v>1</v>
      </c>
      <c r="AG175" s="18">
        <v>1</v>
      </c>
      <c r="AH175" s="18">
        <v>1</v>
      </c>
      <c r="AI175" s="18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0</v>
      </c>
      <c r="AD176" s="18">
        <v>0</v>
      </c>
      <c r="AE176" s="18">
        <v>1</v>
      </c>
      <c r="AF176" s="18">
        <v>1</v>
      </c>
      <c r="AG176" s="18">
        <v>1</v>
      </c>
      <c r="AH176" s="18">
        <v>1</v>
      </c>
      <c r="AI176" s="18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0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0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0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0</v>
      </c>
      <c r="AD180" s="18">
        <v>0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0</v>
      </c>
      <c r="AD181" s="18">
        <v>0</v>
      </c>
      <c r="AE181" s="18">
        <v>1</v>
      </c>
      <c r="AF181" s="18">
        <v>1</v>
      </c>
      <c r="AG181" s="18">
        <v>1</v>
      </c>
      <c r="AH181" s="18">
        <v>1</v>
      </c>
      <c r="AI181" s="18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0</v>
      </c>
      <c r="AD182" s="18">
        <v>0</v>
      </c>
      <c r="AE182" s="18">
        <v>1</v>
      </c>
      <c r="AF182" s="18">
        <v>1</v>
      </c>
      <c r="AG182" s="18">
        <v>1</v>
      </c>
      <c r="AH182" s="18">
        <v>1</v>
      </c>
      <c r="AI182" s="18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0</v>
      </c>
      <c r="AD183" s="18">
        <v>0</v>
      </c>
      <c r="AE183" s="18">
        <v>1</v>
      </c>
      <c r="AF183" s="18">
        <v>1</v>
      </c>
      <c r="AG183" s="18">
        <v>1</v>
      </c>
      <c r="AH183" s="18">
        <v>1</v>
      </c>
      <c r="AI183" s="18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TE</t>
        </is>
      </c>
      <c r="O184" s="155" t="inlineStr">
        <is>
          <t>TE</t>
        </is>
      </c>
      <c r="P184" s="155" t="inlineStr">
        <is>
          <t>M6</t>
        </is>
      </c>
      <c r="Q184" s="155" t="inlineStr">
        <is>
          <t>GA</t>
        </is>
      </c>
      <c r="R184" s="155" t="inlineStr">
        <is>
          <t>J</t>
        </is>
      </c>
      <c r="S184" s="156" t="inlineStr">
        <is>
          <t>J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0</v>
      </c>
      <c r="AD184" s="18">
        <v>0</v>
      </c>
      <c r="AE184" s="18">
        <v>1</v>
      </c>
      <c r="AF184" s="18">
        <v>1</v>
      </c>
      <c r="AG184" s="18">
        <v>1</v>
      </c>
      <c r="AH184" s="18">
        <v>1</v>
      </c>
      <c r="AI184" s="18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0</v>
      </c>
      <c r="AD185" s="18">
        <v>0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0</v>
      </c>
      <c r="AD186" s="18">
        <v>0</v>
      </c>
      <c r="AE186" s="18">
        <v>1</v>
      </c>
      <c r="AF186" s="18">
        <v>1</v>
      </c>
      <c r="AG186" s="18">
        <v>1</v>
      </c>
      <c r="AH186" s="18">
        <v>1</v>
      </c>
      <c r="AI186" s="18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0</v>
      </c>
      <c r="AD187" s="18">
        <v>0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0</v>
      </c>
      <c r="AD188" s="18">
        <v>0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0</v>
      </c>
      <c r="AD189" s="18">
        <v>0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0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0</v>
      </c>
      <c r="AD191" s="18">
        <v>0</v>
      </c>
      <c r="AE191" s="18">
        <v>1</v>
      </c>
      <c r="AF191" s="18">
        <v>1</v>
      </c>
      <c r="AG191" s="18">
        <v>1</v>
      </c>
      <c r="AH191" s="18">
        <v>1</v>
      </c>
      <c r="AI191" s="18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0</v>
      </c>
      <c r="AD192" s="18">
        <v>0</v>
      </c>
      <c r="AE192" s="18">
        <v>1</v>
      </c>
      <c r="AF192" s="18">
        <v>1</v>
      </c>
      <c r="AG192" s="18">
        <v>1</v>
      </c>
      <c r="AH192" s="18">
        <v>1</v>
      </c>
      <c r="AI192" s="18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TE</t>
        </is>
      </c>
      <c r="N193" s="155" t="inlineStr">
        <is>
          <t>A</t>
        </is>
      </c>
      <c r="O193" s="155" t="inlineStr">
        <is>
          <t>M6</t>
        </is>
      </c>
      <c r="P193" s="155" t="inlineStr">
        <is>
          <t>K</t>
        </is>
      </c>
      <c r="Q193" s="155" t="inlineStr">
        <is>
          <t>M6</t>
        </is>
      </c>
      <c r="R193" s="155" t="inlineStr">
        <is>
          <t>M6</t>
        </is>
      </c>
      <c r="S193" s="156" t="inlineStr">
        <is>
          <t>A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0</v>
      </c>
      <c r="AD193" s="18">
        <v>0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0</v>
      </c>
      <c r="AD194" s="18">
        <v>0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0</v>
      </c>
      <c r="AD195" s="18">
        <v>0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0</v>
      </c>
      <c r="AD196" s="18">
        <v>0</v>
      </c>
      <c r="AE196" s="18">
        <v>1</v>
      </c>
      <c r="AF196" s="18">
        <v>1</v>
      </c>
      <c r="AG196" s="18">
        <v>1</v>
      </c>
      <c r="AH196" s="18">
        <v>1</v>
      </c>
      <c r="AI196" s="18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0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0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0</v>
      </c>
      <c r="AD199" s="18">
        <v>0</v>
      </c>
      <c r="AE199" s="18">
        <v>1</v>
      </c>
      <c r="AF199" s="18">
        <v>1</v>
      </c>
      <c r="AG199" s="18">
        <v>1</v>
      </c>
      <c r="AH199" s="18">
        <v>1</v>
      </c>
      <c r="AI199" s="18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0</v>
      </c>
      <c r="AD200" s="18">
        <v>0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0</v>
      </c>
      <c r="AD201" s="18">
        <v>0</v>
      </c>
      <c r="AE201" s="18">
        <v>1</v>
      </c>
      <c r="AF201" s="18">
        <v>1</v>
      </c>
      <c r="AG201" s="18">
        <v>1</v>
      </c>
      <c r="AH201" s="18">
        <v>1</v>
      </c>
      <c r="AI201" s="18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K</t>
        </is>
      </c>
      <c r="N202" s="155" t="inlineStr">
        <is>
          <t>Q</t>
        </is>
      </c>
      <c r="O202" s="155" t="inlineStr">
        <is>
          <t>GJ</t>
        </is>
      </c>
      <c r="P202" s="155" t="inlineStr">
        <is>
          <t>M3</t>
        </is>
      </c>
      <c r="Q202" s="155" t="inlineStr">
        <is>
          <t>G4</t>
        </is>
      </c>
      <c r="R202" s="155" t="inlineStr">
        <is>
          <t>K</t>
        </is>
      </c>
      <c r="S202" s="156" t="inlineStr">
        <is>
          <t>M2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0</v>
      </c>
      <c r="AD202" s="18">
        <v>0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0</v>
      </c>
      <c r="AD203" s="18">
        <v>0</v>
      </c>
      <c r="AE203" s="18">
        <v>1</v>
      </c>
      <c r="AF203" s="18">
        <v>1</v>
      </c>
      <c r="AG203" s="18">
        <v>1</v>
      </c>
      <c r="AH203" s="18">
        <v>1</v>
      </c>
      <c r="AI203" s="18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2026-08-05T11:41:38Z</dcterms:modified>
</cp:coreProperties>
</file>