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\Slots\Tools\GenerateReel\"/>
    </mc:Choice>
  </mc:AlternateContent>
  <xr:revisionPtr revIDLastSave="0" documentId="13_ncr:1_{3BA89B2B-4A65-40D1-A268-F465F9585858}" xr6:coauthVersionLast="47" xr6:coauthVersionMax="47" xr10:uidLastSave="{00000000-0000-0000-0000-000000000000}"/>
  <bookViews>
    <workbookView xWindow="-108" yWindow="-108" windowWidth="23256" windowHeight="12456" tabRatio="715" xr2:uid="{2D9C4FB0-8D26-4AB3-AABE-13FDF07811A4}"/>
  </bookViews>
  <sheets>
    <sheet name="Reel" sheetId="22" r:id="rId1"/>
    <sheet name="BG (8)" sheetId="19" state="hidden" r:id="rId2"/>
    <sheet name="BG (7)" sheetId="18" state="hidden" r:id="rId3"/>
    <sheet name="BG (6)" sheetId="17" state="hidden" r:id="rId4"/>
    <sheet name="BG (5)" sheetId="16" state="hidden" r:id="rId5"/>
    <sheet name="BG (4)" sheetId="15" state="hidden" r:id="rId6"/>
    <sheet name="BG (3)" sheetId="14" state="hidden" r:id="rId7"/>
    <sheet name="BG (2)" sheetId="10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3" i="22" l="1" a="1"/>
  <c r="N13" i="22" s="1"/>
  <c r="N22" i="22" a="1"/>
  <c r="N22" i="22" s="1"/>
  <c r="D31" i="22" l="1"/>
  <c r="E31" i="22"/>
  <c r="F31" i="22"/>
  <c r="G31" i="22"/>
  <c r="H31" i="22"/>
  <c r="F134" i="22" l="1" a="1"/>
  <c r="F134" i="22" s="1"/>
  <c r="U154" i="22" s="1"/>
  <c r="F110" i="22" a="1"/>
  <c r="F110" i="22" s="1"/>
  <c r="U130" i="22" s="1"/>
  <c r="F86" i="22" a="1"/>
  <c r="F86" i="22" s="1"/>
  <c r="I106" i="22" s="1"/>
  <c r="F62" i="22" a="1"/>
  <c r="F62" i="22" s="1"/>
  <c r="U82" i="22" s="1"/>
  <c r="E134" i="22" a="1"/>
  <c r="E134" i="22" s="1"/>
  <c r="D134" i="22" a="1"/>
  <c r="D134" i="22" s="1"/>
  <c r="E110" i="22" a="1"/>
  <c r="E110" i="22" s="1"/>
  <c r="D110" i="22" a="1"/>
  <c r="D110" i="22" s="1"/>
  <c r="E86" i="22" a="1"/>
  <c r="E86" i="22" s="1"/>
  <c r="D86" i="22" a="1"/>
  <c r="D86" i="22" s="1"/>
  <c r="E62" i="22" a="1"/>
  <c r="E62" i="22" s="1"/>
  <c r="D62" i="22" a="1"/>
  <c r="D62" i="22" s="1"/>
  <c r="E38" i="22" a="1"/>
  <c r="E38" i="22" s="1"/>
  <c r="D38" i="22" a="1"/>
  <c r="D38" i="22" s="1"/>
  <c r="H82" i="22" l="1"/>
  <c r="I82" i="22"/>
  <c r="T82" i="22"/>
  <c r="H130" i="22"/>
  <c r="I130" i="22"/>
  <c r="H154" i="22"/>
  <c r="I154" i="22"/>
  <c r="T130" i="22"/>
  <c r="T154" i="22"/>
  <c r="H106" i="22"/>
  <c r="T106" i="22"/>
  <c r="U106" i="22"/>
  <c r="D36" i="22" l="1"/>
  <c r="C60" i="22"/>
  <c r="G134" i="22"/>
  <c r="G110" i="22"/>
  <c r="G86" i="22"/>
  <c r="G62" i="22"/>
  <c r="E32" i="22"/>
  <c r="F32" i="22"/>
  <c r="G32" i="22"/>
  <c r="F38" i="22" a="1"/>
  <c r="F38" i="22" s="1"/>
  <c r="L34" i="22"/>
  <c r="G38" i="22" l="1"/>
  <c r="U58" i="22"/>
  <c r="T58" i="22"/>
  <c r="I58" i="22"/>
  <c r="H58" i="22"/>
  <c r="G150" i="22"/>
  <c r="L150" i="22" s="1"/>
  <c r="G151" i="22"/>
  <c r="L151" i="22" s="1"/>
  <c r="G100" i="22"/>
  <c r="L100" i="22" s="1"/>
  <c r="G101" i="22"/>
  <c r="L101" i="22" s="1"/>
  <c r="G102" i="22"/>
  <c r="L102" i="22" s="1"/>
  <c r="G125" i="22"/>
  <c r="L125" i="22" s="1"/>
  <c r="G126" i="22"/>
  <c r="L126" i="22" s="1"/>
  <c r="G80" i="22"/>
  <c r="L80" i="22" s="1"/>
  <c r="G135" i="22"/>
  <c r="L135" i="22" s="1"/>
  <c r="G136" i="22"/>
  <c r="G111" i="22"/>
  <c r="L111" i="22" s="1"/>
  <c r="G137" i="22"/>
  <c r="L137" i="22" s="1"/>
  <c r="G138" i="22"/>
  <c r="L138" i="22" s="1"/>
  <c r="G114" i="22"/>
  <c r="L114" i="22" s="1"/>
  <c r="G115" i="22"/>
  <c r="L115" i="22" s="1"/>
  <c r="G97" i="22"/>
  <c r="L97" i="22" s="1"/>
  <c r="G122" i="22"/>
  <c r="L122" i="22" s="1"/>
  <c r="G148" i="22"/>
  <c r="L148" i="22" s="1"/>
  <c r="G70" i="22"/>
  <c r="L70" i="22" s="1"/>
  <c r="G112" i="22"/>
  <c r="G87" i="22"/>
  <c r="L87" i="22" s="1"/>
  <c r="G113" i="22"/>
  <c r="L113" i="22" s="1"/>
  <c r="G139" i="22"/>
  <c r="L139" i="22" s="1"/>
  <c r="G88" i="22"/>
  <c r="L88" i="22" s="1"/>
  <c r="G52" i="22"/>
  <c r="G89" i="22"/>
  <c r="L89" i="22" s="1"/>
  <c r="G140" i="22"/>
  <c r="L140" i="22" s="1"/>
  <c r="G53" i="22"/>
  <c r="G90" i="22"/>
  <c r="L90" i="22" s="1"/>
  <c r="G141" i="22"/>
  <c r="L141" i="22" s="1"/>
  <c r="G54" i="22"/>
  <c r="G91" i="22"/>
  <c r="G116" i="22"/>
  <c r="L116" i="22" s="1"/>
  <c r="G144" i="22"/>
  <c r="L144" i="22" s="1"/>
  <c r="G55" i="22"/>
  <c r="L55" i="22" s="1"/>
  <c r="G92" i="22"/>
  <c r="L92" i="22" s="1"/>
  <c r="G145" i="22"/>
  <c r="L145" i="22" s="1"/>
  <c r="G56" i="22"/>
  <c r="G120" i="22"/>
  <c r="L120" i="22" s="1"/>
  <c r="G146" i="22"/>
  <c r="L146" i="22" s="1"/>
  <c r="G57" i="22"/>
  <c r="G96" i="22"/>
  <c r="L96" i="22" s="1"/>
  <c r="G121" i="22"/>
  <c r="L121" i="22" s="1"/>
  <c r="G147" i="22"/>
  <c r="L147" i="22" s="1"/>
  <c r="G98" i="22"/>
  <c r="L98" i="22" s="1"/>
  <c r="G123" i="22"/>
  <c r="L123" i="22" s="1"/>
  <c r="G149" i="22"/>
  <c r="L149" i="22" s="1"/>
  <c r="G99" i="22"/>
  <c r="L99" i="22" s="1"/>
  <c r="G124" i="22"/>
  <c r="L124" i="22" s="1"/>
  <c r="G63" i="22"/>
  <c r="L63" i="22" s="1"/>
  <c r="G72" i="22"/>
  <c r="L72" i="22" s="1"/>
  <c r="C84" i="22"/>
  <c r="D60" i="22"/>
  <c r="G142" i="22"/>
  <c r="L142" i="22" s="1"/>
  <c r="G152" i="22"/>
  <c r="L152" i="22" s="1"/>
  <c r="L134" i="22"/>
  <c r="G143" i="22"/>
  <c r="L143" i="22" s="1"/>
  <c r="G153" i="22"/>
  <c r="L153" i="22" s="1"/>
  <c r="G117" i="22"/>
  <c r="L117" i="22" s="1"/>
  <c r="G127" i="22"/>
  <c r="L127" i="22" s="1"/>
  <c r="L110" i="22"/>
  <c r="G118" i="22"/>
  <c r="L118" i="22" s="1"/>
  <c r="G128" i="22"/>
  <c r="L128" i="22" s="1"/>
  <c r="G119" i="22"/>
  <c r="L119" i="22" s="1"/>
  <c r="G129" i="22"/>
  <c r="L129" i="22" s="1"/>
  <c r="G94" i="22"/>
  <c r="L94" i="22" s="1"/>
  <c r="G104" i="22"/>
  <c r="L104" i="22" s="1"/>
  <c r="G93" i="22"/>
  <c r="L93" i="22" s="1"/>
  <c r="G103" i="22"/>
  <c r="L103" i="22" s="1"/>
  <c r="L86" i="22"/>
  <c r="G95" i="22"/>
  <c r="L95" i="22" s="1"/>
  <c r="G105" i="22"/>
  <c r="L105" i="22" s="1"/>
  <c r="G73" i="22"/>
  <c r="L73" i="22" s="1"/>
  <c r="G64" i="22"/>
  <c r="L64" i="22" s="1"/>
  <c r="G74" i="22"/>
  <c r="L74" i="22" s="1"/>
  <c r="G65" i="22"/>
  <c r="L65" i="22" s="1"/>
  <c r="G75" i="22"/>
  <c r="L75" i="22" s="1"/>
  <c r="G66" i="22"/>
  <c r="L66" i="22" s="1"/>
  <c r="G76" i="22"/>
  <c r="L76" i="22" s="1"/>
  <c r="G67" i="22"/>
  <c r="L67" i="22" s="1"/>
  <c r="G77" i="22"/>
  <c r="L77" i="22" s="1"/>
  <c r="G68" i="22"/>
  <c r="L68" i="22" s="1"/>
  <c r="G78" i="22"/>
  <c r="L78" i="22" s="1"/>
  <c r="G69" i="22"/>
  <c r="L69" i="22" s="1"/>
  <c r="G79" i="22"/>
  <c r="L79" i="22" s="1"/>
  <c r="L62" i="22"/>
  <c r="G71" i="22"/>
  <c r="L71" i="22" s="1"/>
  <c r="G81" i="22"/>
  <c r="L81" i="22" s="1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B11" i="19" a="1"/>
  <c r="B11" i="19" s="1"/>
  <c r="B11" i="18" a="1"/>
  <c r="B11" i="18" s="1"/>
  <c r="B11" i="17" a="1"/>
  <c r="B11" i="17" s="1"/>
  <c r="B11" i="16" a="1"/>
  <c r="B11" i="16" s="1"/>
  <c r="B11" i="15" a="1"/>
  <c r="B11" i="15" s="1"/>
  <c r="B11" i="14" a="1"/>
  <c r="B11" i="14" s="1"/>
  <c r="B11" i="10" a="1"/>
  <c r="B11" i="10" s="1"/>
  <c r="G58" i="22" l="1"/>
  <c r="G82" i="22"/>
  <c r="L136" i="22"/>
  <c r="G154" i="22"/>
  <c r="L112" i="22"/>
  <c r="G130" i="22"/>
  <c r="L91" i="22"/>
  <c r="G106" i="22"/>
  <c r="D84" i="22"/>
  <c r="C108" i="22"/>
  <c r="L41" i="22"/>
  <c r="L49" i="22"/>
  <c r="L50" i="22"/>
  <c r="L51" i="22"/>
  <c r="L52" i="22"/>
  <c r="L53" i="22"/>
  <c r="L54" i="22"/>
  <c r="L56" i="22"/>
  <c r="L48" i="22"/>
  <c r="L39" i="22"/>
  <c r="L47" i="22"/>
  <c r="L45" i="22"/>
  <c r="L46" i="22"/>
  <c r="L43" i="22"/>
  <c r="L57" i="22"/>
  <c r="L40" i="22"/>
  <c r="L42" i="22"/>
  <c r="L44" i="22"/>
  <c r="L38" i="22"/>
  <c r="D108" i="22" l="1"/>
  <c r="C132" i="22"/>
  <c r="D132" i="22" s="1"/>
  <c r="J38" i="19"/>
  <c r="J38" i="18"/>
  <c r="J38" i="17"/>
  <c r="J38" i="16"/>
  <c r="J38" i="15"/>
  <c r="J38" i="14"/>
  <c r="J38" i="10"/>
  <c r="B3" i="16" l="1"/>
  <c r="B23" i="16" s="1" a="1"/>
  <c r="B8" i="16" a="1"/>
  <c r="B8" i="16" s="1"/>
  <c r="B27" i="16" s="1" a="1"/>
  <c r="B27" i="16" s="1"/>
  <c r="B3" i="15"/>
  <c r="B23" i="15" s="1" a="1"/>
  <c r="B8" i="15" a="1"/>
  <c r="B8" i="15" s="1"/>
  <c r="B27" i="15" s="1" a="1"/>
  <c r="B27" i="15" s="1"/>
  <c r="B3" i="19"/>
  <c r="B23" i="19" s="1" a="1"/>
  <c r="B8" i="19" a="1"/>
  <c r="B8" i="19" s="1"/>
  <c r="B27" i="19" s="1" a="1"/>
  <c r="B27" i="19" s="1"/>
  <c r="B8" i="17" a="1"/>
  <c r="B8" i="17" s="1"/>
  <c r="B27" i="17" s="1" a="1"/>
  <c r="B27" i="17" s="1"/>
  <c r="B3" i="17"/>
  <c r="B23" i="17" s="1" a="1"/>
  <c r="B8" i="10" a="1"/>
  <c r="B8" i="10" s="1"/>
  <c r="B3" i="10"/>
  <c r="B3" i="14"/>
  <c r="B23" i="14" s="1" a="1"/>
  <c r="B8" i="14" a="1"/>
  <c r="B8" i="14" s="1"/>
  <c r="B27" i="14" s="1" a="1"/>
  <c r="B27" i="14" s="1"/>
  <c r="B8" i="18" a="1"/>
  <c r="B8" i="18" s="1"/>
  <c r="B27" i="18" s="1" a="1"/>
  <c r="B27" i="18" s="1"/>
  <c r="B3" i="18"/>
  <c r="B23" i="18" s="1" a="1"/>
  <c r="B23" i="15" l="1"/>
  <c r="B23" i="14"/>
  <c r="B36" i="14" s="1" a="1"/>
  <c r="B23" i="18"/>
  <c r="B23" i="16"/>
  <c r="B23" i="17"/>
  <c r="B23" i="19"/>
  <c r="B36" i="14" l="1"/>
  <c r="B37" i="14" s="1"/>
  <c r="D78" i="14" a="1"/>
  <c r="D78" i="14" s="1"/>
  <c r="E78" i="14" s="1"/>
  <c r="J78" i="14" s="1"/>
  <c r="F37" i="14"/>
  <c r="D114" i="14" a="1"/>
  <c r="E126" i="14" s="1"/>
  <c r="J126" i="14" s="1"/>
  <c r="D37" i="14"/>
  <c r="D60" i="14" a="1"/>
  <c r="B36" i="17" a="1"/>
  <c r="E37" i="14"/>
  <c r="C37" i="14"/>
  <c r="B36" i="16" a="1"/>
  <c r="D96" i="14" a="1"/>
  <c r="B36" i="15" a="1"/>
  <c r="B36" i="19" a="1"/>
  <c r="B36" i="18" a="1"/>
  <c r="E123" i="14" l="1"/>
  <c r="J123" i="14" s="1"/>
  <c r="E119" i="14"/>
  <c r="J119" i="14" s="1"/>
  <c r="E120" i="14"/>
  <c r="J120" i="14" s="1"/>
  <c r="D42" i="14" a="1"/>
  <c r="E50" i="14" s="1"/>
  <c r="J50" i="14" s="1"/>
  <c r="E80" i="14"/>
  <c r="J80" i="14" s="1"/>
  <c r="E83" i="14"/>
  <c r="J83" i="14" s="1"/>
  <c r="E85" i="14"/>
  <c r="J85" i="14" s="1"/>
  <c r="E87" i="14"/>
  <c r="J87" i="14" s="1"/>
  <c r="E90" i="14"/>
  <c r="J90" i="14" s="1"/>
  <c r="E91" i="14"/>
  <c r="J91" i="14" s="1"/>
  <c r="E84" i="14"/>
  <c r="J84" i="14" s="1"/>
  <c r="E79" i="14"/>
  <c r="J79" i="14" s="1"/>
  <c r="E81" i="14"/>
  <c r="J81" i="14" s="1"/>
  <c r="E127" i="14"/>
  <c r="J127" i="14" s="1"/>
  <c r="D114" i="14"/>
  <c r="E114" i="14" s="1"/>
  <c r="J114" i="14" s="1"/>
  <c r="E121" i="14"/>
  <c r="J121" i="14" s="1"/>
  <c r="E124" i="14"/>
  <c r="J124" i="14" s="1"/>
  <c r="E122" i="14"/>
  <c r="J122" i="14" s="1"/>
  <c r="E125" i="14"/>
  <c r="J125" i="14" s="1"/>
  <c r="E115" i="14"/>
  <c r="J115" i="14" s="1"/>
  <c r="E116" i="14"/>
  <c r="J116" i="14" s="1"/>
  <c r="E118" i="14"/>
  <c r="J118" i="14" s="1"/>
  <c r="E86" i="14"/>
  <c r="J86" i="14" s="1"/>
  <c r="E117" i="14"/>
  <c r="J117" i="14" s="1"/>
  <c r="E89" i="14"/>
  <c r="J89" i="14" s="1"/>
  <c r="E82" i="14"/>
  <c r="J82" i="14" s="1"/>
  <c r="E88" i="14"/>
  <c r="J88" i="14" s="1"/>
  <c r="E64" i="14"/>
  <c r="J64" i="14" s="1"/>
  <c r="E63" i="14"/>
  <c r="J63" i="14" s="1"/>
  <c r="E72" i="14"/>
  <c r="J72" i="14" s="1"/>
  <c r="E61" i="14"/>
  <c r="J61" i="14" s="1"/>
  <c r="E73" i="14"/>
  <c r="J73" i="14" s="1"/>
  <c r="E62" i="14"/>
  <c r="J62" i="14" s="1"/>
  <c r="E71" i="14"/>
  <c r="J71" i="14" s="1"/>
  <c r="E70" i="14"/>
  <c r="J70" i="14" s="1"/>
  <c r="E69" i="14"/>
  <c r="J69" i="14" s="1"/>
  <c r="E68" i="14"/>
  <c r="J68" i="14" s="1"/>
  <c r="E67" i="14"/>
  <c r="J67" i="14" s="1"/>
  <c r="E66" i="14"/>
  <c r="J66" i="14" s="1"/>
  <c r="E65" i="14"/>
  <c r="J65" i="14" s="1"/>
  <c r="D60" i="14"/>
  <c r="E60" i="14" s="1"/>
  <c r="J60" i="14" s="1"/>
  <c r="B36" i="16"/>
  <c r="C37" i="16"/>
  <c r="D60" i="16" a="1"/>
  <c r="D96" i="16" a="1"/>
  <c r="D114" i="16" a="1"/>
  <c r="E37" i="16"/>
  <c r="D78" i="16" a="1"/>
  <c r="F37" i="16"/>
  <c r="D37" i="16"/>
  <c r="B36" i="18"/>
  <c r="C37" i="18"/>
  <c r="F37" i="18"/>
  <c r="D37" i="18"/>
  <c r="E37" i="18"/>
  <c r="D60" i="18" a="1"/>
  <c r="D78" i="18" a="1"/>
  <c r="D96" i="18" a="1"/>
  <c r="D114" i="18" a="1"/>
  <c r="B36" i="19"/>
  <c r="D60" i="19" a="1"/>
  <c r="D96" i="19" a="1"/>
  <c r="C37" i="19"/>
  <c r="E37" i="19"/>
  <c r="D37" i="19"/>
  <c r="F37" i="19"/>
  <c r="D78" i="19" a="1"/>
  <c r="D114" i="19" a="1"/>
  <c r="B36" i="15"/>
  <c r="D60" i="15" a="1"/>
  <c r="D78" i="15" a="1"/>
  <c r="D114" i="15" a="1"/>
  <c r="D96" i="15" a="1"/>
  <c r="C37" i="15"/>
  <c r="D37" i="15"/>
  <c r="E37" i="15"/>
  <c r="F37" i="15"/>
  <c r="B36" i="17"/>
  <c r="D37" i="17"/>
  <c r="D114" i="17" a="1"/>
  <c r="F37" i="17"/>
  <c r="E37" i="17"/>
  <c r="C37" i="17"/>
  <c r="D78" i="17" a="1"/>
  <c r="D96" i="17" a="1"/>
  <c r="D60" i="17" a="1"/>
  <c r="E109" i="14"/>
  <c r="J109" i="14" s="1"/>
  <c r="E100" i="14"/>
  <c r="J100" i="14" s="1"/>
  <c r="E108" i="14"/>
  <c r="J108" i="14" s="1"/>
  <c r="E98" i="14"/>
  <c r="J98" i="14" s="1"/>
  <c r="E107" i="14"/>
  <c r="J107" i="14" s="1"/>
  <c r="E97" i="14"/>
  <c r="J97" i="14" s="1"/>
  <c r="E106" i="14"/>
  <c r="J106" i="14" s="1"/>
  <c r="E103" i="14"/>
  <c r="J103" i="14" s="1"/>
  <c r="E99" i="14"/>
  <c r="J99" i="14" s="1"/>
  <c r="D96" i="14"/>
  <c r="E96" i="14" s="1"/>
  <c r="J96" i="14" s="1"/>
  <c r="E104" i="14"/>
  <c r="J104" i="14" s="1"/>
  <c r="E101" i="14"/>
  <c r="J101" i="14" s="1"/>
  <c r="E102" i="14"/>
  <c r="J102" i="14" s="1"/>
  <c r="E105" i="14"/>
  <c r="J105" i="14" s="1"/>
  <c r="E46" i="14" l="1"/>
  <c r="J46" i="14" s="1"/>
  <c r="D42" i="14"/>
  <c r="E42" i="14" s="1"/>
  <c r="J42" i="14" s="1"/>
  <c r="E52" i="14"/>
  <c r="J52" i="14" s="1"/>
  <c r="E53" i="14"/>
  <c r="J53" i="14" s="1"/>
  <c r="E54" i="14"/>
  <c r="J54" i="14" s="1"/>
  <c r="E51" i="14"/>
  <c r="J51" i="14" s="1"/>
  <c r="E55" i="14"/>
  <c r="J55" i="14" s="1"/>
  <c r="E47" i="14"/>
  <c r="J47" i="14" s="1"/>
  <c r="E48" i="14"/>
  <c r="J48" i="14" s="1"/>
  <c r="E49" i="14"/>
  <c r="J49" i="14" s="1"/>
  <c r="E43" i="14"/>
  <c r="J43" i="14" s="1"/>
  <c r="E44" i="14"/>
  <c r="J44" i="14" s="1"/>
  <c r="E45" i="14"/>
  <c r="J45" i="14" s="1"/>
  <c r="E82" i="15"/>
  <c r="J82" i="15" s="1"/>
  <c r="E89" i="15"/>
  <c r="J89" i="15" s="1"/>
  <c r="E88" i="15"/>
  <c r="J88" i="15" s="1"/>
  <c r="E87" i="15"/>
  <c r="J87" i="15" s="1"/>
  <c r="E91" i="15"/>
  <c r="J91" i="15" s="1"/>
  <c r="E81" i="15"/>
  <c r="J81" i="15" s="1"/>
  <c r="E79" i="15"/>
  <c r="J79" i="15" s="1"/>
  <c r="D78" i="15"/>
  <c r="E85" i="15"/>
  <c r="J85" i="15" s="1"/>
  <c r="E84" i="15"/>
  <c r="J84" i="15" s="1"/>
  <c r="E83" i="15"/>
  <c r="J83" i="15" s="1"/>
  <c r="E90" i="15"/>
  <c r="J90" i="15" s="1"/>
  <c r="E80" i="15"/>
  <c r="J80" i="15" s="1"/>
  <c r="E86" i="15"/>
  <c r="J86" i="15" s="1"/>
  <c r="B37" i="18"/>
  <c r="D42" i="18" a="1"/>
  <c r="E126" i="16"/>
  <c r="J126" i="16" s="1"/>
  <c r="E125" i="16"/>
  <c r="J125" i="16" s="1"/>
  <c r="E127" i="16"/>
  <c r="J127" i="16" s="1"/>
  <c r="E117" i="16"/>
  <c r="J117" i="16" s="1"/>
  <c r="E115" i="16"/>
  <c r="J115" i="16" s="1"/>
  <c r="E124" i="16"/>
  <c r="J124" i="16" s="1"/>
  <c r="D114" i="16"/>
  <c r="E114" i="16" s="1"/>
  <c r="J114" i="16" s="1"/>
  <c r="E123" i="16"/>
  <c r="J123" i="16" s="1"/>
  <c r="E122" i="16"/>
  <c r="J122" i="16" s="1"/>
  <c r="E121" i="16"/>
  <c r="J121" i="16" s="1"/>
  <c r="E116" i="16"/>
  <c r="J116" i="16" s="1"/>
  <c r="E120" i="16"/>
  <c r="J120" i="16" s="1"/>
  <c r="E119" i="16"/>
  <c r="J119" i="16" s="1"/>
  <c r="E118" i="16"/>
  <c r="J118" i="16" s="1"/>
  <c r="D42" i="16" a="1"/>
  <c r="B37" i="16"/>
  <c r="E62" i="17"/>
  <c r="J62" i="17" s="1"/>
  <c r="D60" i="17"/>
  <c r="E73" i="17"/>
  <c r="J73" i="17" s="1"/>
  <c r="E71" i="17"/>
  <c r="J71" i="17" s="1"/>
  <c r="E61" i="17"/>
  <c r="J61" i="17" s="1"/>
  <c r="E69" i="17"/>
  <c r="J69" i="17" s="1"/>
  <c r="E68" i="17"/>
  <c r="J68" i="17" s="1"/>
  <c r="E64" i="17"/>
  <c r="J64" i="17" s="1"/>
  <c r="E72" i="17"/>
  <c r="J72" i="17" s="1"/>
  <c r="E67" i="17"/>
  <c r="J67" i="17" s="1"/>
  <c r="E66" i="17"/>
  <c r="J66" i="17" s="1"/>
  <c r="E70" i="17"/>
  <c r="J70" i="17" s="1"/>
  <c r="E65" i="17"/>
  <c r="J65" i="17" s="1"/>
  <c r="E63" i="17"/>
  <c r="J63" i="17" s="1"/>
  <c r="E107" i="17"/>
  <c r="J107" i="17" s="1"/>
  <c r="E109" i="17"/>
  <c r="J109" i="17" s="1"/>
  <c r="E108" i="17"/>
  <c r="J108" i="17" s="1"/>
  <c r="E97" i="17"/>
  <c r="J97" i="17" s="1"/>
  <c r="E98" i="17"/>
  <c r="J98" i="17" s="1"/>
  <c r="E103" i="17"/>
  <c r="J103" i="17" s="1"/>
  <c r="E106" i="17"/>
  <c r="J106" i="17" s="1"/>
  <c r="E104" i="17"/>
  <c r="J104" i="17" s="1"/>
  <c r="E105" i="17"/>
  <c r="J105" i="17" s="1"/>
  <c r="E102" i="17"/>
  <c r="J102" i="17" s="1"/>
  <c r="E101" i="17"/>
  <c r="J101" i="17" s="1"/>
  <c r="E100" i="17"/>
  <c r="J100" i="17" s="1"/>
  <c r="E99" i="17"/>
  <c r="J99" i="17" s="1"/>
  <c r="D96" i="17"/>
  <c r="E96" i="17" s="1"/>
  <c r="J96" i="17" s="1"/>
  <c r="E82" i="17"/>
  <c r="J82" i="17" s="1"/>
  <c r="E91" i="17"/>
  <c r="J91" i="17" s="1"/>
  <c r="E90" i="17"/>
  <c r="J90" i="17" s="1"/>
  <c r="E86" i="17"/>
  <c r="J86" i="17" s="1"/>
  <c r="E84" i="17"/>
  <c r="J84" i="17" s="1"/>
  <c r="E83" i="17"/>
  <c r="J83" i="17" s="1"/>
  <c r="E89" i="17"/>
  <c r="J89" i="17" s="1"/>
  <c r="E87" i="17"/>
  <c r="J87" i="17" s="1"/>
  <c r="E85" i="17"/>
  <c r="J85" i="17" s="1"/>
  <c r="E81" i="17"/>
  <c r="J81" i="17" s="1"/>
  <c r="E80" i="17"/>
  <c r="J80" i="17" s="1"/>
  <c r="E79" i="17"/>
  <c r="J79" i="17" s="1"/>
  <c r="D78" i="17"/>
  <c r="E78" i="17" s="1"/>
  <c r="J78" i="17" s="1"/>
  <c r="E88" i="17"/>
  <c r="J88" i="17" s="1"/>
  <c r="E122" i="17"/>
  <c r="J122" i="17" s="1"/>
  <c r="D114" i="17"/>
  <c r="E125" i="17"/>
  <c r="J125" i="17" s="1"/>
  <c r="E117" i="17"/>
  <c r="J117" i="17" s="1"/>
  <c r="E127" i="17"/>
  <c r="J127" i="17" s="1"/>
  <c r="E124" i="17"/>
  <c r="J124" i="17" s="1"/>
  <c r="E121" i="17"/>
  <c r="J121" i="17" s="1"/>
  <c r="E119" i="17"/>
  <c r="J119" i="17" s="1"/>
  <c r="E118" i="17"/>
  <c r="J118" i="17" s="1"/>
  <c r="E116" i="17"/>
  <c r="J116" i="17" s="1"/>
  <c r="E115" i="17"/>
  <c r="J115" i="17" s="1"/>
  <c r="E120" i="17"/>
  <c r="J120" i="17" s="1"/>
  <c r="E126" i="17"/>
  <c r="J126" i="17" s="1"/>
  <c r="E123" i="17"/>
  <c r="J123" i="17" s="1"/>
  <c r="D42" i="19" a="1"/>
  <c r="B37" i="19"/>
  <c r="D96" i="18"/>
  <c r="E96" i="18" s="1"/>
  <c r="J96" i="18" s="1"/>
  <c r="E101" i="18"/>
  <c r="J101" i="18" s="1"/>
  <c r="E108" i="18"/>
  <c r="J108" i="18" s="1"/>
  <c r="E109" i="18"/>
  <c r="J109" i="18" s="1"/>
  <c r="E103" i="18"/>
  <c r="J103" i="18" s="1"/>
  <c r="E106" i="18"/>
  <c r="J106" i="18" s="1"/>
  <c r="E102" i="18"/>
  <c r="J102" i="18" s="1"/>
  <c r="E99" i="18"/>
  <c r="J99" i="18" s="1"/>
  <c r="E98" i="18"/>
  <c r="J98" i="18" s="1"/>
  <c r="E107" i="18"/>
  <c r="J107" i="18" s="1"/>
  <c r="E105" i="18"/>
  <c r="J105" i="18" s="1"/>
  <c r="E104" i="18"/>
  <c r="J104" i="18" s="1"/>
  <c r="E100" i="18"/>
  <c r="J100" i="18" s="1"/>
  <c r="E97" i="18"/>
  <c r="J97" i="18" s="1"/>
  <c r="E61" i="18"/>
  <c r="J61" i="18" s="1"/>
  <c r="E73" i="18"/>
  <c r="J73" i="18" s="1"/>
  <c r="E72" i="18"/>
  <c r="J72" i="18" s="1"/>
  <c r="E71" i="18"/>
  <c r="J71" i="18" s="1"/>
  <c r="E67" i="18"/>
  <c r="J67" i="18" s="1"/>
  <c r="E63" i="18"/>
  <c r="J63" i="18" s="1"/>
  <c r="D60" i="18"/>
  <c r="E60" i="18" s="1"/>
  <c r="J60" i="18" s="1"/>
  <c r="E65" i="18"/>
  <c r="J65" i="18" s="1"/>
  <c r="E64" i="18"/>
  <c r="J64" i="18" s="1"/>
  <c r="E70" i="18"/>
  <c r="J70" i="18" s="1"/>
  <c r="E66" i="18"/>
  <c r="J66" i="18" s="1"/>
  <c r="E69" i="18"/>
  <c r="J69" i="18" s="1"/>
  <c r="E68" i="18"/>
  <c r="J68" i="18" s="1"/>
  <c r="E62" i="18"/>
  <c r="J62" i="18" s="1"/>
  <c r="E126" i="15"/>
  <c r="J126" i="15" s="1"/>
  <c r="E127" i="15"/>
  <c r="J127" i="15" s="1"/>
  <c r="E115" i="15"/>
  <c r="J115" i="15" s="1"/>
  <c r="E124" i="15"/>
  <c r="J124" i="15" s="1"/>
  <c r="E116" i="15"/>
  <c r="J116" i="15" s="1"/>
  <c r="E118" i="15"/>
  <c r="J118" i="15" s="1"/>
  <c r="E117" i="15"/>
  <c r="J117" i="15" s="1"/>
  <c r="E125" i="15"/>
  <c r="J125" i="15" s="1"/>
  <c r="E123" i="15"/>
  <c r="J123" i="15" s="1"/>
  <c r="E122" i="15"/>
  <c r="J122" i="15" s="1"/>
  <c r="E120" i="15"/>
  <c r="J120" i="15" s="1"/>
  <c r="E121" i="15"/>
  <c r="J121" i="15" s="1"/>
  <c r="E119" i="15"/>
  <c r="J119" i="15" s="1"/>
  <c r="D114" i="15"/>
  <c r="E63" i="15"/>
  <c r="J63" i="15" s="1"/>
  <c r="E73" i="15"/>
  <c r="J73" i="15" s="1"/>
  <c r="E62" i="15"/>
  <c r="J62" i="15" s="1"/>
  <c r="E61" i="15"/>
  <c r="J61" i="15" s="1"/>
  <c r="D60" i="15"/>
  <c r="E60" i="15" s="1"/>
  <c r="J60" i="15" s="1"/>
  <c r="E67" i="15"/>
  <c r="J67" i="15" s="1"/>
  <c r="E69" i="15"/>
  <c r="J69" i="15" s="1"/>
  <c r="E68" i="15"/>
  <c r="J68" i="15" s="1"/>
  <c r="E66" i="15"/>
  <c r="J66" i="15" s="1"/>
  <c r="E70" i="15"/>
  <c r="J70" i="15" s="1"/>
  <c r="E65" i="15"/>
  <c r="J65" i="15" s="1"/>
  <c r="E64" i="15"/>
  <c r="J64" i="15" s="1"/>
  <c r="E72" i="15"/>
  <c r="J72" i="15" s="1"/>
  <c r="E71" i="15"/>
  <c r="J71" i="15" s="1"/>
  <c r="E102" i="16"/>
  <c r="J102" i="16" s="1"/>
  <c r="E100" i="16"/>
  <c r="J100" i="16" s="1"/>
  <c r="E103" i="16"/>
  <c r="J103" i="16" s="1"/>
  <c r="E104" i="16"/>
  <c r="J104" i="16" s="1"/>
  <c r="E101" i="16"/>
  <c r="J101" i="16" s="1"/>
  <c r="E109" i="16"/>
  <c r="J109" i="16" s="1"/>
  <c r="E108" i="16"/>
  <c r="J108" i="16" s="1"/>
  <c r="E106" i="16"/>
  <c r="J106" i="16" s="1"/>
  <c r="E105" i="16"/>
  <c r="J105" i="16" s="1"/>
  <c r="E98" i="16"/>
  <c r="J98" i="16" s="1"/>
  <c r="E97" i="16"/>
  <c r="J97" i="16" s="1"/>
  <c r="E107" i="16"/>
  <c r="J107" i="16" s="1"/>
  <c r="E99" i="16"/>
  <c r="J99" i="16" s="1"/>
  <c r="D96" i="16"/>
  <c r="E96" i="16" s="1"/>
  <c r="J96" i="16" s="1"/>
  <c r="E87" i="19"/>
  <c r="J87" i="19" s="1"/>
  <c r="D78" i="19"/>
  <c r="E78" i="19" s="1"/>
  <c r="J78" i="19" s="1"/>
  <c r="E91" i="19"/>
  <c r="J91" i="19" s="1"/>
  <c r="E90" i="19"/>
  <c r="J90" i="19" s="1"/>
  <c r="E89" i="19"/>
  <c r="J89" i="19"/>
  <c r="E80" i="19"/>
  <c r="J80" i="19" s="1"/>
  <c r="E79" i="19"/>
  <c r="J79" i="19" s="1"/>
  <c r="E84" i="19"/>
  <c r="J84" i="19" s="1"/>
  <c r="E83" i="19"/>
  <c r="J83" i="19" s="1"/>
  <c r="E85" i="19"/>
  <c r="J85" i="19" s="1"/>
  <c r="E82" i="19"/>
  <c r="J82" i="19" s="1"/>
  <c r="E88" i="19"/>
  <c r="J88" i="19" s="1"/>
  <c r="E86" i="19"/>
  <c r="J86" i="19" s="1"/>
  <c r="E81" i="19"/>
  <c r="J81" i="19" s="1"/>
  <c r="D114" i="18"/>
  <c r="E114" i="18" s="1"/>
  <c r="J114" i="18" s="1"/>
  <c r="E122" i="18"/>
  <c r="J122" i="18" s="1"/>
  <c r="E127" i="18"/>
  <c r="J127" i="18" s="1"/>
  <c r="E126" i="18"/>
  <c r="J126" i="18" s="1"/>
  <c r="E123" i="18"/>
  <c r="J123" i="18" s="1"/>
  <c r="E121" i="18"/>
  <c r="J121" i="18" s="1"/>
  <c r="E118" i="18"/>
  <c r="J118" i="18" s="1"/>
  <c r="E115" i="18"/>
  <c r="J115" i="18" s="1"/>
  <c r="E124" i="18"/>
  <c r="J124" i="18" s="1"/>
  <c r="E120" i="18"/>
  <c r="J120" i="18" s="1"/>
  <c r="E119" i="18"/>
  <c r="J119" i="18" s="1"/>
  <c r="E125" i="18"/>
  <c r="J125" i="18" s="1"/>
  <c r="E117" i="18"/>
  <c r="J117" i="18" s="1"/>
  <c r="E116" i="18"/>
  <c r="J116" i="18" s="1"/>
  <c r="D42" i="17" a="1"/>
  <c r="B37" i="17"/>
  <c r="E84" i="18"/>
  <c r="J84" i="18" s="1"/>
  <c r="E90" i="18"/>
  <c r="J90" i="18" s="1"/>
  <c r="D78" i="18"/>
  <c r="E78" i="18" s="1"/>
  <c r="J78" i="18" s="1"/>
  <c r="E86" i="18"/>
  <c r="J86" i="18" s="1"/>
  <c r="E81" i="18"/>
  <c r="J81" i="18" s="1"/>
  <c r="E82" i="18"/>
  <c r="J82" i="18" s="1"/>
  <c r="E80" i="18"/>
  <c r="J80" i="18" s="1"/>
  <c r="E85" i="18"/>
  <c r="J85" i="18" s="1"/>
  <c r="E91" i="18"/>
  <c r="J91" i="18" s="1"/>
  <c r="E88" i="18"/>
  <c r="J88" i="18" s="1"/>
  <c r="E87" i="18"/>
  <c r="J87" i="18" s="1"/>
  <c r="E83" i="18"/>
  <c r="J83" i="18" s="1"/>
  <c r="E89" i="18"/>
  <c r="J89" i="18" s="1"/>
  <c r="E79" i="18"/>
  <c r="J79" i="18" s="1"/>
  <c r="D42" i="15" a="1"/>
  <c r="B37" i="15"/>
  <c r="E67" i="16"/>
  <c r="J67" i="16" s="1"/>
  <c r="E71" i="16"/>
  <c r="J71" i="16" s="1"/>
  <c r="E73" i="16"/>
  <c r="J73" i="16" s="1"/>
  <c r="E69" i="16"/>
  <c r="J69" i="16" s="1"/>
  <c r="E70" i="16"/>
  <c r="J70" i="16" s="1"/>
  <c r="D60" i="16"/>
  <c r="E63" i="16"/>
  <c r="J63" i="16" s="1"/>
  <c r="E61" i="16"/>
  <c r="J61" i="16" s="1"/>
  <c r="E72" i="16"/>
  <c r="J72" i="16" s="1"/>
  <c r="E62" i="16"/>
  <c r="J62" i="16" s="1"/>
  <c r="E64" i="16"/>
  <c r="J64" i="16" s="1"/>
  <c r="E65" i="16"/>
  <c r="J65" i="16" s="1"/>
  <c r="E68" i="16"/>
  <c r="J68" i="16" s="1"/>
  <c r="E66" i="16"/>
  <c r="J66" i="16" s="1"/>
  <c r="E123" i="19"/>
  <c r="J123" i="19" s="1"/>
  <c r="E126" i="19"/>
  <c r="J126" i="19" s="1"/>
  <c r="E122" i="19"/>
  <c r="J122" i="19" s="1"/>
  <c r="E121" i="19"/>
  <c r="J121" i="19" s="1"/>
  <c r="E120" i="19"/>
  <c r="J120" i="19" s="1"/>
  <c r="E119" i="19"/>
  <c r="J119" i="19" s="1"/>
  <c r="E117" i="19"/>
  <c r="J117" i="19" s="1"/>
  <c r="E125" i="19"/>
  <c r="J125" i="19" s="1"/>
  <c r="D114" i="19"/>
  <c r="E114" i="19" s="1"/>
  <c r="J114" i="19" s="1"/>
  <c r="E127" i="19"/>
  <c r="J127" i="19" s="1"/>
  <c r="E115" i="19"/>
  <c r="J115" i="19" s="1"/>
  <c r="E116" i="19"/>
  <c r="J116" i="19" s="1"/>
  <c r="E118" i="19"/>
  <c r="J118" i="19" s="1"/>
  <c r="E124" i="19"/>
  <c r="J124" i="19" s="1"/>
  <c r="E101" i="19"/>
  <c r="J101" i="19" s="1"/>
  <c r="E102" i="19"/>
  <c r="J102" i="19" s="1"/>
  <c r="E97" i="19"/>
  <c r="J97" i="19" s="1"/>
  <c r="D96" i="19"/>
  <c r="E96" i="19" s="1"/>
  <c r="J96" i="19" s="1"/>
  <c r="E105" i="19"/>
  <c r="J105" i="19" s="1"/>
  <c r="E98" i="19"/>
  <c r="J98" i="19" s="1"/>
  <c r="E109" i="19"/>
  <c r="J109" i="19" s="1"/>
  <c r="E108" i="19"/>
  <c r="J108" i="19" s="1"/>
  <c r="E106" i="19"/>
  <c r="J106" i="19" s="1"/>
  <c r="E104" i="19"/>
  <c r="J104" i="19" s="1"/>
  <c r="E103" i="19"/>
  <c r="J103" i="19" s="1"/>
  <c r="E107" i="19"/>
  <c r="J107" i="19" s="1"/>
  <c r="E100" i="19"/>
  <c r="J100" i="19" s="1"/>
  <c r="E99" i="19"/>
  <c r="J99" i="19" s="1"/>
  <c r="D60" i="19"/>
  <c r="E60" i="19" s="1"/>
  <c r="J60" i="19" s="1"/>
  <c r="E69" i="19"/>
  <c r="J69" i="19" s="1"/>
  <c r="E65" i="19"/>
  <c r="J65" i="19" s="1"/>
  <c r="E71" i="19"/>
  <c r="J71" i="19" s="1"/>
  <c r="E72" i="19"/>
  <c r="J72" i="19" s="1"/>
  <c r="E67" i="19"/>
  <c r="J67" i="19" s="1"/>
  <c r="E68" i="19"/>
  <c r="J68" i="19" s="1"/>
  <c r="E66" i="19"/>
  <c r="J66" i="19" s="1"/>
  <c r="E61" i="19"/>
  <c r="J61" i="19" s="1"/>
  <c r="E63" i="19"/>
  <c r="J63" i="19" s="1"/>
  <c r="E62" i="19"/>
  <c r="J62" i="19" s="1"/>
  <c r="E70" i="19"/>
  <c r="J70" i="19" s="1"/>
  <c r="E73" i="19"/>
  <c r="J73" i="19" s="1"/>
  <c r="E64" i="19"/>
  <c r="J64" i="19" s="1"/>
  <c r="E102" i="15"/>
  <c r="J102" i="15" s="1"/>
  <c r="E106" i="15"/>
  <c r="J106" i="15" s="1"/>
  <c r="E108" i="15"/>
  <c r="J108" i="15" s="1"/>
  <c r="E99" i="15"/>
  <c r="J99" i="15" s="1"/>
  <c r="E101" i="15"/>
  <c r="J101" i="15" s="1"/>
  <c r="E98" i="15"/>
  <c r="J98" i="15" s="1"/>
  <c r="E107" i="15"/>
  <c r="J107" i="15" s="1"/>
  <c r="E109" i="15"/>
  <c r="J109" i="15" s="1"/>
  <c r="D96" i="15"/>
  <c r="E96" i="15" s="1"/>
  <c r="J96" i="15" s="1"/>
  <c r="E103" i="15"/>
  <c r="J103" i="15" s="1"/>
  <c r="E105" i="15"/>
  <c r="J105" i="15" s="1"/>
  <c r="E104" i="15"/>
  <c r="J104" i="15" s="1"/>
  <c r="E97" i="15"/>
  <c r="J97" i="15" s="1"/>
  <c r="E85" i="16"/>
  <c r="J85" i="16" s="1"/>
  <c r="E83" i="16"/>
  <c r="J83" i="16" s="1"/>
  <c r="E80" i="16"/>
  <c r="J80" i="16" s="1"/>
  <c r="E91" i="16"/>
  <c r="J91" i="16" s="1"/>
  <c r="E81" i="16"/>
  <c r="J81" i="16" s="1"/>
  <c r="E89" i="16"/>
  <c r="J89" i="16" s="1"/>
  <c r="E79" i="16"/>
  <c r="J79" i="16" s="1"/>
  <c r="E88" i="16"/>
  <c r="J88" i="16" s="1"/>
  <c r="E87" i="16"/>
  <c r="J87" i="16" s="1"/>
  <c r="E86" i="16"/>
  <c r="J86" i="16" s="1"/>
  <c r="E84" i="16"/>
  <c r="J84" i="16" s="1"/>
  <c r="E82" i="16"/>
  <c r="J82" i="16" s="1"/>
  <c r="D78" i="16"/>
  <c r="E78" i="16" s="1"/>
  <c r="J78" i="16" s="1"/>
  <c r="E90" i="16"/>
  <c r="J90" i="16" s="1"/>
  <c r="E60" i="16" l="1"/>
  <c r="J60" i="16" s="1"/>
  <c r="E47" i="18"/>
  <c r="J47" i="18" s="1"/>
  <c r="E53" i="18"/>
  <c r="J53" i="18" s="1"/>
  <c r="E43" i="18"/>
  <c r="J43" i="18" s="1"/>
  <c r="E54" i="18"/>
  <c r="J54" i="18" s="1"/>
  <c r="D42" i="18"/>
  <c r="E42" i="18" s="1"/>
  <c r="J42" i="18" s="1"/>
  <c r="E49" i="18"/>
  <c r="J49" i="18" s="1"/>
  <c r="E44" i="18"/>
  <c r="J44" i="18" s="1"/>
  <c r="E55" i="18"/>
  <c r="J55" i="18" s="1"/>
  <c r="E50" i="18"/>
  <c r="J50" i="18" s="1"/>
  <c r="E48" i="18"/>
  <c r="J48" i="18" s="1"/>
  <c r="E45" i="18"/>
  <c r="J45" i="18" s="1"/>
  <c r="E52" i="18"/>
  <c r="J52" i="18" s="1"/>
  <c r="E51" i="18"/>
  <c r="J51" i="18" s="1"/>
  <c r="E46" i="18"/>
  <c r="J46" i="18" s="1"/>
  <c r="E60" i="17"/>
  <c r="J60" i="17" s="1"/>
  <c r="E114" i="15"/>
  <c r="J114" i="15" s="1"/>
  <c r="E50" i="17"/>
  <c r="J50" i="17" s="1"/>
  <c r="E47" i="17"/>
  <c r="J47" i="17" s="1"/>
  <c r="E52" i="17"/>
  <c r="J52" i="17" s="1"/>
  <c r="E49" i="17"/>
  <c r="J49" i="17" s="1"/>
  <c r="E53" i="17"/>
  <c r="J53" i="17" s="1"/>
  <c r="E51" i="17"/>
  <c r="J51" i="17" s="1"/>
  <c r="E46" i="17"/>
  <c r="J46" i="17" s="1"/>
  <c r="E45" i="17"/>
  <c r="J45" i="17" s="1"/>
  <c r="D42" i="17"/>
  <c r="E42" i="17" s="1"/>
  <c r="J42" i="17" s="1"/>
  <c r="E48" i="17"/>
  <c r="J48" i="17" s="1"/>
  <c r="E55" i="17"/>
  <c r="J55" i="17" s="1"/>
  <c r="E44" i="17"/>
  <c r="J44" i="17" s="1"/>
  <c r="E54" i="17"/>
  <c r="J54" i="17" s="1"/>
  <c r="E43" i="17"/>
  <c r="J43" i="17" s="1"/>
  <c r="E52" i="16"/>
  <c r="J52" i="16" s="1"/>
  <c r="E50" i="16"/>
  <c r="J50" i="16" s="1"/>
  <c r="E48" i="16"/>
  <c r="J48" i="16" s="1"/>
  <c r="E46" i="16"/>
  <c r="J46" i="16" s="1"/>
  <c r="D42" i="16"/>
  <c r="E42" i="16" s="1"/>
  <c r="J42" i="16" s="1"/>
  <c r="E51" i="16"/>
  <c r="J51" i="16" s="1"/>
  <c r="E49" i="16"/>
  <c r="J49" i="16" s="1"/>
  <c r="E47" i="16"/>
  <c r="J47" i="16" s="1"/>
  <c r="E54" i="16"/>
  <c r="J54" i="16" s="1"/>
  <c r="E55" i="16"/>
  <c r="J55" i="16" s="1"/>
  <c r="E45" i="16"/>
  <c r="J45" i="16" s="1"/>
  <c r="E43" i="16"/>
  <c r="J43" i="16" s="1"/>
  <c r="E44" i="16"/>
  <c r="J44" i="16" s="1"/>
  <c r="E53" i="16"/>
  <c r="J53" i="16" s="1"/>
  <c r="E46" i="19"/>
  <c r="J46" i="19" s="1"/>
  <c r="E52" i="19"/>
  <c r="J52" i="19" s="1"/>
  <c r="E45" i="19"/>
  <c r="J45" i="19" s="1"/>
  <c r="E44" i="19"/>
  <c r="J44" i="19" s="1"/>
  <c r="E53" i="19"/>
  <c r="J53" i="19" s="1"/>
  <c r="E51" i="19"/>
  <c r="J51" i="19" s="1"/>
  <c r="E55" i="19"/>
  <c r="J55" i="19" s="1"/>
  <c r="D42" i="19"/>
  <c r="E42" i="19" s="1"/>
  <c r="J42" i="19" s="1"/>
  <c r="E54" i="19"/>
  <c r="J54" i="19" s="1"/>
  <c r="E47" i="19"/>
  <c r="J47" i="19" s="1"/>
  <c r="E50" i="19"/>
  <c r="J50" i="19" s="1"/>
  <c r="E49" i="19"/>
  <c r="J49" i="19" s="1"/>
  <c r="E48" i="19"/>
  <c r="J48" i="19" s="1"/>
  <c r="E43" i="19"/>
  <c r="J43" i="19" s="1"/>
  <c r="E54" i="15"/>
  <c r="J54" i="15" s="1"/>
  <c r="E46" i="15"/>
  <c r="J46" i="15" s="1"/>
  <c r="E44" i="15"/>
  <c r="J44" i="15" s="1"/>
  <c r="E55" i="15"/>
  <c r="J55" i="15" s="1"/>
  <c r="E53" i="15"/>
  <c r="J53" i="15" s="1"/>
  <c r="E43" i="15"/>
  <c r="J43" i="15" s="1"/>
  <c r="E52" i="15"/>
  <c r="J52" i="15" s="1"/>
  <c r="D42" i="15"/>
  <c r="E42" i="15" s="1"/>
  <c r="J42" i="15" s="1"/>
  <c r="E51" i="15"/>
  <c r="J51" i="15" s="1"/>
  <c r="E48" i="15"/>
  <c r="J48" i="15" s="1"/>
  <c r="E45" i="15"/>
  <c r="J45" i="15" s="1"/>
  <c r="E50" i="15"/>
  <c r="J50" i="15" s="1"/>
  <c r="E47" i="15"/>
  <c r="J47" i="15" s="1"/>
  <c r="E49" i="15"/>
  <c r="J49" i="15" s="1"/>
  <c r="E114" i="17"/>
  <c r="J114" i="17" s="1"/>
  <c r="E78" i="15"/>
  <c r="J78" i="15" s="1"/>
  <c r="B23" i="10" l="1" a="1"/>
  <c r="B27" i="10" a="1"/>
  <c r="B27" i="10" l="1"/>
  <c r="B23" i="10"/>
  <c r="B36" i="10" l="1" a="1"/>
  <c r="B36" i="10" s="1"/>
  <c r="D60" i="10" l="1" a="1"/>
  <c r="E71" i="10" s="1"/>
  <c r="J71" i="10" s="1"/>
  <c r="D37" i="10"/>
  <c r="D96" i="10" a="1"/>
  <c r="E106" i="10" s="1"/>
  <c r="J106" i="10" s="1"/>
  <c r="D78" i="10" a="1"/>
  <c r="E86" i="10" s="1"/>
  <c r="J86" i="10" s="1"/>
  <c r="D114" i="10" a="1"/>
  <c r="E125" i="10" s="1"/>
  <c r="J125" i="10" s="1"/>
  <c r="E37" i="10"/>
  <c r="C37" i="10"/>
  <c r="F37" i="10"/>
  <c r="D96" i="10"/>
  <c r="B37" i="10"/>
  <c r="D42" i="10" a="1"/>
  <c r="E109" i="10" l="1"/>
  <c r="J109" i="10" s="1"/>
  <c r="E61" i="10"/>
  <c r="J61" i="10" s="1"/>
  <c r="E67" i="10"/>
  <c r="J67" i="10" s="1"/>
  <c r="E70" i="10"/>
  <c r="J70" i="10" s="1"/>
  <c r="E63" i="10"/>
  <c r="J63" i="10" s="1"/>
  <c r="E64" i="10"/>
  <c r="J64" i="10" s="1"/>
  <c r="E62" i="10"/>
  <c r="J62" i="10" s="1"/>
  <c r="E72" i="10"/>
  <c r="J72" i="10" s="1"/>
  <c r="E73" i="10"/>
  <c r="J73" i="10" s="1"/>
  <c r="E69" i="10"/>
  <c r="J69" i="10" s="1"/>
  <c r="D60" i="10"/>
  <c r="E68" i="10"/>
  <c r="J68" i="10" s="1"/>
  <c r="E66" i="10"/>
  <c r="J66" i="10" s="1"/>
  <c r="E65" i="10"/>
  <c r="J65" i="10" s="1"/>
  <c r="E99" i="10"/>
  <c r="J99" i="10" s="1"/>
  <c r="E107" i="10"/>
  <c r="J107" i="10" s="1"/>
  <c r="E108" i="10"/>
  <c r="J108" i="10" s="1"/>
  <c r="E97" i="10"/>
  <c r="J97" i="10" s="1"/>
  <c r="E103" i="10"/>
  <c r="J103" i="10" s="1"/>
  <c r="E98" i="10"/>
  <c r="J98" i="10" s="1"/>
  <c r="E100" i="10"/>
  <c r="J100" i="10" s="1"/>
  <c r="E104" i="10"/>
  <c r="J104" i="10" s="1"/>
  <c r="E105" i="10"/>
  <c r="J105" i="10" s="1"/>
  <c r="E102" i="10"/>
  <c r="J102" i="10" s="1"/>
  <c r="E101" i="10"/>
  <c r="J101" i="10" s="1"/>
  <c r="E88" i="10"/>
  <c r="J88" i="10" s="1"/>
  <c r="E79" i="10"/>
  <c r="J79" i="10" s="1"/>
  <c r="E90" i="10"/>
  <c r="J90" i="10" s="1"/>
  <c r="E84" i="10"/>
  <c r="J84" i="10" s="1"/>
  <c r="E85" i="10"/>
  <c r="J85" i="10" s="1"/>
  <c r="D78" i="10"/>
  <c r="E82" i="10"/>
  <c r="J82" i="10" s="1"/>
  <c r="E81" i="10"/>
  <c r="J81" i="10" s="1"/>
  <c r="E91" i="10"/>
  <c r="J91" i="10" s="1"/>
  <c r="E89" i="10"/>
  <c r="J89" i="10" s="1"/>
  <c r="E80" i="10"/>
  <c r="J80" i="10" s="1"/>
  <c r="E87" i="10"/>
  <c r="J87" i="10" s="1"/>
  <c r="E83" i="10"/>
  <c r="J83" i="10" s="1"/>
  <c r="E117" i="10"/>
  <c r="J117" i="10" s="1"/>
  <c r="E115" i="10"/>
  <c r="J115" i="10" s="1"/>
  <c r="E120" i="10"/>
  <c r="J120" i="10" s="1"/>
  <c r="E124" i="10"/>
  <c r="J124" i="10" s="1"/>
  <c r="E126" i="10"/>
  <c r="J126" i="10" s="1"/>
  <c r="E116" i="10"/>
  <c r="J116" i="10" s="1"/>
  <c r="E127" i="10"/>
  <c r="J127" i="10" s="1"/>
  <c r="E118" i="10"/>
  <c r="J118" i="10" s="1"/>
  <c r="E121" i="10"/>
  <c r="J121" i="10" s="1"/>
  <c r="E119" i="10"/>
  <c r="J119" i="10" s="1"/>
  <c r="E123" i="10"/>
  <c r="J123" i="10" s="1"/>
  <c r="E122" i="10"/>
  <c r="J122" i="10" s="1"/>
  <c r="D114" i="10"/>
  <c r="E114" i="10" s="1"/>
  <c r="J114" i="10" s="1"/>
  <c r="E96" i="10"/>
  <c r="J96" i="10" s="1"/>
  <c r="E78" i="10"/>
  <c r="J78" i="10" s="1"/>
  <c r="E60" i="10"/>
  <c r="J60" i="10" s="1"/>
  <c r="E50" i="10"/>
  <c r="J50" i="10" s="1"/>
  <c r="E52" i="10"/>
  <c r="J52" i="10" s="1"/>
  <c r="E53" i="10"/>
  <c r="J53" i="10" s="1"/>
  <c r="E55" i="10"/>
  <c r="J55" i="10" s="1"/>
  <c r="E48" i="10"/>
  <c r="J48" i="10" s="1"/>
  <c r="E46" i="10"/>
  <c r="J46" i="10" s="1"/>
  <c r="E51" i="10"/>
  <c r="J51" i="10" s="1"/>
  <c r="E43" i="10"/>
  <c r="J43" i="10" s="1"/>
  <c r="E49" i="10"/>
  <c r="J49" i="10" s="1"/>
  <c r="D42" i="10"/>
  <c r="E54" i="10"/>
  <c r="J54" i="10" s="1"/>
  <c r="E47" i="10"/>
  <c r="J47" i="10" s="1"/>
  <c r="E45" i="10"/>
  <c r="J45" i="10" s="1"/>
  <c r="E44" i="10"/>
  <c r="J44" i="10" s="1"/>
  <c r="E42" i="10" l="1"/>
  <c r="J42" i="10" s="1"/>
  <c r="E100" i="15"/>
  <c r="J100" i="15"/>
  <c r="B3" i="10" l="1" a="1"/>
  <c r="B3" i="14" a="1"/>
  <c r="B3" i="15" a="1"/>
  <c r="B3" i="16" a="1"/>
  <c r="B3" i="17" a="1"/>
  <c r="B3" i="18" a="1"/>
  <c r="B3" i="19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<sst xmlns="http://schemas.openxmlformats.org/spreadsheetml/2006/main" count="1189" uniqueCount="65">
  <si>
    <t>WW</t>
  </si>
  <si>
    <t>C1</t>
  </si>
  <si>
    <t>C2</t>
  </si>
  <si>
    <t>C3</t>
  </si>
  <si>
    <t>M1</t>
  </si>
  <si>
    <t>M2</t>
  </si>
  <si>
    <t>M3</t>
  </si>
  <si>
    <t>M4</t>
  </si>
  <si>
    <t>M5</t>
  </si>
  <si>
    <t>A</t>
  </si>
  <si>
    <t>K</t>
  </si>
  <si>
    <t>Q</t>
  </si>
  <si>
    <t>J</t>
  </si>
  <si>
    <t>TE</t>
  </si>
  <si>
    <t>R1</t>
    <phoneticPr fontId="2" type="noConversion"/>
  </si>
  <si>
    <t>C1</t>
    <phoneticPr fontId="2" type="noConversion"/>
  </si>
  <si>
    <t>R2</t>
  </si>
  <si>
    <t>R3</t>
  </si>
  <si>
    <t>R4</t>
  </si>
  <si>
    <t>R5</t>
  </si>
  <si>
    <t>Total</t>
    <phoneticPr fontId="2" type="noConversion"/>
  </si>
  <si>
    <t>Targe</t>
    <phoneticPr fontId="2" type="noConversion"/>
  </si>
  <si>
    <t>R2</t>
    <phoneticPr fontId="2" type="noConversion"/>
  </si>
  <si>
    <t>R5</t>
    <phoneticPr fontId="2" type="noConversion"/>
  </si>
  <si>
    <t>R4</t>
    <phoneticPr fontId="2" type="noConversion"/>
  </si>
  <si>
    <t>R3</t>
    <phoneticPr fontId="2" type="noConversion"/>
  </si>
  <si>
    <t>symbol_str</t>
    <phoneticPr fontId="2" type="noConversion"/>
  </si>
  <si>
    <t>symbol_id</t>
    <phoneticPr fontId="2" type="noConversion"/>
  </si>
  <si>
    <t>symbol_count</t>
    <phoneticPr fontId="2" type="noConversion"/>
  </si>
  <si>
    <t>WW</t>
    <phoneticPr fontId="2" type="noConversion"/>
  </si>
  <si>
    <t>fix</t>
    <phoneticPr fontId="2" type="noConversion"/>
  </si>
  <si>
    <t>]),columns=columns_name))</t>
    <phoneticPr fontId="2" type="noConversion"/>
  </si>
  <si>
    <t>df_list.append(pd.DataFrame(np.array([</t>
    <phoneticPr fontId="2" type="noConversion"/>
  </si>
  <si>
    <t>Reel State</t>
    <phoneticPr fontId="2" type="noConversion"/>
  </si>
  <si>
    <r>
      <rPr>
        <sz val="12"/>
        <color theme="1"/>
        <rFont val="微軟正黑體"/>
        <family val="2"/>
        <charset val="136"/>
      </rPr>
      <t>目標</t>
    </r>
    <phoneticPr fontId="2" type="noConversion"/>
  </si>
  <si>
    <r>
      <rPr>
        <sz val="12"/>
        <color theme="1"/>
        <rFont val="微軟正黑體"/>
        <family val="2"/>
        <charset val="136"/>
      </rPr>
      <t>目前</t>
    </r>
    <phoneticPr fontId="2" type="noConversion"/>
  </si>
  <si>
    <t>G1</t>
  </si>
  <si>
    <t>G2</t>
  </si>
  <si>
    <t>G3</t>
  </si>
  <si>
    <t>G4</t>
  </si>
  <si>
    <t>GA</t>
  </si>
  <si>
    <t>GK</t>
  </si>
  <si>
    <t>GQ</t>
  </si>
  <si>
    <t>GJ</t>
  </si>
  <si>
    <t>G5</t>
  </si>
  <si>
    <t>ID</t>
    <phoneticPr fontId="6" type="noConversion"/>
  </si>
  <si>
    <t>Symbol</t>
    <phoneticPr fontId="6" type="noConversion"/>
  </si>
  <si>
    <t>R1</t>
    <phoneticPr fontId="6" type="noConversion"/>
  </si>
  <si>
    <t>R2</t>
    <phoneticPr fontId="6" type="noConversion"/>
  </si>
  <si>
    <t>R3</t>
    <phoneticPr fontId="6" type="noConversion"/>
  </si>
  <si>
    <t>R4</t>
    <phoneticPr fontId="6" type="noConversion"/>
  </si>
  <si>
    <t>R5</t>
    <phoneticPr fontId="6" type="noConversion"/>
  </si>
  <si>
    <t>墨西哥</t>
    <phoneticPr fontId="2" type="noConversion"/>
  </si>
  <si>
    <t>熱舞</t>
    <phoneticPr fontId="2" type="noConversion"/>
  </si>
  <si>
    <t>熱舞R3</t>
    <phoneticPr fontId="2" type="noConversion"/>
  </si>
  <si>
    <t>B1</t>
    <phoneticPr fontId="2" type="noConversion"/>
  </si>
  <si>
    <t>B2</t>
    <phoneticPr fontId="2" type="noConversion"/>
  </si>
  <si>
    <t>B3</t>
    <phoneticPr fontId="2" type="noConversion"/>
  </si>
  <si>
    <t>BG</t>
    <phoneticPr fontId="2" type="noConversion"/>
  </si>
  <si>
    <t>熱舞1</t>
    <phoneticPr fontId="2" type="noConversion"/>
  </si>
  <si>
    <t>熱舞2</t>
    <phoneticPr fontId="2" type="noConversion"/>
  </si>
  <si>
    <t>熱舞3</t>
    <phoneticPr fontId="2" type="noConversion"/>
  </si>
  <si>
    <t>F1</t>
    <phoneticPr fontId="2" type="noConversion"/>
  </si>
  <si>
    <t>F2</t>
    <phoneticPr fontId="2" type="noConversion"/>
  </si>
  <si>
    <t>F3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</si>
</sst>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2"/>
      <color theme="1"/>
      <name val="Courier New"/>
      <family val="2"/>
      <charset val="136"/>
    </font>
    <font>
      <sz val="12"/>
      <color theme="1"/>
      <name val="Courier New"/>
      <family val="2"/>
      <charset val="136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Courier New"/>
      <family val="3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color theme="0" tint="-0.249977111117893"/>
      <name val="Courier New"/>
      <family val="3"/>
    </font>
    <font>
      <sz val="12"/>
      <color theme="1"/>
      <name val="細明體"/>
      <family val="3"/>
      <charset val="136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4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2" borderId="2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10" fontId="4" fillId="0" borderId="0" xfId="1" applyNumberFormat="1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1" applyNumberFormat="1" applyFont="1" applyFill="1" applyBorder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176" fontId="4" fillId="6" borderId="1" xfId="0" applyNumberFormat="1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6" borderId="2" xfId="0" applyFont="1" applyFill="1" applyBorder="1">
      <alignment vertical="center"/>
    </xf>
    <xf numFmtId="10" fontId="4" fillId="6" borderId="1" xfId="1" applyNumberFormat="1" applyFont="1" applyFill="1" applyBorder="1">
      <alignment vertical="center"/>
    </xf>
    <xf numFmtId="10" fontId="4" fillId="0" borderId="2" xfId="0" applyNumberFormat="1" applyFont="1" applyFill="1" applyBorder="1">
      <alignment vertical="center"/>
    </xf>
    <xf numFmtId="0" fontId="4" fillId="0" borderId="2" xfId="0" applyFont="1" applyFill="1" applyBorder="1">
      <alignment vertical="center"/>
    </xf>
    <xf numFmtId="9" fontId="4" fillId="6" borderId="1" xfId="1" applyNumberFormat="1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0" xfId="1" applyNumberFormat="1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9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176" fontId="4" fillId="0" borderId="0" xfId="1" applyNumberFormat="1" applyFont="1" applyBorder="1">
      <alignment vertical="center"/>
    </xf>
  </cellXfs>
  <cellStyles count="2">
    <cellStyle name="一般" xfId="0" builtinId="0"/>
    <cellStyle name="百分比" xfId="1" builtinId="5"/>
  </cellStyles>
  <dxfs count="132"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ill>
        <patternFill>
          <bgColor rgb="FFFF0000"/>
        </patternFill>
      </fill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  <dxf>
      <font>
        <color theme="0" tint="-0.14996795556505021"/>
      </font>
      <numFmt numFmtId="177" formatCode="0_ "/>
    </dxf>
  </dxfs>
  <tableStyles count="0" defaultTableStyle="TableStyleMedium2" defaultPivotStyle="PivotStyleLight16"/>
  <colors>
    <mruColors>
      <color rgb="FFEFF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1316-2DC9-44F6-8B00-8057DE01FBE9}">
  <sheetPr codeName="工作表1"/>
  <dimension ref="B3:BM154"/>
  <sheetViews>
    <sheetView tabSelected="1" topLeftCell="A31" zoomScale="85" zoomScaleNormal="85" workbookViewId="0">
      <selection activeCell="F36" sqref="F36"/>
    </sheetView>
  </sheetViews>
  <sheetFormatPr defaultRowHeight="15.6" x14ac:dyDescent="0.3"/>
  <cols>
    <col min="1" max="2" width="8.6640625" style="3"/>
    <col min="3" max="3" width="11.25" style="1" bestFit="1" customWidth="1"/>
    <col min="4" max="4" width="10.33203125" style="3" bestFit="1" customWidth="1"/>
    <col min="5" max="5" width="11.33203125" style="3" bestFit="1" customWidth="1"/>
    <col min="6" max="6" width="13.5" style="3" bestFit="1" customWidth="1"/>
    <col min="7" max="10" width="11.08203125" style="3" customWidth="1"/>
    <col min="11" max="16" width="7.33203125" style="3" customWidth="1"/>
    <col min="17" max="17" width="8.25" style="3" bestFit="1" customWidth="1"/>
    <col min="18" max="19" width="7.33203125" style="3" customWidth="1"/>
    <col min="20" max="16384" width="8.6640625" style="3"/>
  </cols>
  <sheetData>
    <row r="3" spans="2:65" x14ac:dyDescent="0.3">
      <c r="J3" s="3" t="s">
        <v>58</v>
      </c>
      <c r="K3" s="3" t="s">
        <v>22</v>
      </c>
      <c r="L3" s="3" t="s">
        <v>25</v>
      </c>
      <c r="M3" s="3" t="s">
        <v>24</v>
      </c>
      <c r="O3" s="3" t="s">
        <v>58</v>
      </c>
      <c r="P3" s="3" t="s">
        <v>22</v>
      </c>
      <c r="Q3" s="3" t="s">
        <v>25</v>
      </c>
      <c r="R3" s="3" t="s">
        <v>24</v>
      </c>
    </row>
    <row r="4" spans="2:65" ht="16.2" x14ac:dyDescent="0.3">
      <c r="J4" s="29" t="s">
        <v>52</v>
      </c>
      <c r="K4" s="9">
        <v>0.40095682545273109</v>
      </c>
      <c r="L4" s="9">
        <v>6.6478823633001671E-2</v>
      </c>
      <c r="M4" s="9">
        <v>0.13539373660884627</v>
      </c>
      <c r="O4" s="29" t="s">
        <v>52</v>
      </c>
      <c r="P4" s="9">
        <v>0.24046303604314656</v>
      </c>
      <c r="Q4" s="9">
        <v>0.44540910286766638</v>
      </c>
      <c r="R4" s="9">
        <v>0.2512496711391739</v>
      </c>
    </row>
    <row r="5" spans="2:65" ht="16.2" x14ac:dyDescent="0.3">
      <c r="J5" s="29" t="s">
        <v>53</v>
      </c>
      <c r="K5" s="30">
        <v>0.3</v>
      </c>
      <c r="L5" s="30">
        <v>0.06</v>
      </c>
      <c r="M5" s="30">
        <v>0.14000000000000001</v>
      </c>
      <c r="O5" s="29" t="s">
        <v>52</v>
      </c>
      <c r="P5" s="9">
        <v>0.22672064777327938</v>
      </c>
      <c r="Q5" s="9">
        <v>0.34143049932523617</v>
      </c>
      <c r="R5" s="9">
        <v>0.18353576248313094</v>
      </c>
    </row>
    <row r="6" spans="2:65" ht="16.2" x14ac:dyDescent="0.3">
      <c r="J6" s="29" t="s">
        <v>54</v>
      </c>
      <c r="K6" s="30">
        <v>0.3</v>
      </c>
      <c r="L6" s="30">
        <v>1</v>
      </c>
      <c r="M6" s="30">
        <v>0.14000000000000001</v>
      </c>
      <c r="O6" s="29" t="s">
        <v>52</v>
      </c>
      <c r="P6" s="9">
        <v>0.16260162601626016</v>
      </c>
      <c r="Q6" s="9">
        <v>0.21951219512195119</v>
      </c>
      <c r="R6" s="9">
        <v>0.16260162601626016</v>
      </c>
    </row>
    <row r="7" spans="2:65" ht="16.2" x14ac:dyDescent="0.3">
      <c r="J7" s="29"/>
      <c r="K7" s="30"/>
      <c r="L7" s="30"/>
      <c r="M7" s="30"/>
      <c r="O7" s="29" t="s">
        <v>59</v>
      </c>
      <c r="P7" s="9">
        <v>0.24</v>
      </c>
      <c r="Q7" s="9">
        <v>1</v>
      </c>
      <c r="R7" s="9">
        <v>0.25</v>
      </c>
    </row>
    <row r="8" spans="2:65" ht="16.2" x14ac:dyDescent="0.3">
      <c r="J8" s="29"/>
      <c r="K8" s="30"/>
      <c r="L8" s="30"/>
      <c r="M8" s="30"/>
      <c r="O8" s="29" t="s">
        <v>60</v>
      </c>
      <c r="P8" s="9">
        <v>0.22</v>
      </c>
      <c r="Q8" s="9">
        <v>1</v>
      </c>
      <c r="R8" s="9">
        <v>0.18</v>
      </c>
    </row>
    <row r="9" spans="2:65" ht="16.2" x14ac:dyDescent="0.3">
      <c r="D9" s="9"/>
      <c r="E9" s="9"/>
      <c r="F9" s="9"/>
      <c r="G9" s="9"/>
      <c r="H9" s="9"/>
      <c r="O9" s="29" t="s">
        <v>61</v>
      </c>
      <c r="P9" s="9">
        <v>0.16</v>
      </c>
      <c r="Q9" s="9">
        <v>1</v>
      </c>
      <c r="R9" s="9">
        <v>0.16</v>
      </c>
    </row>
    <row r="10" spans="2:65" x14ac:dyDescent="0.3">
      <c r="B10" s="24" t="s">
        <v>45</v>
      </c>
      <c r="C10" s="24" t="s">
        <v>46</v>
      </c>
      <c r="D10" s="24" t="s">
        <v>47</v>
      </c>
      <c r="E10" s="24" t="s">
        <v>48</v>
      </c>
      <c r="F10" s="24" t="s">
        <v>49</v>
      </c>
      <c r="G10" s="24" t="s">
        <v>50</v>
      </c>
      <c r="H10" s="24" t="s">
        <v>51</v>
      </c>
    </row>
    <row r="11" spans="2:65" x14ac:dyDescent="0.3">
      <c r="B11" s="6">
        <v>0</v>
      </c>
      <c r="C11" s="25" t="s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AE11" s="3" t="s">
        <v>55</v>
      </c>
      <c r="AK11" s="3" t="s">
        <v>56</v>
      </c>
      <c r="AQ11" s="3" t="s">
        <v>57</v>
      </c>
      <c r="AW11" s="3" t="s">
        <v>62</v>
      </c>
      <c r="BC11" s="3" t="s">
        <v>63</v>
      </c>
      <c r="BI11" s="3" t="s">
        <v>64</v>
      </c>
    </row>
    <row r="12" spans="2:65" x14ac:dyDescent="0.3">
      <c r="B12" s="6">
        <v>1</v>
      </c>
      <c r="C12" s="25" t="s">
        <v>1</v>
      </c>
      <c r="D12" s="8">
        <v>2</v>
      </c>
      <c r="E12" s="8">
        <v>2</v>
      </c>
      <c r="F12" s="8">
        <v>2</v>
      </c>
      <c r="G12" s="8">
        <v>3</v>
      </c>
      <c r="H12" s="8">
        <v>3</v>
      </c>
      <c r="AE12" s="3">
        <v>0</v>
      </c>
      <c r="AF12" s="3">
        <v>6</v>
      </c>
      <c r="AG12" s="3">
        <v>0</v>
      </c>
      <c r="AH12" s="3">
        <v>9</v>
      </c>
      <c r="AI12" s="3">
        <v>0</v>
      </c>
      <c r="AJ12" s="31"/>
      <c r="AK12" s="3">
        <v>0</v>
      </c>
      <c r="AL12" s="3">
        <v>6</v>
      </c>
      <c r="AM12" s="3">
        <v>0</v>
      </c>
      <c r="AN12" s="3">
        <v>9</v>
      </c>
      <c r="AO12" s="3">
        <v>0</v>
      </c>
      <c r="AQ12" s="3">
        <v>6</v>
      </c>
      <c r="AR12" s="3">
        <v>6</v>
      </c>
      <c r="AS12" s="3">
        <v>6</v>
      </c>
      <c r="AT12" s="3">
        <v>9</v>
      </c>
      <c r="AU12" s="3">
        <v>9</v>
      </c>
      <c r="AW12" s="3">
        <v>2</v>
      </c>
      <c r="AX12" s="3">
        <v>2</v>
      </c>
      <c r="AY12" s="3">
        <v>2</v>
      </c>
      <c r="AZ12" s="3">
        <v>3</v>
      </c>
      <c r="BA12" s="3">
        <v>3</v>
      </c>
      <c r="BC12" s="3">
        <v>3</v>
      </c>
      <c r="BD12" s="3">
        <v>3</v>
      </c>
      <c r="BE12" s="3">
        <v>3</v>
      </c>
      <c r="BF12" s="3">
        <v>5</v>
      </c>
      <c r="BG12" s="3">
        <v>5</v>
      </c>
      <c r="BI12" s="3">
        <v>5</v>
      </c>
      <c r="BJ12" s="3">
        <v>5</v>
      </c>
      <c r="BK12" s="3">
        <v>5</v>
      </c>
      <c r="BL12" s="3">
        <v>8</v>
      </c>
      <c r="BM12" s="3">
        <v>8</v>
      </c>
    </row>
    <row r="13" spans="2:65" x14ac:dyDescent="0.3">
      <c r="B13" s="6">
        <v>2</v>
      </c>
      <c r="C13" s="25" t="s">
        <v>4</v>
      </c>
      <c r="D13" s="8">
        <v>3</v>
      </c>
      <c r="E13" s="8">
        <v>10</v>
      </c>
      <c r="F13" s="8">
        <v>0</v>
      </c>
      <c r="G13" s="8">
        <v>3</v>
      </c>
      <c r="H13" s="8">
        <v>9</v>
      </c>
      <c r="J13" s="3">
        <v>12</v>
      </c>
      <c r="K13" s="3">
        <v>3</v>
      </c>
      <c r="L13" s="3">
        <v>4</v>
      </c>
      <c r="N13" s="3" cm="1">
        <f t="array" ref="N13:P21">J13:L21-_xlfn.ANCHORARRAY(N22)</f>
        <v>10</v>
      </c>
      <c r="O13" s="3">
        <v>0</v>
      </c>
      <c r="P13" s="3">
        <v>3</v>
      </c>
      <c r="AE13" s="3">
        <v>4</v>
      </c>
      <c r="AF13" s="3">
        <v>11</v>
      </c>
      <c r="AG13" s="3">
        <v>5</v>
      </c>
      <c r="AH13" s="3">
        <v>21</v>
      </c>
      <c r="AI13" s="3">
        <v>23</v>
      </c>
      <c r="AJ13" s="31"/>
      <c r="AK13" s="3">
        <v>4</v>
      </c>
      <c r="AL13" s="3">
        <v>11</v>
      </c>
      <c r="AM13" s="3">
        <v>0</v>
      </c>
      <c r="AN13" s="3">
        <v>22</v>
      </c>
      <c r="AO13" s="3">
        <v>28</v>
      </c>
      <c r="AQ13" s="3">
        <v>4</v>
      </c>
      <c r="AR13" s="3">
        <v>12</v>
      </c>
      <c r="AS13" s="3">
        <v>4</v>
      </c>
      <c r="AT13" s="3">
        <v>21</v>
      </c>
      <c r="AU13" s="3">
        <v>22</v>
      </c>
      <c r="AW13" s="3">
        <v>3</v>
      </c>
      <c r="AX13" s="3">
        <v>10</v>
      </c>
      <c r="AY13" s="3">
        <v>0</v>
      </c>
      <c r="AZ13" s="3">
        <v>3</v>
      </c>
      <c r="BA13" s="3">
        <v>9</v>
      </c>
      <c r="BC13" s="3">
        <v>3</v>
      </c>
      <c r="BD13" s="3">
        <v>10</v>
      </c>
      <c r="BE13" s="3">
        <v>0</v>
      </c>
      <c r="BF13" s="3">
        <v>3</v>
      </c>
      <c r="BG13" s="3">
        <v>9</v>
      </c>
      <c r="BI13" s="3">
        <v>3</v>
      </c>
      <c r="BJ13" s="3">
        <v>10</v>
      </c>
      <c r="BK13" s="3">
        <v>0</v>
      </c>
      <c r="BL13" s="3">
        <v>3</v>
      </c>
      <c r="BM13" s="3">
        <v>9</v>
      </c>
    </row>
    <row r="14" spans="2:65" x14ac:dyDescent="0.3">
      <c r="B14" s="6">
        <v>3</v>
      </c>
      <c r="C14" s="25" t="s">
        <v>5</v>
      </c>
      <c r="D14" s="8">
        <v>3</v>
      </c>
      <c r="E14" s="8">
        <v>12</v>
      </c>
      <c r="F14" s="8">
        <v>0</v>
      </c>
      <c r="G14" s="8">
        <v>3</v>
      </c>
      <c r="H14" s="8">
        <v>8</v>
      </c>
      <c r="J14" s="3">
        <v>15</v>
      </c>
      <c r="K14" s="3">
        <v>1</v>
      </c>
      <c r="L14" s="3">
        <v>4</v>
      </c>
      <c r="N14" s="3">
        <v>12</v>
      </c>
      <c r="O14" s="3">
        <v>0</v>
      </c>
      <c r="P14" s="3">
        <v>3</v>
      </c>
      <c r="AE14" s="3">
        <v>4</v>
      </c>
      <c r="AF14" s="3">
        <v>11</v>
      </c>
      <c r="AG14" s="3">
        <v>5</v>
      </c>
      <c r="AH14" s="3">
        <v>21</v>
      </c>
      <c r="AI14" s="3">
        <v>23</v>
      </c>
      <c r="AJ14" s="31"/>
      <c r="AK14" s="3">
        <v>4</v>
      </c>
      <c r="AL14" s="3">
        <v>11</v>
      </c>
      <c r="AM14" s="3">
        <v>0</v>
      </c>
      <c r="AN14" s="3">
        <v>22</v>
      </c>
      <c r="AO14" s="3">
        <v>27</v>
      </c>
      <c r="AQ14" s="3">
        <v>4</v>
      </c>
      <c r="AR14" s="3">
        <v>12</v>
      </c>
      <c r="AS14" s="3">
        <v>4</v>
      </c>
      <c r="AT14" s="3">
        <v>20</v>
      </c>
      <c r="AU14" s="3">
        <v>22</v>
      </c>
      <c r="AW14" s="3">
        <v>3</v>
      </c>
      <c r="AX14" s="3">
        <v>12</v>
      </c>
      <c r="AY14" s="3">
        <v>0</v>
      </c>
      <c r="AZ14" s="3">
        <v>3</v>
      </c>
      <c r="BA14" s="3">
        <v>8</v>
      </c>
      <c r="BC14" s="3">
        <v>3</v>
      </c>
      <c r="BD14" s="3">
        <v>12</v>
      </c>
      <c r="BE14" s="3">
        <v>0</v>
      </c>
      <c r="BF14" s="3">
        <v>3</v>
      </c>
      <c r="BG14" s="3">
        <v>8</v>
      </c>
      <c r="BI14" s="3">
        <v>3</v>
      </c>
      <c r="BJ14" s="3">
        <v>13</v>
      </c>
      <c r="BK14" s="3">
        <v>0</v>
      </c>
      <c r="BL14" s="3">
        <v>3</v>
      </c>
      <c r="BM14" s="3">
        <v>8</v>
      </c>
    </row>
    <row r="15" spans="2:65" x14ac:dyDescent="0.3">
      <c r="B15" s="6">
        <v>4</v>
      </c>
      <c r="C15" s="25" t="s">
        <v>6</v>
      </c>
      <c r="D15" s="8">
        <v>7</v>
      </c>
      <c r="E15" s="8">
        <v>13</v>
      </c>
      <c r="F15" s="8">
        <v>0</v>
      </c>
      <c r="G15" s="8">
        <v>7</v>
      </c>
      <c r="H15" s="8">
        <v>14</v>
      </c>
      <c r="J15" s="3">
        <v>16</v>
      </c>
      <c r="K15" s="3">
        <v>8</v>
      </c>
      <c r="L15" s="3">
        <v>9</v>
      </c>
      <c r="N15" s="3">
        <v>13</v>
      </c>
      <c r="O15" s="3">
        <v>0</v>
      </c>
      <c r="P15" s="3">
        <v>7</v>
      </c>
      <c r="AE15" s="3">
        <v>4</v>
      </c>
      <c r="AF15" s="3">
        <v>11</v>
      </c>
      <c r="AG15" s="3">
        <v>5</v>
      </c>
      <c r="AH15" s="3">
        <v>21</v>
      </c>
      <c r="AI15" s="3">
        <v>22</v>
      </c>
      <c r="AJ15" s="31"/>
      <c r="AK15" s="3">
        <v>4</v>
      </c>
      <c r="AL15" s="3">
        <v>11</v>
      </c>
      <c r="AM15" s="3">
        <v>0</v>
      </c>
      <c r="AN15" s="3">
        <v>22</v>
      </c>
      <c r="AO15" s="3">
        <v>27</v>
      </c>
      <c r="AQ15" s="3">
        <v>4</v>
      </c>
      <c r="AR15" s="3">
        <v>12</v>
      </c>
      <c r="AS15" s="3">
        <v>4</v>
      </c>
      <c r="AT15" s="3">
        <v>20</v>
      </c>
      <c r="AU15" s="3">
        <v>21</v>
      </c>
      <c r="AW15" s="3">
        <v>7</v>
      </c>
      <c r="AX15" s="3">
        <v>13</v>
      </c>
      <c r="AY15" s="3">
        <v>0</v>
      </c>
      <c r="AZ15" s="3">
        <v>7</v>
      </c>
      <c r="BA15" s="3">
        <v>14</v>
      </c>
      <c r="BC15" s="3">
        <v>7</v>
      </c>
      <c r="BD15" s="3">
        <v>13</v>
      </c>
      <c r="BE15" s="3">
        <v>0</v>
      </c>
      <c r="BF15" s="3">
        <v>7</v>
      </c>
      <c r="BG15" s="3">
        <v>14</v>
      </c>
      <c r="BI15" s="3">
        <v>7</v>
      </c>
      <c r="BJ15" s="3">
        <v>14</v>
      </c>
      <c r="BK15" s="3">
        <v>0</v>
      </c>
      <c r="BL15" s="3">
        <v>7</v>
      </c>
      <c r="BM15" s="3">
        <v>14</v>
      </c>
    </row>
    <row r="16" spans="2:65" x14ac:dyDescent="0.3">
      <c r="B16" s="6">
        <v>5</v>
      </c>
      <c r="C16" s="25" t="s">
        <v>7</v>
      </c>
      <c r="D16" s="8">
        <v>43</v>
      </c>
      <c r="E16" s="8">
        <v>22</v>
      </c>
      <c r="F16" s="8">
        <v>0</v>
      </c>
      <c r="G16" s="8">
        <v>31</v>
      </c>
      <c r="H16" s="8">
        <v>36</v>
      </c>
      <c r="J16" s="3">
        <v>30</v>
      </c>
      <c r="K16" s="3">
        <v>43</v>
      </c>
      <c r="L16" s="3">
        <v>41</v>
      </c>
      <c r="N16" s="3">
        <v>23</v>
      </c>
      <c r="O16" s="3">
        <v>0</v>
      </c>
      <c r="P16" s="3">
        <v>31</v>
      </c>
      <c r="AE16" s="3">
        <v>43</v>
      </c>
      <c r="AF16" s="3">
        <v>20</v>
      </c>
      <c r="AG16" s="3">
        <v>41</v>
      </c>
      <c r="AH16" s="3">
        <v>14</v>
      </c>
      <c r="AI16" s="3">
        <v>22</v>
      </c>
      <c r="AJ16" s="31"/>
      <c r="AK16" s="3">
        <v>43</v>
      </c>
      <c r="AL16" s="3">
        <v>19</v>
      </c>
      <c r="AM16" s="3">
        <v>0</v>
      </c>
      <c r="AN16" s="3">
        <v>12</v>
      </c>
      <c r="AO16" s="3">
        <v>16</v>
      </c>
      <c r="AQ16" s="3">
        <v>40</v>
      </c>
      <c r="AR16" s="3">
        <v>19</v>
      </c>
      <c r="AS16" s="3">
        <v>41</v>
      </c>
      <c r="AT16" s="3">
        <v>14</v>
      </c>
      <c r="AU16" s="3">
        <v>21</v>
      </c>
      <c r="AW16" s="3">
        <v>43</v>
      </c>
      <c r="AX16" s="3">
        <v>22</v>
      </c>
      <c r="AY16" s="3">
        <v>0</v>
      </c>
      <c r="AZ16" s="3">
        <v>31</v>
      </c>
      <c r="BA16" s="3">
        <v>36</v>
      </c>
      <c r="BC16" s="3">
        <v>43</v>
      </c>
      <c r="BD16" s="3">
        <v>23</v>
      </c>
      <c r="BE16" s="3">
        <v>0</v>
      </c>
      <c r="BF16" s="3">
        <v>33</v>
      </c>
      <c r="BG16" s="3">
        <v>35</v>
      </c>
      <c r="BI16" s="3">
        <v>42</v>
      </c>
      <c r="BJ16" s="3">
        <v>25</v>
      </c>
      <c r="BK16" s="3">
        <v>0</v>
      </c>
      <c r="BL16" s="3">
        <v>33</v>
      </c>
      <c r="BM16" s="3">
        <v>34</v>
      </c>
    </row>
    <row r="17" spans="2:65" x14ac:dyDescent="0.3">
      <c r="B17" s="6">
        <v>6</v>
      </c>
      <c r="C17" s="25" t="s">
        <v>8</v>
      </c>
      <c r="D17" s="8">
        <v>42</v>
      </c>
      <c r="E17" s="8">
        <v>22</v>
      </c>
      <c r="F17" s="8">
        <v>0</v>
      </c>
      <c r="G17" s="8">
        <v>27</v>
      </c>
      <c r="H17" s="8">
        <v>34</v>
      </c>
      <c r="J17" s="3">
        <v>29</v>
      </c>
      <c r="K17" s="3">
        <v>42</v>
      </c>
      <c r="L17" s="3">
        <v>38</v>
      </c>
      <c r="N17" s="3">
        <v>23</v>
      </c>
      <c r="O17" s="3">
        <v>0</v>
      </c>
      <c r="P17" s="3">
        <v>29</v>
      </c>
      <c r="AE17" s="3">
        <v>43</v>
      </c>
      <c r="AF17" s="3">
        <v>21</v>
      </c>
      <c r="AG17" s="3">
        <v>41</v>
      </c>
      <c r="AH17" s="3">
        <v>14</v>
      </c>
      <c r="AI17" s="3">
        <v>22</v>
      </c>
      <c r="AJ17" s="31"/>
      <c r="AK17" s="3">
        <v>43</v>
      </c>
      <c r="AL17" s="3">
        <v>20</v>
      </c>
      <c r="AM17" s="3">
        <v>0</v>
      </c>
      <c r="AN17" s="3">
        <v>12</v>
      </c>
      <c r="AO17" s="3">
        <v>16</v>
      </c>
      <c r="AQ17" s="3">
        <v>40</v>
      </c>
      <c r="AR17" s="3">
        <v>19</v>
      </c>
      <c r="AS17" s="3">
        <v>41</v>
      </c>
      <c r="AT17" s="3">
        <v>14</v>
      </c>
      <c r="AU17" s="3">
        <v>21</v>
      </c>
      <c r="AW17" s="3">
        <v>42</v>
      </c>
      <c r="AX17" s="3">
        <v>22</v>
      </c>
      <c r="AY17" s="3">
        <v>0</v>
      </c>
      <c r="AZ17" s="3">
        <v>27</v>
      </c>
      <c r="BA17" s="3">
        <v>34</v>
      </c>
      <c r="BC17" s="3">
        <v>42</v>
      </c>
      <c r="BD17" s="3">
        <v>23</v>
      </c>
      <c r="BE17" s="3">
        <v>0</v>
      </c>
      <c r="BF17" s="3">
        <v>33</v>
      </c>
      <c r="BG17" s="3">
        <v>34</v>
      </c>
      <c r="BI17" s="3">
        <v>42</v>
      </c>
      <c r="BJ17" s="3">
        <v>25</v>
      </c>
      <c r="BK17" s="3">
        <v>0</v>
      </c>
      <c r="BL17" s="3">
        <v>34</v>
      </c>
      <c r="BM17" s="3">
        <v>34</v>
      </c>
    </row>
    <row r="18" spans="2:65" x14ac:dyDescent="0.3">
      <c r="B18" s="6">
        <v>7</v>
      </c>
      <c r="C18" s="25" t="s">
        <v>9</v>
      </c>
      <c r="D18" s="8">
        <v>43</v>
      </c>
      <c r="E18" s="8">
        <v>27</v>
      </c>
      <c r="F18" s="8">
        <v>0</v>
      </c>
      <c r="G18" s="8">
        <v>31</v>
      </c>
      <c r="H18" s="8">
        <v>35</v>
      </c>
      <c r="J18" s="3">
        <v>37</v>
      </c>
      <c r="K18" s="3">
        <v>42</v>
      </c>
      <c r="L18" s="3">
        <v>42</v>
      </c>
      <c r="N18" s="3">
        <v>29</v>
      </c>
      <c r="O18" s="3">
        <v>0</v>
      </c>
      <c r="P18" s="3">
        <v>32</v>
      </c>
      <c r="AE18" s="3">
        <v>47</v>
      </c>
      <c r="AF18" s="3">
        <v>21</v>
      </c>
      <c r="AG18" s="3">
        <v>41</v>
      </c>
      <c r="AH18" s="3">
        <v>14</v>
      </c>
      <c r="AI18" s="3">
        <v>22</v>
      </c>
      <c r="AJ18" s="31"/>
      <c r="AK18" s="3">
        <v>47</v>
      </c>
      <c r="AL18" s="3">
        <v>20</v>
      </c>
      <c r="AM18" s="3">
        <v>0</v>
      </c>
      <c r="AN18" s="3">
        <v>12</v>
      </c>
      <c r="AO18" s="3">
        <v>16</v>
      </c>
      <c r="AQ18" s="3">
        <v>47</v>
      </c>
      <c r="AR18" s="3">
        <v>20</v>
      </c>
      <c r="AS18" s="3">
        <v>41</v>
      </c>
      <c r="AT18" s="3">
        <v>14</v>
      </c>
      <c r="AU18" s="3">
        <v>21</v>
      </c>
      <c r="AW18" s="3">
        <v>43</v>
      </c>
      <c r="AX18" s="3">
        <v>27</v>
      </c>
      <c r="AY18" s="3">
        <v>0</v>
      </c>
      <c r="AZ18" s="3">
        <v>31</v>
      </c>
      <c r="BA18" s="3">
        <v>35</v>
      </c>
      <c r="BC18" s="3">
        <v>43</v>
      </c>
      <c r="BD18" s="3">
        <v>27</v>
      </c>
      <c r="BE18" s="3">
        <v>0</v>
      </c>
      <c r="BF18" s="3">
        <v>33</v>
      </c>
      <c r="BG18" s="3">
        <v>34</v>
      </c>
      <c r="BI18" s="3">
        <v>42</v>
      </c>
      <c r="BJ18" s="3">
        <v>29</v>
      </c>
      <c r="BK18" s="3">
        <v>0</v>
      </c>
      <c r="BL18" s="3">
        <v>33</v>
      </c>
      <c r="BM18" s="3">
        <v>33</v>
      </c>
    </row>
    <row r="19" spans="2:65" x14ac:dyDescent="0.3">
      <c r="B19" s="6">
        <v>8</v>
      </c>
      <c r="C19" s="25" t="s">
        <v>10</v>
      </c>
      <c r="D19" s="8">
        <v>43</v>
      </c>
      <c r="E19" s="8">
        <v>24</v>
      </c>
      <c r="F19" s="8">
        <v>0</v>
      </c>
      <c r="G19" s="8">
        <v>32</v>
      </c>
      <c r="H19" s="8">
        <v>34</v>
      </c>
      <c r="J19" s="3">
        <v>34</v>
      </c>
      <c r="K19" s="3">
        <v>44</v>
      </c>
      <c r="L19" s="3">
        <v>42</v>
      </c>
      <c r="N19" s="3">
        <v>26</v>
      </c>
      <c r="O19" s="3">
        <v>0</v>
      </c>
      <c r="P19" s="3">
        <v>32</v>
      </c>
      <c r="AE19" s="3">
        <v>47</v>
      </c>
      <c r="AF19" s="3">
        <v>21</v>
      </c>
      <c r="AG19" s="3">
        <v>41</v>
      </c>
      <c r="AH19" s="3">
        <v>14</v>
      </c>
      <c r="AI19" s="3">
        <v>22</v>
      </c>
      <c r="AJ19" s="31"/>
      <c r="AK19" s="3">
        <v>47</v>
      </c>
      <c r="AL19" s="3">
        <v>20</v>
      </c>
      <c r="AM19" s="3">
        <v>0</v>
      </c>
      <c r="AN19" s="3">
        <v>12</v>
      </c>
      <c r="AO19" s="3">
        <v>16</v>
      </c>
      <c r="AQ19" s="3">
        <v>47</v>
      </c>
      <c r="AR19" s="3">
        <v>20</v>
      </c>
      <c r="AS19" s="3">
        <v>41</v>
      </c>
      <c r="AT19" s="3">
        <v>14</v>
      </c>
      <c r="AU19" s="3">
        <v>21</v>
      </c>
      <c r="AW19" s="3">
        <v>43</v>
      </c>
      <c r="AX19" s="3">
        <v>24</v>
      </c>
      <c r="AY19" s="3">
        <v>0</v>
      </c>
      <c r="AZ19" s="3">
        <v>32</v>
      </c>
      <c r="BA19" s="3">
        <v>34</v>
      </c>
      <c r="BC19" s="3">
        <v>43</v>
      </c>
      <c r="BD19" s="3">
        <v>25</v>
      </c>
      <c r="BE19" s="3">
        <v>0</v>
      </c>
      <c r="BF19" s="3">
        <v>34</v>
      </c>
      <c r="BG19" s="3">
        <v>34</v>
      </c>
      <c r="BI19" s="3">
        <v>43</v>
      </c>
      <c r="BJ19" s="3">
        <v>26</v>
      </c>
      <c r="BK19" s="3">
        <v>0</v>
      </c>
      <c r="BL19" s="3">
        <v>34</v>
      </c>
      <c r="BM19" s="3">
        <v>33</v>
      </c>
    </row>
    <row r="20" spans="2:65" x14ac:dyDescent="0.3">
      <c r="B20" s="6">
        <v>9</v>
      </c>
      <c r="C20" s="25" t="s">
        <v>11</v>
      </c>
      <c r="D20" s="8">
        <v>7</v>
      </c>
      <c r="E20" s="8">
        <v>12</v>
      </c>
      <c r="F20" s="8">
        <v>0</v>
      </c>
      <c r="G20" s="8">
        <v>6</v>
      </c>
      <c r="H20" s="8">
        <v>13</v>
      </c>
      <c r="J20" s="3">
        <v>15</v>
      </c>
      <c r="K20" s="3">
        <v>6</v>
      </c>
      <c r="L20" s="3">
        <v>7</v>
      </c>
      <c r="N20" s="3">
        <v>12</v>
      </c>
      <c r="O20" s="3">
        <v>0</v>
      </c>
      <c r="P20" s="3">
        <v>6</v>
      </c>
      <c r="AE20" s="3">
        <v>4</v>
      </c>
      <c r="AF20" s="3">
        <v>11</v>
      </c>
      <c r="AG20" s="3">
        <v>5</v>
      </c>
      <c r="AH20" s="3">
        <v>20</v>
      </c>
      <c r="AI20" s="3">
        <v>22</v>
      </c>
      <c r="AJ20" s="31"/>
      <c r="AK20" s="3">
        <v>4</v>
      </c>
      <c r="AL20" s="3">
        <v>11</v>
      </c>
      <c r="AM20" s="3">
        <v>0</v>
      </c>
      <c r="AN20" s="3">
        <v>21</v>
      </c>
      <c r="AO20" s="3">
        <v>27</v>
      </c>
      <c r="AQ20" s="3">
        <v>4</v>
      </c>
      <c r="AR20" s="3">
        <v>12</v>
      </c>
      <c r="AS20" s="3">
        <v>3</v>
      </c>
      <c r="AT20" s="3">
        <v>21</v>
      </c>
      <c r="AU20" s="3">
        <v>21</v>
      </c>
      <c r="AW20" s="3">
        <v>7</v>
      </c>
      <c r="AX20" s="3">
        <v>12</v>
      </c>
      <c r="AY20" s="3">
        <v>0</v>
      </c>
      <c r="AZ20" s="3">
        <v>6</v>
      </c>
      <c r="BA20" s="3">
        <v>13</v>
      </c>
      <c r="BC20" s="3">
        <v>7</v>
      </c>
      <c r="BD20" s="3">
        <v>12</v>
      </c>
      <c r="BE20" s="3">
        <v>0</v>
      </c>
      <c r="BF20" s="3">
        <v>6</v>
      </c>
      <c r="BG20" s="3">
        <v>13</v>
      </c>
      <c r="BI20" s="3">
        <v>7</v>
      </c>
      <c r="BJ20" s="3">
        <v>13</v>
      </c>
      <c r="BK20" s="3">
        <v>0</v>
      </c>
      <c r="BL20" s="3">
        <v>6</v>
      </c>
      <c r="BM20" s="3">
        <v>13</v>
      </c>
    </row>
    <row r="21" spans="2:65" x14ac:dyDescent="0.3">
      <c r="B21" s="6">
        <v>10</v>
      </c>
      <c r="C21" s="25" t="s">
        <v>12</v>
      </c>
      <c r="D21" s="8">
        <v>7</v>
      </c>
      <c r="E21" s="8">
        <v>8</v>
      </c>
      <c r="F21" s="8">
        <v>0</v>
      </c>
      <c r="G21" s="8">
        <v>7</v>
      </c>
      <c r="H21" s="8">
        <v>14</v>
      </c>
      <c r="J21" s="3">
        <v>10</v>
      </c>
      <c r="K21" s="3">
        <v>9</v>
      </c>
      <c r="L21" s="3">
        <v>9</v>
      </c>
      <c r="N21" s="3">
        <v>8</v>
      </c>
      <c r="O21" s="3">
        <v>0</v>
      </c>
      <c r="P21" s="3">
        <v>7</v>
      </c>
      <c r="AE21" s="3">
        <v>4</v>
      </c>
      <c r="AF21" s="3">
        <v>11</v>
      </c>
      <c r="AG21" s="3">
        <v>4</v>
      </c>
      <c r="AH21" s="3">
        <v>20</v>
      </c>
      <c r="AI21" s="3">
        <v>22</v>
      </c>
      <c r="AJ21" s="31"/>
      <c r="AK21" s="3">
        <v>4</v>
      </c>
      <c r="AL21" s="3">
        <v>11</v>
      </c>
      <c r="AM21" s="3">
        <v>0</v>
      </c>
      <c r="AN21" s="3">
        <v>21</v>
      </c>
      <c r="AO21" s="3">
        <v>27</v>
      </c>
      <c r="AQ21" s="3">
        <v>4</v>
      </c>
      <c r="AR21" s="3">
        <v>12</v>
      </c>
      <c r="AS21" s="3">
        <v>3</v>
      </c>
      <c r="AT21" s="3">
        <v>21</v>
      </c>
      <c r="AU21" s="3">
        <v>21</v>
      </c>
      <c r="AW21" s="3">
        <v>7</v>
      </c>
      <c r="AX21" s="3">
        <v>8</v>
      </c>
      <c r="AY21" s="3">
        <v>0</v>
      </c>
      <c r="AZ21" s="3">
        <v>7</v>
      </c>
      <c r="BA21" s="3">
        <v>14</v>
      </c>
      <c r="BC21" s="3">
        <v>6</v>
      </c>
      <c r="BD21" s="3">
        <v>8</v>
      </c>
      <c r="BE21" s="3">
        <v>0</v>
      </c>
      <c r="BF21" s="3">
        <v>7</v>
      </c>
      <c r="BG21" s="3">
        <v>14</v>
      </c>
      <c r="BI21" s="3">
        <v>6</v>
      </c>
      <c r="BJ21" s="3">
        <v>8</v>
      </c>
      <c r="BK21" s="3">
        <v>0</v>
      </c>
      <c r="BL21" s="3">
        <v>7</v>
      </c>
      <c r="BM21" s="3">
        <v>14</v>
      </c>
    </row>
    <row r="22" spans="2:65" x14ac:dyDescent="0.3">
      <c r="B22" s="6">
        <v>11</v>
      </c>
      <c r="C22" s="25" t="s">
        <v>36</v>
      </c>
      <c r="D22" s="23">
        <v>0</v>
      </c>
      <c r="E22" s="23">
        <v>2</v>
      </c>
      <c r="F22" s="23">
        <v>3</v>
      </c>
      <c r="G22" s="23">
        <v>1</v>
      </c>
      <c r="H22" s="23">
        <v>0</v>
      </c>
      <c r="N22" s="3" cm="1">
        <f t="array" ref="N22:P30">INT(J13:L21*P7:R7)</f>
        <v>2</v>
      </c>
      <c r="O22" s="3">
        <v>3</v>
      </c>
      <c r="P22" s="3">
        <v>1</v>
      </c>
      <c r="AE22" s="3">
        <v>0</v>
      </c>
      <c r="AF22" s="3">
        <v>4</v>
      </c>
      <c r="AG22" s="3">
        <v>0</v>
      </c>
      <c r="AH22" s="3">
        <v>4</v>
      </c>
      <c r="AI22" s="3">
        <v>0</v>
      </c>
      <c r="AJ22" s="31"/>
      <c r="AK22" s="3">
        <v>0</v>
      </c>
      <c r="AL22" s="3">
        <v>4</v>
      </c>
      <c r="AM22" s="3">
        <v>5</v>
      </c>
      <c r="AN22" s="3">
        <v>5</v>
      </c>
      <c r="AO22" s="3">
        <v>0</v>
      </c>
      <c r="AQ22" s="3">
        <v>0</v>
      </c>
      <c r="AR22" s="3">
        <v>4</v>
      </c>
      <c r="AS22" s="3">
        <v>0</v>
      </c>
      <c r="AT22" s="3">
        <v>4</v>
      </c>
      <c r="AU22" s="3">
        <v>0</v>
      </c>
      <c r="AW22" s="3">
        <v>0</v>
      </c>
      <c r="AX22" s="3">
        <v>2</v>
      </c>
      <c r="AY22" s="3">
        <v>3</v>
      </c>
      <c r="AZ22" s="3">
        <v>1</v>
      </c>
      <c r="BA22" s="3">
        <v>0</v>
      </c>
      <c r="BC22" s="3">
        <v>0</v>
      </c>
      <c r="BD22" s="3">
        <v>2</v>
      </c>
      <c r="BE22" s="3">
        <v>3</v>
      </c>
      <c r="BF22" s="3">
        <v>1</v>
      </c>
      <c r="BG22" s="3">
        <v>0</v>
      </c>
      <c r="BI22" s="3">
        <v>0</v>
      </c>
      <c r="BJ22" s="3">
        <v>2</v>
      </c>
      <c r="BK22" s="3">
        <v>3</v>
      </c>
      <c r="BL22" s="3">
        <v>1</v>
      </c>
      <c r="BM22" s="3">
        <v>0</v>
      </c>
    </row>
    <row r="23" spans="2:65" x14ac:dyDescent="0.3">
      <c r="B23" s="6">
        <v>12</v>
      </c>
      <c r="C23" s="25" t="s">
        <v>37</v>
      </c>
      <c r="D23" s="23">
        <v>0</v>
      </c>
      <c r="E23" s="23">
        <v>3</v>
      </c>
      <c r="F23" s="23">
        <v>1</v>
      </c>
      <c r="G23" s="23">
        <v>1</v>
      </c>
      <c r="H23" s="23">
        <v>0</v>
      </c>
      <c r="N23" s="3">
        <v>3</v>
      </c>
      <c r="O23" s="3">
        <v>1</v>
      </c>
      <c r="P23" s="3">
        <v>1</v>
      </c>
      <c r="AE23" s="3">
        <v>0</v>
      </c>
      <c r="AF23" s="3">
        <v>5</v>
      </c>
      <c r="AG23" s="3">
        <v>0</v>
      </c>
      <c r="AH23" s="3">
        <v>4</v>
      </c>
      <c r="AI23" s="3">
        <v>0</v>
      </c>
      <c r="AJ23" s="31"/>
      <c r="AK23" s="3">
        <v>0</v>
      </c>
      <c r="AL23" s="3">
        <v>5</v>
      </c>
      <c r="AM23" s="3">
        <v>5</v>
      </c>
      <c r="AN23" s="3">
        <v>5</v>
      </c>
      <c r="AO23" s="3">
        <v>0</v>
      </c>
      <c r="AQ23" s="3">
        <v>0</v>
      </c>
      <c r="AR23" s="3">
        <v>5</v>
      </c>
      <c r="AS23" s="3">
        <v>0</v>
      </c>
      <c r="AT23" s="3">
        <v>4</v>
      </c>
      <c r="AU23" s="3">
        <v>0</v>
      </c>
      <c r="AW23" s="3">
        <v>0</v>
      </c>
      <c r="AX23" s="3">
        <v>3</v>
      </c>
      <c r="AY23" s="3">
        <v>1</v>
      </c>
      <c r="AZ23" s="3">
        <v>1</v>
      </c>
      <c r="BA23" s="3">
        <v>0</v>
      </c>
      <c r="BC23" s="3">
        <v>0</v>
      </c>
      <c r="BD23" s="3">
        <v>3</v>
      </c>
      <c r="BE23" s="3">
        <v>1</v>
      </c>
      <c r="BF23" s="3">
        <v>1</v>
      </c>
      <c r="BG23" s="3">
        <v>0</v>
      </c>
      <c r="BI23" s="3">
        <v>0</v>
      </c>
      <c r="BJ23" s="3">
        <v>2</v>
      </c>
      <c r="BK23" s="3">
        <v>1</v>
      </c>
      <c r="BL23" s="3">
        <v>1</v>
      </c>
      <c r="BM23" s="3">
        <v>0</v>
      </c>
    </row>
    <row r="24" spans="2:65" x14ac:dyDescent="0.3">
      <c r="B24" s="6">
        <v>13</v>
      </c>
      <c r="C24" s="25" t="s">
        <v>38</v>
      </c>
      <c r="D24" s="23">
        <v>0</v>
      </c>
      <c r="E24" s="23">
        <v>3</v>
      </c>
      <c r="F24" s="23">
        <v>8</v>
      </c>
      <c r="G24" s="23">
        <v>2</v>
      </c>
      <c r="H24" s="23">
        <v>0</v>
      </c>
      <c r="N24" s="3">
        <v>3</v>
      </c>
      <c r="O24" s="3">
        <v>8</v>
      </c>
      <c r="P24" s="3">
        <v>2</v>
      </c>
      <c r="AE24" s="3">
        <v>0</v>
      </c>
      <c r="AF24" s="3">
        <v>5</v>
      </c>
      <c r="AG24" s="3">
        <v>0</v>
      </c>
      <c r="AH24" s="3">
        <v>4</v>
      </c>
      <c r="AI24" s="3">
        <v>0</v>
      </c>
      <c r="AJ24" s="31"/>
      <c r="AK24" s="3">
        <v>0</v>
      </c>
      <c r="AL24" s="3">
        <v>5</v>
      </c>
      <c r="AM24" s="3">
        <v>5</v>
      </c>
      <c r="AN24" s="3">
        <v>5</v>
      </c>
      <c r="AO24" s="3">
        <v>0</v>
      </c>
      <c r="AQ24" s="3">
        <v>0</v>
      </c>
      <c r="AR24" s="3">
        <v>5</v>
      </c>
      <c r="AS24" s="3">
        <v>0</v>
      </c>
      <c r="AT24" s="3">
        <v>4</v>
      </c>
      <c r="AU24" s="3">
        <v>0</v>
      </c>
      <c r="AW24" s="3">
        <v>0</v>
      </c>
      <c r="AX24" s="3">
        <v>3</v>
      </c>
      <c r="AY24" s="3">
        <v>8</v>
      </c>
      <c r="AZ24" s="3">
        <v>2</v>
      </c>
      <c r="BA24" s="3">
        <v>0</v>
      </c>
      <c r="BC24" s="3">
        <v>0</v>
      </c>
      <c r="BD24" s="3">
        <v>3</v>
      </c>
      <c r="BE24" s="3">
        <v>8</v>
      </c>
      <c r="BF24" s="3">
        <v>2</v>
      </c>
      <c r="BG24" s="3">
        <v>0</v>
      </c>
      <c r="BI24" s="3">
        <v>0</v>
      </c>
      <c r="BJ24" s="3">
        <v>2</v>
      </c>
      <c r="BK24" s="3">
        <v>8</v>
      </c>
      <c r="BL24" s="3">
        <v>2</v>
      </c>
      <c r="BM24" s="3">
        <v>0</v>
      </c>
    </row>
    <row r="25" spans="2:65" x14ac:dyDescent="0.3">
      <c r="B25" s="6">
        <v>14</v>
      </c>
      <c r="C25" s="25" t="s">
        <v>39</v>
      </c>
      <c r="D25" s="23">
        <v>0</v>
      </c>
      <c r="E25" s="23">
        <v>8</v>
      </c>
      <c r="F25" s="23">
        <v>43</v>
      </c>
      <c r="G25" s="23">
        <v>11</v>
      </c>
      <c r="H25" s="23">
        <v>0</v>
      </c>
      <c r="N25" s="3">
        <v>7</v>
      </c>
      <c r="O25" s="3">
        <v>43</v>
      </c>
      <c r="P25" s="3">
        <v>10</v>
      </c>
      <c r="AE25" s="3">
        <v>0</v>
      </c>
      <c r="AF25" s="3">
        <v>8</v>
      </c>
      <c r="AG25" s="3">
        <v>3</v>
      </c>
      <c r="AH25" s="3">
        <v>3</v>
      </c>
      <c r="AI25" s="3">
        <v>0</v>
      </c>
      <c r="AJ25" s="31"/>
      <c r="AK25" s="3">
        <v>0</v>
      </c>
      <c r="AL25" s="3">
        <v>9</v>
      </c>
      <c r="AM25" s="3">
        <v>44</v>
      </c>
      <c r="AN25" s="3">
        <v>3</v>
      </c>
      <c r="AO25" s="3">
        <v>0</v>
      </c>
      <c r="AQ25" s="3">
        <v>0</v>
      </c>
      <c r="AR25" s="3">
        <v>8</v>
      </c>
      <c r="AS25" s="3">
        <v>3</v>
      </c>
      <c r="AT25" s="3">
        <v>3</v>
      </c>
      <c r="AU25" s="3">
        <v>0</v>
      </c>
      <c r="AW25" s="3">
        <v>0</v>
      </c>
      <c r="AX25" s="3">
        <v>8</v>
      </c>
      <c r="AY25" s="3">
        <v>43</v>
      </c>
      <c r="AZ25" s="3">
        <v>11</v>
      </c>
      <c r="BA25" s="3">
        <v>0</v>
      </c>
      <c r="BC25" s="3">
        <v>0</v>
      </c>
      <c r="BD25" s="3">
        <v>7</v>
      </c>
      <c r="BE25" s="3">
        <v>43</v>
      </c>
      <c r="BF25" s="3">
        <v>8</v>
      </c>
      <c r="BG25" s="3">
        <v>0</v>
      </c>
      <c r="BI25" s="3">
        <v>0</v>
      </c>
      <c r="BJ25" s="3">
        <v>5</v>
      </c>
      <c r="BK25" s="3">
        <v>42</v>
      </c>
      <c r="BL25" s="3">
        <v>7</v>
      </c>
      <c r="BM25" s="3">
        <v>0</v>
      </c>
    </row>
    <row r="26" spans="2:65" x14ac:dyDescent="0.3">
      <c r="B26" s="6">
        <v>15</v>
      </c>
      <c r="C26" s="25" t="s">
        <v>44</v>
      </c>
      <c r="D26" s="23">
        <v>0</v>
      </c>
      <c r="E26" s="23">
        <v>8</v>
      </c>
      <c r="F26" s="23">
        <v>42</v>
      </c>
      <c r="G26" s="23">
        <v>12</v>
      </c>
      <c r="H26" s="23">
        <v>0</v>
      </c>
      <c r="N26" s="3">
        <v>6</v>
      </c>
      <c r="O26" s="3">
        <v>42</v>
      </c>
      <c r="P26" s="3">
        <v>9</v>
      </c>
      <c r="AE26" s="3">
        <v>0</v>
      </c>
      <c r="AF26" s="3">
        <v>8</v>
      </c>
      <c r="AG26" s="3">
        <v>3</v>
      </c>
      <c r="AH26" s="3">
        <v>3</v>
      </c>
      <c r="AI26" s="3">
        <v>0</v>
      </c>
      <c r="AJ26" s="31"/>
      <c r="AK26" s="3">
        <v>0</v>
      </c>
      <c r="AL26" s="3">
        <v>9</v>
      </c>
      <c r="AM26" s="3">
        <v>44</v>
      </c>
      <c r="AN26" s="3">
        <v>3</v>
      </c>
      <c r="AO26" s="3">
        <v>0</v>
      </c>
      <c r="AQ26" s="3">
        <v>0</v>
      </c>
      <c r="AR26" s="3">
        <v>8</v>
      </c>
      <c r="AS26" s="3">
        <v>3</v>
      </c>
      <c r="AT26" s="3">
        <v>3</v>
      </c>
      <c r="AU26" s="3">
        <v>0</v>
      </c>
      <c r="AW26" s="3">
        <v>0</v>
      </c>
      <c r="AX26" s="3">
        <v>8</v>
      </c>
      <c r="AY26" s="3">
        <v>42</v>
      </c>
      <c r="AZ26" s="3">
        <v>12</v>
      </c>
      <c r="BA26" s="3">
        <v>0</v>
      </c>
      <c r="BC26" s="3">
        <v>0</v>
      </c>
      <c r="BD26" s="3">
        <v>7</v>
      </c>
      <c r="BE26" s="3">
        <v>42</v>
      </c>
      <c r="BF26" s="3">
        <v>9</v>
      </c>
      <c r="BG26" s="3">
        <v>0</v>
      </c>
      <c r="BI26" s="3">
        <v>0</v>
      </c>
      <c r="BJ26" s="3">
        <v>5</v>
      </c>
      <c r="BK26" s="3">
        <v>42</v>
      </c>
      <c r="BL26" s="3">
        <v>6</v>
      </c>
      <c r="BM26" s="3">
        <v>0</v>
      </c>
    </row>
    <row r="27" spans="2:65" x14ac:dyDescent="0.3">
      <c r="B27" s="6">
        <v>16</v>
      </c>
      <c r="C27" s="25" t="s">
        <v>40</v>
      </c>
      <c r="D27" s="23">
        <v>0</v>
      </c>
      <c r="E27" s="23">
        <v>10</v>
      </c>
      <c r="F27" s="23">
        <v>42</v>
      </c>
      <c r="G27" s="23">
        <v>10</v>
      </c>
      <c r="H27" s="23">
        <v>0</v>
      </c>
      <c r="N27" s="3">
        <v>8</v>
      </c>
      <c r="O27" s="3">
        <v>42</v>
      </c>
      <c r="P27" s="3">
        <v>10</v>
      </c>
      <c r="AE27" s="3">
        <v>0</v>
      </c>
      <c r="AF27" s="3">
        <v>8</v>
      </c>
      <c r="AG27" s="3">
        <v>3</v>
      </c>
      <c r="AH27" s="3">
        <v>3</v>
      </c>
      <c r="AI27" s="3">
        <v>0</v>
      </c>
      <c r="AJ27" s="32"/>
      <c r="AK27" s="3">
        <v>0</v>
      </c>
      <c r="AL27" s="3">
        <v>9</v>
      </c>
      <c r="AM27" s="3">
        <v>44</v>
      </c>
      <c r="AN27" s="3">
        <v>3</v>
      </c>
      <c r="AO27" s="3">
        <v>0</v>
      </c>
      <c r="AQ27" s="3">
        <v>0</v>
      </c>
      <c r="AR27" s="3">
        <v>8</v>
      </c>
      <c r="AS27" s="3">
        <v>3</v>
      </c>
      <c r="AT27" s="3">
        <v>3</v>
      </c>
      <c r="AU27" s="3">
        <v>0</v>
      </c>
      <c r="AW27" s="3">
        <v>0</v>
      </c>
      <c r="AX27" s="3">
        <v>10</v>
      </c>
      <c r="AY27" s="3">
        <v>42</v>
      </c>
      <c r="AZ27" s="3">
        <v>10</v>
      </c>
      <c r="BA27" s="3">
        <v>0</v>
      </c>
      <c r="BC27" s="3">
        <v>0</v>
      </c>
      <c r="BD27" s="3">
        <v>10</v>
      </c>
      <c r="BE27" s="3">
        <v>42</v>
      </c>
      <c r="BF27" s="3">
        <v>6</v>
      </c>
      <c r="BG27" s="3">
        <v>0</v>
      </c>
      <c r="BI27" s="3">
        <v>0</v>
      </c>
      <c r="BJ27" s="3">
        <v>7</v>
      </c>
      <c r="BK27" s="3">
        <v>42</v>
      </c>
      <c r="BL27" s="3">
        <v>6</v>
      </c>
      <c r="BM27" s="3">
        <v>0</v>
      </c>
    </row>
    <row r="28" spans="2:65" x14ac:dyDescent="0.3">
      <c r="B28" s="6">
        <v>17</v>
      </c>
      <c r="C28" s="25" t="s">
        <v>41</v>
      </c>
      <c r="D28" s="23">
        <v>0</v>
      </c>
      <c r="E28" s="23">
        <v>9</v>
      </c>
      <c r="F28" s="23">
        <v>44</v>
      </c>
      <c r="G28" s="23">
        <v>10</v>
      </c>
      <c r="H28" s="23">
        <v>0</v>
      </c>
      <c r="N28" s="3">
        <v>8</v>
      </c>
      <c r="O28" s="3">
        <v>44</v>
      </c>
      <c r="P28" s="3">
        <v>10</v>
      </c>
      <c r="AE28" s="3">
        <v>0</v>
      </c>
      <c r="AF28" s="3">
        <v>8</v>
      </c>
      <c r="AG28" s="3">
        <v>3</v>
      </c>
      <c r="AH28" s="3">
        <v>3</v>
      </c>
      <c r="AI28" s="3">
        <v>0</v>
      </c>
      <c r="AJ28" s="32"/>
      <c r="AK28" s="3">
        <v>0</v>
      </c>
      <c r="AL28" s="3">
        <v>9</v>
      </c>
      <c r="AM28" s="3">
        <v>44</v>
      </c>
      <c r="AN28" s="3">
        <v>3</v>
      </c>
      <c r="AO28" s="3">
        <v>0</v>
      </c>
      <c r="AQ28" s="3">
        <v>0</v>
      </c>
      <c r="AR28" s="3">
        <v>8</v>
      </c>
      <c r="AS28" s="3">
        <v>3</v>
      </c>
      <c r="AT28" s="3">
        <v>3</v>
      </c>
      <c r="AU28" s="3">
        <v>0</v>
      </c>
      <c r="AW28" s="3">
        <v>0</v>
      </c>
      <c r="AX28" s="3">
        <v>9</v>
      </c>
      <c r="AY28" s="3">
        <v>44</v>
      </c>
      <c r="AZ28" s="3">
        <v>10</v>
      </c>
      <c r="BA28" s="3">
        <v>0</v>
      </c>
      <c r="BC28" s="3">
        <v>0</v>
      </c>
      <c r="BD28" s="3">
        <v>7</v>
      </c>
      <c r="BE28" s="3">
        <v>43</v>
      </c>
      <c r="BF28" s="3">
        <v>6</v>
      </c>
      <c r="BG28" s="3">
        <v>0</v>
      </c>
      <c r="BI28" s="3">
        <v>0</v>
      </c>
      <c r="BJ28" s="3">
        <v>5</v>
      </c>
      <c r="BK28" s="3">
        <v>42</v>
      </c>
      <c r="BL28" s="3">
        <v>6</v>
      </c>
      <c r="BM28" s="3">
        <v>0</v>
      </c>
    </row>
    <row r="29" spans="2:65" x14ac:dyDescent="0.3">
      <c r="B29" s="6">
        <v>18</v>
      </c>
      <c r="C29" s="25" t="s">
        <v>42</v>
      </c>
      <c r="D29" s="23">
        <v>0</v>
      </c>
      <c r="E29" s="23">
        <v>3</v>
      </c>
      <c r="F29" s="23">
        <v>6</v>
      </c>
      <c r="G29" s="23">
        <v>1</v>
      </c>
      <c r="H29" s="23">
        <v>0</v>
      </c>
      <c r="N29" s="3">
        <v>3</v>
      </c>
      <c r="O29" s="3">
        <v>6</v>
      </c>
      <c r="P29" s="3">
        <v>1</v>
      </c>
      <c r="AE29" s="3">
        <v>0</v>
      </c>
      <c r="AF29" s="3">
        <v>5</v>
      </c>
      <c r="AG29" s="3">
        <v>0</v>
      </c>
      <c r="AH29" s="3">
        <v>4</v>
      </c>
      <c r="AI29" s="3">
        <v>0</v>
      </c>
      <c r="AJ29" s="32"/>
      <c r="AK29" s="3">
        <v>0</v>
      </c>
      <c r="AL29" s="3">
        <v>5</v>
      </c>
      <c r="AM29" s="3">
        <v>5</v>
      </c>
      <c r="AN29" s="3">
        <v>4</v>
      </c>
      <c r="AO29" s="3">
        <v>0</v>
      </c>
      <c r="AQ29" s="3">
        <v>0</v>
      </c>
      <c r="AR29" s="3">
        <v>5</v>
      </c>
      <c r="AS29" s="3">
        <v>0</v>
      </c>
      <c r="AT29" s="3">
        <v>4</v>
      </c>
      <c r="AU29" s="3">
        <v>0</v>
      </c>
      <c r="AW29" s="3">
        <v>0</v>
      </c>
      <c r="AX29" s="3">
        <v>3</v>
      </c>
      <c r="AY29" s="3">
        <v>6</v>
      </c>
      <c r="AZ29" s="3">
        <v>1</v>
      </c>
      <c r="BA29" s="3">
        <v>0</v>
      </c>
      <c r="BC29" s="3">
        <v>0</v>
      </c>
      <c r="BD29" s="3">
        <v>3</v>
      </c>
      <c r="BE29" s="3">
        <v>6</v>
      </c>
      <c r="BF29" s="3">
        <v>1</v>
      </c>
      <c r="BG29" s="3">
        <v>0</v>
      </c>
      <c r="BI29" s="3">
        <v>0</v>
      </c>
      <c r="BJ29" s="3">
        <v>2</v>
      </c>
      <c r="BK29" s="3">
        <v>6</v>
      </c>
      <c r="BL29" s="3">
        <v>1</v>
      </c>
      <c r="BM29" s="3">
        <v>0</v>
      </c>
    </row>
    <row r="30" spans="2:65" x14ac:dyDescent="0.3">
      <c r="B30" s="6">
        <v>19</v>
      </c>
      <c r="C30" s="25" t="s">
        <v>43</v>
      </c>
      <c r="D30" s="23">
        <v>0</v>
      </c>
      <c r="E30" s="23">
        <v>2</v>
      </c>
      <c r="F30" s="23">
        <v>9</v>
      </c>
      <c r="G30" s="23">
        <v>2</v>
      </c>
      <c r="H30" s="23">
        <v>0</v>
      </c>
      <c r="N30" s="3">
        <v>2</v>
      </c>
      <c r="O30" s="3">
        <v>9</v>
      </c>
      <c r="P30" s="3">
        <v>2</v>
      </c>
      <c r="AE30" s="3">
        <v>0</v>
      </c>
      <c r="AF30" s="3">
        <v>5</v>
      </c>
      <c r="AG30" s="3">
        <v>0</v>
      </c>
      <c r="AH30" s="3">
        <v>4</v>
      </c>
      <c r="AI30" s="3">
        <v>0</v>
      </c>
      <c r="AK30" s="3">
        <v>0</v>
      </c>
      <c r="AL30" s="3">
        <v>5</v>
      </c>
      <c r="AM30" s="3">
        <v>4</v>
      </c>
      <c r="AN30" s="3">
        <v>4</v>
      </c>
      <c r="AO30" s="3">
        <v>0</v>
      </c>
      <c r="AQ30" s="3">
        <v>0</v>
      </c>
      <c r="AR30" s="3">
        <v>5</v>
      </c>
      <c r="AS30" s="3">
        <v>0</v>
      </c>
      <c r="AT30" s="3">
        <v>4</v>
      </c>
      <c r="AU30" s="3">
        <v>0</v>
      </c>
      <c r="AW30" s="3">
        <v>0</v>
      </c>
      <c r="AX30" s="3">
        <v>2</v>
      </c>
      <c r="AY30" s="3">
        <v>9</v>
      </c>
      <c r="AZ30" s="3">
        <v>2</v>
      </c>
      <c r="BA30" s="3">
        <v>0</v>
      </c>
      <c r="BC30" s="3">
        <v>0</v>
      </c>
      <c r="BD30" s="3">
        <v>2</v>
      </c>
      <c r="BE30" s="3">
        <v>9</v>
      </c>
      <c r="BF30" s="3">
        <v>2</v>
      </c>
      <c r="BG30" s="3">
        <v>0</v>
      </c>
      <c r="BI30" s="3">
        <v>0</v>
      </c>
      <c r="BJ30" s="3">
        <v>2</v>
      </c>
      <c r="BK30" s="3">
        <v>9</v>
      </c>
      <c r="BL30" s="3">
        <v>2</v>
      </c>
      <c r="BM30" s="3">
        <v>0</v>
      </c>
    </row>
    <row r="31" spans="2:65" x14ac:dyDescent="0.3">
      <c r="B31" s="9"/>
      <c r="C31" s="9" t="s">
        <v>20</v>
      </c>
      <c r="D31" s="26">
        <f>SUM(D11:D30)</f>
        <v>200</v>
      </c>
      <c r="E31" s="26">
        <f>SUM(E11:E30)</f>
        <v>200</v>
      </c>
      <c r="F31" s="26">
        <f>SUM(F11:F30)</f>
        <v>200</v>
      </c>
      <c r="G31" s="26">
        <f>SUM(G11:G30)</f>
        <v>200</v>
      </c>
      <c r="H31" s="26">
        <f>SUM(H11:H30)</f>
        <v>200</v>
      </c>
    </row>
    <row r="32" spans="2:65" x14ac:dyDescent="0.3">
      <c r="D32" s="9"/>
      <c r="E32" s="9">
        <f>SUM(E22:E30)/E31</f>
        <v>0.24</v>
      </c>
      <c r="F32" s="9">
        <f>SUM(F22:F30)/F31</f>
        <v>0.99</v>
      </c>
      <c r="G32" s="9">
        <f>SUM(G22:G30)/G31</f>
        <v>0.25</v>
      </c>
      <c r="H32" s="9"/>
    </row>
    <row r="34" spans="2:51" x14ac:dyDescent="0.3">
      <c r="B34" s="9"/>
      <c r="C34" s="9"/>
      <c r="L34" s="14" t="str">
        <f>"['"&amp;_xlfn.TEXTJOIN("', '", , D37:F37)&amp;"', "&amp;_xlfn.TEXTJOIN(", ", , G37:J37)&amp;"]"</f>
        <v>['symbol_id', 'symbol_str', 'symbol_count', 1, 2, 3, 5]</v>
      </c>
    </row>
    <row r="36" spans="2:51" x14ac:dyDescent="0.3">
      <c r="C36" s="1">
        <v>1</v>
      </c>
      <c r="D36" s="3" t="str">
        <f>"R"&amp;C36</f>
        <v>R1</v>
      </c>
    </row>
    <row r="37" spans="2:51" x14ac:dyDescent="0.3">
      <c r="D37" s="2" t="s">
        <v>27</v>
      </c>
      <c r="E37" s="2" t="s">
        <v>26</v>
      </c>
      <c r="F37" s="2" t="s">
        <v>28</v>
      </c>
      <c r="G37" s="2">
        <v>1</v>
      </c>
      <c r="H37" s="2">
        <v>2</v>
      </c>
      <c r="I37" s="2">
        <v>3</v>
      </c>
      <c r="J37" s="2">
        <v>5</v>
      </c>
      <c r="L37" s="14" t="s">
        <v>32</v>
      </c>
      <c r="T37" s="2">
        <v>2</v>
      </c>
      <c r="U37" s="2">
        <v>3</v>
      </c>
      <c r="AW37" s="3">
        <v>1</v>
      </c>
      <c r="AX37" s="3">
        <v>2</v>
      </c>
      <c r="AY37" s="3">
        <v>3</v>
      </c>
    </row>
    <row r="38" spans="2:51" x14ac:dyDescent="0.3">
      <c r="D38" s="10" cm="1">
        <f t="array" ref="D38:D57">$B$11:$B$30</f>
        <v>0</v>
      </c>
      <c r="E38" s="10" t="str" cm="1">
        <f t="array" ref="E38:E57">$C$11:$C$30</f>
        <v>WW</v>
      </c>
      <c r="F38" s="4" cm="1">
        <f t="array" ref="F38:F57">D$11:D$30</f>
        <v>0</v>
      </c>
      <c r="G38" s="21">
        <f>F38-SUMPRODUCT($H$37:$J$37,H38:J38)</f>
        <v>0</v>
      </c>
      <c r="H38" s="18">
        <v>0</v>
      </c>
      <c r="I38" s="18">
        <v>0</v>
      </c>
      <c r="J38" s="21">
        <v>0</v>
      </c>
      <c r="L38" s="14" t="str">
        <f t="shared" ref="L38:L57" si="0">"["&amp;D38&amp;", '"&amp;E38&amp;"', "&amp;_xlfn.TEXTJOIN(", ", , F38:J38)&amp;"]"&amp;","</f>
        <v>[0, 'WW', 0, 0, 0, 0, 0],</v>
      </c>
      <c r="T38" s="18">
        <v>0</v>
      </c>
      <c r="U38" s="18">
        <v>0</v>
      </c>
      <c r="AW38" s="3">
        <v>0</v>
      </c>
      <c r="AX38" s="3">
        <v>0</v>
      </c>
      <c r="AY38" s="3">
        <v>0</v>
      </c>
    </row>
    <row r="39" spans="2:51" x14ac:dyDescent="0.3">
      <c r="D39" s="11">
        <v>1</v>
      </c>
      <c r="E39" s="11" t="str">
        <v>C1</v>
      </c>
      <c r="F39" s="6">
        <v>2</v>
      </c>
      <c r="G39" s="21">
        <f>F39-SUMPRODUCT($H$37:$J$37,H39:J39)</f>
        <v>2</v>
      </c>
      <c r="H39" s="17">
        <v>0</v>
      </c>
      <c r="I39" s="17">
        <v>0</v>
      </c>
      <c r="J39" s="8">
        <v>0</v>
      </c>
      <c r="L39" s="14" t="str">
        <f t="shared" si="0"/>
        <v>[1, 'C1', 2, 2, 0, 0, 0],</v>
      </c>
      <c r="T39" s="17">
        <v>0</v>
      </c>
      <c r="U39" s="17">
        <v>0</v>
      </c>
      <c r="AW39" s="3">
        <v>2</v>
      </c>
      <c r="AX39" s="3">
        <v>0</v>
      </c>
      <c r="AY39" s="3">
        <v>0</v>
      </c>
    </row>
    <row r="40" spans="2:51" x14ac:dyDescent="0.3">
      <c r="C40" s="27"/>
      <c r="D40" s="11">
        <v>2</v>
      </c>
      <c r="E40" s="11" t="str">
        <v>M1</v>
      </c>
      <c r="F40" s="6">
        <v>3</v>
      </c>
      <c r="G40" s="21">
        <f>F40-SUMPRODUCT($H$37:$J$37,H40:J40)</f>
        <v>3</v>
      </c>
      <c r="H40" s="17">
        <v>0</v>
      </c>
      <c r="I40" s="17">
        <v>0</v>
      </c>
      <c r="J40" s="8">
        <v>0</v>
      </c>
      <c r="L40" s="14" t="str">
        <f t="shared" si="0"/>
        <v>[2, 'M1', 3, 3, 0, 0, 0],</v>
      </c>
      <c r="T40" s="17">
        <v>0</v>
      </c>
      <c r="U40" s="17">
        <v>0</v>
      </c>
      <c r="AW40" s="3">
        <v>3</v>
      </c>
      <c r="AX40" s="3">
        <v>0</v>
      </c>
      <c r="AY40" s="3">
        <v>0</v>
      </c>
    </row>
    <row r="41" spans="2:51" x14ac:dyDescent="0.3">
      <c r="C41" s="27"/>
      <c r="D41" s="11">
        <v>3</v>
      </c>
      <c r="E41" s="11" t="str">
        <v>M2</v>
      </c>
      <c r="F41" s="6">
        <v>3</v>
      </c>
      <c r="G41" s="21">
        <f>F41-SUMPRODUCT($H$37:$J$37,H41:J41)</f>
        <v>3</v>
      </c>
      <c r="H41" s="17">
        <v>0</v>
      </c>
      <c r="I41" s="17">
        <v>0</v>
      </c>
      <c r="J41" s="8">
        <v>0</v>
      </c>
      <c r="L41" s="14" t="str">
        <f t="shared" si="0"/>
        <v>[3, 'M2', 3, 3, 0, 0, 0],</v>
      </c>
      <c r="T41" s="17">
        <v>0</v>
      </c>
      <c r="U41" s="17">
        <v>0</v>
      </c>
      <c r="AW41" s="3">
        <v>3</v>
      </c>
      <c r="AX41" s="3">
        <v>0</v>
      </c>
      <c r="AY41" s="3">
        <v>0</v>
      </c>
    </row>
    <row r="42" spans="2:51" x14ac:dyDescent="0.3">
      <c r="C42" s="27"/>
      <c r="D42" s="11">
        <v>4</v>
      </c>
      <c r="E42" s="11" t="str">
        <v>M3</v>
      </c>
      <c r="F42" s="6">
        <v>7</v>
      </c>
      <c r="G42" s="21">
        <f>F42-SUMPRODUCT($H$37:$J$37,H42:J42)</f>
        <v>7</v>
      </c>
      <c r="H42" s="17">
        <v>0</v>
      </c>
      <c r="I42" s="17">
        <v>0</v>
      </c>
      <c r="J42" s="8">
        <v>0</v>
      </c>
      <c r="L42" s="14" t="str">
        <f t="shared" si="0"/>
        <v>[4, 'M3', 7, 7, 0, 0, 0],</v>
      </c>
      <c r="T42" s="17">
        <v>0</v>
      </c>
      <c r="U42" s="17">
        <v>0</v>
      </c>
      <c r="AW42" s="3">
        <v>7</v>
      </c>
      <c r="AX42" s="3">
        <v>0</v>
      </c>
      <c r="AY42" s="3">
        <v>0</v>
      </c>
    </row>
    <row r="43" spans="2:51" x14ac:dyDescent="0.3">
      <c r="C43" s="27"/>
      <c r="D43" s="11">
        <v>5</v>
      </c>
      <c r="E43" s="11" t="str">
        <v>M4</v>
      </c>
      <c r="F43" s="6">
        <v>43</v>
      </c>
      <c r="G43" s="21">
        <f>F43-SUMPRODUCT($H$37:$J$37,H43:J43)</f>
        <v>43</v>
      </c>
      <c r="H43" s="17">
        <v>0</v>
      </c>
      <c r="I43" s="17">
        <v>0</v>
      </c>
      <c r="J43" s="8">
        <v>0</v>
      </c>
      <c r="L43" s="14" t="str">
        <f t="shared" si="0"/>
        <v>[5, 'M4', 43, 43, 0, 0, 0],</v>
      </c>
      <c r="T43" s="17">
        <v>4</v>
      </c>
      <c r="U43" s="17">
        <v>2</v>
      </c>
      <c r="AW43" s="3">
        <v>43</v>
      </c>
      <c r="AX43" s="3">
        <v>0</v>
      </c>
      <c r="AY43" s="3">
        <v>0</v>
      </c>
    </row>
    <row r="44" spans="2:51" x14ac:dyDescent="0.3">
      <c r="C44" s="27"/>
      <c r="D44" s="11">
        <v>6</v>
      </c>
      <c r="E44" s="11" t="str">
        <v>M5</v>
      </c>
      <c r="F44" s="6">
        <v>42</v>
      </c>
      <c r="G44" s="21">
        <f>F44-SUMPRODUCT($H$37:$J$37,H44:J44)</f>
        <v>42</v>
      </c>
      <c r="H44" s="17">
        <v>0</v>
      </c>
      <c r="I44" s="17">
        <v>0</v>
      </c>
      <c r="J44" s="8">
        <v>0</v>
      </c>
      <c r="L44" s="14" t="str">
        <f t="shared" si="0"/>
        <v>[6, 'M5', 42, 42, 0, 0, 0],</v>
      </c>
      <c r="T44" s="17">
        <v>4</v>
      </c>
      <c r="U44" s="17">
        <v>2</v>
      </c>
      <c r="AW44" s="3">
        <v>42</v>
      </c>
      <c r="AX44" s="3">
        <v>0</v>
      </c>
      <c r="AY44" s="3">
        <v>0</v>
      </c>
    </row>
    <row r="45" spans="2:51" x14ac:dyDescent="0.3">
      <c r="C45" s="27"/>
      <c r="D45" s="11">
        <v>7</v>
      </c>
      <c r="E45" s="11" t="str">
        <v>A</v>
      </c>
      <c r="F45" s="6">
        <v>43</v>
      </c>
      <c r="G45" s="21">
        <f>F45-SUMPRODUCT($H$37:$J$37,H45:J45)</f>
        <v>43</v>
      </c>
      <c r="H45" s="17">
        <v>0</v>
      </c>
      <c r="I45" s="17">
        <v>0</v>
      </c>
      <c r="J45" s="8">
        <v>0</v>
      </c>
      <c r="L45" s="14" t="str">
        <f t="shared" si="0"/>
        <v>[7, 'A', 43, 43, 0, 0, 0],</v>
      </c>
      <c r="T45" s="17">
        <v>4</v>
      </c>
      <c r="U45" s="17">
        <v>2</v>
      </c>
      <c r="AW45" s="3">
        <v>43</v>
      </c>
      <c r="AX45" s="3">
        <v>0</v>
      </c>
      <c r="AY45" s="3">
        <v>0</v>
      </c>
    </row>
    <row r="46" spans="2:51" x14ac:dyDescent="0.3">
      <c r="C46" s="28"/>
      <c r="D46" s="11">
        <v>8</v>
      </c>
      <c r="E46" s="11" t="str">
        <v>K</v>
      </c>
      <c r="F46" s="6">
        <v>43</v>
      </c>
      <c r="G46" s="21">
        <f>F46-SUMPRODUCT($H$37:$J$37,H46:J46)</f>
        <v>43</v>
      </c>
      <c r="H46" s="17">
        <v>0</v>
      </c>
      <c r="I46" s="17">
        <v>0</v>
      </c>
      <c r="J46" s="8">
        <v>0</v>
      </c>
      <c r="L46" s="14" t="str">
        <f t="shared" si="0"/>
        <v>[8, 'K', 43, 43, 0, 0, 0],</v>
      </c>
      <c r="T46" s="17">
        <v>4</v>
      </c>
      <c r="U46" s="17">
        <v>2</v>
      </c>
      <c r="AW46" s="3">
        <v>43</v>
      </c>
      <c r="AX46" s="3">
        <v>0</v>
      </c>
      <c r="AY46" s="3">
        <v>0</v>
      </c>
    </row>
    <row r="47" spans="2:51" x14ac:dyDescent="0.3">
      <c r="C47" s="28"/>
      <c r="D47" s="11">
        <v>9</v>
      </c>
      <c r="E47" s="11" t="str">
        <v>Q</v>
      </c>
      <c r="F47" s="6">
        <v>7</v>
      </c>
      <c r="G47" s="21">
        <f>F47-SUMPRODUCT($H$37:$J$37,H47:J47)</f>
        <v>7</v>
      </c>
      <c r="H47" s="17">
        <v>0</v>
      </c>
      <c r="I47" s="17">
        <v>0</v>
      </c>
      <c r="J47" s="8">
        <v>0</v>
      </c>
      <c r="L47" s="14" t="str">
        <f t="shared" si="0"/>
        <v>[9, 'Q', 7, 7, 0, 0, 0],</v>
      </c>
      <c r="T47" s="17">
        <v>0</v>
      </c>
      <c r="U47" s="17">
        <v>0</v>
      </c>
      <c r="AW47" s="3">
        <v>7</v>
      </c>
      <c r="AX47" s="3">
        <v>0</v>
      </c>
      <c r="AY47" s="3">
        <v>0</v>
      </c>
    </row>
    <row r="48" spans="2:51" x14ac:dyDescent="0.3">
      <c r="C48" s="28"/>
      <c r="D48" s="11">
        <v>10</v>
      </c>
      <c r="E48" s="11" t="str">
        <v>J</v>
      </c>
      <c r="F48" s="6">
        <v>7</v>
      </c>
      <c r="G48" s="21">
        <f>F48-SUMPRODUCT($H$37:$J$37,H48:J48)</f>
        <v>7</v>
      </c>
      <c r="H48" s="17">
        <v>0</v>
      </c>
      <c r="I48" s="17">
        <v>0</v>
      </c>
      <c r="J48" s="8">
        <v>0</v>
      </c>
      <c r="L48" s="14" t="str">
        <f t="shared" si="0"/>
        <v>[10, 'J', 7, 7, 0, 0, 0],</v>
      </c>
      <c r="T48" s="17">
        <v>0</v>
      </c>
      <c r="U48" s="17">
        <v>0</v>
      </c>
      <c r="AW48" s="3">
        <v>7</v>
      </c>
      <c r="AX48" s="3">
        <v>0</v>
      </c>
      <c r="AY48" s="3">
        <v>0</v>
      </c>
    </row>
    <row r="49" spans="3:51" x14ac:dyDescent="0.3">
      <c r="C49" s="28"/>
      <c r="D49" s="11">
        <v>11</v>
      </c>
      <c r="E49" s="11" t="str">
        <v>G1</v>
      </c>
      <c r="F49" s="6">
        <v>0</v>
      </c>
      <c r="G49" s="21">
        <f>F49-SUMPRODUCT($H$37:$J$37,H49:J49)</f>
        <v>0</v>
      </c>
      <c r="H49" s="17">
        <v>0</v>
      </c>
      <c r="I49" s="17">
        <v>0</v>
      </c>
      <c r="J49" s="8">
        <v>0</v>
      </c>
      <c r="L49" s="14" t="str">
        <f t="shared" si="0"/>
        <v>[11, 'G1', 0, 0, 0, 0, 0],</v>
      </c>
      <c r="T49" s="17">
        <v>0</v>
      </c>
      <c r="U49" s="17">
        <v>0</v>
      </c>
      <c r="AW49" s="3">
        <v>0</v>
      </c>
      <c r="AX49" s="3">
        <v>0</v>
      </c>
      <c r="AY49" s="3">
        <v>0</v>
      </c>
    </row>
    <row r="50" spans="3:51" x14ac:dyDescent="0.3">
      <c r="C50" s="28"/>
      <c r="D50" s="11">
        <v>12</v>
      </c>
      <c r="E50" s="11" t="str">
        <v>G2</v>
      </c>
      <c r="F50" s="6">
        <v>0</v>
      </c>
      <c r="G50" s="21">
        <f>F50-SUMPRODUCT($H$37:$J$37,H50:J50)</f>
        <v>0</v>
      </c>
      <c r="H50" s="17">
        <v>0</v>
      </c>
      <c r="I50" s="17">
        <v>0</v>
      </c>
      <c r="J50" s="8">
        <v>0</v>
      </c>
      <c r="L50" s="14" t="str">
        <f t="shared" si="0"/>
        <v>[12, 'G2', 0, 0, 0, 0, 0],</v>
      </c>
      <c r="T50" s="17">
        <v>0</v>
      </c>
      <c r="U50" s="17">
        <v>0</v>
      </c>
      <c r="AW50" s="3">
        <v>0</v>
      </c>
      <c r="AX50" s="3">
        <v>0</v>
      </c>
      <c r="AY50" s="3">
        <v>0</v>
      </c>
    </row>
    <row r="51" spans="3:51" x14ac:dyDescent="0.3">
      <c r="C51" s="28"/>
      <c r="D51" s="11">
        <v>13</v>
      </c>
      <c r="E51" s="11" t="str">
        <v>G3</v>
      </c>
      <c r="F51" s="6">
        <v>0</v>
      </c>
      <c r="G51" s="21">
        <f>F51-SUMPRODUCT($H$37:$J$37,H51:J51)</f>
        <v>0</v>
      </c>
      <c r="H51" s="17">
        <v>0</v>
      </c>
      <c r="I51" s="17">
        <v>0</v>
      </c>
      <c r="J51" s="8">
        <v>0</v>
      </c>
      <c r="L51" s="14" t="str">
        <f t="shared" si="0"/>
        <v>[13, 'G3', 0, 0, 0, 0, 0],</v>
      </c>
      <c r="T51" s="17">
        <v>0</v>
      </c>
      <c r="U51" s="17">
        <v>0</v>
      </c>
      <c r="AW51" s="3">
        <v>0</v>
      </c>
      <c r="AX51" s="3">
        <v>0</v>
      </c>
      <c r="AY51" s="3">
        <v>0</v>
      </c>
    </row>
    <row r="52" spans="3:51" x14ac:dyDescent="0.3">
      <c r="C52" s="28"/>
      <c r="D52" s="11">
        <v>14</v>
      </c>
      <c r="E52" s="11" t="str">
        <v>G4</v>
      </c>
      <c r="F52" s="6">
        <v>0</v>
      </c>
      <c r="G52" s="21">
        <f>F52-SUMPRODUCT($H$37:$J$37,H52:J52)</f>
        <v>0</v>
      </c>
      <c r="H52" s="17">
        <v>0</v>
      </c>
      <c r="I52" s="17">
        <v>0</v>
      </c>
      <c r="J52" s="8">
        <v>0</v>
      </c>
      <c r="L52" s="14" t="str">
        <f t="shared" si="0"/>
        <v>[14, 'G4', 0, 0, 0, 0, 0],</v>
      </c>
      <c r="T52" s="17">
        <v>0</v>
      </c>
      <c r="U52" s="17">
        <v>0</v>
      </c>
      <c r="AW52" s="3">
        <v>0</v>
      </c>
      <c r="AX52" s="3">
        <v>0</v>
      </c>
      <c r="AY52" s="3">
        <v>0</v>
      </c>
    </row>
    <row r="53" spans="3:51" x14ac:dyDescent="0.3">
      <c r="C53" s="28"/>
      <c r="D53" s="11">
        <v>15</v>
      </c>
      <c r="E53" s="11" t="str">
        <v>G5</v>
      </c>
      <c r="F53" s="6">
        <v>0</v>
      </c>
      <c r="G53" s="21">
        <f>F53-SUMPRODUCT($H$37:$J$37,H53:J53)</f>
        <v>0</v>
      </c>
      <c r="H53" s="17">
        <v>0</v>
      </c>
      <c r="I53" s="17">
        <v>0</v>
      </c>
      <c r="J53" s="8">
        <v>0</v>
      </c>
      <c r="L53" s="14" t="str">
        <f t="shared" si="0"/>
        <v>[15, 'G5', 0, 0, 0, 0, 0],</v>
      </c>
      <c r="T53" s="17">
        <v>0</v>
      </c>
      <c r="U53" s="17">
        <v>0</v>
      </c>
      <c r="AW53" s="3">
        <v>0</v>
      </c>
      <c r="AX53" s="3">
        <v>0</v>
      </c>
      <c r="AY53" s="3">
        <v>0</v>
      </c>
    </row>
    <row r="54" spans="3:51" x14ac:dyDescent="0.3">
      <c r="C54" s="28"/>
      <c r="D54" s="11">
        <v>16</v>
      </c>
      <c r="E54" s="11" t="str">
        <v>GA</v>
      </c>
      <c r="F54" s="6">
        <v>0</v>
      </c>
      <c r="G54" s="21">
        <f>F54-SUMPRODUCT($H$37:$J$37,H54:J54)</f>
        <v>0</v>
      </c>
      <c r="H54" s="17">
        <v>0</v>
      </c>
      <c r="I54" s="17">
        <v>0</v>
      </c>
      <c r="J54" s="8">
        <v>0</v>
      </c>
      <c r="L54" s="14" t="str">
        <f t="shared" si="0"/>
        <v>[16, 'GA', 0, 0, 0, 0, 0],</v>
      </c>
      <c r="T54" s="17">
        <v>0</v>
      </c>
      <c r="U54" s="17">
        <v>0</v>
      </c>
      <c r="AW54" s="3">
        <v>0</v>
      </c>
      <c r="AX54" s="3">
        <v>0</v>
      </c>
      <c r="AY54" s="3">
        <v>0</v>
      </c>
    </row>
    <row r="55" spans="3:51" x14ac:dyDescent="0.3">
      <c r="C55" s="28"/>
      <c r="D55" s="11">
        <v>17</v>
      </c>
      <c r="E55" s="11" t="str">
        <v>GK</v>
      </c>
      <c r="F55" s="6">
        <v>0</v>
      </c>
      <c r="G55" s="21">
        <f>F55-SUMPRODUCT($H$37:$J$37,H55:J55)</f>
        <v>0</v>
      </c>
      <c r="H55" s="17">
        <v>0</v>
      </c>
      <c r="I55" s="17">
        <v>0</v>
      </c>
      <c r="J55" s="8">
        <v>0</v>
      </c>
      <c r="L55" s="14" t="str">
        <f t="shared" si="0"/>
        <v>[17, 'GK', 0, 0, 0, 0, 0],</v>
      </c>
      <c r="T55" s="17">
        <v>0</v>
      </c>
      <c r="U55" s="17">
        <v>0</v>
      </c>
      <c r="AW55" s="3">
        <v>0</v>
      </c>
      <c r="AX55" s="3">
        <v>0</v>
      </c>
      <c r="AY55" s="3">
        <v>0</v>
      </c>
    </row>
    <row r="56" spans="3:51" x14ac:dyDescent="0.3">
      <c r="C56" s="28"/>
      <c r="D56" s="11">
        <v>18</v>
      </c>
      <c r="E56" s="11" t="str">
        <v>GQ</v>
      </c>
      <c r="F56" s="6">
        <v>0</v>
      </c>
      <c r="G56" s="21">
        <f>F56-SUMPRODUCT($H$37:$J$37,H56:J56)</f>
        <v>0</v>
      </c>
      <c r="H56" s="17">
        <v>0</v>
      </c>
      <c r="I56" s="17">
        <v>0</v>
      </c>
      <c r="J56" s="8">
        <v>0</v>
      </c>
      <c r="L56" s="14" t="str">
        <f t="shared" si="0"/>
        <v>[18, 'GQ', 0, 0, 0, 0, 0],</v>
      </c>
      <c r="T56" s="17">
        <v>0</v>
      </c>
      <c r="U56" s="17">
        <v>0</v>
      </c>
      <c r="AW56" s="3">
        <v>0</v>
      </c>
      <c r="AX56" s="3">
        <v>0</v>
      </c>
      <c r="AY56" s="3">
        <v>0</v>
      </c>
    </row>
    <row r="57" spans="3:51" x14ac:dyDescent="0.3">
      <c r="C57" s="28"/>
      <c r="D57" s="11">
        <v>19</v>
      </c>
      <c r="E57" s="11" t="str">
        <v>GJ</v>
      </c>
      <c r="F57" s="6">
        <v>0</v>
      </c>
      <c r="G57" s="21">
        <f>F57-SUMPRODUCT($H$37:$J$37,H57:J57)</f>
        <v>0</v>
      </c>
      <c r="H57" s="17">
        <v>0</v>
      </c>
      <c r="I57" s="17">
        <v>0</v>
      </c>
      <c r="J57" s="8">
        <v>0</v>
      </c>
      <c r="L57" s="14" t="str">
        <f t="shared" si="0"/>
        <v>[19, 'GJ', 0, 0, 0, 0, 0],</v>
      </c>
      <c r="T57" s="17">
        <v>0</v>
      </c>
      <c r="U57" s="17">
        <v>0</v>
      </c>
      <c r="AW57" s="3">
        <v>0</v>
      </c>
      <c r="AX57" s="3">
        <v>0</v>
      </c>
      <c r="AY57" s="3">
        <v>0</v>
      </c>
    </row>
    <row r="58" spans="3:51" x14ac:dyDescent="0.3">
      <c r="C58" s="28"/>
      <c r="G58" s="3">
        <f>SUM(G38:G57)*G37/SUM(_xlfn.ANCHORARRAY($F38))</f>
        <v>1</v>
      </c>
      <c r="H58" s="3">
        <f>SUM(H38:H57)*H37/SUM(_xlfn.ANCHORARRAY($F38))</f>
        <v>0</v>
      </c>
      <c r="I58" s="3">
        <f>SUM(I38:I57)*I37/SUM(_xlfn.ANCHORARRAY($F38))</f>
        <v>0</v>
      </c>
      <c r="L58" s="14" t="s">
        <v>31</v>
      </c>
      <c r="T58" s="3">
        <f>SUM(T38:T57)*T37/SUM(_xlfn.ANCHORARRAY($F38))</f>
        <v>0.16</v>
      </c>
      <c r="U58" s="3">
        <f>SUM(U38:U57)*U37/SUM(_xlfn.ANCHORARRAY($F38))</f>
        <v>0.12</v>
      </c>
      <c r="AW58" s="3">
        <v>1</v>
      </c>
      <c r="AX58" s="3">
        <v>0</v>
      </c>
      <c r="AY58" s="3">
        <v>0</v>
      </c>
    </row>
    <row r="59" spans="3:51" x14ac:dyDescent="0.3">
      <c r="C59" s="28"/>
    </row>
    <row r="60" spans="3:51" x14ac:dyDescent="0.3">
      <c r="C60" s="27">
        <f>C36+1</f>
        <v>2</v>
      </c>
      <c r="D60" s="3" t="str">
        <f>"R"&amp;C60</f>
        <v>R2</v>
      </c>
    </row>
    <row r="61" spans="3:51" x14ac:dyDescent="0.3">
      <c r="C61" s="27"/>
      <c r="D61" s="2" t="s">
        <v>27</v>
      </c>
      <c r="E61" s="2" t="s">
        <v>26</v>
      </c>
      <c r="F61" s="2" t="s">
        <v>28</v>
      </c>
      <c r="G61" s="2">
        <v>1</v>
      </c>
      <c r="H61" s="2">
        <v>2</v>
      </c>
      <c r="I61" s="2">
        <v>3</v>
      </c>
      <c r="J61" s="2">
        <v>5</v>
      </c>
      <c r="L61" s="14" t="s">
        <v>32</v>
      </c>
      <c r="T61" s="2">
        <v>2</v>
      </c>
      <c r="U61" s="2">
        <v>3</v>
      </c>
      <c r="AW61" s="3">
        <v>1</v>
      </c>
      <c r="AX61" s="3">
        <v>2</v>
      </c>
      <c r="AY61" s="3">
        <v>3</v>
      </c>
    </row>
    <row r="62" spans="3:51" x14ac:dyDescent="0.3">
      <c r="C62" s="27"/>
      <c r="D62" s="10" cm="1">
        <f t="array" ref="D62:D81">$B$11:$B$30</f>
        <v>0</v>
      </c>
      <c r="E62" s="10" t="str" cm="1">
        <f t="array" ref="E62:E81">$C$11:$C$30</f>
        <v>WW</v>
      </c>
      <c r="F62" s="4" cm="1">
        <f t="array" ref="F62:F81">E$11:E$30</f>
        <v>0</v>
      </c>
      <c r="G62" s="21">
        <f>F62-SUMPRODUCT($H$37:$J$37,H62:J62)</f>
        <v>0</v>
      </c>
      <c r="H62" s="18">
        <v>0</v>
      </c>
      <c r="I62" s="18">
        <v>0</v>
      </c>
      <c r="J62" s="21">
        <v>0</v>
      </c>
      <c r="L62" s="14" t="str">
        <f t="shared" ref="L62:L81" si="1">"["&amp;D62&amp;", '"&amp;E62&amp;"', "&amp;_xlfn.TEXTJOIN(", ", , F62:J62)&amp;"]"&amp;","</f>
        <v>[0, 'WW', 0, 0, 0, 0, 0],</v>
      </c>
      <c r="T62" s="18">
        <v>0</v>
      </c>
      <c r="U62" s="18">
        <v>0</v>
      </c>
      <c r="AW62" s="3">
        <v>0</v>
      </c>
      <c r="AX62" s="3">
        <v>0</v>
      </c>
      <c r="AY62" s="3">
        <v>0</v>
      </c>
    </row>
    <row r="63" spans="3:51" x14ac:dyDescent="0.3">
      <c r="C63" s="27"/>
      <c r="D63" s="11">
        <v>1</v>
      </c>
      <c r="E63" s="11" t="str">
        <v>C1</v>
      </c>
      <c r="F63" s="6">
        <v>2</v>
      </c>
      <c r="G63" s="21">
        <f>F63-SUMPRODUCT($H$37:$J$37,H63:J63)</f>
        <v>2</v>
      </c>
      <c r="H63" s="17">
        <v>0</v>
      </c>
      <c r="I63" s="17">
        <v>0</v>
      </c>
      <c r="J63" s="8">
        <v>0</v>
      </c>
      <c r="L63" s="14" t="str">
        <f t="shared" si="1"/>
        <v>[1, 'C1', 2, 2, 0, 0, 0],</v>
      </c>
      <c r="T63" s="17">
        <v>0</v>
      </c>
      <c r="U63" s="17">
        <v>0</v>
      </c>
      <c r="AW63" s="3">
        <v>2</v>
      </c>
      <c r="AX63" s="3">
        <v>0</v>
      </c>
      <c r="AY63" s="3">
        <v>0</v>
      </c>
    </row>
    <row r="64" spans="3:51" x14ac:dyDescent="0.3">
      <c r="C64" s="27"/>
      <c r="D64" s="11">
        <v>2</v>
      </c>
      <c r="E64" s="11" t="str">
        <v>M1</v>
      </c>
      <c r="F64" s="6">
        <v>10</v>
      </c>
      <c r="G64" s="21">
        <f>F64-SUMPRODUCT($H$37:$J$37,H64:J64)</f>
        <v>8</v>
      </c>
      <c r="H64" s="17">
        <v>1</v>
      </c>
      <c r="I64" s="17">
        <v>0</v>
      </c>
      <c r="J64" s="8">
        <v>0</v>
      </c>
      <c r="L64" s="14" t="str">
        <f t="shared" si="1"/>
        <v>[2, 'M1', 10, 8, 1, 0, 0],</v>
      </c>
      <c r="T64" s="17">
        <v>2</v>
      </c>
      <c r="U64" s="17">
        <v>0</v>
      </c>
      <c r="AW64" s="3">
        <v>8</v>
      </c>
      <c r="AX64" s="3">
        <v>1</v>
      </c>
      <c r="AY64" s="3">
        <v>0</v>
      </c>
    </row>
    <row r="65" spans="3:51" x14ac:dyDescent="0.3">
      <c r="C65" s="27"/>
      <c r="D65" s="11">
        <v>3</v>
      </c>
      <c r="E65" s="11" t="str">
        <v>M2</v>
      </c>
      <c r="F65" s="6">
        <v>12</v>
      </c>
      <c r="G65" s="21">
        <f>F65-SUMPRODUCT($H$37:$J$37,H65:J65)</f>
        <v>7</v>
      </c>
      <c r="H65" s="17">
        <v>1</v>
      </c>
      <c r="I65" s="17">
        <v>1</v>
      </c>
      <c r="J65" s="8">
        <v>0</v>
      </c>
      <c r="L65" s="14" t="str">
        <f t="shared" si="1"/>
        <v>[3, 'M2', 12, 7, 1, 1, 0],</v>
      </c>
      <c r="T65" s="17">
        <v>2</v>
      </c>
      <c r="U65" s="17">
        <v>0</v>
      </c>
      <c r="AW65" s="3">
        <v>7</v>
      </c>
      <c r="AX65" s="3">
        <v>1</v>
      </c>
      <c r="AY65" s="3">
        <v>1</v>
      </c>
    </row>
    <row r="66" spans="3:51" x14ac:dyDescent="0.3">
      <c r="C66" s="27"/>
      <c r="D66" s="11">
        <v>4</v>
      </c>
      <c r="E66" s="11" t="str">
        <v>M3</v>
      </c>
      <c r="F66" s="6">
        <v>13</v>
      </c>
      <c r="G66" s="21">
        <f>F66-SUMPRODUCT($H$37:$J$37,H66:J66)</f>
        <v>8</v>
      </c>
      <c r="H66" s="17">
        <v>1</v>
      </c>
      <c r="I66" s="17">
        <v>1</v>
      </c>
      <c r="J66" s="8">
        <v>0</v>
      </c>
      <c r="L66" s="14" t="str">
        <f t="shared" si="1"/>
        <v>[4, 'M3', 13, 8, 1, 1, 0],</v>
      </c>
      <c r="T66" s="17">
        <v>2</v>
      </c>
      <c r="U66" s="17">
        <v>0</v>
      </c>
      <c r="AW66" s="3">
        <v>8</v>
      </c>
      <c r="AX66" s="3">
        <v>1</v>
      </c>
      <c r="AY66" s="3">
        <v>1</v>
      </c>
    </row>
    <row r="67" spans="3:51" x14ac:dyDescent="0.3">
      <c r="C67" s="27"/>
      <c r="D67" s="11">
        <v>5</v>
      </c>
      <c r="E67" s="11" t="str">
        <v>M4</v>
      </c>
      <c r="F67" s="6">
        <v>22</v>
      </c>
      <c r="G67" s="21">
        <f>F67-SUMPRODUCT($H$37:$J$37,H67:J67)</f>
        <v>10</v>
      </c>
      <c r="H67" s="17">
        <v>3</v>
      </c>
      <c r="I67" s="17">
        <v>2</v>
      </c>
      <c r="J67" s="8">
        <v>0</v>
      </c>
      <c r="L67" s="14" t="str">
        <f t="shared" si="1"/>
        <v>[5, 'M4', 22, 10, 3, 2, 0],</v>
      </c>
      <c r="T67" s="17">
        <v>2</v>
      </c>
      <c r="U67" s="17">
        <v>1</v>
      </c>
      <c r="AW67" s="3">
        <v>10</v>
      </c>
      <c r="AX67" s="3">
        <v>3</v>
      </c>
      <c r="AY67" s="3">
        <v>2</v>
      </c>
    </row>
    <row r="68" spans="3:51" x14ac:dyDescent="0.3">
      <c r="C68" s="27"/>
      <c r="D68" s="11">
        <v>6</v>
      </c>
      <c r="E68" s="11" t="str">
        <v>M5</v>
      </c>
      <c r="F68" s="6">
        <v>22</v>
      </c>
      <c r="G68" s="21">
        <f>F68-SUMPRODUCT($H$37:$J$37,H68:J68)</f>
        <v>10</v>
      </c>
      <c r="H68" s="17">
        <v>3</v>
      </c>
      <c r="I68" s="17">
        <v>2</v>
      </c>
      <c r="J68" s="8">
        <v>0</v>
      </c>
      <c r="L68" s="14" t="str">
        <f t="shared" si="1"/>
        <v>[6, 'M5', 22, 10, 3, 2, 0],</v>
      </c>
      <c r="T68" s="17">
        <v>2</v>
      </c>
      <c r="U68" s="17">
        <v>1</v>
      </c>
      <c r="AW68" s="3">
        <v>10</v>
      </c>
      <c r="AX68" s="3">
        <v>3</v>
      </c>
      <c r="AY68" s="3">
        <v>2</v>
      </c>
    </row>
    <row r="69" spans="3:51" x14ac:dyDescent="0.3">
      <c r="C69" s="27"/>
      <c r="D69" s="11">
        <v>7</v>
      </c>
      <c r="E69" s="11" t="str">
        <v>A</v>
      </c>
      <c r="F69" s="6">
        <v>27</v>
      </c>
      <c r="G69" s="21">
        <f>F69-SUMPRODUCT($H$37:$J$37,H69:J69)</f>
        <v>15</v>
      </c>
      <c r="H69" s="17">
        <v>3</v>
      </c>
      <c r="I69" s="17">
        <v>2</v>
      </c>
      <c r="J69" s="8">
        <v>0</v>
      </c>
      <c r="L69" s="14" t="str">
        <f t="shared" si="1"/>
        <v>[7, 'A', 27, 15, 3, 2, 0],</v>
      </c>
      <c r="T69" s="17">
        <v>2</v>
      </c>
      <c r="U69" s="17">
        <v>1</v>
      </c>
      <c r="AW69" s="3">
        <v>15</v>
      </c>
      <c r="AX69" s="3">
        <v>3</v>
      </c>
      <c r="AY69" s="3">
        <v>2</v>
      </c>
    </row>
    <row r="70" spans="3:51" x14ac:dyDescent="0.3">
      <c r="C70" s="27"/>
      <c r="D70" s="11">
        <v>8</v>
      </c>
      <c r="E70" s="11" t="str">
        <v>K</v>
      </c>
      <c r="F70" s="6">
        <v>24</v>
      </c>
      <c r="G70" s="21">
        <f>F70-SUMPRODUCT($H$37:$J$37,H70:J70)</f>
        <v>12</v>
      </c>
      <c r="H70" s="17">
        <v>3</v>
      </c>
      <c r="I70" s="17">
        <v>2</v>
      </c>
      <c r="J70" s="8">
        <v>0</v>
      </c>
      <c r="L70" s="14" t="str">
        <f t="shared" si="1"/>
        <v>[8, 'K', 24, 12, 3, 2, 0],</v>
      </c>
      <c r="T70" s="17">
        <v>2</v>
      </c>
      <c r="U70" s="17">
        <v>1</v>
      </c>
      <c r="AW70" s="3">
        <v>12</v>
      </c>
      <c r="AX70" s="3">
        <v>3</v>
      </c>
      <c r="AY70" s="3">
        <v>2</v>
      </c>
    </row>
    <row r="71" spans="3:51" x14ac:dyDescent="0.3">
      <c r="C71" s="27"/>
      <c r="D71" s="11">
        <v>9</v>
      </c>
      <c r="E71" s="11" t="str">
        <v>Q</v>
      </c>
      <c r="F71" s="6">
        <v>12</v>
      </c>
      <c r="G71" s="21">
        <f>F71-SUMPRODUCT($H$37:$J$37,H71:J71)</f>
        <v>10</v>
      </c>
      <c r="H71" s="17">
        <v>1</v>
      </c>
      <c r="I71" s="17">
        <v>0</v>
      </c>
      <c r="J71" s="8">
        <v>0</v>
      </c>
      <c r="L71" s="14" t="str">
        <f t="shared" si="1"/>
        <v>[9, 'Q', 12, 10, 1, 0, 0],</v>
      </c>
      <c r="T71" s="17">
        <v>2</v>
      </c>
      <c r="U71" s="17">
        <v>0</v>
      </c>
      <c r="AW71" s="3">
        <v>10</v>
      </c>
      <c r="AX71" s="3">
        <v>1</v>
      </c>
      <c r="AY71" s="3">
        <v>0</v>
      </c>
    </row>
    <row r="72" spans="3:51" x14ac:dyDescent="0.3">
      <c r="C72" s="27"/>
      <c r="D72" s="11">
        <v>10</v>
      </c>
      <c r="E72" s="11" t="str">
        <v>J</v>
      </c>
      <c r="F72" s="6">
        <v>8</v>
      </c>
      <c r="G72" s="21">
        <f>F72-SUMPRODUCT($H$37:$J$37,H72:J72)</f>
        <v>8</v>
      </c>
      <c r="H72" s="17">
        <v>0</v>
      </c>
      <c r="I72" s="17">
        <v>0</v>
      </c>
      <c r="J72" s="8">
        <v>0</v>
      </c>
      <c r="L72" s="14" t="str">
        <f t="shared" si="1"/>
        <v>[10, 'J', 8, 8, 0, 0, 0],</v>
      </c>
      <c r="T72" s="17">
        <v>2</v>
      </c>
      <c r="U72" s="17">
        <v>0</v>
      </c>
      <c r="AW72" s="3">
        <v>8</v>
      </c>
      <c r="AX72" s="3">
        <v>0</v>
      </c>
      <c r="AY72" s="3">
        <v>0</v>
      </c>
    </row>
    <row r="73" spans="3:51" x14ac:dyDescent="0.3">
      <c r="C73" s="27"/>
      <c r="D73" s="11">
        <v>11</v>
      </c>
      <c r="E73" s="11" t="str">
        <v>G1</v>
      </c>
      <c r="F73" s="6">
        <v>2</v>
      </c>
      <c r="G73" s="21">
        <f>F73-SUMPRODUCT($H$37:$J$37,H73:J73)</f>
        <v>2</v>
      </c>
      <c r="H73" s="17">
        <v>0</v>
      </c>
      <c r="I73" s="17">
        <v>0</v>
      </c>
      <c r="J73" s="8">
        <v>0</v>
      </c>
      <c r="L73" s="14" t="str">
        <f t="shared" si="1"/>
        <v>[11, 'G1', 2, 2, 0, 0, 0],</v>
      </c>
      <c r="T73" s="17">
        <v>0</v>
      </c>
      <c r="U73" s="17">
        <v>0</v>
      </c>
      <c r="AW73" s="3">
        <v>2</v>
      </c>
      <c r="AX73" s="3">
        <v>0</v>
      </c>
      <c r="AY73" s="3">
        <v>0</v>
      </c>
    </row>
    <row r="74" spans="3:51" x14ac:dyDescent="0.3">
      <c r="C74" s="27"/>
      <c r="D74" s="11">
        <v>12</v>
      </c>
      <c r="E74" s="11" t="str">
        <v>G2</v>
      </c>
      <c r="F74" s="6">
        <v>3</v>
      </c>
      <c r="G74" s="21">
        <f>F74-SUMPRODUCT($H$37:$J$37,H74:J74)</f>
        <v>3</v>
      </c>
      <c r="H74" s="17">
        <v>0</v>
      </c>
      <c r="I74" s="17">
        <v>0</v>
      </c>
      <c r="J74" s="8">
        <v>0</v>
      </c>
      <c r="L74" s="14" t="str">
        <f t="shared" si="1"/>
        <v>[12, 'G2', 3, 3, 0, 0, 0],</v>
      </c>
      <c r="T74" s="17">
        <v>0</v>
      </c>
      <c r="U74" s="17">
        <v>0</v>
      </c>
      <c r="AW74" s="3">
        <v>3</v>
      </c>
      <c r="AX74" s="3">
        <v>0</v>
      </c>
      <c r="AY74" s="3">
        <v>0</v>
      </c>
    </row>
    <row r="75" spans="3:51" x14ac:dyDescent="0.3">
      <c r="C75" s="27"/>
      <c r="D75" s="11">
        <v>13</v>
      </c>
      <c r="E75" s="11" t="str">
        <v>G3</v>
      </c>
      <c r="F75" s="6">
        <v>3</v>
      </c>
      <c r="G75" s="21">
        <f>F75-SUMPRODUCT($H$37:$J$37,H75:J75)</f>
        <v>3</v>
      </c>
      <c r="H75" s="17">
        <v>0</v>
      </c>
      <c r="I75" s="17">
        <v>0</v>
      </c>
      <c r="J75" s="8">
        <v>0</v>
      </c>
      <c r="L75" s="14" t="str">
        <f t="shared" si="1"/>
        <v>[13, 'G3', 3, 3, 0, 0, 0],</v>
      </c>
      <c r="T75" s="17">
        <v>0</v>
      </c>
      <c r="U75" s="17">
        <v>0</v>
      </c>
      <c r="AW75" s="3">
        <v>3</v>
      </c>
      <c r="AX75" s="3">
        <v>0</v>
      </c>
      <c r="AY75" s="3">
        <v>0</v>
      </c>
    </row>
    <row r="76" spans="3:51" x14ac:dyDescent="0.3">
      <c r="C76" s="27"/>
      <c r="D76" s="11">
        <v>14</v>
      </c>
      <c r="E76" s="11" t="str">
        <v>G4</v>
      </c>
      <c r="F76" s="6">
        <v>8</v>
      </c>
      <c r="G76" s="21">
        <f>F76-SUMPRODUCT($H$37:$J$37,H76:J76)</f>
        <v>3</v>
      </c>
      <c r="H76" s="17">
        <v>1</v>
      </c>
      <c r="I76" s="17">
        <v>1</v>
      </c>
      <c r="J76" s="8">
        <v>0</v>
      </c>
      <c r="L76" s="14" t="str">
        <f t="shared" si="1"/>
        <v>[14, 'G4', 8, 3, 1, 1, 0],</v>
      </c>
      <c r="T76" s="17">
        <v>1</v>
      </c>
      <c r="U76" s="17">
        <v>0</v>
      </c>
      <c r="AW76" s="3">
        <v>3</v>
      </c>
      <c r="AX76" s="3">
        <v>1</v>
      </c>
      <c r="AY76" s="3">
        <v>1</v>
      </c>
    </row>
    <row r="77" spans="3:51" x14ac:dyDescent="0.3">
      <c r="C77" s="27"/>
      <c r="D77" s="11">
        <v>15</v>
      </c>
      <c r="E77" s="11" t="str">
        <v>G5</v>
      </c>
      <c r="F77" s="6">
        <v>8</v>
      </c>
      <c r="G77" s="21">
        <f>F77-SUMPRODUCT($H$37:$J$37,H77:J77)</f>
        <v>3</v>
      </c>
      <c r="H77" s="17">
        <v>1</v>
      </c>
      <c r="I77" s="17">
        <v>1</v>
      </c>
      <c r="J77" s="8">
        <v>0</v>
      </c>
      <c r="L77" s="14" t="str">
        <f t="shared" si="1"/>
        <v>[15, 'G5', 8, 3, 1, 1, 0],</v>
      </c>
      <c r="T77" s="17">
        <v>1</v>
      </c>
      <c r="U77" s="17">
        <v>0</v>
      </c>
      <c r="AW77" s="3">
        <v>3</v>
      </c>
      <c r="AX77" s="3">
        <v>1</v>
      </c>
      <c r="AY77" s="3">
        <v>1</v>
      </c>
    </row>
    <row r="78" spans="3:51" x14ac:dyDescent="0.3">
      <c r="C78" s="27"/>
      <c r="D78" s="11">
        <v>16</v>
      </c>
      <c r="E78" s="11" t="str">
        <v>GA</v>
      </c>
      <c r="F78" s="6">
        <v>10</v>
      </c>
      <c r="G78" s="21">
        <f>F78-SUMPRODUCT($H$37:$J$37,H78:J78)</f>
        <v>5</v>
      </c>
      <c r="H78" s="17">
        <v>1</v>
      </c>
      <c r="I78" s="17">
        <v>1</v>
      </c>
      <c r="J78" s="8">
        <v>0</v>
      </c>
      <c r="L78" s="14" t="str">
        <f t="shared" si="1"/>
        <v>[16, 'GA', 10, 5, 1, 1, 0],</v>
      </c>
      <c r="T78" s="17">
        <v>1</v>
      </c>
      <c r="U78" s="17">
        <v>0</v>
      </c>
      <c r="AW78" s="3">
        <v>5</v>
      </c>
      <c r="AX78" s="3">
        <v>1</v>
      </c>
      <c r="AY78" s="3">
        <v>1</v>
      </c>
    </row>
    <row r="79" spans="3:51" x14ac:dyDescent="0.3">
      <c r="C79" s="27"/>
      <c r="D79" s="11">
        <v>17</v>
      </c>
      <c r="E79" s="11" t="str">
        <v>GK</v>
      </c>
      <c r="F79" s="6">
        <v>9</v>
      </c>
      <c r="G79" s="21">
        <f>F79-SUMPRODUCT($H$37:$J$37,H79:J79)</f>
        <v>4</v>
      </c>
      <c r="H79" s="17">
        <v>1</v>
      </c>
      <c r="I79" s="17">
        <v>1</v>
      </c>
      <c r="J79" s="8">
        <v>0</v>
      </c>
      <c r="L79" s="14" t="str">
        <f t="shared" si="1"/>
        <v>[17, 'GK', 9, 4, 1, 1, 0],</v>
      </c>
      <c r="T79" s="17">
        <v>1</v>
      </c>
      <c r="U79" s="17">
        <v>0</v>
      </c>
      <c r="AW79" s="3">
        <v>4</v>
      </c>
      <c r="AX79" s="3">
        <v>1</v>
      </c>
      <c r="AY79" s="3">
        <v>1</v>
      </c>
    </row>
    <row r="80" spans="3:51" x14ac:dyDescent="0.3">
      <c r="C80" s="27"/>
      <c r="D80" s="11">
        <v>18</v>
      </c>
      <c r="E80" s="11" t="str">
        <v>GQ</v>
      </c>
      <c r="F80" s="6">
        <v>3</v>
      </c>
      <c r="G80" s="21">
        <f>F80-SUMPRODUCT($H$37:$J$37,H80:J80)</f>
        <v>3</v>
      </c>
      <c r="H80" s="17">
        <v>0</v>
      </c>
      <c r="I80" s="17">
        <v>0</v>
      </c>
      <c r="J80" s="8">
        <v>0</v>
      </c>
      <c r="L80" s="14" t="str">
        <f t="shared" si="1"/>
        <v>[18, 'GQ', 3, 3, 0, 0, 0],</v>
      </c>
      <c r="T80" s="17">
        <v>0</v>
      </c>
      <c r="U80" s="17">
        <v>0</v>
      </c>
      <c r="AW80" s="3">
        <v>3</v>
      </c>
      <c r="AX80" s="3">
        <v>0</v>
      </c>
      <c r="AY80" s="3">
        <v>0</v>
      </c>
    </row>
    <row r="81" spans="3:51" x14ac:dyDescent="0.3">
      <c r="C81" s="27"/>
      <c r="D81" s="11">
        <v>19</v>
      </c>
      <c r="E81" s="11" t="str">
        <v>GJ</v>
      </c>
      <c r="F81" s="6">
        <v>2</v>
      </c>
      <c r="G81" s="21">
        <f>F81-SUMPRODUCT($H$37:$J$37,H81:J81)</f>
        <v>2</v>
      </c>
      <c r="H81" s="17">
        <v>0</v>
      </c>
      <c r="I81" s="17">
        <v>0</v>
      </c>
      <c r="J81" s="8">
        <v>0</v>
      </c>
      <c r="L81" s="14" t="str">
        <f t="shared" si="1"/>
        <v>[19, 'GJ', 2, 2, 0, 0, 0],</v>
      </c>
      <c r="T81" s="17">
        <v>0</v>
      </c>
      <c r="U81" s="17">
        <v>0</v>
      </c>
      <c r="AW81" s="3">
        <v>2</v>
      </c>
      <c r="AX81" s="3">
        <v>0</v>
      </c>
      <c r="AY81" s="3">
        <v>0</v>
      </c>
    </row>
    <row r="82" spans="3:51" x14ac:dyDescent="0.3">
      <c r="C82" s="27"/>
      <c r="G82" s="3">
        <f>SUM(G62:G81)*G61/SUM(_xlfn.ANCHORARRAY($F62))</f>
        <v>0.59</v>
      </c>
      <c r="H82" s="3">
        <f>SUM(H62:H81)*H61/SUM(_xlfn.ANCHORARRAY($F62))</f>
        <v>0.2</v>
      </c>
      <c r="I82" s="3">
        <f>SUM(I62:I81)*I61/SUM(_xlfn.ANCHORARRAY($F62))</f>
        <v>0.21</v>
      </c>
      <c r="L82" s="14" t="s">
        <v>31</v>
      </c>
      <c r="T82" s="3">
        <f>SUM(T62:T81)*T61/SUM(_xlfn.ANCHORARRAY($F62))</f>
        <v>0.22</v>
      </c>
      <c r="U82" s="3">
        <f>SUM(U62:U81)*U61/SUM(_xlfn.ANCHORARRAY($F62))</f>
        <v>0.06</v>
      </c>
      <c r="AW82" s="3">
        <v>0.59</v>
      </c>
      <c r="AX82" s="3">
        <v>0.2</v>
      </c>
      <c r="AY82" s="3">
        <v>0.21</v>
      </c>
    </row>
    <row r="83" spans="3:51" x14ac:dyDescent="0.3">
      <c r="C83" s="27"/>
    </row>
    <row r="84" spans="3:51" x14ac:dyDescent="0.3">
      <c r="C84" s="27">
        <f>C60+1</f>
        <v>3</v>
      </c>
      <c r="D84" s="3" t="str">
        <f>"R"&amp;C84</f>
        <v>R3</v>
      </c>
    </row>
    <row r="85" spans="3:51" x14ac:dyDescent="0.3">
      <c r="C85" s="27"/>
      <c r="D85" s="2" t="s">
        <v>27</v>
      </c>
      <c r="E85" s="2" t="s">
        <v>26</v>
      </c>
      <c r="F85" s="2" t="s">
        <v>28</v>
      </c>
      <c r="G85" s="2">
        <v>1</v>
      </c>
      <c r="H85" s="2">
        <v>2</v>
      </c>
      <c r="I85" s="2">
        <v>3</v>
      </c>
      <c r="J85" s="2">
        <v>5</v>
      </c>
      <c r="L85" s="14" t="s">
        <v>32</v>
      </c>
      <c r="T85" s="2">
        <v>2</v>
      </c>
      <c r="U85" s="2">
        <v>3</v>
      </c>
      <c r="AW85" s="3">
        <v>1</v>
      </c>
      <c r="AX85" s="3">
        <v>2</v>
      </c>
      <c r="AY85" s="3">
        <v>3</v>
      </c>
    </row>
    <row r="86" spans="3:51" x14ac:dyDescent="0.3">
      <c r="C86" s="27"/>
      <c r="D86" s="10" cm="1">
        <f t="array" ref="D86:D105">$B$11:$B$30</f>
        <v>0</v>
      </c>
      <c r="E86" s="10" t="str" cm="1">
        <f t="array" ref="E86:E105">$C$11:$C$30</f>
        <v>WW</v>
      </c>
      <c r="F86" s="4" cm="1">
        <f t="array" ref="F86:F105">F$11:F$30</f>
        <v>0</v>
      </c>
      <c r="G86" s="21">
        <f>F86-SUMPRODUCT($H$37:$J$37,H86:J86)</f>
        <v>0</v>
      </c>
      <c r="H86" s="18">
        <v>0</v>
      </c>
      <c r="I86" s="18">
        <v>0</v>
      </c>
      <c r="J86" s="21">
        <v>0</v>
      </c>
      <c r="L86" s="14" t="str">
        <f t="shared" ref="L86:L105" si="2">"["&amp;D86&amp;", '"&amp;E86&amp;"', "&amp;_xlfn.TEXTJOIN(", ", , F86:J86)&amp;"]"&amp;","</f>
        <v>[0, 'WW', 0, 0, 0, 0, 0],</v>
      </c>
      <c r="T86" s="18">
        <v>0</v>
      </c>
      <c r="U86" s="18">
        <v>0</v>
      </c>
      <c r="AW86" s="3">
        <v>0</v>
      </c>
      <c r="AX86" s="3">
        <v>0</v>
      </c>
      <c r="AY86" s="3">
        <v>0</v>
      </c>
    </row>
    <row r="87" spans="3:51" x14ac:dyDescent="0.3">
      <c r="C87" s="27"/>
      <c r="D87" s="11">
        <v>1</v>
      </c>
      <c r="E87" s="11" t="str">
        <v>C1</v>
      </c>
      <c r="F87" s="6">
        <v>2</v>
      </c>
      <c r="G87" s="21">
        <f>F87-SUMPRODUCT($H$37:$J$37,H87:J87)</f>
        <v>2</v>
      </c>
      <c r="H87" s="17">
        <v>0</v>
      </c>
      <c r="I87" s="17">
        <v>0</v>
      </c>
      <c r="J87" s="8">
        <v>0</v>
      </c>
      <c r="L87" s="14" t="str">
        <f t="shared" si="2"/>
        <v>[1, 'C1', 2, 2, 0, 0, 0],</v>
      </c>
      <c r="T87" s="17">
        <v>0</v>
      </c>
      <c r="U87" s="17">
        <v>0</v>
      </c>
      <c r="AW87" s="3">
        <v>2</v>
      </c>
      <c r="AX87" s="3">
        <v>0</v>
      </c>
      <c r="AY87" s="3">
        <v>0</v>
      </c>
    </row>
    <row r="88" spans="3:51" x14ac:dyDescent="0.3">
      <c r="C88" s="27"/>
      <c r="D88" s="11">
        <v>2</v>
      </c>
      <c r="E88" s="11" t="str">
        <v>M1</v>
      </c>
      <c r="F88" s="6">
        <v>0</v>
      </c>
      <c r="G88" s="21">
        <f>F88-SUMPRODUCT($H$37:$J$37,H88:J88)</f>
        <v>0</v>
      </c>
      <c r="H88" s="17">
        <v>0</v>
      </c>
      <c r="I88" s="17">
        <v>0</v>
      </c>
      <c r="J88" s="8">
        <v>0</v>
      </c>
      <c r="L88" s="14" t="str">
        <f t="shared" si="2"/>
        <v>[2, 'M1', 0, 0, 0, 0, 0],</v>
      </c>
      <c r="T88" s="17">
        <v>0</v>
      </c>
      <c r="U88" s="17">
        <v>0</v>
      </c>
      <c r="AW88" s="3">
        <v>0</v>
      </c>
      <c r="AX88" s="3">
        <v>0</v>
      </c>
      <c r="AY88" s="3">
        <v>0</v>
      </c>
    </row>
    <row r="89" spans="3:51" x14ac:dyDescent="0.3">
      <c r="C89" s="27"/>
      <c r="D89" s="11">
        <v>3</v>
      </c>
      <c r="E89" s="11" t="str">
        <v>M2</v>
      </c>
      <c r="F89" s="6">
        <v>0</v>
      </c>
      <c r="G89" s="21">
        <f>F89-SUMPRODUCT($H$37:$J$37,H89:J89)</f>
        <v>0</v>
      </c>
      <c r="H89" s="17">
        <v>0</v>
      </c>
      <c r="I89" s="17">
        <v>0</v>
      </c>
      <c r="J89" s="8">
        <v>0</v>
      </c>
      <c r="L89" s="14" t="str">
        <f t="shared" si="2"/>
        <v>[3, 'M2', 0, 0, 0, 0, 0],</v>
      </c>
      <c r="T89" s="17">
        <v>0</v>
      </c>
      <c r="U89" s="17">
        <v>0</v>
      </c>
      <c r="AW89" s="3">
        <v>0</v>
      </c>
      <c r="AX89" s="3">
        <v>0</v>
      </c>
      <c r="AY89" s="3">
        <v>0</v>
      </c>
    </row>
    <row r="90" spans="3:51" x14ac:dyDescent="0.3">
      <c r="C90" s="27"/>
      <c r="D90" s="11">
        <v>4</v>
      </c>
      <c r="E90" s="11" t="str">
        <v>M3</v>
      </c>
      <c r="F90" s="6">
        <v>0</v>
      </c>
      <c r="G90" s="21">
        <f>F90-SUMPRODUCT($H$37:$J$37,H90:J90)</f>
        <v>0</v>
      </c>
      <c r="H90" s="17">
        <v>0</v>
      </c>
      <c r="I90" s="17">
        <v>0</v>
      </c>
      <c r="J90" s="8">
        <v>0</v>
      </c>
      <c r="L90" s="14" t="str">
        <f t="shared" si="2"/>
        <v>[4, 'M3', 0, 0, 0, 0, 0],</v>
      </c>
      <c r="T90" s="17">
        <v>0</v>
      </c>
      <c r="U90" s="17">
        <v>0</v>
      </c>
      <c r="AW90" s="3">
        <v>0</v>
      </c>
      <c r="AX90" s="3">
        <v>0</v>
      </c>
      <c r="AY90" s="3">
        <v>0</v>
      </c>
    </row>
    <row r="91" spans="3:51" x14ac:dyDescent="0.3">
      <c r="C91" s="27"/>
      <c r="D91" s="11">
        <v>5</v>
      </c>
      <c r="E91" s="11" t="str">
        <v>M4</v>
      </c>
      <c r="F91" s="6">
        <v>0</v>
      </c>
      <c r="G91" s="21">
        <f>F91-SUMPRODUCT($H$37:$J$37,H91:J91)</f>
        <v>0</v>
      </c>
      <c r="H91" s="17">
        <v>0</v>
      </c>
      <c r="I91" s="17">
        <v>0</v>
      </c>
      <c r="J91" s="8">
        <v>0</v>
      </c>
      <c r="L91" s="14" t="str">
        <f t="shared" si="2"/>
        <v>[5, 'M4', 0, 0, 0, 0, 0],</v>
      </c>
      <c r="T91" s="17">
        <v>4</v>
      </c>
      <c r="U91" s="17">
        <v>2</v>
      </c>
      <c r="AW91" s="3">
        <v>0</v>
      </c>
      <c r="AX91" s="3">
        <v>0</v>
      </c>
      <c r="AY91" s="3">
        <v>0</v>
      </c>
    </row>
    <row r="92" spans="3:51" x14ac:dyDescent="0.3">
      <c r="C92" s="27"/>
      <c r="D92" s="11">
        <v>6</v>
      </c>
      <c r="E92" s="11" t="str">
        <v>M5</v>
      </c>
      <c r="F92" s="6">
        <v>0</v>
      </c>
      <c r="G92" s="21">
        <f>F92-SUMPRODUCT($H$37:$J$37,H92:J92)</f>
        <v>0</v>
      </c>
      <c r="H92" s="17">
        <v>0</v>
      </c>
      <c r="I92" s="17">
        <v>0</v>
      </c>
      <c r="J92" s="8">
        <v>0</v>
      </c>
      <c r="L92" s="14" t="str">
        <f t="shared" si="2"/>
        <v>[6, 'M5', 0, 0, 0, 0, 0],</v>
      </c>
      <c r="T92" s="17">
        <v>4</v>
      </c>
      <c r="U92" s="17">
        <v>2</v>
      </c>
      <c r="AW92" s="3">
        <v>0</v>
      </c>
      <c r="AX92" s="3">
        <v>0</v>
      </c>
      <c r="AY92" s="3">
        <v>0</v>
      </c>
    </row>
    <row r="93" spans="3:51" x14ac:dyDescent="0.3">
      <c r="C93" s="27"/>
      <c r="D93" s="11">
        <v>7</v>
      </c>
      <c r="E93" s="11" t="str">
        <v>A</v>
      </c>
      <c r="F93" s="6">
        <v>0</v>
      </c>
      <c r="G93" s="21">
        <f>F93-SUMPRODUCT($H$37:$J$37,H93:J93)</f>
        <v>0</v>
      </c>
      <c r="H93" s="17">
        <v>0</v>
      </c>
      <c r="I93" s="17">
        <v>0</v>
      </c>
      <c r="J93" s="8">
        <v>0</v>
      </c>
      <c r="L93" s="14" t="str">
        <f t="shared" si="2"/>
        <v>[7, 'A', 0, 0, 0, 0, 0],</v>
      </c>
      <c r="T93" s="17">
        <v>4</v>
      </c>
      <c r="U93" s="17">
        <v>2</v>
      </c>
      <c r="AW93" s="3">
        <v>0</v>
      </c>
      <c r="AX93" s="3">
        <v>0</v>
      </c>
      <c r="AY93" s="3">
        <v>0</v>
      </c>
    </row>
    <row r="94" spans="3:51" x14ac:dyDescent="0.3">
      <c r="C94" s="27"/>
      <c r="D94" s="11">
        <v>8</v>
      </c>
      <c r="E94" s="11" t="str">
        <v>K</v>
      </c>
      <c r="F94" s="6">
        <v>0</v>
      </c>
      <c r="G94" s="21">
        <f>F94-SUMPRODUCT($H$37:$J$37,H94:J94)</f>
        <v>0</v>
      </c>
      <c r="H94" s="17">
        <v>0</v>
      </c>
      <c r="I94" s="17">
        <v>0</v>
      </c>
      <c r="J94" s="8">
        <v>0</v>
      </c>
      <c r="L94" s="14" t="str">
        <f t="shared" si="2"/>
        <v>[8, 'K', 0, 0, 0, 0, 0],</v>
      </c>
      <c r="T94" s="17">
        <v>4</v>
      </c>
      <c r="U94" s="17">
        <v>2</v>
      </c>
      <c r="AW94" s="3">
        <v>0</v>
      </c>
      <c r="AX94" s="3">
        <v>0</v>
      </c>
      <c r="AY94" s="3">
        <v>0</v>
      </c>
    </row>
    <row r="95" spans="3:51" x14ac:dyDescent="0.3">
      <c r="C95" s="27"/>
      <c r="D95" s="11">
        <v>9</v>
      </c>
      <c r="E95" s="11" t="str">
        <v>Q</v>
      </c>
      <c r="F95" s="6">
        <v>0</v>
      </c>
      <c r="G95" s="21">
        <f>F95-SUMPRODUCT($H$37:$J$37,H95:J95)</f>
        <v>0</v>
      </c>
      <c r="H95" s="17">
        <v>0</v>
      </c>
      <c r="I95" s="17">
        <v>0</v>
      </c>
      <c r="J95" s="8">
        <v>0</v>
      </c>
      <c r="L95" s="14" t="str">
        <f t="shared" si="2"/>
        <v>[9, 'Q', 0, 0, 0, 0, 0],</v>
      </c>
      <c r="T95" s="17">
        <v>0</v>
      </c>
      <c r="U95" s="17">
        <v>0</v>
      </c>
      <c r="AW95" s="3">
        <v>0</v>
      </c>
      <c r="AX95" s="3">
        <v>0</v>
      </c>
      <c r="AY95" s="3">
        <v>0</v>
      </c>
    </row>
    <row r="96" spans="3:51" x14ac:dyDescent="0.3">
      <c r="C96" s="27"/>
      <c r="D96" s="11">
        <v>10</v>
      </c>
      <c r="E96" s="11" t="str">
        <v>J</v>
      </c>
      <c r="F96" s="6">
        <v>0</v>
      </c>
      <c r="G96" s="21">
        <f>F96-SUMPRODUCT($H$37:$J$37,H96:J96)</f>
        <v>0</v>
      </c>
      <c r="H96" s="17">
        <v>0</v>
      </c>
      <c r="I96" s="17">
        <v>0</v>
      </c>
      <c r="J96" s="8">
        <v>0</v>
      </c>
      <c r="L96" s="14" t="str">
        <f t="shared" si="2"/>
        <v>[10, 'J', 0, 0, 0, 0, 0],</v>
      </c>
      <c r="T96" s="17">
        <v>0</v>
      </c>
      <c r="U96" s="17">
        <v>0</v>
      </c>
      <c r="AW96" s="3">
        <v>0</v>
      </c>
      <c r="AX96" s="3">
        <v>0</v>
      </c>
      <c r="AY96" s="3">
        <v>0</v>
      </c>
    </row>
    <row r="97" spans="3:51" x14ac:dyDescent="0.3">
      <c r="C97" s="27"/>
      <c r="D97" s="11">
        <v>11</v>
      </c>
      <c r="E97" s="11" t="str">
        <v>G1</v>
      </c>
      <c r="F97" s="6">
        <v>3</v>
      </c>
      <c r="G97" s="21">
        <f>F97-SUMPRODUCT($H$37:$J$37,H97:J97)</f>
        <v>3</v>
      </c>
      <c r="H97" s="17">
        <v>0</v>
      </c>
      <c r="I97" s="17">
        <v>0</v>
      </c>
      <c r="J97" s="8">
        <v>0</v>
      </c>
      <c r="L97" s="14" t="str">
        <f t="shared" si="2"/>
        <v>[11, 'G1', 3, 3, 0, 0, 0],</v>
      </c>
      <c r="T97" s="17">
        <v>0</v>
      </c>
      <c r="U97" s="17">
        <v>0</v>
      </c>
      <c r="AW97" s="3">
        <v>3</v>
      </c>
      <c r="AX97" s="3">
        <v>0</v>
      </c>
      <c r="AY97" s="3">
        <v>0</v>
      </c>
    </row>
    <row r="98" spans="3:51" x14ac:dyDescent="0.3">
      <c r="C98" s="27"/>
      <c r="D98" s="11">
        <v>12</v>
      </c>
      <c r="E98" s="11" t="str">
        <v>G2</v>
      </c>
      <c r="F98" s="6">
        <v>1</v>
      </c>
      <c r="G98" s="21">
        <f>F98-SUMPRODUCT($H$37:$J$37,H98:J98)</f>
        <v>1</v>
      </c>
      <c r="H98" s="17">
        <v>0</v>
      </c>
      <c r="I98" s="17">
        <v>0</v>
      </c>
      <c r="J98" s="8">
        <v>0</v>
      </c>
      <c r="L98" s="14" t="str">
        <f t="shared" si="2"/>
        <v>[12, 'G2', 1, 1, 0, 0, 0],</v>
      </c>
      <c r="T98" s="17">
        <v>0</v>
      </c>
      <c r="U98" s="17">
        <v>0</v>
      </c>
      <c r="AW98" s="3">
        <v>1</v>
      </c>
      <c r="AX98" s="3">
        <v>0</v>
      </c>
      <c r="AY98" s="3">
        <v>0</v>
      </c>
    </row>
    <row r="99" spans="3:51" x14ac:dyDescent="0.3">
      <c r="C99" s="27"/>
      <c r="D99" s="11">
        <v>13</v>
      </c>
      <c r="E99" s="11" t="str">
        <v>G3</v>
      </c>
      <c r="F99" s="6">
        <v>8</v>
      </c>
      <c r="G99" s="21">
        <f>F99-SUMPRODUCT($H$37:$J$37,H99:J99)</f>
        <v>8</v>
      </c>
      <c r="H99" s="17">
        <v>0</v>
      </c>
      <c r="I99" s="17">
        <v>0</v>
      </c>
      <c r="J99" s="8">
        <v>0</v>
      </c>
      <c r="L99" s="14" t="str">
        <f t="shared" si="2"/>
        <v>[13, 'G3', 8, 8, 0, 0, 0],</v>
      </c>
      <c r="T99" s="17">
        <v>0</v>
      </c>
      <c r="U99" s="17">
        <v>0</v>
      </c>
      <c r="AW99" s="3">
        <v>8</v>
      </c>
      <c r="AX99" s="3">
        <v>0</v>
      </c>
      <c r="AY99" s="3">
        <v>0</v>
      </c>
    </row>
    <row r="100" spans="3:51" x14ac:dyDescent="0.3">
      <c r="C100" s="27"/>
      <c r="D100" s="11">
        <v>14</v>
      </c>
      <c r="E100" s="11" t="str">
        <v>G4</v>
      </c>
      <c r="F100" s="6">
        <v>43</v>
      </c>
      <c r="G100" s="21">
        <f>F100-SUMPRODUCT($H$37:$J$37,H100:J100)</f>
        <v>16</v>
      </c>
      <c r="H100" s="17">
        <v>6</v>
      </c>
      <c r="I100" s="17">
        <v>5</v>
      </c>
      <c r="J100" s="8">
        <v>0</v>
      </c>
      <c r="L100" s="14" t="str">
        <f t="shared" si="2"/>
        <v>[14, 'G4', 43, 16, 6, 5, 0],</v>
      </c>
      <c r="T100" s="17">
        <v>0</v>
      </c>
      <c r="U100" s="17">
        <v>0</v>
      </c>
      <c r="AW100" s="3">
        <v>16</v>
      </c>
      <c r="AX100" s="3">
        <v>6</v>
      </c>
      <c r="AY100" s="3">
        <v>5</v>
      </c>
    </row>
    <row r="101" spans="3:51" x14ac:dyDescent="0.3">
      <c r="C101" s="27"/>
      <c r="D101" s="11">
        <v>15</v>
      </c>
      <c r="E101" s="11" t="str">
        <v>G5</v>
      </c>
      <c r="F101" s="6">
        <v>42</v>
      </c>
      <c r="G101" s="21">
        <f>F101-SUMPRODUCT($H$37:$J$37,H101:J101)</f>
        <v>15</v>
      </c>
      <c r="H101" s="17">
        <v>6</v>
      </c>
      <c r="I101" s="17">
        <v>5</v>
      </c>
      <c r="J101" s="8">
        <v>0</v>
      </c>
      <c r="L101" s="14" t="str">
        <f t="shared" si="2"/>
        <v>[15, 'G5', 42, 15, 6, 5, 0],</v>
      </c>
      <c r="T101" s="17">
        <v>0</v>
      </c>
      <c r="U101" s="17">
        <v>0</v>
      </c>
      <c r="AW101" s="3">
        <v>15</v>
      </c>
      <c r="AX101" s="3">
        <v>6</v>
      </c>
      <c r="AY101" s="3">
        <v>5</v>
      </c>
    </row>
    <row r="102" spans="3:51" x14ac:dyDescent="0.3">
      <c r="C102" s="27"/>
      <c r="D102" s="11">
        <v>16</v>
      </c>
      <c r="E102" s="11" t="str">
        <v>GA</v>
      </c>
      <c r="F102" s="6">
        <v>42</v>
      </c>
      <c r="G102" s="21">
        <f>F102-SUMPRODUCT($H$37:$J$37,H102:J102)</f>
        <v>15</v>
      </c>
      <c r="H102" s="17">
        <v>6</v>
      </c>
      <c r="I102" s="17">
        <v>5</v>
      </c>
      <c r="J102" s="8">
        <v>0</v>
      </c>
      <c r="L102" s="14" t="str">
        <f t="shared" si="2"/>
        <v>[16, 'GA', 42, 15, 6, 5, 0],</v>
      </c>
      <c r="T102" s="17">
        <v>0</v>
      </c>
      <c r="U102" s="17">
        <v>0</v>
      </c>
      <c r="AW102" s="3">
        <v>15</v>
      </c>
      <c r="AX102" s="3">
        <v>6</v>
      </c>
      <c r="AY102" s="3">
        <v>5</v>
      </c>
    </row>
    <row r="103" spans="3:51" x14ac:dyDescent="0.3">
      <c r="C103" s="27"/>
      <c r="D103" s="11">
        <v>17</v>
      </c>
      <c r="E103" s="11" t="str">
        <v>GK</v>
      </c>
      <c r="F103" s="6">
        <v>44</v>
      </c>
      <c r="G103" s="21">
        <f>F103-SUMPRODUCT($H$37:$J$37,H103:J103)</f>
        <v>17</v>
      </c>
      <c r="H103" s="17">
        <v>6</v>
      </c>
      <c r="I103" s="17">
        <v>5</v>
      </c>
      <c r="J103" s="8">
        <v>0</v>
      </c>
      <c r="L103" s="14" t="str">
        <f t="shared" si="2"/>
        <v>[17, 'GK', 44, 17, 6, 5, 0],</v>
      </c>
      <c r="T103" s="17">
        <v>0</v>
      </c>
      <c r="U103" s="17">
        <v>0</v>
      </c>
      <c r="AW103" s="3">
        <v>17</v>
      </c>
      <c r="AX103" s="3">
        <v>6</v>
      </c>
      <c r="AY103" s="3">
        <v>5</v>
      </c>
    </row>
    <row r="104" spans="3:51" x14ac:dyDescent="0.3">
      <c r="C104" s="27"/>
      <c r="D104" s="11">
        <v>18</v>
      </c>
      <c r="E104" s="11" t="str">
        <v>GQ</v>
      </c>
      <c r="F104" s="6">
        <v>6</v>
      </c>
      <c r="G104" s="21">
        <f>F104-SUMPRODUCT($H$37:$J$37,H104:J104)</f>
        <v>6</v>
      </c>
      <c r="H104" s="17">
        <v>0</v>
      </c>
      <c r="I104" s="17">
        <v>0</v>
      </c>
      <c r="J104" s="8">
        <v>0</v>
      </c>
      <c r="L104" s="14" t="str">
        <f t="shared" si="2"/>
        <v>[18, 'GQ', 6, 6, 0, 0, 0],</v>
      </c>
      <c r="T104" s="17">
        <v>0</v>
      </c>
      <c r="U104" s="17">
        <v>0</v>
      </c>
      <c r="AW104" s="3">
        <v>6</v>
      </c>
      <c r="AX104" s="3">
        <v>0</v>
      </c>
      <c r="AY104" s="3">
        <v>0</v>
      </c>
    </row>
    <row r="105" spans="3:51" x14ac:dyDescent="0.3">
      <c r="C105" s="27"/>
      <c r="D105" s="11">
        <v>19</v>
      </c>
      <c r="E105" s="11" t="str">
        <v>GJ</v>
      </c>
      <c r="F105" s="6">
        <v>9</v>
      </c>
      <c r="G105" s="21">
        <f>F105-SUMPRODUCT($H$37:$J$37,H105:J105)</f>
        <v>9</v>
      </c>
      <c r="H105" s="17">
        <v>0</v>
      </c>
      <c r="I105" s="17">
        <v>0</v>
      </c>
      <c r="J105" s="8">
        <v>0</v>
      </c>
      <c r="L105" s="14" t="str">
        <f t="shared" si="2"/>
        <v>[19, 'GJ', 9, 9, 0, 0, 0],</v>
      </c>
      <c r="T105" s="17">
        <v>0</v>
      </c>
      <c r="U105" s="17">
        <v>0</v>
      </c>
      <c r="AW105" s="3">
        <v>9</v>
      </c>
      <c r="AX105" s="3">
        <v>0</v>
      </c>
      <c r="AY105" s="3">
        <v>0</v>
      </c>
    </row>
    <row r="106" spans="3:51" x14ac:dyDescent="0.3">
      <c r="C106" s="27"/>
      <c r="G106" s="3">
        <f>SUM(G86:G105)*G85/SUM(_xlfn.ANCHORARRAY($F86))</f>
        <v>0.46</v>
      </c>
      <c r="H106" s="3">
        <f>SUM(H86:H105)*H85/SUM(_xlfn.ANCHORARRAY($F86))</f>
        <v>0.24</v>
      </c>
      <c r="I106" s="3">
        <f>SUM(I86:I105)*I85/SUM(_xlfn.ANCHORARRAY($F86))</f>
        <v>0.3</v>
      </c>
      <c r="L106" s="14" t="s">
        <v>31</v>
      </c>
      <c r="T106" s="3">
        <f>SUM(T86:T105)*T85/SUM(_xlfn.ANCHORARRAY($F86))</f>
        <v>0.16</v>
      </c>
      <c r="U106" s="3">
        <f>SUM(U86:U105)*U85/SUM(_xlfn.ANCHORARRAY($F86))</f>
        <v>0.12</v>
      </c>
      <c r="AW106" s="3">
        <v>0.46</v>
      </c>
      <c r="AX106" s="3">
        <v>0.24</v>
      </c>
      <c r="AY106" s="3">
        <v>0.3</v>
      </c>
    </row>
    <row r="107" spans="3:51" x14ac:dyDescent="0.3">
      <c r="C107" s="27"/>
    </row>
    <row r="108" spans="3:51" x14ac:dyDescent="0.3">
      <c r="C108" s="27">
        <f>C84+1</f>
        <v>4</v>
      </c>
      <c r="D108" s="3" t="str">
        <f>"R"&amp;C108</f>
        <v>R4</v>
      </c>
    </row>
    <row r="109" spans="3:51" x14ac:dyDescent="0.3">
      <c r="C109" s="27"/>
      <c r="D109" s="2" t="s">
        <v>27</v>
      </c>
      <c r="E109" s="2" t="s">
        <v>26</v>
      </c>
      <c r="F109" s="2" t="s">
        <v>28</v>
      </c>
      <c r="G109" s="2">
        <v>1</v>
      </c>
      <c r="H109" s="2">
        <v>2</v>
      </c>
      <c r="I109" s="2">
        <v>3</v>
      </c>
      <c r="J109" s="2">
        <v>5</v>
      </c>
      <c r="L109" s="14" t="s">
        <v>32</v>
      </c>
      <c r="T109" s="2">
        <v>2</v>
      </c>
      <c r="U109" s="2">
        <v>3</v>
      </c>
      <c r="AW109" s="3">
        <v>1</v>
      </c>
      <c r="AX109" s="3">
        <v>2</v>
      </c>
      <c r="AY109" s="3">
        <v>3</v>
      </c>
    </row>
    <row r="110" spans="3:51" x14ac:dyDescent="0.3">
      <c r="C110" s="27"/>
      <c r="D110" s="10" cm="1">
        <f t="array" ref="D110:D129">$B$11:$B$30</f>
        <v>0</v>
      </c>
      <c r="E110" s="10" t="str" cm="1">
        <f t="array" ref="E110:E129">$C$11:$C$30</f>
        <v>WW</v>
      </c>
      <c r="F110" s="4" cm="1">
        <f t="array" ref="F110:F129">G$11:G$30</f>
        <v>0</v>
      </c>
      <c r="G110" s="21">
        <f>F110-SUMPRODUCT($H$37:$J$37,H110:J110)</f>
        <v>0</v>
      </c>
      <c r="H110" s="18">
        <v>0</v>
      </c>
      <c r="I110" s="18">
        <v>0</v>
      </c>
      <c r="J110" s="21">
        <v>0</v>
      </c>
      <c r="L110" s="14" t="str">
        <f t="shared" ref="L110:L129" si="3">"["&amp;D110&amp;", '"&amp;E110&amp;"', "&amp;_xlfn.TEXTJOIN(", ", , F110:J110)&amp;"]"&amp;","</f>
        <v>[0, 'WW', 0, 0, 0, 0, 0],</v>
      </c>
      <c r="T110" s="18">
        <v>0</v>
      </c>
      <c r="U110" s="18">
        <v>0</v>
      </c>
      <c r="AW110" s="3">
        <v>0</v>
      </c>
      <c r="AX110" s="3">
        <v>0</v>
      </c>
      <c r="AY110" s="3">
        <v>0</v>
      </c>
    </row>
    <row r="111" spans="3:51" x14ac:dyDescent="0.3">
      <c r="C111" s="27"/>
      <c r="D111" s="11">
        <v>1</v>
      </c>
      <c r="E111" s="11" t="str">
        <v>C1</v>
      </c>
      <c r="F111" s="6">
        <v>3</v>
      </c>
      <c r="G111" s="21">
        <f>F111-SUMPRODUCT($H$37:$J$37,H111:J111)</f>
        <v>3</v>
      </c>
      <c r="H111" s="17">
        <v>0</v>
      </c>
      <c r="I111" s="17">
        <v>0</v>
      </c>
      <c r="J111" s="8">
        <v>0</v>
      </c>
      <c r="L111" s="14" t="str">
        <f t="shared" si="3"/>
        <v>[1, 'C1', 3, 3, 0, 0, 0],</v>
      </c>
      <c r="T111" s="17">
        <v>0</v>
      </c>
      <c r="U111" s="17">
        <v>0</v>
      </c>
      <c r="AW111" s="3">
        <v>3</v>
      </c>
      <c r="AX111" s="3">
        <v>0</v>
      </c>
      <c r="AY111" s="3">
        <v>0</v>
      </c>
    </row>
    <row r="112" spans="3:51" x14ac:dyDescent="0.3">
      <c r="C112" s="27"/>
      <c r="D112" s="11">
        <v>2</v>
      </c>
      <c r="E112" s="11" t="str">
        <v>M1</v>
      </c>
      <c r="F112" s="6">
        <v>3</v>
      </c>
      <c r="G112" s="21">
        <f>F112-SUMPRODUCT($H$37:$J$37,H112:J112)</f>
        <v>3</v>
      </c>
      <c r="H112" s="17">
        <v>0</v>
      </c>
      <c r="I112" s="17">
        <v>0</v>
      </c>
      <c r="J112" s="8">
        <v>0</v>
      </c>
      <c r="L112" s="14" t="str">
        <f t="shared" si="3"/>
        <v>[2, 'M1', 3, 3, 0, 0, 0],</v>
      </c>
      <c r="T112" s="17">
        <v>2</v>
      </c>
      <c r="U112" s="17">
        <v>1</v>
      </c>
      <c r="AW112" s="3">
        <v>3</v>
      </c>
      <c r="AX112" s="3">
        <v>0</v>
      </c>
      <c r="AY112" s="3">
        <v>0</v>
      </c>
    </row>
    <row r="113" spans="3:51" x14ac:dyDescent="0.3">
      <c r="C113" s="27"/>
      <c r="D113" s="11">
        <v>3</v>
      </c>
      <c r="E113" s="11" t="str">
        <v>M2</v>
      </c>
      <c r="F113" s="6">
        <v>3</v>
      </c>
      <c r="G113" s="21">
        <f>F113-SUMPRODUCT($H$37:$J$37,H113:J113)</f>
        <v>3</v>
      </c>
      <c r="H113" s="17">
        <v>0</v>
      </c>
      <c r="I113" s="17">
        <v>0</v>
      </c>
      <c r="J113" s="8">
        <v>0</v>
      </c>
      <c r="L113" s="14" t="str">
        <f t="shared" si="3"/>
        <v>[3, 'M2', 3, 3, 0, 0, 0],</v>
      </c>
      <c r="T113" s="17">
        <v>2</v>
      </c>
      <c r="U113" s="17">
        <v>1</v>
      </c>
      <c r="AW113" s="3">
        <v>3</v>
      </c>
      <c r="AX113" s="3">
        <v>0</v>
      </c>
      <c r="AY113" s="3">
        <v>0</v>
      </c>
    </row>
    <row r="114" spans="3:51" x14ac:dyDescent="0.3">
      <c r="C114" s="27"/>
      <c r="D114" s="11">
        <v>4</v>
      </c>
      <c r="E114" s="11" t="str">
        <v>M3</v>
      </c>
      <c r="F114" s="6">
        <v>7</v>
      </c>
      <c r="G114" s="21">
        <f>F114-SUMPRODUCT($H$37:$J$37,H114:J114)</f>
        <v>7</v>
      </c>
      <c r="H114" s="17">
        <v>0</v>
      </c>
      <c r="I114" s="17">
        <v>0</v>
      </c>
      <c r="J114" s="8">
        <v>0</v>
      </c>
      <c r="L114" s="14" t="str">
        <f t="shared" si="3"/>
        <v>[4, 'M3', 7, 7, 0, 0, 0],</v>
      </c>
      <c r="T114" s="17">
        <v>2</v>
      </c>
      <c r="U114" s="17">
        <v>1</v>
      </c>
      <c r="AW114" s="3">
        <v>7</v>
      </c>
      <c r="AX114" s="3">
        <v>0</v>
      </c>
      <c r="AY114" s="3">
        <v>0</v>
      </c>
    </row>
    <row r="115" spans="3:51" x14ac:dyDescent="0.3">
      <c r="C115" s="27"/>
      <c r="D115" s="11">
        <v>5</v>
      </c>
      <c r="E115" s="11" t="str">
        <v>M4</v>
      </c>
      <c r="F115" s="6">
        <v>31</v>
      </c>
      <c r="G115" s="21">
        <f>F115-SUMPRODUCT($H$37:$J$37,H115:J115)</f>
        <v>14</v>
      </c>
      <c r="H115" s="17">
        <v>4</v>
      </c>
      <c r="I115" s="17">
        <v>3</v>
      </c>
      <c r="J115" s="8">
        <v>0</v>
      </c>
      <c r="L115" s="14" t="str">
        <f t="shared" si="3"/>
        <v>[5, 'M4', 31, 14, 4, 3, 0],</v>
      </c>
      <c r="T115" s="17">
        <v>2</v>
      </c>
      <c r="U115" s="17">
        <v>0</v>
      </c>
      <c r="AW115" s="3">
        <v>14</v>
      </c>
      <c r="AX115" s="3">
        <v>4</v>
      </c>
      <c r="AY115" s="3">
        <v>3</v>
      </c>
    </row>
    <row r="116" spans="3:51" x14ac:dyDescent="0.3">
      <c r="C116" s="27"/>
      <c r="D116" s="11">
        <v>6</v>
      </c>
      <c r="E116" s="11" t="str">
        <v>M5</v>
      </c>
      <c r="F116" s="6">
        <v>27</v>
      </c>
      <c r="G116" s="21">
        <f>F116-SUMPRODUCT($H$37:$J$37,H116:J116)</f>
        <v>10</v>
      </c>
      <c r="H116" s="17">
        <v>4</v>
      </c>
      <c r="I116" s="17">
        <v>3</v>
      </c>
      <c r="J116" s="8">
        <v>0</v>
      </c>
      <c r="L116" s="14" t="str">
        <f t="shared" si="3"/>
        <v>[6, 'M5', 27, 10, 4, 3, 0],</v>
      </c>
      <c r="T116" s="17">
        <v>2</v>
      </c>
      <c r="U116" s="17">
        <v>0</v>
      </c>
      <c r="AW116" s="3">
        <v>10</v>
      </c>
      <c r="AX116" s="3">
        <v>4</v>
      </c>
      <c r="AY116" s="3">
        <v>3</v>
      </c>
    </row>
    <row r="117" spans="3:51" x14ac:dyDescent="0.3">
      <c r="C117" s="27"/>
      <c r="D117" s="11">
        <v>7</v>
      </c>
      <c r="E117" s="11" t="str">
        <v>A</v>
      </c>
      <c r="F117" s="6">
        <v>31</v>
      </c>
      <c r="G117" s="21">
        <f>F117-SUMPRODUCT($H$37:$J$37,H117:J117)</f>
        <v>14</v>
      </c>
      <c r="H117" s="17">
        <v>4</v>
      </c>
      <c r="I117" s="17">
        <v>3</v>
      </c>
      <c r="J117" s="8">
        <v>0</v>
      </c>
      <c r="L117" s="14" t="str">
        <f t="shared" si="3"/>
        <v>[7, 'A', 31, 14, 4, 3, 0],</v>
      </c>
      <c r="T117" s="17">
        <v>2</v>
      </c>
      <c r="U117" s="17">
        <v>0</v>
      </c>
      <c r="AW117" s="3">
        <v>14</v>
      </c>
      <c r="AX117" s="3">
        <v>4</v>
      </c>
      <c r="AY117" s="3">
        <v>3</v>
      </c>
    </row>
    <row r="118" spans="3:51" x14ac:dyDescent="0.3">
      <c r="C118" s="27"/>
      <c r="D118" s="11">
        <v>8</v>
      </c>
      <c r="E118" s="11" t="str">
        <v>K</v>
      </c>
      <c r="F118" s="6">
        <v>32</v>
      </c>
      <c r="G118" s="21">
        <f>F118-SUMPRODUCT($H$37:$J$37,H118:J118)</f>
        <v>15</v>
      </c>
      <c r="H118" s="17">
        <v>4</v>
      </c>
      <c r="I118" s="17">
        <v>3</v>
      </c>
      <c r="J118" s="8">
        <v>0</v>
      </c>
      <c r="L118" s="14" t="str">
        <f t="shared" si="3"/>
        <v>[8, 'K', 32, 15, 4, 3, 0],</v>
      </c>
      <c r="T118" s="17">
        <v>2</v>
      </c>
      <c r="U118" s="17">
        <v>0</v>
      </c>
      <c r="AW118" s="3">
        <v>15</v>
      </c>
      <c r="AX118" s="3">
        <v>4</v>
      </c>
      <c r="AY118" s="3">
        <v>3</v>
      </c>
    </row>
    <row r="119" spans="3:51" x14ac:dyDescent="0.3">
      <c r="C119" s="27"/>
      <c r="D119" s="11">
        <v>9</v>
      </c>
      <c r="E119" s="11" t="str">
        <v>Q</v>
      </c>
      <c r="F119" s="6">
        <v>6</v>
      </c>
      <c r="G119" s="21">
        <f>F119-SUMPRODUCT($H$37:$J$37,H119:J119)</f>
        <v>6</v>
      </c>
      <c r="H119" s="17">
        <v>0</v>
      </c>
      <c r="I119" s="17">
        <v>0</v>
      </c>
      <c r="J119" s="8">
        <v>0</v>
      </c>
      <c r="L119" s="14" t="str">
        <f t="shared" si="3"/>
        <v>[9, 'Q', 6, 6, 0, 0, 0],</v>
      </c>
      <c r="T119" s="17">
        <v>2</v>
      </c>
      <c r="U119" s="17">
        <v>1</v>
      </c>
      <c r="AW119" s="3">
        <v>6</v>
      </c>
      <c r="AX119" s="3">
        <v>0</v>
      </c>
      <c r="AY119" s="3">
        <v>0</v>
      </c>
    </row>
    <row r="120" spans="3:51" x14ac:dyDescent="0.3">
      <c r="C120" s="27"/>
      <c r="D120" s="11">
        <v>10</v>
      </c>
      <c r="E120" s="11" t="str">
        <v>J</v>
      </c>
      <c r="F120" s="6">
        <v>7</v>
      </c>
      <c r="G120" s="21">
        <f>F120-SUMPRODUCT($H$37:$J$37,H120:J120)</f>
        <v>7</v>
      </c>
      <c r="H120" s="17">
        <v>0</v>
      </c>
      <c r="I120" s="17">
        <v>0</v>
      </c>
      <c r="J120" s="8">
        <v>0</v>
      </c>
      <c r="L120" s="14" t="str">
        <f t="shared" si="3"/>
        <v>[10, 'J', 7, 7, 0, 0, 0],</v>
      </c>
      <c r="T120" s="17">
        <v>2</v>
      </c>
      <c r="U120" s="17">
        <v>1</v>
      </c>
      <c r="AW120" s="3">
        <v>7</v>
      </c>
      <c r="AX120" s="3">
        <v>0</v>
      </c>
      <c r="AY120" s="3">
        <v>0</v>
      </c>
    </row>
    <row r="121" spans="3:51" x14ac:dyDescent="0.3">
      <c r="C121" s="27"/>
      <c r="D121" s="11">
        <v>11</v>
      </c>
      <c r="E121" s="11" t="str">
        <v>G1</v>
      </c>
      <c r="F121" s="6">
        <v>1</v>
      </c>
      <c r="G121" s="21">
        <f>F121-SUMPRODUCT($H$37:$J$37,H121:J121)</f>
        <v>1</v>
      </c>
      <c r="H121" s="17">
        <v>0</v>
      </c>
      <c r="I121" s="17">
        <v>0</v>
      </c>
      <c r="J121" s="8">
        <v>0</v>
      </c>
      <c r="L121" s="14" t="str">
        <f t="shared" si="3"/>
        <v>[11, 'G1', 1, 1, 0, 0, 0],</v>
      </c>
      <c r="T121" s="17">
        <v>0</v>
      </c>
      <c r="U121" s="17">
        <v>0</v>
      </c>
      <c r="AW121" s="3">
        <v>1</v>
      </c>
      <c r="AX121" s="3">
        <v>0</v>
      </c>
      <c r="AY121" s="3">
        <v>0</v>
      </c>
    </row>
    <row r="122" spans="3:51" x14ac:dyDescent="0.3">
      <c r="C122" s="27"/>
      <c r="D122" s="11">
        <v>12</v>
      </c>
      <c r="E122" s="11" t="str">
        <v>G2</v>
      </c>
      <c r="F122" s="6">
        <v>1</v>
      </c>
      <c r="G122" s="21">
        <f>F122-SUMPRODUCT($H$37:$J$37,H122:J122)</f>
        <v>1</v>
      </c>
      <c r="H122" s="17">
        <v>0</v>
      </c>
      <c r="I122" s="17">
        <v>0</v>
      </c>
      <c r="J122" s="8">
        <v>0</v>
      </c>
      <c r="L122" s="14" t="str">
        <f t="shared" si="3"/>
        <v>[12, 'G2', 1, 1, 0, 0, 0],</v>
      </c>
      <c r="T122" s="17">
        <v>0</v>
      </c>
      <c r="U122" s="17">
        <v>0</v>
      </c>
      <c r="AW122" s="3">
        <v>1</v>
      </c>
      <c r="AX122" s="3">
        <v>0</v>
      </c>
      <c r="AY122" s="3">
        <v>0</v>
      </c>
    </row>
    <row r="123" spans="3:51" x14ac:dyDescent="0.3">
      <c r="C123" s="27"/>
      <c r="D123" s="11">
        <v>13</v>
      </c>
      <c r="E123" s="11" t="str">
        <v>G3</v>
      </c>
      <c r="F123" s="6">
        <v>2</v>
      </c>
      <c r="G123" s="21">
        <f>F123-SUMPRODUCT($H$37:$J$37,H123:J123)</f>
        <v>2</v>
      </c>
      <c r="H123" s="17">
        <v>0</v>
      </c>
      <c r="I123" s="17">
        <v>0</v>
      </c>
      <c r="J123" s="8">
        <v>0</v>
      </c>
      <c r="L123" s="14" t="str">
        <f t="shared" si="3"/>
        <v>[13, 'G3', 2, 2, 0, 0, 0],</v>
      </c>
      <c r="T123" s="17">
        <v>0</v>
      </c>
      <c r="U123" s="17">
        <v>0</v>
      </c>
      <c r="AW123" s="3">
        <v>2</v>
      </c>
      <c r="AX123" s="3">
        <v>0</v>
      </c>
      <c r="AY123" s="3">
        <v>0</v>
      </c>
    </row>
    <row r="124" spans="3:51" x14ac:dyDescent="0.3">
      <c r="C124" s="27"/>
      <c r="D124" s="11">
        <v>14</v>
      </c>
      <c r="E124" s="11" t="str">
        <v>G4</v>
      </c>
      <c r="F124" s="6">
        <v>11</v>
      </c>
      <c r="G124" s="21">
        <f>F124-SUMPRODUCT($H$37:$J$37,H124:J124)</f>
        <v>9</v>
      </c>
      <c r="H124" s="17">
        <v>1</v>
      </c>
      <c r="I124" s="17">
        <v>0</v>
      </c>
      <c r="J124" s="8">
        <v>0</v>
      </c>
      <c r="L124" s="14" t="str">
        <f t="shared" si="3"/>
        <v>[14, 'G4', 11, 9, 1, 0, 0],</v>
      </c>
      <c r="T124" s="17">
        <v>0</v>
      </c>
      <c r="U124" s="17">
        <v>0</v>
      </c>
      <c r="AW124" s="3">
        <v>9</v>
      </c>
      <c r="AX124" s="3">
        <v>1</v>
      </c>
      <c r="AY124" s="3">
        <v>0</v>
      </c>
    </row>
    <row r="125" spans="3:51" x14ac:dyDescent="0.3">
      <c r="C125" s="27"/>
      <c r="D125" s="11">
        <v>15</v>
      </c>
      <c r="E125" s="11" t="str">
        <v>G5</v>
      </c>
      <c r="F125" s="6">
        <v>12</v>
      </c>
      <c r="G125" s="21">
        <f>F125-SUMPRODUCT($H$37:$J$37,H125:J125)</f>
        <v>10</v>
      </c>
      <c r="H125" s="17">
        <v>1</v>
      </c>
      <c r="I125" s="17">
        <v>0</v>
      </c>
      <c r="J125" s="8">
        <v>0</v>
      </c>
      <c r="L125" s="14" t="str">
        <f t="shared" si="3"/>
        <v>[15, 'G5', 12, 10, 1, 0, 0],</v>
      </c>
      <c r="T125" s="17">
        <v>0</v>
      </c>
      <c r="U125" s="17">
        <v>0</v>
      </c>
      <c r="AW125" s="3">
        <v>10</v>
      </c>
      <c r="AX125" s="3">
        <v>1</v>
      </c>
      <c r="AY125" s="3">
        <v>0</v>
      </c>
    </row>
    <row r="126" spans="3:51" x14ac:dyDescent="0.3">
      <c r="C126" s="27"/>
      <c r="D126" s="11">
        <v>16</v>
      </c>
      <c r="E126" s="11" t="str">
        <v>GA</v>
      </c>
      <c r="F126" s="6">
        <v>10</v>
      </c>
      <c r="G126" s="21">
        <f>F126-SUMPRODUCT($H$37:$J$37,H126:J126)</f>
        <v>8</v>
      </c>
      <c r="H126" s="17">
        <v>1</v>
      </c>
      <c r="I126" s="17">
        <v>0</v>
      </c>
      <c r="J126" s="8">
        <v>0</v>
      </c>
      <c r="L126" s="14" t="str">
        <f t="shared" si="3"/>
        <v>[16, 'GA', 10, 8, 1, 0, 0],</v>
      </c>
      <c r="T126" s="17">
        <v>0</v>
      </c>
      <c r="U126" s="17">
        <v>0</v>
      </c>
      <c r="AW126" s="3">
        <v>8</v>
      </c>
      <c r="AX126" s="3">
        <v>1</v>
      </c>
      <c r="AY126" s="3">
        <v>0</v>
      </c>
    </row>
    <row r="127" spans="3:51" x14ac:dyDescent="0.3">
      <c r="C127" s="27"/>
      <c r="D127" s="11">
        <v>17</v>
      </c>
      <c r="E127" s="11" t="str">
        <v>GK</v>
      </c>
      <c r="F127" s="6">
        <v>10</v>
      </c>
      <c r="G127" s="21">
        <f>F127-SUMPRODUCT($H$37:$J$37,H127:J127)</f>
        <v>8</v>
      </c>
      <c r="H127" s="17">
        <v>1</v>
      </c>
      <c r="I127" s="17">
        <v>0</v>
      </c>
      <c r="J127" s="8">
        <v>0</v>
      </c>
      <c r="L127" s="14" t="str">
        <f t="shared" si="3"/>
        <v>[17, 'GK', 10, 8, 1, 0, 0],</v>
      </c>
      <c r="T127" s="17">
        <v>0</v>
      </c>
      <c r="U127" s="17">
        <v>0</v>
      </c>
      <c r="AW127" s="3">
        <v>8</v>
      </c>
      <c r="AX127" s="3">
        <v>1</v>
      </c>
      <c r="AY127" s="3">
        <v>0</v>
      </c>
    </row>
    <row r="128" spans="3:51" x14ac:dyDescent="0.3">
      <c r="C128" s="27"/>
      <c r="D128" s="11">
        <v>18</v>
      </c>
      <c r="E128" s="11" t="str">
        <v>GQ</v>
      </c>
      <c r="F128" s="6">
        <v>1</v>
      </c>
      <c r="G128" s="21">
        <f>F128-SUMPRODUCT($H$37:$J$37,H128:J128)</f>
        <v>1</v>
      </c>
      <c r="H128" s="17">
        <v>0</v>
      </c>
      <c r="I128" s="17">
        <v>0</v>
      </c>
      <c r="J128" s="8">
        <v>0</v>
      </c>
      <c r="L128" s="14" t="str">
        <f t="shared" si="3"/>
        <v>[18, 'GQ', 1, 1, 0, 0, 0],</v>
      </c>
      <c r="T128" s="17">
        <v>0</v>
      </c>
      <c r="U128" s="17">
        <v>0</v>
      </c>
      <c r="AW128" s="3">
        <v>1</v>
      </c>
      <c r="AX128" s="3">
        <v>0</v>
      </c>
      <c r="AY128" s="3">
        <v>0</v>
      </c>
    </row>
    <row r="129" spans="3:51" x14ac:dyDescent="0.3">
      <c r="C129" s="27"/>
      <c r="D129" s="11">
        <v>19</v>
      </c>
      <c r="E129" s="11" t="str">
        <v>GJ</v>
      </c>
      <c r="F129" s="6">
        <v>2</v>
      </c>
      <c r="G129" s="21">
        <f>F129-SUMPRODUCT($H$37:$J$37,H129:J129)</f>
        <v>2</v>
      </c>
      <c r="H129" s="17">
        <v>0</v>
      </c>
      <c r="I129" s="17">
        <v>0</v>
      </c>
      <c r="J129" s="8">
        <v>0</v>
      </c>
      <c r="L129" s="14" t="str">
        <f t="shared" si="3"/>
        <v>[19, 'GJ', 2, 2, 0, 0, 0],</v>
      </c>
      <c r="T129" s="17">
        <v>0</v>
      </c>
      <c r="U129" s="17">
        <v>0</v>
      </c>
      <c r="AW129" s="3">
        <v>2</v>
      </c>
      <c r="AX129" s="3">
        <v>0</v>
      </c>
      <c r="AY129" s="3">
        <v>0</v>
      </c>
    </row>
    <row r="130" spans="3:51" x14ac:dyDescent="0.3">
      <c r="C130" s="27"/>
      <c r="G130" s="3">
        <f>SUM(G110:G129)*G109/SUM(_xlfn.ANCHORARRAY($F110))</f>
        <v>0.62</v>
      </c>
      <c r="H130" s="3">
        <f>SUM(H110:H129)*H109/SUM(_xlfn.ANCHORARRAY($F110))</f>
        <v>0.2</v>
      </c>
      <c r="I130" s="3">
        <f>SUM(I110:I129)*I109/SUM(_xlfn.ANCHORARRAY($F110))</f>
        <v>0.18</v>
      </c>
      <c r="L130" s="14" t="s">
        <v>31</v>
      </c>
      <c r="T130" s="3">
        <f>SUM(T110:T129)*T109/SUM(_xlfn.ANCHORARRAY($F110))</f>
        <v>0.18</v>
      </c>
      <c r="U130" s="3">
        <f>SUM(U110:U129)*U109/SUM(_xlfn.ANCHORARRAY($F110))</f>
        <v>7.4999999999999997E-2</v>
      </c>
      <c r="AW130" s="3">
        <v>0.62</v>
      </c>
      <c r="AX130" s="3">
        <v>0.2</v>
      </c>
      <c r="AY130" s="3">
        <v>0.18</v>
      </c>
    </row>
    <row r="131" spans="3:51" x14ac:dyDescent="0.3">
      <c r="C131" s="27"/>
    </row>
    <row r="132" spans="3:51" x14ac:dyDescent="0.3">
      <c r="C132" s="27">
        <f>C108+1</f>
        <v>5</v>
      </c>
      <c r="D132" s="3" t="str">
        <f>"R"&amp;C132</f>
        <v>R5</v>
      </c>
    </row>
    <row r="133" spans="3:51" x14ac:dyDescent="0.3">
      <c r="C133" s="27"/>
      <c r="D133" s="2" t="s">
        <v>27</v>
      </c>
      <c r="E133" s="2" t="s">
        <v>26</v>
      </c>
      <c r="F133" s="2" t="s">
        <v>28</v>
      </c>
      <c r="G133" s="2">
        <v>1</v>
      </c>
      <c r="H133" s="2">
        <v>2</v>
      </c>
      <c r="I133" s="2">
        <v>3</v>
      </c>
      <c r="J133" s="2">
        <v>5</v>
      </c>
      <c r="L133" s="14" t="s">
        <v>32</v>
      </c>
      <c r="T133" s="2">
        <v>2</v>
      </c>
      <c r="U133" s="2">
        <v>3</v>
      </c>
      <c r="AW133" s="3">
        <v>1</v>
      </c>
      <c r="AX133" s="3">
        <v>2</v>
      </c>
      <c r="AY133" s="3">
        <v>3</v>
      </c>
    </row>
    <row r="134" spans="3:51" x14ac:dyDescent="0.3">
      <c r="D134" s="10" cm="1">
        <f t="array" ref="D134:D153">$B$11:$B$30</f>
        <v>0</v>
      </c>
      <c r="E134" s="10" t="str" cm="1">
        <f t="array" ref="E134:E153">$C$11:$C$30</f>
        <v>WW</v>
      </c>
      <c r="F134" s="4" cm="1">
        <f t="array" ref="F134:F153">H$11:H$30</f>
        <v>0</v>
      </c>
      <c r="G134" s="21">
        <f>F134-SUMPRODUCT($H$37:$J$37,H134:J134)</f>
        <v>0</v>
      </c>
      <c r="H134" s="18">
        <v>0</v>
      </c>
      <c r="I134" s="18">
        <v>0</v>
      </c>
      <c r="J134" s="21">
        <v>0</v>
      </c>
      <c r="L134" s="14" t="str">
        <f t="shared" ref="L134:L153" si="4">"["&amp;D134&amp;", '"&amp;E134&amp;"', "&amp;_xlfn.TEXTJOIN(", ", , F134:J134)&amp;"]"&amp;","</f>
        <v>[0, 'WW', 0, 0, 0, 0, 0],</v>
      </c>
      <c r="T134" s="18">
        <v>0</v>
      </c>
      <c r="U134" s="18">
        <v>0</v>
      </c>
      <c r="AW134" s="3">
        <v>0</v>
      </c>
      <c r="AX134" s="3">
        <v>0</v>
      </c>
      <c r="AY134" s="3">
        <v>0</v>
      </c>
    </row>
    <row r="135" spans="3:51" x14ac:dyDescent="0.3">
      <c r="D135" s="11">
        <v>1</v>
      </c>
      <c r="E135" s="11" t="str">
        <v>C1</v>
      </c>
      <c r="F135" s="6">
        <v>3</v>
      </c>
      <c r="G135" s="21">
        <f>F135-SUMPRODUCT($H$37:$J$37,H135:J135)</f>
        <v>3</v>
      </c>
      <c r="H135" s="17">
        <v>0</v>
      </c>
      <c r="I135" s="17">
        <v>0</v>
      </c>
      <c r="J135" s="8">
        <v>0</v>
      </c>
      <c r="L135" s="14" t="str">
        <f t="shared" si="4"/>
        <v>[1, 'C1', 3, 3, 0, 0, 0],</v>
      </c>
      <c r="T135" s="17">
        <v>0</v>
      </c>
      <c r="U135" s="17">
        <v>0</v>
      </c>
      <c r="AW135" s="3">
        <v>3</v>
      </c>
      <c r="AX135" s="3">
        <v>0</v>
      </c>
      <c r="AY135" s="3">
        <v>0</v>
      </c>
    </row>
    <row r="136" spans="3:51" x14ac:dyDescent="0.3">
      <c r="D136" s="11">
        <v>2</v>
      </c>
      <c r="E136" s="11" t="str">
        <v>M1</v>
      </c>
      <c r="F136" s="6">
        <v>9</v>
      </c>
      <c r="G136" s="21">
        <f>F136-SUMPRODUCT($H$37:$J$37,H136:J136)</f>
        <v>9</v>
      </c>
      <c r="H136" s="17">
        <v>0</v>
      </c>
      <c r="I136" s="17">
        <v>0</v>
      </c>
      <c r="J136" s="8">
        <v>0</v>
      </c>
      <c r="L136" s="14" t="str">
        <f t="shared" si="4"/>
        <v>[2, 'M1', 9, 9, 0, 0, 0],</v>
      </c>
      <c r="T136" s="17">
        <v>3</v>
      </c>
      <c r="U136" s="17">
        <v>0</v>
      </c>
      <c r="AW136" s="3">
        <v>9</v>
      </c>
      <c r="AX136" s="3">
        <v>0</v>
      </c>
      <c r="AY136" s="3">
        <v>0</v>
      </c>
    </row>
    <row r="137" spans="3:51" x14ac:dyDescent="0.3">
      <c r="D137" s="11">
        <v>3</v>
      </c>
      <c r="E137" s="11" t="str">
        <v>M2</v>
      </c>
      <c r="F137" s="6">
        <v>8</v>
      </c>
      <c r="G137" s="21">
        <f>F137-SUMPRODUCT($H$37:$J$37,H137:J137)</f>
        <v>8</v>
      </c>
      <c r="H137" s="17">
        <v>0</v>
      </c>
      <c r="I137" s="17">
        <v>0</v>
      </c>
      <c r="J137" s="8">
        <v>0</v>
      </c>
      <c r="L137" s="14" t="str">
        <f t="shared" si="4"/>
        <v>[3, 'M2', 8, 8, 0, 0, 0],</v>
      </c>
      <c r="T137" s="17">
        <v>3</v>
      </c>
      <c r="U137" s="17">
        <v>0</v>
      </c>
      <c r="AW137" s="3">
        <v>8</v>
      </c>
      <c r="AX137" s="3">
        <v>0</v>
      </c>
      <c r="AY137" s="3">
        <v>0</v>
      </c>
    </row>
    <row r="138" spans="3:51" x14ac:dyDescent="0.3">
      <c r="D138" s="11">
        <v>4</v>
      </c>
      <c r="E138" s="11" t="str">
        <v>M3</v>
      </c>
      <c r="F138" s="6">
        <v>14</v>
      </c>
      <c r="G138" s="21">
        <f>F138-SUMPRODUCT($H$37:$J$37,H138:J138)</f>
        <v>9</v>
      </c>
      <c r="H138" s="17">
        <v>1</v>
      </c>
      <c r="I138" s="17">
        <v>1</v>
      </c>
      <c r="J138" s="8">
        <v>0</v>
      </c>
      <c r="L138" s="14" t="str">
        <f t="shared" si="4"/>
        <v>[4, 'M3', 14, 9, 1, 1, 0],</v>
      </c>
      <c r="T138" s="17">
        <v>3</v>
      </c>
      <c r="U138" s="17">
        <v>0</v>
      </c>
      <c r="AW138" s="3">
        <v>9</v>
      </c>
      <c r="AX138" s="3">
        <v>1</v>
      </c>
      <c r="AY138" s="3">
        <v>1</v>
      </c>
    </row>
    <row r="139" spans="3:51" x14ac:dyDescent="0.3">
      <c r="D139" s="11">
        <v>5</v>
      </c>
      <c r="E139" s="11" t="str">
        <v>M4</v>
      </c>
      <c r="F139" s="6">
        <v>36</v>
      </c>
      <c r="G139" s="21">
        <f>F139-SUMPRODUCT($H$37:$J$37,H139:J139)</f>
        <v>29</v>
      </c>
      <c r="H139" s="17">
        <v>2</v>
      </c>
      <c r="I139" s="17">
        <v>1</v>
      </c>
      <c r="J139" s="8">
        <v>0</v>
      </c>
      <c r="L139" s="14" t="str">
        <f t="shared" si="4"/>
        <v>[5, 'M4', 36, 29, 2, 1, 0],</v>
      </c>
      <c r="T139" s="17">
        <v>3</v>
      </c>
      <c r="U139" s="17">
        <v>0</v>
      </c>
      <c r="AW139" s="3">
        <v>29</v>
      </c>
      <c r="AX139" s="3">
        <v>2</v>
      </c>
      <c r="AY139" s="3">
        <v>1</v>
      </c>
    </row>
    <row r="140" spans="3:51" x14ac:dyDescent="0.3">
      <c r="D140" s="11">
        <v>6</v>
      </c>
      <c r="E140" s="11" t="str">
        <v>M5</v>
      </c>
      <c r="F140" s="6">
        <v>34</v>
      </c>
      <c r="G140" s="21">
        <f>F140-SUMPRODUCT($H$37:$J$37,H140:J140)</f>
        <v>27</v>
      </c>
      <c r="H140" s="17">
        <v>2</v>
      </c>
      <c r="I140" s="17">
        <v>1</v>
      </c>
      <c r="J140" s="8">
        <v>0</v>
      </c>
      <c r="L140" s="14" t="str">
        <f t="shared" si="4"/>
        <v>[6, 'M5', 34, 27, 2, 1, 0],</v>
      </c>
      <c r="T140" s="17">
        <v>3</v>
      </c>
      <c r="U140" s="17">
        <v>0</v>
      </c>
      <c r="AW140" s="3">
        <v>27</v>
      </c>
      <c r="AX140" s="3">
        <v>2</v>
      </c>
      <c r="AY140" s="3">
        <v>1</v>
      </c>
    </row>
    <row r="141" spans="3:51" x14ac:dyDescent="0.3">
      <c r="D141" s="11">
        <v>7</v>
      </c>
      <c r="E141" s="11" t="str">
        <v>A</v>
      </c>
      <c r="F141" s="6">
        <v>35</v>
      </c>
      <c r="G141" s="21">
        <f>F141-SUMPRODUCT($H$37:$J$37,H141:J141)</f>
        <v>28</v>
      </c>
      <c r="H141" s="17">
        <v>2</v>
      </c>
      <c r="I141" s="17">
        <v>1</v>
      </c>
      <c r="J141" s="8">
        <v>0</v>
      </c>
      <c r="L141" s="14" t="str">
        <f t="shared" si="4"/>
        <v>[7, 'A', 35, 28, 2, 1, 0],</v>
      </c>
      <c r="T141" s="17">
        <v>3</v>
      </c>
      <c r="U141" s="17">
        <v>0</v>
      </c>
      <c r="AW141" s="3">
        <v>28</v>
      </c>
      <c r="AX141" s="3">
        <v>2</v>
      </c>
      <c r="AY141" s="3">
        <v>1</v>
      </c>
    </row>
    <row r="142" spans="3:51" x14ac:dyDescent="0.3">
      <c r="D142" s="11">
        <v>8</v>
      </c>
      <c r="E142" s="11" t="str">
        <v>K</v>
      </c>
      <c r="F142" s="6">
        <v>34</v>
      </c>
      <c r="G142" s="21">
        <f>F142-SUMPRODUCT($H$37:$J$37,H142:J142)</f>
        <v>27</v>
      </c>
      <c r="H142" s="17">
        <v>2</v>
      </c>
      <c r="I142" s="17">
        <v>1</v>
      </c>
      <c r="J142" s="8">
        <v>0</v>
      </c>
      <c r="L142" s="14" t="str">
        <f t="shared" si="4"/>
        <v>[8, 'K', 34, 27, 2, 1, 0],</v>
      </c>
      <c r="T142" s="17">
        <v>3</v>
      </c>
      <c r="U142" s="17">
        <v>0</v>
      </c>
      <c r="AW142" s="3">
        <v>27</v>
      </c>
      <c r="AX142" s="3">
        <v>2</v>
      </c>
      <c r="AY142" s="3">
        <v>1</v>
      </c>
    </row>
    <row r="143" spans="3:51" x14ac:dyDescent="0.3">
      <c r="D143" s="11">
        <v>9</v>
      </c>
      <c r="E143" s="11" t="str">
        <v>Q</v>
      </c>
      <c r="F143" s="6">
        <v>13</v>
      </c>
      <c r="G143" s="21">
        <f>F143-SUMPRODUCT($H$37:$J$37,H143:J143)</f>
        <v>8</v>
      </c>
      <c r="H143" s="17">
        <v>1</v>
      </c>
      <c r="I143" s="17">
        <v>1</v>
      </c>
      <c r="J143" s="8">
        <v>0</v>
      </c>
      <c r="L143" s="14" t="str">
        <f t="shared" si="4"/>
        <v>[9, 'Q', 13, 8, 1, 1, 0],</v>
      </c>
      <c r="T143" s="17">
        <v>3</v>
      </c>
      <c r="U143" s="17">
        <v>0</v>
      </c>
      <c r="AW143" s="3">
        <v>8</v>
      </c>
      <c r="AX143" s="3">
        <v>1</v>
      </c>
      <c r="AY143" s="3">
        <v>1</v>
      </c>
    </row>
    <row r="144" spans="3:51" x14ac:dyDescent="0.3">
      <c r="D144" s="11">
        <v>10</v>
      </c>
      <c r="E144" s="11" t="str">
        <v>J</v>
      </c>
      <c r="F144" s="6">
        <v>14</v>
      </c>
      <c r="G144" s="21">
        <f>F144-SUMPRODUCT($H$37:$J$37,H144:J144)</f>
        <v>9</v>
      </c>
      <c r="H144" s="17">
        <v>1</v>
      </c>
      <c r="I144" s="17">
        <v>1</v>
      </c>
      <c r="J144" s="8">
        <v>0</v>
      </c>
      <c r="L144" s="14" t="str">
        <f t="shared" si="4"/>
        <v>[10, 'J', 14, 9, 1, 1, 0],</v>
      </c>
      <c r="T144" s="17">
        <v>3</v>
      </c>
      <c r="U144" s="17">
        <v>0</v>
      </c>
      <c r="AW144" s="3">
        <v>9</v>
      </c>
      <c r="AX144" s="3">
        <v>1</v>
      </c>
      <c r="AY144" s="3">
        <v>1</v>
      </c>
    </row>
    <row r="145" spans="4:51" x14ac:dyDescent="0.3">
      <c r="D145" s="11">
        <v>11</v>
      </c>
      <c r="E145" s="11" t="str">
        <v>G1</v>
      </c>
      <c r="F145" s="6">
        <v>0</v>
      </c>
      <c r="G145" s="21">
        <f>F145-SUMPRODUCT($H$37:$J$37,H145:J145)</f>
        <v>0</v>
      </c>
      <c r="H145" s="17">
        <v>0</v>
      </c>
      <c r="I145" s="17">
        <v>0</v>
      </c>
      <c r="J145" s="8">
        <v>0</v>
      </c>
      <c r="L145" s="14" t="str">
        <f t="shared" si="4"/>
        <v>[11, 'G1', 0, 0, 0, 0, 0],</v>
      </c>
      <c r="T145" s="17">
        <v>0</v>
      </c>
      <c r="U145" s="17">
        <v>0</v>
      </c>
      <c r="AW145" s="3">
        <v>0</v>
      </c>
      <c r="AX145" s="3">
        <v>0</v>
      </c>
      <c r="AY145" s="3">
        <v>0</v>
      </c>
    </row>
    <row r="146" spans="4:51" x14ac:dyDescent="0.3">
      <c r="D146" s="11">
        <v>12</v>
      </c>
      <c r="E146" s="11" t="str">
        <v>G2</v>
      </c>
      <c r="F146" s="6">
        <v>0</v>
      </c>
      <c r="G146" s="21">
        <f>F146-SUMPRODUCT($H$37:$J$37,H146:J146)</f>
        <v>0</v>
      </c>
      <c r="H146" s="17">
        <v>0</v>
      </c>
      <c r="I146" s="17">
        <v>0</v>
      </c>
      <c r="J146" s="8">
        <v>0</v>
      </c>
      <c r="L146" s="14" t="str">
        <f t="shared" si="4"/>
        <v>[12, 'G2', 0, 0, 0, 0, 0],</v>
      </c>
      <c r="T146" s="17">
        <v>0</v>
      </c>
      <c r="U146" s="17">
        <v>0</v>
      </c>
      <c r="AW146" s="3">
        <v>0</v>
      </c>
      <c r="AX146" s="3">
        <v>0</v>
      </c>
      <c r="AY146" s="3">
        <v>0</v>
      </c>
    </row>
    <row r="147" spans="4:51" x14ac:dyDescent="0.3">
      <c r="D147" s="11">
        <v>13</v>
      </c>
      <c r="E147" s="11" t="str">
        <v>G3</v>
      </c>
      <c r="F147" s="6">
        <v>0</v>
      </c>
      <c r="G147" s="21">
        <f>F147-SUMPRODUCT($H$37:$J$37,H147:J147)</f>
        <v>0</v>
      </c>
      <c r="H147" s="17">
        <v>0</v>
      </c>
      <c r="I147" s="17">
        <v>0</v>
      </c>
      <c r="J147" s="8">
        <v>0</v>
      </c>
      <c r="L147" s="14" t="str">
        <f t="shared" si="4"/>
        <v>[13, 'G3', 0, 0, 0, 0, 0],</v>
      </c>
      <c r="T147" s="17">
        <v>0</v>
      </c>
      <c r="U147" s="17">
        <v>0</v>
      </c>
      <c r="AW147" s="3">
        <v>0</v>
      </c>
      <c r="AX147" s="3">
        <v>0</v>
      </c>
      <c r="AY147" s="3">
        <v>0</v>
      </c>
    </row>
    <row r="148" spans="4:51" x14ac:dyDescent="0.3">
      <c r="D148" s="11">
        <v>14</v>
      </c>
      <c r="E148" s="11" t="str">
        <v>G4</v>
      </c>
      <c r="F148" s="6">
        <v>0</v>
      </c>
      <c r="G148" s="21">
        <f>F148-SUMPRODUCT($H$37:$J$37,H148:J148)</f>
        <v>0</v>
      </c>
      <c r="H148" s="17">
        <v>0</v>
      </c>
      <c r="I148" s="17">
        <v>0</v>
      </c>
      <c r="J148" s="8">
        <v>0</v>
      </c>
      <c r="L148" s="14" t="str">
        <f t="shared" si="4"/>
        <v>[14, 'G4', 0, 0, 0, 0, 0],</v>
      </c>
      <c r="T148" s="17">
        <v>0</v>
      </c>
      <c r="U148" s="17">
        <v>0</v>
      </c>
      <c r="AW148" s="3">
        <v>0</v>
      </c>
      <c r="AX148" s="3">
        <v>0</v>
      </c>
      <c r="AY148" s="3">
        <v>0</v>
      </c>
    </row>
    <row r="149" spans="4:51" x14ac:dyDescent="0.3">
      <c r="D149" s="11">
        <v>15</v>
      </c>
      <c r="E149" s="11" t="str">
        <v>G5</v>
      </c>
      <c r="F149" s="6">
        <v>0</v>
      </c>
      <c r="G149" s="21">
        <f>F149-SUMPRODUCT($H$37:$J$37,H149:J149)</f>
        <v>0</v>
      </c>
      <c r="H149" s="17">
        <v>0</v>
      </c>
      <c r="I149" s="17">
        <v>0</v>
      </c>
      <c r="J149" s="8">
        <v>0</v>
      </c>
      <c r="L149" s="14" t="str">
        <f t="shared" si="4"/>
        <v>[15, 'G5', 0, 0, 0, 0, 0],</v>
      </c>
      <c r="T149" s="17">
        <v>0</v>
      </c>
      <c r="U149" s="17">
        <v>0</v>
      </c>
      <c r="AW149" s="3">
        <v>0</v>
      </c>
      <c r="AX149" s="3">
        <v>0</v>
      </c>
      <c r="AY149" s="3">
        <v>0</v>
      </c>
    </row>
    <row r="150" spans="4:51" x14ac:dyDescent="0.3">
      <c r="D150" s="11">
        <v>16</v>
      </c>
      <c r="E150" s="11" t="str">
        <v>GA</v>
      </c>
      <c r="F150" s="6">
        <v>0</v>
      </c>
      <c r="G150" s="21">
        <f>F150-SUMPRODUCT($H$37:$J$37,H150:J150)</f>
        <v>0</v>
      </c>
      <c r="H150" s="17">
        <v>0</v>
      </c>
      <c r="I150" s="17">
        <v>0</v>
      </c>
      <c r="J150" s="8">
        <v>0</v>
      </c>
      <c r="L150" s="14" t="str">
        <f t="shared" si="4"/>
        <v>[16, 'GA', 0, 0, 0, 0, 0],</v>
      </c>
      <c r="T150" s="17">
        <v>0</v>
      </c>
      <c r="U150" s="17">
        <v>0</v>
      </c>
      <c r="AW150" s="3">
        <v>0</v>
      </c>
      <c r="AX150" s="3">
        <v>0</v>
      </c>
      <c r="AY150" s="3">
        <v>0</v>
      </c>
    </row>
    <row r="151" spans="4:51" x14ac:dyDescent="0.3">
      <c r="D151" s="11">
        <v>17</v>
      </c>
      <c r="E151" s="11" t="str">
        <v>GK</v>
      </c>
      <c r="F151" s="6">
        <v>0</v>
      </c>
      <c r="G151" s="21">
        <f>F151-SUMPRODUCT($H$37:$J$37,H151:J151)</f>
        <v>0</v>
      </c>
      <c r="H151" s="17">
        <v>0</v>
      </c>
      <c r="I151" s="17">
        <v>0</v>
      </c>
      <c r="J151" s="8">
        <v>0</v>
      </c>
      <c r="L151" s="14" t="str">
        <f t="shared" si="4"/>
        <v>[17, 'GK', 0, 0, 0, 0, 0],</v>
      </c>
      <c r="T151" s="17">
        <v>0</v>
      </c>
      <c r="U151" s="17">
        <v>0</v>
      </c>
      <c r="AW151" s="3">
        <v>0</v>
      </c>
      <c r="AX151" s="3">
        <v>0</v>
      </c>
      <c r="AY151" s="3">
        <v>0</v>
      </c>
    </row>
    <row r="152" spans="4:51" x14ac:dyDescent="0.3">
      <c r="D152" s="11">
        <v>18</v>
      </c>
      <c r="E152" s="11" t="str">
        <v>GQ</v>
      </c>
      <c r="F152" s="6">
        <v>0</v>
      </c>
      <c r="G152" s="21">
        <f>F152-SUMPRODUCT($H$37:$J$37,H152:J152)</f>
        <v>0</v>
      </c>
      <c r="H152" s="17">
        <v>0</v>
      </c>
      <c r="I152" s="17">
        <v>0</v>
      </c>
      <c r="J152" s="8">
        <v>0</v>
      </c>
      <c r="L152" s="14" t="str">
        <f t="shared" si="4"/>
        <v>[18, 'GQ', 0, 0, 0, 0, 0],</v>
      </c>
      <c r="T152" s="17">
        <v>0</v>
      </c>
      <c r="U152" s="17">
        <v>0</v>
      </c>
      <c r="AW152" s="3">
        <v>0</v>
      </c>
      <c r="AX152" s="3">
        <v>0</v>
      </c>
      <c r="AY152" s="3">
        <v>0</v>
      </c>
    </row>
    <row r="153" spans="4:51" x14ac:dyDescent="0.3">
      <c r="D153" s="11">
        <v>19</v>
      </c>
      <c r="E153" s="11" t="str">
        <v>GJ</v>
      </c>
      <c r="F153" s="6">
        <v>0</v>
      </c>
      <c r="G153" s="21">
        <f>F153-SUMPRODUCT($H$37:$J$37,H153:J153)</f>
        <v>0</v>
      </c>
      <c r="H153" s="17">
        <v>0</v>
      </c>
      <c r="I153" s="17">
        <v>0</v>
      </c>
      <c r="J153" s="8">
        <v>0</v>
      </c>
      <c r="L153" s="14" t="str">
        <f t="shared" si="4"/>
        <v>[19, 'GJ', 0, 0, 0, 0, 0],</v>
      </c>
      <c r="T153" s="17">
        <v>0</v>
      </c>
      <c r="U153" s="17">
        <v>0</v>
      </c>
      <c r="AW153" s="3">
        <v>0</v>
      </c>
      <c r="AX153" s="3">
        <v>0</v>
      </c>
      <c r="AY153" s="3">
        <v>0</v>
      </c>
    </row>
    <row r="154" spans="4:51" x14ac:dyDescent="0.3">
      <c r="G154" s="3">
        <f>SUM(G134:G153)*G133/SUM(_xlfn.ANCHORARRAY($F134))</f>
        <v>0.78500000000000003</v>
      </c>
      <c r="H154" s="3">
        <f>SUM(H134:H153)*H133/SUM(_xlfn.ANCHORARRAY($F134))</f>
        <v>0.11</v>
      </c>
      <c r="I154" s="3">
        <f>SUM(I134:I153)*I133/SUM(_xlfn.ANCHORARRAY($F134))</f>
        <v>0.105</v>
      </c>
      <c r="L154" s="14" t="s">
        <v>31</v>
      </c>
      <c r="T154" s="3">
        <f>SUM(T134:T153)*T133/SUM(_xlfn.ANCHORARRAY($F134))</f>
        <v>0.27</v>
      </c>
      <c r="U154" s="3">
        <f>SUM(U134:U153)*U133/SUM(_xlfn.ANCHORARRAY($F134))</f>
        <v>0</v>
      </c>
      <c r="AW154" s="3">
        <v>0.78500000000000003</v>
      </c>
      <c r="AX154" s="3">
        <v>0.11</v>
      </c>
      <c r="AY154" s="3">
        <v>0.105</v>
      </c>
    </row>
  </sheetData>
  <phoneticPr fontId="2" type="noConversion"/>
  <conditionalFormatting sqref="I10 N9:T10 J4:M4 AG11:AO11 AJ13:AJ29 AE30:AJ30 AK12:AO30 AE11 B11:I31 AE12:AI30 V31:Z31 AQ12:AU30 B9:I9 J5 B156:T1048576 B35:T36 B34:C34 I34:T34 D32:H32 B37:S155">
    <cfRule type="cellIs" dxfId="131" priority="37" operator="equal">
      <formula>0</formula>
    </cfRule>
  </conditionalFormatting>
  <conditionalFormatting sqref="D11:I30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{7E26F64B-565C-49D5-B452-76ACE00F1916}</x14:id>
        </ext>
      </extLst>
    </cfRule>
  </conditionalFormatting>
  <conditionalFormatting sqref="J6:J8">
    <cfRule type="cellIs" dxfId="130" priority="16" operator="equal">
      <formula>0</formula>
    </cfRule>
  </conditionalFormatting>
  <conditionalFormatting sqref="AK30:AO30">
    <cfRule type="cellIs" dxfId="129" priority="9" operator="equal">
      <formula>0</formula>
    </cfRule>
  </conditionalFormatting>
  <conditionalFormatting sqref="T37:U155">
    <cfRule type="cellIs" dxfId="128" priority="14" operator="equal">
      <formula>0</formula>
    </cfRule>
  </conditionalFormatting>
  <conditionalFormatting sqref="V31:Z31">
    <cfRule type="cellIs" dxfId="127" priority="7" operator="equal">
      <formula>0</formula>
    </cfRule>
  </conditionalFormatting>
  <conditionalFormatting sqref="O4:R4 O4:O7">
    <cfRule type="cellIs" dxfId="126" priority="5" operator="equal">
      <formula>0</formula>
    </cfRule>
  </conditionalFormatting>
  <conditionalFormatting sqref="O9">
    <cfRule type="cellIs" dxfId="125" priority="2" operator="equal">
      <formula>0</formula>
    </cfRule>
  </conditionalFormatting>
  <conditionalFormatting sqref="O8">
    <cfRule type="cellIs" dxfId="124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26F64B-565C-49D5-B452-76ACE00F19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D11:I30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13EF-7758-4E8F-9F77-980C66DFEFBB}">
  <sheetPr codeName="工作表3"/>
  <dimension ref="A1:R128"/>
  <sheetViews>
    <sheetView topLeftCell="A24"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19" width="8.6640625" style="3"/>
    <col min="20" max="24" width="7" style="3" customWidth="1"/>
    <col min="25" max="16384" width="8.6640625" style="3"/>
  </cols>
  <sheetData>
    <row r="1" spans="1:18" x14ac:dyDescent="0.3">
      <c r="A1" s="1" t="s">
        <v>33</v>
      </c>
      <c r="B1" s="1">
        <v>8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1</v>
      </c>
      <c r="C4" s="21">
        <v>1</v>
      </c>
      <c r="D4" s="21">
        <v>1</v>
      </c>
      <c r="E4" s="21">
        <v>1</v>
      </c>
      <c r="F4" s="21">
        <v>1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</row>
    <row r="5" spans="1:18" x14ac:dyDescent="0.3">
      <c r="A5" s="1" t="s">
        <v>2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</row>
    <row r="6" spans="1:18" x14ac:dyDescent="0.3">
      <c r="A6" s="1" t="s">
        <v>3</v>
      </c>
      <c r="B6" s="8">
        <v>13</v>
      </c>
      <c r="C6" s="8">
        <v>14</v>
      </c>
      <c r="D6" s="8">
        <v>30</v>
      </c>
      <c r="E6" s="8">
        <v>14</v>
      </c>
      <c r="F6" s="8">
        <v>11</v>
      </c>
      <c r="H6" s="17">
        <v>13</v>
      </c>
      <c r="I6" s="17">
        <v>14</v>
      </c>
      <c r="J6" s="17">
        <v>30</v>
      </c>
      <c r="K6" s="17">
        <v>14</v>
      </c>
      <c r="L6" s="17">
        <v>11</v>
      </c>
      <c r="N6" s="6">
        <v>13</v>
      </c>
      <c r="O6" s="6">
        <v>14</v>
      </c>
      <c r="P6" s="6">
        <v>30</v>
      </c>
      <c r="Q6" s="6">
        <v>14</v>
      </c>
      <c r="R6" s="6">
        <v>11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86</v>
      </c>
      <c r="C8" s="3">
        <v>205</v>
      </c>
      <c r="D8" s="3">
        <v>219</v>
      </c>
      <c r="E8" s="3">
        <v>185</v>
      </c>
      <c r="F8" s="3">
        <v>118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19"/>
      <c r="I20" s="19"/>
      <c r="J20" s="19"/>
      <c r="K20" s="19"/>
      <c r="L20" s="19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1</v>
      </c>
      <c r="C24" s="8">
        <v>1</v>
      </c>
      <c r="D24" s="8">
        <v>1</v>
      </c>
      <c r="E24" s="8">
        <v>1</v>
      </c>
      <c r="F24" s="8">
        <v>1</v>
      </c>
    </row>
    <row r="25" spans="1:12" x14ac:dyDescent="0.3">
      <c r="A25" s="1" t="s">
        <v>2</v>
      </c>
      <c r="B25" s="8">
        <v>0</v>
      </c>
      <c r="C25" s="7">
        <v>0</v>
      </c>
      <c r="D25" s="7">
        <v>0</v>
      </c>
      <c r="E25" s="7">
        <v>0</v>
      </c>
      <c r="F25" s="8">
        <v>0</v>
      </c>
    </row>
    <row r="26" spans="1:12" x14ac:dyDescent="0.3">
      <c r="A26" s="1" t="s">
        <v>3</v>
      </c>
      <c r="B26" s="8">
        <v>13</v>
      </c>
      <c r="C26" s="8">
        <v>14</v>
      </c>
      <c r="D26" s="8">
        <v>30</v>
      </c>
      <c r="E26" s="8">
        <v>14</v>
      </c>
      <c r="F26" s="8">
        <v>11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17</v>
      </c>
      <c r="D27" s="8">
        <v>17</v>
      </c>
      <c r="E27" s="8">
        <v>13</v>
      </c>
      <c r="F27" s="8">
        <v>10</v>
      </c>
    </row>
    <row r="28" spans="1:12" x14ac:dyDescent="0.3">
      <c r="A28" s="1" t="s">
        <v>5</v>
      </c>
      <c r="B28" s="8">
        <v>8</v>
      </c>
      <c r="C28" s="8">
        <v>30</v>
      </c>
      <c r="D28" s="8">
        <v>30</v>
      </c>
      <c r="E28" s="8">
        <v>23</v>
      </c>
      <c r="F28" s="8">
        <v>14</v>
      </c>
    </row>
    <row r="29" spans="1:12" x14ac:dyDescent="0.3">
      <c r="A29" s="1" t="s">
        <v>6</v>
      </c>
      <c r="B29" s="8">
        <v>13</v>
      </c>
      <c r="C29" s="8">
        <v>22</v>
      </c>
      <c r="D29" s="8">
        <v>30</v>
      </c>
      <c r="E29" s="8">
        <v>23</v>
      </c>
      <c r="F29" s="8">
        <v>14</v>
      </c>
    </row>
    <row r="30" spans="1:12" x14ac:dyDescent="0.3">
      <c r="A30" s="1" t="s">
        <v>7</v>
      </c>
      <c r="B30" s="8">
        <v>11</v>
      </c>
      <c r="C30" s="8">
        <v>22</v>
      </c>
      <c r="D30" s="8">
        <v>15</v>
      </c>
      <c r="E30" s="8">
        <v>22</v>
      </c>
      <c r="F30" s="8">
        <v>14</v>
      </c>
    </row>
    <row r="31" spans="1:12" x14ac:dyDescent="0.3">
      <c r="A31" s="1" t="s">
        <v>8</v>
      </c>
      <c r="B31" s="8">
        <v>11</v>
      </c>
      <c r="C31" s="8">
        <v>16</v>
      </c>
      <c r="D31" s="8">
        <v>17</v>
      </c>
      <c r="E31" s="8">
        <v>22</v>
      </c>
      <c r="F31" s="8">
        <v>16</v>
      </c>
    </row>
    <row r="32" spans="1:12" x14ac:dyDescent="0.3">
      <c r="A32" s="1" t="s">
        <v>9</v>
      </c>
      <c r="B32" s="8">
        <v>5</v>
      </c>
      <c r="C32" s="8">
        <v>24</v>
      </c>
      <c r="D32" s="8">
        <v>21</v>
      </c>
      <c r="E32" s="8">
        <v>14</v>
      </c>
      <c r="F32" s="8">
        <v>8</v>
      </c>
    </row>
    <row r="33" spans="1:10" x14ac:dyDescent="0.3">
      <c r="A33" s="1" t="s">
        <v>10</v>
      </c>
      <c r="B33" s="8">
        <v>9</v>
      </c>
      <c r="C33" s="8">
        <v>22</v>
      </c>
      <c r="D33" s="8">
        <v>17</v>
      </c>
      <c r="E33" s="8">
        <v>20</v>
      </c>
      <c r="F33" s="8">
        <v>11</v>
      </c>
    </row>
    <row r="34" spans="1:10" x14ac:dyDescent="0.3">
      <c r="A34" s="1" t="s">
        <v>11</v>
      </c>
      <c r="B34" s="8">
        <v>8</v>
      </c>
      <c r="C34" s="8">
        <v>16</v>
      </c>
      <c r="D34" s="8">
        <v>21</v>
      </c>
      <c r="E34" s="8">
        <v>14</v>
      </c>
      <c r="F34" s="8">
        <v>8</v>
      </c>
    </row>
    <row r="35" spans="1:10" x14ac:dyDescent="0.3">
      <c r="A35" s="1" t="s">
        <v>12</v>
      </c>
      <c r="B35" s="8">
        <v>9</v>
      </c>
      <c r="C35" s="8">
        <v>16</v>
      </c>
      <c r="D35" s="8">
        <v>23</v>
      </c>
      <c r="E35" s="8">
        <v>22</v>
      </c>
      <c r="F35" s="8">
        <v>11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6</v>
      </c>
      <c r="C36" s="8">
        <v>14</v>
      </c>
      <c r="D36" s="8">
        <v>22</v>
      </c>
      <c r="E36" s="8">
        <v>9</v>
      </c>
      <c r="F36" s="8">
        <v>9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1</v>
      </c>
      <c r="E43" s="5">
        <f t="shared" si="0"/>
        <v>1</v>
      </c>
      <c r="F43" s="17">
        <v>0</v>
      </c>
      <c r="G43" s="17">
        <v>0</v>
      </c>
      <c r="H43" s="6">
        <v>0</v>
      </c>
      <c r="J43" s="14" t="str">
        <f t="shared" si="1"/>
        <v>[10, 'C1', 1, 1,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13</v>
      </c>
      <c r="E45" s="5">
        <f t="shared" si="0"/>
        <v>13</v>
      </c>
      <c r="F45" s="17">
        <v>0</v>
      </c>
      <c r="G45" s="17">
        <v>0</v>
      </c>
      <c r="H45" s="6">
        <v>0</v>
      </c>
      <c r="J45" s="14" t="str">
        <f t="shared" si="1"/>
        <v>[12, 'C3', 13, 13,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13</v>
      </c>
      <c r="E48" s="5">
        <f t="shared" si="0"/>
        <v>0</v>
      </c>
      <c r="F48" s="17">
        <v>5</v>
      </c>
      <c r="G48" s="17">
        <v>1</v>
      </c>
      <c r="H48" s="6">
        <v>0</v>
      </c>
      <c r="J48" s="14" t="str">
        <f t="shared" si="1"/>
        <v>[22, 'M3', 13, 0, 5, 1, 0],</v>
      </c>
    </row>
    <row r="49" spans="1:10" x14ac:dyDescent="0.3">
      <c r="B49" s="11">
        <v>23</v>
      </c>
      <c r="C49" s="11" t="s">
        <v>7</v>
      </c>
      <c r="D49" s="6">
        <v>11</v>
      </c>
      <c r="E49" s="5">
        <f t="shared" si="0"/>
        <v>0</v>
      </c>
      <c r="F49" s="17">
        <v>4</v>
      </c>
      <c r="G49" s="17">
        <v>1</v>
      </c>
      <c r="H49" s="6">
        <v>0</v>
      </c>
      <c r="J49" s="14" t="str">
        <f t="shared" si="1"/>
        <v>[23, 'M4', 11, 0, 4, 1, 0],</v>
      </c>
    </row>
    <row r="50" spans="1:10" x14ac:dyDescent="0.3">
      <c r="A50" s="3"/>
      <c r="B50" s="11">
        <v>24</v>
      </c>
      <c r="C50" s="11" t="s">
        <v>8</v>
      </c>
      <c r="D50" s="6">
        <v>11</v>
      </c>
      <c r="E50" s="5">
        <f t="shared" si="0"/>
        <v>0</v>
      </c>
      <c r="F50" s="17">
        <v>4</v>
      </c>
      <c r="G50" s="17">
        <v>1</v>
      </c>
      <c r="H50" s="6">
        <v>0</v>
      </c>
      <c r="J50" s="14" t="str">
        <f t="shared" si="1"/>
        <v>[24, 'M5', 11, 0, 4, 1,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9</v>
      </c>
      <c r="E52" s="5">
        <f t="shared" si="0"/>
        <v>9</v>
      </c>
      <c r="F52" s="17">
        <v>0</v>
      </c>
      <c r="G52" s="17">
        <v>0</v>
      </c>
      <c r="H52" s="6">
        <v>0</v>
      </c>
      <c r="J52" s="14" t="str">
        <f t="shared" si="1"/>
        <v>[31, 'K', 9, 9, 0, 0, 0],</v>
      </c>
    </row>
    <row r="53" spans="1:10" x14ac:dyDescent="0.3">
      <c r="A53" s="3"/>
      <c r="B53" s="11">
        <v>32</v>
      </c>
      <c r="C53" s="11" t="s">
        <v>11</v>
      </c>
      <c r="D53" s="6">
        <v>8</v>
      </c>
      <c r="E53" s="5">
        <f t="shared" si="0"/>
        <v>8</v>
      </c>
      <c r="F53" s="17">
        <v>0</v>
      </c>
      <c r="G53" s="17">
        <v>0</v>
      </c>
      <c r="H53" s="6">
        <v>0</v>
      </c>
      <c r="J53" s="14" t="str">
        <f t="shared" si="1"/>
        <v>[32, 'Q', 8, 8, 0, 0, 0],</v>
      </c>
    </row>
    <row r="54" spans="1:10" x14ac:dyDescent="0.3">
      <c r="A54" s="3"/>
      <c r="B54" s="11">
        <v>33</v>
      </c>
      <c r="C54" s="11" t="s">
        <v>12</v>
      </c>
      <c r="D54" s="6">
        <v>9</v>
      </c>
      <c r="E54" s="5">
        <f t="shared" si="0"/>
        <v>9</v>
      </c>
      <c r="F54" s="17">
        <v>0</v>
      </c>
      <c r="G54" s="17">
        <v>0</v>
      </c>
      <c r="H54" s="6">
        <v>0</v>
      </c>
      <c r="J54" s="14" t="str">
        <f t="shared" si="1"/>
        <v>[33, 'J', 9, 9, 0, 0, 0],</v>
      </c>
    </row>
    <row r="55" spans="1:10" x14ac:dyDescent="0.3">
      <c r="A55" s="3"/>
      <c r="B55" s="11">
        <v>34</v>
      </c>
      <c r="C55" s="11" t="s">
        <v>13</v>
      </c>
      <c r="D55" s="6">
        <v>6</v>
      </c>
      <c r="E55" s="5">
        <f t="shared" si="0"/>
        <v>6</v>
      </c>
      <c r="F55" s="17">
        <v>0</v>
      </c>
      <c r="G55" s="17">
        <v>0</v>
      </c>
      <c r="H55" s="6">
        <v>0</v>
      </c>
      <c r="J55" s="14" t="str">
        <f t="shared" si="1"/>
        <v>[34, 'TE', 6, 6,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1</v>
      </c>
      <c r="E61" s="5">
        <f t="shared" si="2"/>
        <v>1</v>
      </c>
      <c r="F61" s="17">
        <v>0</v>
      </c>
      <c r="G61" s="17">
        <v>0</v>
      </c>
      <c r="H61" s="6">
        <v>0</v>
      </c>
      <c r="J61" s="14" t="str">
        <f t="shared" si="3"/>
        <v>[10, 'C1', 1, 1, 0, 0, 0],</v>
      </c>
    </row>
    <row r="62" spans="1:10" x14ac:dyDescent="0.3">
      <c r="A62" s="3"/>
      <c r="B62" s="11">
        <v>11</v>
      </c>
      <c r="C62" s="11" t="s">
        <v>2</v>
      </c>
      <c r="D62" s="6">
        <v>0</v>
      </c>
      <c r="E62" s="5">
        <f t="shared" si="2"/>
        <v>0</v>
      </c>
      <c r="F62" s="17">
        <v>0</v>
      </c>
      <c r="G62" s="17">
        <v>0</v>
      </c>
      <c r="H62" s="6">
        <v>0</v>
      </c>
      <c r="J62" s="14" t="str">
        <f t="shared" si="3"/>
        <v>[11, 'C2', 0, 0, 0, 0, 0],</v>
      </c>
    </row>
    <row r="63" spans="1:10" x14ac:dyDescent="0.3">
      <c r="A63" s="3"/>
      <c r="B63" s="11">
        <v>12</v>
      </c>
      <c r="C63" s="11" t="s">
        <v>3</v>
      </c>
      <c r="D63" s="6">
        <v>14</v>
      </c>
      <c r="E63" s="5">
        <f t="shared" si="2"/>
        <v>14</v>
      </c>
      <c r="F63" s="17">
        <v>0</v>
      </c>
      <c r="G63" s="17">
        <v>0</v>
      </c>
      <c r="H63" s="6">
        <v>0</v>
      </c>
      <c r="J63" s="14" t="str">
        <f t="shared" si="3"/>
        <v>[12, 'C3', 14, 14, 0, 0, 0],</v>
      </c>
    </row>
    <row r="64" spans="1:10" x14ac:dyDescent="0.3">
      <c r="A64" s="3"/>
      <c r="B64" s="11">
        <v>20</v>
      </c>
      <c r="C64" s="11" t="s">
        <v>4</v>
      </c>
      <c r="D64" s="6">
        <v>17</v>
      </c>
      <c r="E64" s="5">
        <f t="shared" si="2"/>
        <v>0</v>
      </c>
      <c r="F64" s="17">
        <v>4</v>
      </c>
      <c r="G64" s="17">
        <v>3</v>
      </c>
      <c r="H64" s="6">
        <v>0</v>
      </c>
      <c r="J64" s="14" t="str">
        <f t="shared" si="3"/>
        <v>[20, 'M1', 17, 0, 4, 3, 0],</v>
      </c>
    </row>
    <row r="65" spans="1:10" x14ac:dyDescent="0.3">
      <c r="A65" s="3"/>
      <c r="B65" s="11">
        <v>21</v>
      </c>
      <c r="C65" s="11" t="s">
        <v>5</v>
      </c>
      <c r="D65" s="6">
        <v>30</v>
      </c>
      <c r="E65" s="5">
        <f t="shared" si="2"/>
        <v>0</v>
      </c>
      <c r="F65" s="17">
        <v>9</v>
      </c>
      <c r="G65" s="17">
        <v>4</v>
      </c>
      <c r="H65" s="6">
        <v>0</v>
      </c>
      <c r="J65" s="14" t="str">
        <f t="shared" si="3"/>
        <v>[21, 'M2', 30, 0, 9, 4,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14</v>
      </c>
      <c r="E73" s="5">
        <f t="shared" si="2"/>
        <v>14</v>
      </c>
      <c r="F73" s="17">
        <v>0</v>
      </c>
      <c r="G73" s="17">
        <v>0</v>
      </c>
      <c r="H73" s="6">
        <v>0</v>
      </c>
      <c r="J73" s="14" t="str">
        <f t="shared" si="3"/>
        <v>[34, 'TE', 14, 14,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1</v>
      </c>
      <c r="E79" s="5">
        <f t="shared" si="4"/>
        <v>1</v>
      </c>
      <c r="F79" s="17">
        <v>0</v>
      </c>
      <c r="G79" s="17">
        <v>0</v>
      </c>
      <c r="H79" s="6">
        <v>0</v>
      </c>
      <c r="J79" s="14" t="str">
        <f t="shared" si="5"/>
        <v>[10, 'C1', 1, 1, 0, 0, 0],</v>
      </c>
    </row>
    <row r="80" spans="1:10" x14ac:dyDescent="0.3">
      <c r="A80" s="3"/>
      <c r="B80" s="11">
        <v>11</v>
      </c>
      <c r="C80" s="11" t="s">
        <v>2</v>
      </c>
      <c r="D80" s="6">
        <v>0</v>
      </c>
      <c r="E80" s="5">
        <f t="shared" si="4"/>
        <v>0</v>
      </c>
      <c r="F80" s="17">
        <v>0</v>
      </c>
      <c r="G80" s="17">
        <v>0</v>
      </c>
      <c r="H80" s="6">
        <v>0</v>
      </c>
      <c r="J80" s="14" t="str">
        <f t="shared" si="5"/>
        <v>[11, 'C2', 0, 0, 0, 0, 0],</v>
      </c>
    </row>
    <row r="81" spans="1:10" x14ac:dyDescent="0.3">
      <c r="A81" s="3"/>
      <c r="B81" s="11">
        <v>12</v>
      </c>
      <c r="C81" s="11" t="s">
        <v>3</v>
      </c>
      <c r="D81" s="6">
        <v>30</v>
      </c>
      <c r="E81" s="5">
        <f t="shared" si="4"/>
        <v>30</v>
      </c>
      <c r="F81" s="17">
        <v>0</v>
      </c>
      <c r="G81" s="17">
        <v>0</v>
      </c>
      <c r="H81" s="6">
        <v>0</v>
      </c>
      <c r="J81" s="14" t="str">
        <f t="shared" si="5"/>
        <v>[12, 'C3', 30, 30, 0, 0, 0],</v>
      </c>
    </row>
    <row r="82" spans="1:10" x14ac:dyDescent="0.3">
      <c r="A82" s="3"/>
      <c r="B82" s="11">
        <v>20</v>
      </c>
      <c r="C82" s="11" t="s">
        <v>4</v>
      </c>
      <c r="D82" s="6">
        <v>17</v>
      </c>
      <c r="E82" s="5">
        <f t="shared" si="4"/>
        <v>0</v>
      </c>
      <c r="F82" s="17">
        <v>4</v>
      </c>
      <c r="G82" s="17">
        <v>3</v>
      </c>
      <c r="H82" s="6">
        <v>0</v>
      </c>
      <c r="J82" s="14" t="str">
        <f t="shared" si="5"/>
        <v>[20, 'M1', 17, 0, 4, 3, 0],</v>
      </c>
    </row>
    <row r="83" spans="1:10" x14ac:dyDescent="0.3">
      <c r="A83" s="3"/>
      <c r="B83" s="11">
        <v>21</v>
      </c>
      <c r="C83" s="11" t="s">
        <v>5</v>
      </c>
      <c r="D83" s="6">
        <v>30</v>
      </c>
      <c r="E83" s="5">
        <f t="shared" si="4"/>
        <v>0</v>
      </c>
      <c r="F83" s="17">
        <v>9</v>
      </c>
      <c r="G83" s="17">
        <v>4</v>
      </c>
      <c r="H83" s="6">
        <v>0</v>
      </c>
      <c r="J83" s="14" t="str">
        <f t="shared" si="5"/>
        <v>[21, 'M2', 30, 0, 9, 4, 0],</v>
      </c>
    </row>
    <row r="84" spans="1:10" x14ac:dyDescent="0.3">
      <c r="A84" s="3"/>
      <c r="B84" s="11">
        <v>22</v>
      </c>
      <c r="C84" s="11" t="s">
        <v>6</v>
      </c>
      <c r="D84" s="6">
        <v>30</v>
      </c>
      <c r="E84" s="5">
        <f t="shared" si="4"/>
        <v>0</v>
      </c>
      <c r="F84" s="17">
        <v>9</v>
      </c>
      <c r="G84" s="17">
        <v>4</v>
      </c>
      <c r="H84" s="6">
        <v>0</v>
      </c>
      <c r="J84" s="14" t="str">
        <f t="shared" si="5"/>
        <v>[22, 'M3', 30, 0, 9, 4, 0],</v>
      </c>
    </row>
    <row r="85" spans="1:10" x14ac:dyDescent="0.3">
      <c r="A85" s="3"/>
      <c r="B85" s="11">
        <v>23</v>
      </c>
      <c r="C85" s="11" t="s">
        <v>7</v>
      </c>
      <c r="D85" s="6">
        <v>15</v>
      </c>
      <c r="E85" s="5">
        <f t="shared" si="4"/>
        <v>0</v>
      </c>
      <c r="F85" s="17">
        <v>3</v>
      </c>
      <c r="G85" s="17">
        <v>3</v>
      </c>
      <c r="H85" s="6">
        <v>0</v>
      </c>
      <c r="J85" s="14" t="str">
        <f t="shared" si="5"/>
        <v>[23, 'M4', 15, 0, 3, 3, 0],</v>
      </c>
    </row>
    <row r="86" spans="1:10" x14ac:dyDescent="0.3">
      <c r="A86" s="3"/>
      <c r="B86" s="11">
        <v>24</v>
      </c>
      <c r="C86" s="11" t="s">
        <v>8</v>
      </c>
      <c r="D86" s="6">
        <v>17</v>
      </c>
      <c r="E86" s="5">
        <f t="shared" si="4"/>
        <v>0</v>
      </c>
      <c r="F86" s="17">
        <v>4</v>
      </c>
      <c r="G86" s="17">
        <v>3</v>
      </c>
      <c r="H86" s="6">
        <v>0</v>
      </c>
      <c r="J86" s="14" t="str">
        <f t="shared" si="5"/>
        <v>[24, 'M5', 17, 0, 4, 3, 0],</v>
      </c>
    </row>
    <row r="87" spans="1:10" x14ac:dyDescent="0.3">
      <c r="A87" s="3"/>
      <c r="B87" s="11">
        <v>30</v>
      </c>
      <c r="C87" s="11" t="s">
        <v>9</v>
      </c>
      <c r="D87" s="6">
        <v>21</v>
      </c>
      <c r="E87" s="5">
        <f t="shared" si="4"/>
        <v>21</v>
      </c>
      <c r="F87" s="17">
        <v>0</v>
      </c>
      <c r="G87" s="17">
        <v>0</v>
      </c>
      <c r="H87" s="6">
        <v>0</v>
      </c>
      <c r="J87" s="14" t="str">
        <f t="shared" si="5"/>
        <v>[30, 'A', 21, 21, 0, 0, 0],</v>
      </c>
    </row>
    <row r="88" spans="1:10" x14ac:dyDescent="0.3">
      <c r="A88" s="3"/>
      <c r="B88" s="11">
        <v>31</v>
      </c>
      <c r="C88" s="11" t="s">
        <v>10</v>
      </c>
      <c r="D88" s="6">
        <v>17</v>
      </c>
      <c r="E88" s="5">
        <f t="shared" si="4"/>
        <v>17</v>
      </c>
      <c r="F88" s="17">
        <v>0</v>
      </c>
      <c r="G88" s="17">
        <v>0</v>
      </c>
      <c r="H88" s="6">
        <v>0</v>
      </c>
      <c r="J88" s="14" t="str">
        <f t="shared" si="5"/>
        <v>[31, 'K', 17, 17, 0, 0, 0],</v>
      </c>
    </row>
    <row r="89" spans="1:10" x14ac:dyDescent="0.3">
      <c r="A89" s="3"/>
      <c r="B89" s="11">
        <v>32</v>
      </c>
      <c r="C89" s="11" t="s">
        <v>11</v>
      </c>
      <c r="D89" s="6">
        <v>21</v>
      </c>
      <c r="E89" s="5">
        <f t="shared" si="4"/>
        <v>21</v>
      </c>
      <c r="F89" s="17">
        <v>0</v>
      </c>
      <c r="G89" s="17">
        <v>0</v>
      </c>
      <c r="H89" s="6">
        <v>0</v>
      </c>
      <c r="J89" s="14" t="str">
        <f t="shared" si="5"/>
        <v>[32, 'Q', 21, 21, 0, 0, 0],</v>
      </c>
    </row>
    <row r="90" spans="1:10" x14ac:dyDescent="0.3">
      <c r="A90" s="3"/>
      <c r="B90" s="11">
        <v>33</v>
      </c>
      <c r="C90" s="11" t="s">
        <v>12</v>
      </c>
      <c r="D90" s="6">
        <v>23</v>
      </c>
      <c r="E90" s="5">
        <f t="shared" si="4"/>
        <v>23</v>
      </c>
      <c r="F90" s="17">
        <v>0</v>
      </c>
      <c r="G90" s="17">
        <v>0</v>
      </c>
      <c r="H90" s="6">
        <v>0</v>
      </c>
      <c r="J90" s="14" t="str">
        <f t="shared" si="5"/>
        <v>[33, 'J', 23, 23, 0, 0, 0],</v>
      </c>
    </row>
    <row r="91" spans="1:10" x14ac:dyDescent="0.3">
      <c r="A91" s="3"/>
      <c r="B91" s="11">
        <v>34</v>
      </c>
      <c r="C91" s="11" t="s">
        <v>13</v>
      </c>
      <c r="D91" s="6">
        <v>22</v>
      </c>
      <c r="E91" s="5">
        <f t="shared" si="4"/>
        <v>22</v>
      </c>
      <c r="F91" s="17">
        <v>0</v>
      </c>
      <c r="G91" s="17">
        <v>0</v>
      </c>
      <c r="H91" s="6">
        <v>0</v>
      </c>
      <c r="J91" s="14" t="str">
        <f t="shared" si="5"/>
        <v>[34, 'TE', 22, 22,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1</v>
      </c>
      <c r="E97" s="5">
        <f t="shared" si="6"/>
        <v>1</v>
      </c>
      <c r="F97" s="17">
        <v>0</v>
      </c>
      <c r="G97" s="17">
        <v>0</v>
      </c>
      <c r="H97" s="6">
        <v>0</v>
      </c>
      <c r="J97" s="14" t="str">
        <f t="shared" si="7"/>
        <v>[10, 'C1', 1, 1, 0, 0, 0],</v>
      </c>
    </row>
    <row r="98" spans="1:10" x14ac:dyDescent="0.3">
      <c r="A98" s="3"/>
      <c r="B98" s="11">
        <v>11</v>
      </c>
      <c r="C98" s="11" t="s">
        <v>2</v>
      </c>
      <c r="D98" s="6">
        <v>0</v>
      </c>
      <c r="E98" s="5">
        <f t="shared" si="6"/>
        <v>0</v>
      </c>
      <c r="F98" s="17">
        <v>0</v>
      </c>
      <c r="G98" s="17">
        <v>0</v>
      </c>
      <c r="H98" s="6">
        <v>0</v>
      </c>
      <c r="J98" s="14" t="str">
        <f t="shared" si="7"/>
        <v>[11, 'C2', 0, 0, 0, 0, 0],</v>
      </c>
    </row>
    <row r="99" spans="1:10" x14ac:dyDescent="0.3">
      <c r="A99" s="3"/>
      <c r="B99" s="11">
        <v>12</v>
      </c>
      <c r="C99" s="11" t="s">
        <v>3</v>
      </c>
      <c r="D99" s="6">
        <v>14</v>
      </c>
      <c r="E99" s="5">
        <f t="shared" si="6"/>
        <v>14</v>
      </c>
      <c r="F99" s="17">
        <v>0</v>
      </c>
      <c r="G99" s="17">
        <v>0</v>
      </c>
      <c r="H99" s="6">
        <v>0</v>
      </c>
      <c r="J99" s="14" t="str">
        <f t="shared" si="7"/>
        <v>[12, 'C3', 14, 14, 0, 0, 0],</v>
      </c>
    </row>
    <row r="100" spans="1:10" x14ac:dyDescent="0.3">
      <c r="A100" s="3"/>
      <c r="B100" s="11">
        <v>20</v>
      </c>
      <c r="C100" s="11" t="s">
        <v>4</v>
      </c>
      <c r="D100" s="6">
        <v>13</v>
      </c>
      <c r="E100" s="5">
        <f t="shared" si="6"/>
        <v>0</v>
      </c>
      <c r="F100" s="17">
        <v>5</v>
      </c>
      <c r="G100" s="17">
        <v>1</v>
      </c>
      <c r="H100" s="6">
        <v>0</v>
      </c>
      <c r="J100" s="14" t="str">
        <f t="shared" si="7"/>
        <v>[20, 'M1', 13, 0, 5, 1, 0],</v>
      </c>
    </row>
    <row r="101" spans="1:10" x14ac:dyDescent="0.3">
      <c r="A101" s="3"/>
      <c r="B101" s="11">
        <v>21</v>
      </c>
      <c r="C101" s="11" t="s">
        <v>5</v>
      </c>
      <c r="D101" s="6">
        <v>23</v>
      </c>
      <c r="E101" s="5">
        <f t="shared" si="6"/>
        <v>0</v>
      </c>
      <c r="F101" s="17">
        <v>10</v>
      </c>
      <c r="G101" s="17">
        <v>1</v>
      </c>
      <c r="H101" s="6">
        <v>0</v>
      </c>
      <c r="J101" s="14" t="str">
        <f t="shared" si="7"/>
        <v>[21, 'M2', 23, 0, 10, 1, 0],</v>
      </c>
    </row>
    <row r="102" spans="1:10" x14ac:dyDescent="0.3">
      <c r="A102" s="3"/>
      <c r="B102" s="11">
        <v>22</v>
      </c>
      <c r="C102" s="11" t="s">
        <v>6</v>
      </c>
      <c r="D102" s="6">
        <v>23</v>
      </c>
      <c r="E102" s="5">
        <f t="shared" si="6"/>
        <v>0</v>
      </c>
      <c r="F102" s="17">
        <v>10</v>
      </c>
      <c r="G102" s="17">
        <v>1</v>
      </c>
      <c r="H102" s="6">
        <v>0</v>
      </c>
      <c r="J102" s="14" t="str">
        <f t="shared" si="7"/>
        <v>[22, 'M3', 23, 0, 10, 1, 0],</v>
      </c>
    </row>
    <row r="103" spans="1:10" x14ac:dyDescent="0.3">
      <c r="A103" s="3"/>
      <c r="B103" s="11">
        <v>23</v>
      </c>
      <c r="C103" s="11" t="s">
        <v>7</v>
      </c>
      <c r="D103" s="6">
        <v>22</v>
      </c>
      <c r="E103" s="5">
        <f t="shared" si="6"/>
        <v>0</v>
      </c>
      <c r="F103" s="17">
        <v>8</v>
      </c>
      <c r="G103" s="17">
        <v>2</v>
      </c>
      <c r="H103" s="6">
        <v>0</v>
      </c>
      <c r="J103" s="14" t="str">
        <f t="shared" si="7"/>
        <v>[23, 'M4', 22, 0, 8, 2, 0],</v>
      </c>
    </row>
    <row r="104" spans="1:10" x14ac:dyDescent="0.3">
      <c r="A104" s="3"/>
      <c r="B104" s="11">
        <v>24</v>
      </c>
      <c r="C104" s="11" t="s">
        <v>8</v>
      </c>
      <c r="D104" s="6">
        <v>22</v>
      </c>
      <c r="E104" s="5">
        <f t="shared" si="6"/>
        <v>0</v>
      </c>
      <c r="F104" s="17">
        <v>8</v>
      </c>
      <c r="G104" s="17">
        <v>2</v>
      </c>
      <c r="H104" s="6">
        <v>0</v>
      </c>
      <c r="J104" s="14" t="str">
        <f t="shared" si="7"/>
        <v>[24, 'M5', 22, 0, 8, 2, 0],</v>
      </c>
    </row>
    <row r="105" spans="1:10" x14ac:dyDescent="0.3">
      <c r="A105" s="3"/>
      <c r="B105" s="11">
        <v>30</v>
      </c>
      <c r="C105" s="11" t="s">
        <v>9</v>
      </c>
      <c r="D105" s="6">
        <v>14</v>
      </c>
      <c r="E105" s="5">
        <f t="shared" si="6"/>
        <v>14</v>
      </c>
      <c r="F105" s="17">
        <v>0</v>
      </c>
      <c r="G105" s="17">
        <v>0</v>
      </c>
      <c r="H105" s="6">
        <v>0</v>
      </c>
      <c r="J105" s="14" t="str">
        <f t="shared" si="7"/>
        <v>[30, 'A', 14, 14, 0, 0, 0],</v>
      </c>
    </row>
    <row r="106" spans="1:10" x14ac:dyDescent="0.3">
      <c r="A106" s="3"/>
      <c r="B106" s="11">
        <v>31</v>
      </c>
      <c r="C106" s="11" t="s">
        <v>10</v>
      </c>
      <c r="D106" s="6">
        <v>20</v>
      </c>
      <c r="E106" s="5">
        <f t="shared" si="6"/>
        <v>20</v>
      </c>
      <c r="F106" s="17">
        <v>0</v>
      </c>
      <c r="G106" s="17">
        <v>0</v>
      </c>
      <c r="H106" s="6">
        <v>0</v>
      </c>
      <c r="J106" s="14" t="str">
        <f t="shared" si="7"/>
        <v>[31, 'K', 20, 20, 0, 0, 0],</v>
      </c>
    </row>
    <row r="107" spans="1:10" x14ac:dyDescent="0.3">
      <c r="A107" s="3"/>
      <c r="B107" s="11">
        <v>32</v>
      </c>
      <c r="C107" s="11" t="s">
        <v>11</v>
      </c>
      <c r="D107" s="6">
        <v>14</v>
      </c>
      <c r="E107" s="5">
        <f t="shared" si="6"/>
        <v>14</v>
      </c>
      <c r="F107" s="17">
        <v>0</v>
      </c>
      <c r="G107" s="17">
        <v>0</v>
      </c>
      <c r="H107" s="6">
        <v>0</v>
      </c>
      <c r="J107" s="14" t="str">
        <f t="shared" si="7"/>
        <v>[32, 'Q', 14, 14, 0, 0, 0],</v>
      </c>
    </row>
    <row r="108" spans="1:10" x14ac:dyDescent="0.3">
      <c r="A108" s="3"/>
      <c r="B108" s="11">
        <v>33</v>
      </c>
      <c r="C108" s="11" t="s">
        <v>12</v>
      </c>
      <c r="D108" s="6">
        <v>22</v>
      </c>
      <c r="E108" s="5">
        <f t="shared" si="6"/>
        <v>22</v>
      </c>
      <c r="F108" s="17">
        <v>0</v>
      </c>
      <c r="G108" s="17">
        <v>0</v>
      </c>
      <c r="H108" s="6">
        <v>0</v>
      </c>
      <c r="J108" s="14" t="str">
        <f t="shared" si="7"/>
        <v>[33, 'J', 22, 22, 0, 0, 0],</v>
      </c>
    </row>
    <row r="109" spans="1:10" x14ac:dyDescent="0.3">
      <c r="A109" s="3"/>
      <c r="B109" s="11">
        <v>34</v>
      </c>
      <c r="C109" s="11" t="s">
        <v>13</v>
      </c>
      <c r="D109" s="6">
        <v>9</v>
      </c>
      <c r="E109" s="5">
        <f t="shared" si="6"/>
        <v>9</v>
      </c>
      <c r="F109" s="17">
        <v>0</v>
      </c>
      <c r="G109" s="17">
        <v>0</v>
      </c>
      <c r="H109" s="6">
        <v>0</v>
      </c>
      <c r="J109" s="14" t="str">
        <f t="shared" si="7"/>
        <v>[34, 'TE', 9, 9,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1</v>
      </c>
      <c r="E115" s="5">
        <f t="shared" si="8"/>
        <v>1</v>
      </c>
      <c r="F115" s="17">
        <v>0</v>
      </c>
      <c r="G115" s="17">
        <v>0</v>
      </c>
      <c r="H115" s="6">
        <v>0</v>
      </c>
      <c r="J115" s="14" t="str">
        <f t="shared" si="9"/>
        <v>[10, 'C1', 1, 1,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11</v>
      </c>
      <c r="E117" s="5">
        <f t="shared" si="8"/>
        <v>11</v>
      </c>
      <c r="F117" s="17">
        <v>0</v>
      </c>
      <c r="G117" s="17">
        <v>0</v>
      </c>
      <c r="H117" s="6">
        <v>0</v>
      </c>
      <c r="J117" s="14" t="str">
        <f t="shared" si="9"/>
        <v>[12, 'C3', 11, 11, 0, 0, 0],</v>
      </c>
    </row>
    <row r="118" spans="1:10" x14ac:dyDescent="0.3">
      <c r="A118" s="3"/>
      <c r="B118" s="11">
        <v>20</v>
      </c>
      <c r="C118" s="11" t="s">
        <v>4</v>
      </c>
      <c r="D118" s="6">
        <v>10</v>
      </c>
      <c r="E118" s="5">
        <f t="shared" si="8"/>
        <v>0</v>
      </c>
      <c r="F118" s="17">
        <v>2</v>
      </c>
      <c r="G118" s="17">
        <v>2</v>
      </c>
      <c r="H118" s="6">
        <v>0</v>
      </c>
      <c r="J118" s="14" t="str">
        <f t="shared" si="9"/>
        <v>[20, 'M1', 10, 0, 2, 2, 0],</v>
      </c>
    </row>
    <row r="119" spans="1:10" x14ac:dyDescent="0.3">
      <c r="A119" s="3"/>
      <c r="B119" s="11">
        <v>21</v>
      </c>
      <c r="C119" s="11" t="s">
        <v>5</v>
      </c>
      <c r="D119" s="6">
        <v>14</v>
      </c>
      <c r="E119" s="5">
        <f t="shared" si="8"/>
        <v>0</v>
      </c>
      <c r="F119" s="17">
        <v>4</v>
      </c>
      <c r="G119" s="17">
        <v>2</v>
      </c>
      <c r="H119" s="6">
        <v>0</v>
      </c>
      <c r="J119" s="14" t="str">
        <f t="shared" si="9"/>
        <v>[21, 'M2', 14, 0, 4, 2, 0],</v>
      </c>
    </row>
    <row r="120" spans="1:10" x14ac:dyDescent="0.3">
      <c r="A120" s="3"/>
      <c r="B120" s="11">
        <v>22</v>
      </c>
      <c r="C120" s="11" t="s">
        <v>6</v>
      </c>
      <c r="D120" s="6">
        <v>14</v>
      </c>
      <c r="E120" s="5">
        <f t="shared" si="8"/>
        <v>0</v>
      </c>
      <c r="F120" s="17">
        <v>4</v>
      </c>
      <c r="G120" s="17">
        <v>2</v>
      </c>
      <c r="H120" s="6">
        <v>0</v>
      </c>
      <c r="J120" s="14" t="str">
        <f t="shared" si="9"/>
        <v>[22, 'M3', 14, 0, 4, 2, 0],</v>
      </c>
    </row>
    <row r="121" spans="1:10" x14ac:dyDescent="0.3">
      <c r="A121" s="3"/>
      <c r="B121" s="11">
        <v>23</v>
      </c>
      <c r="C121" s="11" t="s">
        <v>7</v>
      </c>
      <c r="D121" s="6">
        <v>14</v>
      </c>
      <c r="E121" s="5">
        <f t="shared" si="8"/>
        <v>0</v>
      </c>
      <c r="F121" s="17">
        <v>4</v>
      </c>
      <c r="G121" s="17">
        <v>2</v>
      </c>
      <c r="H121" s="6">
        <v>0</v>
      </c>
      <c r="J121" s="14" t="str">
        <f t="shared" si="9"/>
        <v>[23, 'M4', 14, 0, 4, 2, 0],</v>
      </c>
    </row>
    <row r="122" spans="1:10" x14ac:dyDescent="0.3">
      <c r="A122" s="3"/>
      <c r="B122" s="11">
        <v>24</v>
      </c>
      <c r="C122" s="11" t="s">
        <v>8</v>
      </c>
      <c r="D122" s="6">
        <v>16</v>
      </c>
      <c r="E122" s="5">
        <f t="shared" si="8"/>
        <v>0</v>
      </c>
      <c r="F122" s="17">
        <v>5</v>
      </c>
      <c r="G122" s="17">
        <v>2</v>
      </c>
      <c r="H122" s="6">
        <v>0</v>
      </c>
      <c r="J122" s="14" t="str">
        <f t="shared" si="9"/>
        <v>[24, 'M5', 16, 0, 5, 2, 0],</v>
      </c>
    </row>
    <row r="123" spans="1:10" x14ac:dyDescent="0.3">
      <c r="A123" s="3"/>
      <c r="B123" s="11">
        <v>30</v>
      </c>
      <c r="C123" s="11" t="s">
        <v>9</v>
      </c>
      <c r="D123" s="6">
        <v>8</v>
      </c>
      <c r="E123" s="5">
        <f t="shared" si="8"/>
        <v>8</v>
      </c>
      <c r="F123" s="17">
        <v>0</v>
      </c>
      <c r="G123" s="17">
        <v>0</v>
      </c>
      <c r="H123" s="6">
        <v>0</v>
      </c>
      <c r="J123" s="14" t="str">
        <f t="shared" si="9"/>
        <v>[30, 'A', 8, 8, 0, 0, 0],</v>
      </c>
    </row>
    <row r="124" spans="1:10" x14ac:dyDescent="0.3">
      <c r="A124" s="3"/>
      <c r="B124" s="11">
        <v>31</v>
      </c>
      <c r="C124" s="11" t="s">
        <v>10</v>
      </c>
      <c r="D124" s="6">
        <v>11</v>
      </c>
      <c r="E124" s="5">
        <f t="shared" si="8"/>
        <v>11</v>
      </c>
      <c r="F124" s="17">
        <v>0</v>
      </c>
      <c r="G124" s="17">
        <v>0</v>
      </c>
      <c r="H124" s="6">
        <v>0</v>
      </c>
      <c r="J124" s="14" t="str">
        <f t="shared" si="9"/>
        <v>[31, 'K', 11, 11, 0, 0, 0],</v>
      </c>
    </row>
    <row r="125" spans="1:10" x14ac:dyDescent="0.3">
      <c r="A125" s="3"/>
      <c r="B125" s="11">
        <v>32</v>
      </c>
      <c r="C125" s="11" t="s">
        <v>11</v>
      </c>
      <c r="D125" s="6">
        <v>8</v>
      </c>
      <c r="E125" s="5">
        <f t="shared" si="8"/>
        <v>8</v>
      </c>
      <c r="F125" s="17">
        <v>0</v>
      </c>
      <c r="G125" s="17">
        <v>0</v>
      </c>
      <c r="H125" s="6">
        <v>0</v>
      </c>
      <c r="J125" s="14" t="str">
        <f t="shared" si="9"/>
        <v>[32, 'Q', 8, 8, 0, 0, 0],</v>
      </c>
    </row>
    <row r="126" spans="1:10" x14ac:dyDescent="0.3">
      <c r="A126" s="3"/>
      <c r="B126" s="11">
        <v>33</v>
      </c>
      <c r="C126" s="11" t="s">
        <v>12</v>
      </c>
      <c r="D126" s="6">
        <v>11</v>
      </c>
      <c r="E126" s="5">
        <f t="shared" si="8"/>
        <v>11</v>
      </c>
      <c r="F126" s="17">
        <v>0</v>
      </c>
      <c r="G126" s="17">
        <v>0</v>
      </c>
      <c r="H126" s="6">
        <v>0</v>
      </c>
      <c r="J126" s="14" t="str">
        <f t="shared" si="9"/>
        <v>[33, 'J', 11, 11, 0, 0, 0],</v>
      </c>
    </row>
    <row r="127" spans="1:10" x14ac:dyDescent="0.3">
      <c r="A127" s="3"/>
      <c r="B127" s="11">
        <v>34</v>
      </c>
      <c r="C127" s="11" t="s">
        <v>13</v>
      </c>
      <c r="D127" s="6">
        <v>9</v>
      </c>
      <c r="E127" s="5">
        <f t="shared" si="8"/>
        <v>9</v>
      </c>
      <c r="F127" s="17">
        <v>0</v>
      </c>
      <c r="G127" s="17">
        <v>0</v>
      </c>
      <c r="H127" s="6">
        <v>0</v>
      </c>
      <c r="J127" s="14" t="str">
        <f t="shared" si="9"/>
        <v>[34, 'TE', 9, 9,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Q110:R127 T42:T55 L58 P95:Q109 N58:O58 K77:L91 Q58:R58 K95:L95 Q76:R76 J92:L92 K111:P111 R109 P110 N112:P112 N96:O110 J60:J73 J78:J91 J96:L110 J114:J127 A3:A7 Y7:Z10 X12:Z12 A8:L8 A128:R142 A39:I39 A9:G10 H10:R10 S3:Z6 S11:Z11 A40:Y40 B1:Z1 A2:Z2 M21:R21 S7:S10 A143:Z1048576 A22:R38 S13:Z38 K39:Z39 A41:E127 H9 J9:R9 H20:R20 M11:R19 A20:G21 A11:A19 H58:I127 H42:L56 H57:R57 H41:I41">
    <cfRule type="cellIs" dxfId="123" priority="26" operator="equal">
      <formula>0</formula>
    </cfRule>
  </conditionalFormatting>
  <conditionalFormatting sqref="J74">
    <cfRule type="cellIs" dxfId="122" priority="25" operator="equal">
      <formula>0</formula>
    </cfRule>
  </conditionalFormatting>
  <conditionalFormatting sqref="E41:E127">
    <cfRule type="cellIs" dxfId="121" priority="24" operator="lessThan">
      <formula>0</formula>
    </cfRule>
  </conditionalFormatting>
  <conditionalFormatting sqref="T7:X10">
    <cfRule type="cellIs" dxfId="120" priority="23" operator="equal">
      <formula>0</formula>
    </cfRule>
  </conditionalFormatting>
  <conditionalFormatting sqref="B20:F20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{D98B6475-5012-400B-B2D0-5FA7767FFFCC}</x14:id>
        </ext>
      </extLst>
    </cfRule>
  </conditionalFormatting>
  <conditionalFormatting sqref="H5:L5">
    <cfRule type="cellIs" dxfId="119" priority="21" operator="equal">
      <formula>0</formula>
    </cfRule>
  </conditionalFormatting>
  <conditionalFormatting sqref="P8:Q8 M8:N8">
    <cfRule type="cellIs" dxfId="118" priority="20" operator="equal">
      <formula>0</formula>
    </cfRule>
  </conditionalFormatting>
  <conditionalFormatting sqref="B3:F7">
    <cfRule type="cellIs" dxfId="117" priority="18" operator="equal">
      <formula>0</formula>
    </cfRule>
  </conditionalFormatting>
  <conditionalFormatting sqref="I9">
    <cfRule type="cellIs" dxfId="116" priority="12" operator="equal">
      <formula>0</formula>
    </cfRule>
  </conditionalFormatting>
  <conditionalFormatting sqref="H6:L6">
    <cfRule type="cellIs" dxfId="115" priority="11" operator="equal">
      <formula>0</formula>
    </cfRule>
  </conditionalFormatting>
  <conditionalFormatting sqref="H4:L4">
    <cfRule type="cellIs" dxfId="114" priority="10" operator="equal">
      <formula>0</formula>
    </cfRule>
  </conditionalFormatting>
  <conditionalFormatting sqref="B11:L15 B16:K19">
    <cfRule type="cellIs" dxfId="113" priority="9" operator="equal">
      <formula>0</formula>
    </cfRule>
  </conditionalFormatting>
  <conditionalFormatting sqref="B11:F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{861F0FBF-5EA8-432F-94A6-F6B2E4A74D2D}</x14:id>
        </ext>
      </extLst>
    </cfRule>
  </conditionalFormatting>
  <conditionalFormatting sqref="L16:L19">
    <cfRule type="cellIs" dxfId="112" priority="7" operator="equal">
      <formula>0</formula>
    </cfRule>
  </conditionalFormatting>
  <conditionalFormatting sqref="F41:G50 F56:G68 G51:G55 G69:G73 F92:G104 G87:G91 F110:G122 G105:G109 G123:G127 F74:G86">
    <cfRule type="cellIs" dxfId="111" priority="6" operator="equal">
      <formula>0</formula>
    </cfRule>
  </conditionalFormatting>
  <conditionalFormatting sqref="F105:F109">
    <cfRule type="cellIs" dxfId="110" priority="5" operator="equal">
      <formula>0</formula>
    </cfRule>
  </conditionalFormatting>
  <conditionalFormatting sqref="F123:F127">
    <cfRule type="cellIs" dxfId="109" priority="4" operator="equal">
      <formula>0</formula>
    </cfRule>
  </conditionalFormatting>
  <conditionalFormatting sqref="F87:F91">
    <cfRule type="cellIs" dxfId="108" priority="3" operator="equal">
      <formula>0</formula>
    </cfRule>
  </conditionalFormatting>
  <conditionalFormatting sqref="F69:F73">
    <cfRule type="cellIs" dxfId="107" priority="2" operator="equal">
      <formula>0</formula>
    </cfRule>
  </conditionalFormatting>
  <conditionalFormatting sqref="F51:F55">
    <cfRule type="cellIs" dxfId="106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8B6475-5012-400B-B2D0-5FA7767FFF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B20:F20</xm:sqref>
        </x14:conditionalFormatting>
        <x14:conditionalFormatting xmlns:xm="http://schemas.microsoft.com/office/excel/2006/main">
          <x14:cfRule type="dataBar" id="{861F0FBF-5EA8-432F-94A6-F6B2E4A74D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FADE-3875-4DD0-A34E-035100D55737}">
  <sheetPr codeName="工作表4"/>
  <dimension ref="A1:R128"/>
  <sheetViews>
    <sheetView topLeftCell="A56"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19" width="8.6640625" style="3"/>
    <col min="20" max="24" width="7" style="3" customWidth="1"/>
    <col min="25" max="30" width="8.6640625" style="3"/>
    <col min="31" max="31" width="8.6640625" style="3" customWidth="1"/>
    <col min="32" max="16384" width="8.6640625" style="3"/>
  </cols>
  <sheetData>
    <row r="1" spans="1:18" x14ac:dyDescent="0.3">
      <c r="A1" s="1" t="s">
        <v>33</v>
      </c>
      <c r="B1" s="1">
        <v>7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1</v>
      </c>
      <c r="C4" s="21">
        <v>2</v>
      </c>
      <c r="D4" s="21">
        <v>1</v>
      </c>
      <c r="E4" s="21">
        <v>2</v>
      </c>
      <c r="F4" s="21">
        <v>1</v>
      </c>
      <c r="H4" s="17">
        <v>1</v>
      </c>
      <c r="I4" s="17">
        <v>2</v>
      </c>
      <c r="J4" s="17">
        <v>1</v>
      </c>
      <c r="K4" s="17">
        <v>2</v>
      </c>
      <c r="L4" s="17">
        <v>1</v>
      </c>
      <c r="N4" s="6">
        <v>1</v>
      </c>
      <c r="O4" s="6">
        <v>2</v>
      </c>
      <c r="P4" s="6">
        <v>1</v>
      </c>
      <c r="Q4" s="6">
        <v>2</v>
      </c>
      <c r="R4" s="6">
        <v>1</v>
      </c>
    </row>
    <row r="5" spans="1:18" x14ac:dyDescent="0.3">
      <c r="A5" s="1" t="s">
        <v>2</v>
      </c>
      <c r="B5" s="8">
        <v>0</v>
      </c>
      <c r="C5" s="8">
        <v>6</v>
      </c>
      <c r="D5" s="8">
        <v>0</v>
      </c>
      <c r="E5" s="8">
        <v>0</v>
      </c>
      <c r="F5" s="8">
        <v>0</v>
      </c>
      <c r="H5" s="17">
        <v>0</v>
      </c>
      <c r="I5" s="17">
        <v>6</v>
      </c>
      <c r="J5" s="17">
        <v>0</v>
      </c>
      <c r="K5" s="17">
        <v>0</v>
      </c>
      <c r="L5" s="17">
        <v>0</v>
      </c>
      <c r="N5" s="6">
        <v>0</v>
      </c>
      <c r="O5" s="6">
        <v>6</v>
      </c>
      <c r="P5" s="6">
        <v>0</v>
      </c>
      <c r="Q5" s="6">
        <v>0</v>
      </c>
      <c r="R5" s="6">
        <v>0</v>
      </c>
    </row>
    <row r="6" spans="1:18" x14ac:dyDescent="0.3">
      <c r="A6" s="1" t="s">
        <v>3</v>
      </c>
      <c r="B6" s="8">
        <v>5</v>
      </c>
      <c r="C6" s="8">
        <v>10</v>
      </c>
      <c r="D6" s="8">
        <v>28</v>
      </c>
      <c r="E6" s="8">
        <v>7</v>
      </c>
      <c r="F6" s="8">
        <v>8</v>
      </c>
      <c r="H6" s="17">
        <v>5</v>
      </c>
      <c r="I6" s="17">
        <v>10</v>
      </c>
      <c r="J6" s="17">
        <v>28</v>
      </c>
      <c r="K6" s="17">
        <v>7</v>
      </c>
      <c r="L6" s="17">
        <v>8</v>
      </c>
      <c r="N6" s="6">
        <v>5</v>
      </c>
      <c r="O6" s="6">
        <v>10</v>
      </c>
      <c r="P6" s="6">
        <v>28</v>
      </c>
      <c r="Q6" s="6">
        <v>7</v>
      </c>
      <c r="R6" s="6">
        <v>8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94</v>
      </c>
      <c r="C8" s="3">
        <v>202</v>
      </c>
      <c r="D8" s="3">
        <v>221</v>
      </c>
      <c r="E8" s="3">
        <v>191</v>
      </c>
      <c r="F8" s="3">
        <v>121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19"/>
      <c r="I20" s="19"/>
      <c r="J20" s="19"/>
      <c r="K20" s="19"/>
      <c r="L20" s="19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1</v>
      </c>
      <c r="C24" s="8">
        <v>2</v>
      </c>
      <c r="D24" s="8">
        <v>1</v>
      </c>
      <c r="E24" s="8">
        <v>2</v>
      </c>
      <c r="F24" s="8">
        <v>1</v>
      </c>
    </row>
    <row r="25" spans="1:12" x14ac:dyDescent="0.3">
      <c r="A25" s="1" t="s">
        <v>2</v>
      </c>
      <c r="B25" s="8">
        <v>0</v>
      </c>
      <c r="C25" s="7">
        <v>6</v>
      </c>
      <c r="D25" s="7">
        <v>0</v>
      </c>
      <c r="E25" s="7">
        <v>0</v>
      </c>
      <c r="F25" s="8">
        <v>0</v>
      </c>
    </row>
    <row r="26" spans="1:12" x14ac:dyDescent="0.3">
      <c r="A26" s="1" t="s">
        <v>3</v>
      </c>
      <c r="B26" s="8">
        <v>5</v>
      </c>
      <c r="C26" s="8">
        <v>10</v>
      </c>
      <c r="D26" s="8">
        <v>28</v>
      </c>
      <c r="E26" s="8">
        <v>7</v>
      </c>
      <c r="F26" s="8">
        <v>8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17</v>
      </c>
      <c r="D27" s="8">
        <v>17</v>
      </c>
      <c r="E27" s="8">
        <v>14</v>
      </c>
      <c r="F27" s="8">
        <v>11</v>
      </c>
    </row>
    <row r="28" spans="1:12" x14ac:dyDescent="0.3">
      <c r="A28" s="1" t="s">
        <v>5</v>
      </c>
      <c r="B28" s="8">
        <v>8</v>
      </c>
      <c r="C28" s="8">
        <v>29</v>
      </c>
      <c r="D28" s="8">
        <v>30</v>
      </c>
      <c r="E28" s="8">
        <v>24</v>
      </c>
      <c r="F28" s="8">
        <v>14</v>
      </c>
    </row>
    <row r="29" spans="1:12" x14ac:dyDescent="0.3">
      <c r="A29" s="1" t="s">
        <v>6</v>
      </c>
      <c r="B29" s="8">
        <v>14</v>
      </c>
      <c r="C29" s="8">
        <v>22</v>
      </c>
      <c r="D29" s="8">
        <v>30</v>
      </c>
      <c r="E29" s="8">
        <v>24</v>
      </c>
      <c r="F29" s="8">
        <v>14</v>
      </c>
    </row>
    <row r="30" spans="1:12" x14ac:dyDescent="0.3">
      <c r="A30" s="1" t="s">
        <v>7</v>
      </c>
      <c r="B30" s="8">
        <v>12</v>
      </c>
      <c r="C30" s="8">
        <v>22</v>
      </c>
      <c r="D30" s="8">
        <v>15</v>
      </c>
      <c r="E30" s="8">
        <v>22</v>
      </c>
      <c r="F30" s="8">
        <v>14</v>
      </c>
    </row>
    <row r="31" spans="1:12" x14ac:dyDescent="0.3">
      <c r="A31" s="1" t="s">
        <v>8</v>
      </c>
      <c r="B31" s="8">
        <v>12</v>
      </c>
      <c r="C31" s="8">
        <v>16</v>
      </c>
      <c r="D31" s="8">
        <v>17</v>
      </c>
      <c r="E31" s="8">
        <v>22</v>
      </c>
      <c r="F31" s="8">
        <v>16</v>
      </c>
    </row>
    <row r="32" spans="1:12" x14ac:dyDescent="0.3">
      <c r="A32" s="1" t="s">
        <v>9</v>
      </c>
      <c r="B32" s="8">
        <v>5</v>
      </c>
      <c r="C32" s="8">
        <v>24</v>
      </c>
      <c r="D32" s="8">
        <v>21</v>
      </c>
      <c r="E32" s="8">
        <v>15</v>
      </c>
      <c r="F32" s="8">
        <v>8</v>
      </c>
    </row>
    <row r="33" spans="1:10" x14ac:dyDescent="0.3">
      <c r="A33" s="1" t="s">
        <v>10</v>
      </c>
      <c r="B33" s="8">
        <v>10</v>
      </c>
      <c r="C33" s="8">
        <v>22</v>
      </c>
      <c r="D33" s="8">
        <v>17</v>
      </c>
      <c r="E33" s="8">
        <v>20</v>
      </c>
      <c r="F33" s="8">
        <v>12</v>
      </c>
    </row>
    <row r="34" spans="1:10" x14ac:dyDescent="0.3">
      <c r="A34" s="1" t="s">
        <v>11</v>
      </c>
      <c r="B34" s="8">
        <v>9</v>
      </c>
      <c r="C34" s="8">
        <v>16</v>
      </c>
      <c r="D34" s="8">
        <v>21</v>
      </c>
      <c r="E34" s="8">
        <v>15</v>
      </c>
      <c r="F34" s="8">
        <v>8</v>
      </c>
    </row>
    <row r="35" spans="1:10" x14ac:dyDescent="0.3">
      <c r="A35" s="1" t="s">
        <v>12</v>
      </c>
      <c r="B35" s="8">
        <v>10</v>
      </c>
      <c r="C35" s="8">
        <v>16</v>
      </c>
      <c r="D35" s="8">
        <v>24</v>
      </c>
      <c r="E35" s="8">
        <v>22</v>
      </c>
      <c r="F35" s="8">
        <v>12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8</v>
      </c>
      <c r="C36" s="8">
        <v>12</v>
      </c>
      <c r="D36" s="8">
        <v>23</v>
      </c>
      <c r="E36" s="8">
        <v>10</v>
      </c>
      <c r="F36" s="8">
        <v>9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1</v>
      </c>
      <c r="E43" s="5">
        <f t="shared" si="0"/>
        <v>1</v>
      </c>
      <c r="F43" s="17">
        <v>0</v>
      </c>
      <c r="G43" s="17">
        <v>0</v>
      </c>
      <c r="H43" s="6">
        <v>0</v>
      </c>
      <c r="J43" s="14" t="str">
        <f t="shared" si="1"/>
        <v>[10, 'C1', 1, 1,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5</v>
      </c>
      <c r="E45" s="5">
        <f t="shared" si="0"/>
        <v>5</v>
      </c>
      <c r="F45" s="17">
        <v>0</v>
      </c>
      <c r="G45" s="17">
        <v>0</v>
      </c>
      <c r="H45" s="6">
        <v>0</v>
      </c>
      <c r="J45" s="14" t="str">
        <f t="shared" si="1"/>
        <v>[12, 'C3', 5, 5,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14</v>
      </c>
      <c r="E48" s="5">
        <f t="shared" si="0"/>
        <v>0</v>
      </c>
      <c r="F48" s="17">
        <v>4</v>
      </c>
      <c r="G48" s="17">
        <v>2</v>
      </c>
      <c r="H48" s="6">
        <v>0</v>
      </c>
      <c r="J48" s="14" t="str">
        <f t="shared" si="1"/>
        <v>[22, 'M3', 14, 0, 4, 2, 0],</v>
      </c>
    </row>
    <row r="49" spans="1:10" x14ac:dyDescent="0.3">
      <c r="B49" s="11">
        <v>23</v>
      </c>
      <c r="C49" s="11" t="s">
        <v>7</v>
      </c>
      <c r="D49" s="6">
        <v>12</v>
      </c>
      <c r="E49" s="5">
        <f t="shared" si="0"/>
        <v>0</v>
      </c>
      <c r="F49" s="17">
        <v>3</v>
      </c>
      <c r="G49" s="17">
        <v>2</v>
      </c>
      <c r="H49" s="6">
        <v>0</v>
      </c>
      <c r="J49" s="14" t="str">
        <f t="shared" si="1"/>
        <v>[23, 'M4', 12, 0, 3, 2, 0],</v>
      </c>
    </row>
    <row r="50" spans="1:10" x14ac:dyDescent="0.3">
      <c r="A50" s="3"/>
      <c r="B50" s="11">
        <v>24</v>
      </c>
      <c r="C50" s="11" t="s">
        <v>8</v>
      </c>
      <c r="D50" s="6">
        <v>12</v>
      </c>
      <c r="E50" s="5">
        <f t="shared" si="0"/>
        <v>0</v>
      </c>
      <c r="F50" s="17">
        <v>3</v>
      </c>
      <c r="G50" s="17">
        <v>2</v>
      </c>
      <c r="H50" s="6">
        <v>0</v>
      </c>
      <c r="J50" s="14" t="str">
        <f t="shared" si="1"/>
        <v>[24, 'M5', 12, 0, 3, 2,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10</v>
      </c>
      <c r="E52" s="5">
        <f t="shared" si="0"/>
        <v>10</v>
      </c>
      <c r="F52" s="17">
        <v>0</v>
      </c>
      <c r="G52" s="17">
        <v>0</v>
      </c>
      <c r="H52" s="6">
        <v>0</v>
      </c>
      <c r="J52" s="14" t="str">
        <f t="shared" si="1"/>
        <v>[31, 'K', 10, 10, 0, 0, 0],</v>
      </c>
    </row>
    <row r="53" spans="1:10" x14ac:dyDescent="0.3">
      <c r="A53" s="3"/>
      <c r="B53" s="11">
        <v>32</v>
      </c>
      <c r="C53" s="11" t="s">
        <v>11</v>
      </c>
      <c r="D53" s="6">
        <v>9</v>
      </c>
      <c r="E53" s="5">
        <f t="shared" si="0"/>
        <v>9</v>
      </c>
      <c r="F53" s="17">
        <v>0</v>
      </c>
      <c r="G53" s="17">
        <v>0</v>
      </c>
      <c r="H53" s="6">
        <v>0</v>
      </c>
      <c r="J53" s="14" t="str">
        <f t="shared" si="1"/>
        <v>[32, 'Q', 9, 9, 0, 0, 0],</v>
      </c>
    </row>
    <row r="54" spans="1:10" x14ac:dyDescent="0.3">
      <c r="A54" s="3"/>
      <c r="B54" s="11">
        <v>33</v>
      </c>
      <c r="C54" s="11" t="s">
        <v>12</v>
      </c>
      <c r="D54" s="6">
        <v>10</v>
      </c>
      <c r="E54" s="5">
        <f t="shared" si="0"/>
        <v>10</v>
      </c>
      <c r="F54" s="17">
        <v>0</v>
      </c>
      <c r="G54" s="17">
        <v>0</v>
      </c>
      <c r="H54" s="6">
        <v>0</v>
      </c>
      <c r="J54" s="14" t="str">
        <f t="shared" si="1"/>
        <v>[33, 'J', 10, 10, 0, 0, 0],</v>
      </c>
    </row>
    <row r="55" spans="1:10" x14ac:dyDescent="0.3">
      <c r="A55" s="3"/>
      <c r="B55" s="11">
        <v>34</v>
      </c>
      <c r="C55" s="11" t="s">
        <v>13</v>
      </c>
      <c r="D55" s="6">
        <v>8</v>
      </c>
      <c r="E55" s="5">
        <f t="shared" si="0"/>
        <v>8</v>
      </c>
      <c r="F55" s="17">
        <v>0</v>
      </c>
      <c r="G55" s="17">
        <v>0</v>
      </c>
      <c r="H55" s="6">
        <v>0</v>
      </c>
      <c r="J55" s="14" t="str">
        <f t="shared" si="1"/>
        <v>[34, 'TE', 8, 8,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2</v>
      </c>
      <c r="E61" s="5">
        <f t="shared" si="2"/>
        <v>2</v>
      </c>
      <c r="F61" s="17">
        <v>0</v>
      </c>
      <c r="G61" s="17">
        <v>0</v>
      </c>
      <c r="H61" s="6">
        <v>0</v>
      </c>
      <c r="J61" s="14" t="str">
        <f t="shared" si="3"/>
        <v>[10, 'C1', 2, 2, 0, 0, 0],</v>
      </c>
    </row>
    <row r="62" spans="1:10" x14ac:dyDescent="0.3">
      <c r="A62" s="3"/>
      <c r="B62" s="11">
        <v>11</v>
      </c>
      <c r="C62" s="11" t="s">
        <v>2</v>
      </c>
      <c r="D62" s="6">
        <v>6</v>
      </c>
      <c r="E62" s="5">
        <f t="shared" si="2"/>
        <v>6</v>
      </c>
      <c r="F62" s="17">
        <v>0</v>
      </c>
      <c r="G62" s="17">
        <v>0</v>
      </c>
      <c r="H62" s="6">
        <v>0</v>
      </c>
      <c r="J62" s="14" t="str">
        <f t="shared" si="3"/>
        <v>[11, 'C2', 6, 6, 0, 0, 0],</v>
      </c>
    </row>
    <row r="63" spans="1:10" x14ac:dyDescent="0.3">
      <c r="A63" s="3"/>
      <c r="B63" s="11">
        <v>12</v>
      </c>
      <c r="C63" s="11" t="s">
        <v>3</v>
      </c>
      <c r="D63" s="6">
        <v>10</v>
      </c>
      <c r="E63" s="5">
        <f t="shared" si="2"/>
        <v>10</v>
      </c>
      <c r="F63" s="17">
        <v>0</v>
      </c>
      <c r="G63" s="17">
        <v>0</v>
      </c>
      <c r="H63" s="6">
        <v>0</v>
      </c>
      <c r="J63" s="14" t="str">
        <f t="shared" si="3"/>
        <v>[12, 'C3', 10, 10, 0, 0, 0],</v>
      </c>
    </row>
    <row r="64" spans="1:10" x14ac:dyDescent="0.3">
      <c r="A64" s="3"/>
      <c r="B64" s="11">
        <v>20</v>
      </c>
      <c r="C64" s="11" t="s">
        <v>4</v>
      </c>
      <c r="D64" s="6">
        <v>17</v>
      </c>
      <c r="E64" s="5">
        <f t="shared" si="2"/>
        <v>0</v>
      </c>
      <c r="F64" s="17">
        <v>4</v>
      </c>
      <c r="G64" s="17">
        <v>3</v>
      </c>
      <c r="H64" s="6">
        <v>0</v>
      </c>
      <c r="J64" s="14" t="str">
        <f t="shared" si="3"/>
        <v>[20, 'M1', 17, 0, 4, 3, 0],</v>
      </c>
    </row>
    <row r="65" spans="1:10" x14ac:dyDescent="0.3">
      <c r="A65" s="3"/>
      <c r="B65" s="11">
        <v>21</v>
      </c>
      <c r="C65" s="11" t="s">
        <v>5</v>
      </c>
      <c r="D65" s="6">
        <v>29</v>
      </c>
      <c r="E65" s="5">
        <f t="shared" si="2"/>
        <v>0</v>
      </c>
      <c r="F65" s="17">
        <v>7</v>
      </c>
      <c r="G65" s="17">
        <v>5</v>
      </c>
      <c r="H65" s="6">
        <v>0</v>
      </c>
      <c r="J65" s="14" t="str">
        <f t="shared" si="3"/>
        <v>[21, 'M2', 29, 0, 7, 5,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12</v>
      </c>
      <c r="E73" s="5">
        <f t="shared" si="2"/>
        <v>12</v>
      </c>
      <c r="F73" s="17">
        <v>0</v>
      </c>
      <c r="G73" s="17">
        <v>0</v>
      </c>
      <c r="H73" s="6">
        <v>0</v>
      </c>
      <c r="J73" s="14" t="str">
        <f t="shared" si="3"/>
        <v>[34, 'TE', 12, 12,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1</v>
      </c>
      <c r="E79" s="5">
        <f t="shared" si="4"/>
        <v>1</v>
      </c>
      <c r="F79" s="17">
        <v>0</v>
      </c>
      <c r="G79" s="17">
        <v>0</v>
      </c>
      <c r="H79" s="6">
        <v>0</v>
      </c>
      <c r="J79" s="14" t="str">
        <f t="shared" si="5"/>
        <v>[10, 'C1', 1, 1, 0, 0, 0],</v>
      </c>
    </row>
    <row r="80" spans="1:10" x14ac:dyDescent="0.3">
      <c r="A80" s="3"/>
      <c r="B80" s="11">
        <v>11</v>
      </c>
      <c r="C80" s="11" t="s">
        <v>2</v>
      </c>
      <c r="D80" s="6">
        <v>0</v>
      </c>
      <c r="E80" s="5">
        <f t="shared" si="4"/>
        <v>0</v>
      </c>
      <c r="F80" s="17">
        <v>0</v>
      </c>
      <c r="G80" s="17">
        <v>0</v>
      </c>
      <c r="H80" s="6">
        <v>0</v>
      </c>
      <c r="J80" s="14" t="str">
        <f t="shared" si="5"/>
        <v>[11, 'C2', 0, 0, 0, 0, 0],</v>
      </c>
    </row>
    <row r="81" spans="1:10" x14ac:dyDescent="0.3">
      <c r="A81" s="3"/>
      <c r="B81" s="11">
        <v>12</v>
      </c>
      <c r="C81" s="11" t="s">
        <v>3</v>
      </c>
      <c r="D81" s="6">
        <v>28</v>
      </c>
      <c r="E81" s="5">
        <f t="shared" si="4"/>
        <v>28</v>
      </c>
      <c r="F81" s="17">
        <v>0</v>
      </c>
      <c r="G81" s="17">
        <v>0</v>
      </c>
      <c r="H81" s="6">
        <v>0</v>
      </c>
      <c r="J81" s="14" t="str">
        <f t="shared" si="5"/>
        <v>[12, 'C3', 28, 28, 0, 0, 0],</v>
      </c>
    </row>
    <row r="82" spans="1:10" x14ac:dyDescent="0.3">
      <c r="A82" s="3"/>
      <c r="B82" s="11">
        <v>20</v>
      </c>
      <c r="C82" s="11" t="s">
        <v>4</v>
      </c>
      <c r="D82" s="6">
        <v>17</v>
      </c>
      <c r="E82" s="5">
        <f t="shared" si="4"/>
        <v>0</v>
      </c>
      <c r="F82" s="17">
        <v>4</v>
      </c>
      <c r="G82" s="17">
        <v>3</v>
      </c>
      <c r="H82" s="6">
        <v>0</v>
      </c>
      <c r="J82" s="14" t="str">
        <f t="shared" si="5"/>
        <v>[20, 'M1', 17, 0, 4, 3, 0],</v>
      </c>
    </row>
    <row r="83" spans="1:10" x14ac:dyDescent="0.3">
      <c r="A83" s="3"/>
      <c r="B83" s="11">
        <v>21</v>
      </c>
      <c r="C83" s="11" t="s">
        <v>5</v>
      </c>
      <c r="D83" s="6">
        <v>30</v>
      </c>
      <c r="E83" s="5">
        <f t="shared" si="4"/>
        <v>0</v>
      </c>
      <c r="F83" s="17">
        <v>9</v>
      </c>
      <c r="G83" s="17">
        <v>4</v>
      </c>
      <c r="H83" s="6">
        <v>0</v>
      </c>
      <c r="J83" s="14" t="str">
        <f t="shared" si="5"/>
        <v>[21, 'M2', 30, 0, 9, 4, 0],</v>
      </c>
    </row>
    <row r="84" spans="1:10" x14ac:dyDescent="0.3">
      <c r="A84" s="3"/>
      <c r="B84" s="11">
        <v>22</v>
      </c>
      <c r="C84" s="11" t="s">
        <v>6</v>
      </c>
      <c r="D84" s="6">
        <v>30</v>
      </c>
      <c r="E84" s="5">
        <f t="shared" si="4"/>
        <v>0</v>
      </c>
      <c r="F84" s="17">
        <v>9</v>
      </c>
      <c r="G84" s="17">
        <v>4</v>
      </c>
      <c r="H84" s="6">
        <v>0</v>
      </c>
      <c r="J84" s="14" t="str">
        <f t="shared" si="5"/>
        <v>[22, 'M3', 30, 0, 9, 4, 0],</v>
      </c>
    </row>
    <row r="85" spans="1:10" x14ac:dyDescent="0.3">
      <c r="A85" s="3"/>
      <c r="B85" s="11">
        <v>23</v>
      </c>
      <c r="C85" s="11" t="s">
        <v>7</v>
      </c>
      <c r="D85" s="6">
        <v>15</v>
      </c>
      <c r="E85" s="5">
        <f t="shared" si="4"/>
        <v>0</v>
      </c>
      <c r="F85" s="17">
        <v>3</v>
      </c>
      <c r="G85" s="17">
        <v>3</v>
      </c>
      <c r="H85" s="6">
        <v>0</v>
      </c>
      <c r="J85" s="14" t="str">
        <f t="shared" si="5"/>
        <v>[23, 'M4', 15, 0, 3, 3, 0],</v>
      </c>
    </row>
    <row r="86" spans="1:10" x14ac:dyDescent="0.3">
      <c r="A86" s="3"/>
      <c r="B86" s="11">
        <v>24</v>
      </c>
      <c r="C86" s="11" t="s">
        <v>8</v>
      </c>
      <c r="D86" s="6">
        <v>17</v>
      </c>
      <c r="E86" s="5">
        <f t="shared" si="4"/>
        <v>0</v>
      </c>
      <c r="F86" s="17">
        <v>4</v>
      </c>
      <c r="G86" s="17">
        <v>3</v>
      </c>
      <c r="H86" s="6">
        <v>0</v>
      </c>
      <c r="J86" s="14" t="str">
        <f t="shared" si="5"/>
        <v>[24, 'M5', 17, 0, 4, 3, 0],</v>
      </c>
    </row>
    <row r="87" spans="1:10" x14ac:dyDescent="0.3">
      <c r="A87" s="3"/>
      <c r="B87" s="11">
        <v>30</v>
      </c>
      <c r="C87" s="11" t="s">
        <v>9</v>
      </c>
      <c r="D87" s="6">
        <v>21</v>
      </c>
      <c r="E87" s="5">
        <f t="shared" si="4"/>
        <v>21</v>
      </c>
      <c r="F87" s="17">
        <v>0</v>
      </c>
      <c r="G87" s="17">
        <v>0</v>
      </c>
      <c r="H87" s="6">
        <v>0</v>
      </c>
      <c r="J87" s="14" t="str">
        <f t="shared" si="5"/>
        <v>[30, 'A', 21, 21, 0, 0, 0],</v>
      </c>
    </row>
    <row r="88" spans="1:10" x14ac:dyDescent="0.3">
      <c r="A88" s="3"/>
      <c r="B88" s="11">
        <v>31</v>
      </c>
      <c r="C88" s="11" t="s">
        <v>10</v>
      </c>
      <c r="D88" s="6">
        <v>17</v>
      </c>
      <c r="E88" s="5">
        <f t="shared" si="4"/>
        <v>17</v>
      </c>
      <c r="F88" s="17">
        <v>0</v>
      </c>
      <c r="G88" s="17">
        <v>0</v>
      </c>
      <c r="H88" s="6">
        <v>0</v>
      </c>
      <c r="J88" s="14" t="str">
        <f t="shared" si="5"/>
        <v>[31, 'K', 17, 17, 0, 0, 0],</v>
      </c>
    </row>
    <row r="89" spans="1:10" x14ac:dyDescent="0.3">
      <c r="A89" s="3"/>
      <c r="B89" s="11">
        <v>32</v>
      </c>
      <c r="C89" s="11" t="s">
        <v>11</v>
      </c>
      <c r="D89" s="6">
        <v>21</v>
      </c>
      <c r="E89" s="5">
        <f t="shared" si="4"/>
        <v>21</v>
      </c>
      <c r="F89" s="17">
        <v>0</v>
      </c>
      <c r="G89" s="17">
        <v>0</v>
      </c>
      <c r="H89" s="6">
        <v>0</v>
      </c>
      <c r="J89" s="14" t="str">
        <f t="shared" si="5"/>
        <v>[32, 'Q', 21, 21, 0, 0, 0],</v>
      </c>
    </row>
    <row r="90" spans="1:10" x14ac:dyDescent="0.3">
      <c r="A90" s="3"/>
      <c r="B90" s="11">
        <v>33</v>
      </c>
      <c r="C90" s="11" t="s">
        <v>12</v>
      </c>
      <c r="D90" s="6">
        <v>24</v>
      </c>
      <c r="E90" s="5">
        <f t="shared" si="4"/>
        <v>24</v>
      </c>
      <c r="F90" s="17">
        <v>0</v>
      </c>
      <c r="G90" s="17">
        <v>0</v>
      </c>
      <c r="H90" s="6">
        <v>0</v>
      </c>
      <c r="J90" s="14" t="str">
        <f t="shared" si="5"/>
        <v>[33, 'J', 24, 24, 0, 0, 0],</v>
      </c>
    </row>
    <row r="91" spans="1:10" x14ac:dyDescent="0.3">
      <c r="A91" s="3"/>
      <c r="B91" s="11">
        <v>34</v>
      </c>
      <c r="C91" s="11" t="s">
        <v>13</v>
      </c>
      <c r="D91" s="6">
        <v>23</v>
      </c>
      <c r="E91" s="5">
        <f t="shared" si="4"/>
        <v>23</v>
      </c>
      <c r="F91" s="17">
        <v>0</v>
      </c>
      <c r="G91" s="17">
        <v>0</v>
      </c>
      <c r="H91" s="6">
        <v>0</v>
      </c>
      <c r="J91" s="14" t="str">
        <f t="shared" si="5"/>
        <v>[34, 'TE', 23, 23,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2</v>
      </c>
      <c r="E97" s="5">
        <f t="shared" si="6"/>
        <v>2</v>
      </c>
      <c r="F97" s="17">
        <v>0</v>
      </c>
      <c r="G97" s="17">
        <v>0</v>
      </c>
      <c r="H97" s="6">
        <v>0</v>
      </c>
      <c r="J97" s="14" t="str">
        <f t="shared" si="7"/>
        <v>[10, 'C1', 2, 2, 0, 0, 0],</v>
      </c>
    </row>
    <row r="98" spans="1:10" x14ac:dyDescent="0.3">
      <c r="A98" s="3"/>
      <c r="B98" s="11">
        <v>11</v>
      </c>
      <c r="C98" s="11" t="s">
        <v>2</v>
      </c>
      <c r="D98" s="6">
        <v>0</v>
      </c>
      <c r="E98" s="5">
        <f t="shared" si="6"/>
        <v>0</v>
      </c>
      <c r="F98" s="17">
        <v>0</v>
      </c>
      <c r="G98" s="17">
        <v>0</v>
      </c>
      <c r="H98" s="6">
        <v>0</v>
      </c>
      <c r="J98" s="14" t="str">
        <f t="shared" si="7"/>
        <v>[11, 'C2', 0, 0, 0, 0, 0],</v>
      </c>
    </row>
    <row r="99" spans="1:10" x14ac:dyDescent="0.3">
      <c r="A99" s="3"/>
      <c r="B99" s="11">
        <v>12</v>
      </c>
      <c r="C99" s="11" t="s">
        <v>3</v>
      </c>
      <c r="D99" s="6">
        <v>7</v>
      </c>
      <c r="E99" s="5">
        <f t="shared" si="6"/>
        <v>7</v>
      </c>
      <c r="F99" s="17">
        <v>0</v>
      </c>
      <c r="G99" s="17">
        <v>0</v>
      </c>
      <c r="H99" s="6">
        <v>0</v>
      </c>
      <c r="J99" s="14" t="str">
        <f t="shared" si="7"/>
        <v>[12, 'C3', 7, 7, 0, 0, 0],</v>
      </c>
    </row>
    <row r="100" spans="1:10" x14ac:dyDescent="0.3">
      <c r="A100" s="3"/>
      <c r="B100" s="11">
        <v>20</v>
      </c>
      <c r="C100" s="11" t="s">
        <v>4</v>
      </c>
      <c r="D100" s="6">
        <v>14</v>
      </c>
      <c r="E100" s="5">
        <f t="shared" si="6"/>
        <v>0</v>
      </c>
      <c r="F100" s="17">
        <v>4</v>
      </c>
      <c r="G100" s="17">
        <v>2</v>
      </c>
      <c r="H100" s="6">
        <v>0</v>
      </c>
      <c r="J100" s="14" t="str">
        <f t="shared" si="7"/>
        <v>[20, 'M1', 14, 0, 4, 2, 0],</v>
      </c>
    </row>
    <row r="101" spans="1:10" x14ac:dyDescent="0.3">
      <c r="A101" s="3"/>
      <c r="B101" s="11">
        <v>21</v>
      </c>
      <c r="C101" s="11" t="s">
        <v>5</v>
      </c>
      <c r="D101" s="6">
        <v>24</v>
      </c>
      <c r="E101" s="5">
        <f t="shared" si="6"/>
        <v>0</v>
      </c>
      <c r="F101" s="17">
        <v>9</v>
      </c>
      <c r="G101" s="17">
        <v>2</v>
      </c>
      <c r="H101" s="6">
        <v>0</v>
      </c>
      <c r="J101" s="14" t="str">
        <f t="shared" si="7"/>
        <v>[21, 'M2', 24, 0, 9, 2, 0],</v>
      </c>
    </row>
    <row r="102" spans="1:10" x14ac:dyDescent="0.3">
      <c r="A102" s="3"/>
      <c r="B102" s="11">
        <v>22</v>
      </c>
      <c r="C102" s="11" t="s">
        <v>6</v>
      </c>
      <c r="D102" s="6">
        <v>24</v>
      </c>
      <c r="E102" s="5">
        <f t="shared" si="6"/>
        <v>0</v>
      </c>
      <c r="F102" s="17">
        <v>9</v>
      </c>
      <c r="G102" s="17">
        <v>2</v>
      </c>
      <c r="H102" s="6">
        <v>0</v>
      </c>
      <c r="J102" s="14" t="str">
        <f t="shared" si="7"/>
        <v>[22, 'M3', 24, 0, 9, 2, 0],</v>
      </c>
    </row>
    <row r="103" spans="1:10" x14ac:dyDescent="0.3">
      <c r="A103" s="3"/>
      <c r="B103" s="11">
        <v>23</v>
      </c>
      <c r="C103" s="11" t="s">
        <v>7</v>
      </c>
      <c r="D103" s="6">
        <v>22</v>
      </c>
      <c r="E103" s="5">
        <f t="shared" si="6"/>
        <v>0</v>
      </c>
      <c r="F103" s="17">
        <v>8</v>
      </c>
      <c r="G103" s="17">
        <v>2</v>
      </c>
      <c r="H103" s="6">
        <v>0</v>
      </c>
      <c r="J103" s="14" t="str">
        <f t="shared" si="7"/>
        <v>[23, 'M4', 22, 0, 8, 2, 0],</v>
      </c>
    </row>
    <row r="104" spans="1:10" x14ac:dyDescent="0.3">
      <c r="A104" s="3"/>
      <c r="B104" s="11">
        <v>24</v>
      </c>
      <c r="C104" s="11" t="s">
        <v>8</v>
      </c>
      <c r="D104" s="6">
        <v>22</v>
      </c>
      <c r="E104" s="5">
        <f t="shared" si="6"/>
        <v>0</v>
      </c>
      <c r="F104" s="17">
        <v>8</v>
      </c>
      <c r="G104" s="17">
        <v>2</v>
      </c>
      <c r="H104" s="6">
        <v>0</v>
      </c>
      <c r="J104" s="14" t="str">
        <f t="shared" si="7"/>
        <v>[24, 'M5', 22, 0, 8, 2, 0],</v>
      </c>
    </row>
    <row r="105" spans="1:10" x14ac:dyDescent="0.3">
      <c r="A105" s="3"/>
      <c r="B105" s="11">
        <v>30</v>
      </c>
      <c r="C105" s="11" t="s">
        <v>9</v>
      </c>
      <c r="D105" s="6">
        <v>15</v>
      </c>
      <c r="E105" s="5">
        <f t="shared" si="6"/>
        <v>15</v>
      </c>
      <c r="F105" s="17">
        <v>0</v>
      </c>
      <c r="G105" s="17">
        <v>0</v>
      </c>
      <c r="H105" s="6">
        <v>0</v>
      </c>
      <c r="J105" s="14" t="str">
        <f t="shared" si="7"/>
        <v>[30, 'A', 15, 15, 0, 0, 0],</v>
      </c>
    </row>
    <row r="106" spans="1:10" x14ac:dyDescent="0.3">
      <c r="A106" s="3"/>
      <c r="B106" s="11">
        <v>31</v>
      </c>
      <c r="C106" s="11" t="s">
        <v>10</v>
      </c>
      <c r="D106" s="6">
        <v>20</v>
      </c>
      <c r="E106" s="5">
        <f t="shared" si="6"/>
        <v>20</v>
      </c>
      <c r="F106" s="17">
        <v>0</v>
      </c>
      <c r="G106" s="17">
        <v>0</v>
      </c>
      <c r="H106" s="6">
        <v>0</v>
      </c>
      <c r="J106" s="14" t="str">
        <f t="shared" si="7"/>
        <v>[31, 'K', 20, 20, 0, 0, 0],</v>
      </c>
    </row>
    <row r="107" spans="1:10" x14ac:dyDescent="0.3">
      <c r="A107" s="3"/>
      <c r="B107" s="11">
        <v>32</v>
      </c>
      <c r="C107" s="11" t="s">
        <v>11</v>
      </c>
      <c r="D107" s="6">
        <v>15</v>
      </c>
      <c r="E107" s="5">
        <f t="shared" si="6"/>
        <v>15</v>
      </c>
      <c r="F107" s="17">
        <v>0</v>
      </c>
      <c r="G107" s="17">
        <v>0</v>
      </c>
      <c r="H107" s="6">
        <v>0</v>
      </c>
      <c r="J107" s="14" t="str">
        <f t="shared" si="7"/>
        <v>[32, 'Q', 15, 15, 0, 0, 0],</v>
      </c>
    </row>
    <row r="108" spans="1:10" x14ac:dyDescent="0.3">
      <c r="A108" s="3"/>
      <c r="B108" s="11">
        <v>33</v>
      </c>
      <c r="C108" s="11" t="s">
        <v>12</v>
      </c>
      <c r="D108" s="6">
        <v>22</v>
      </c>
      <c r="E108" s="5">
        <f t="shared" si="6"/>
        <v>22</v>
      </c>
      <c r="F108" s="17">
        <v>0</v>
      </c>
      <c r="G108" s="17">
        <v>0</v>
      </c>
      <c r="H108" s="6">
        <v>0</v>
      </c>
      <c r="J108" s="14" t="str">
        <f t="shared" si="7"/>
        <v>[33, 'J', 22, 22, 0, 0, 0],</v>
      </c>
    </row>
    <row r="109" spans="1:10" x14ac:dyDescent="0.3">
      <c r="A109" s="3"/>
      <c r="B109" s="11">
        <v>34</v>
      </c>
      <c r="C109" s="11" t="s">
        <v>13</v>
      </c>
      <c r="D109" s="6">
        <v>10</v>
      </c>
      <c r="E109" s="5">
        <f t="shared" si="6"/>
        <v>10</v>
      </c>
      <c r="F109" s="17">
        <v>0</v>
      </c>
      <c r="G109" s="17">
        <v>0</v>
      </c>
      <c r="H109" s="6">
        <v>0</v>
      </c>
      <c r="J109" s="14" t="str">
        <f t="shared" si="7"/>
        <v>[34, 'TE', 10, 10,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1</v>
      </c>
      <c r="E115" s="5">
        <f t="shared" si="8"/>
        <v>1</v>
      </c>
      <c r="F115" s="17">
        <v>0</v>
      </c>
      <c r="G115" s="17">
        <v>0</v>
      </c>
      <c r="H115" s="6">
        <v>0</v>
      </c>
      <c r="J115" s="14" t="str">
        <f t="shared" si="9"/>
        <v>[10, 'C1', 1, 1,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8</v>
      </c>
      <c r="E117" s="5">
        <f t="shared" si="8"/>
        <v>8</v>
      </c>
      <c r="F117" s="17">
        <v>0</v>
      </c>
      <c r="G117" s="17">
        <v>0</v>
      </c>
      <c r="H117" s="6">
        <v>0</v>
      </c>
      <c r="J117" s="14" t="str">
        <f t="shared" si="9"/>
        <v>[12, 'C3', 8, 8, 0, 0, 0],</v>
      </c>
    </row>
    <row r="118" spans="1:10" x14ac:dyDescent="0.3">
      <c r="A118" s="3"/>
      <c r="B118" s="11">
        <v>20</v>
      </c>
      <c r="C118" s="11" t="s">
        <v>4</v>
      </c>
      <c r="D118" s="6">
        <v>11</v>
      </c>
      <c r="E118" s="5">
        <f t="shared" si="8"/>
        <v>0</v>
      </c>
      <c r="F118" s="17">
        <v>4</v>
      </c>
      <c r="G118" s="17">
        <v>1</v>
      </c>
      <c r="H118" s="6">
        <v>0</v>
      </c>
      <c r="J118" s="14" t="str">
        <f t="shared" si="9"/>
        <v>[20, 'M1', 11, 0, 4, 1, 0],</v>
      </c>
    </row>
    <row r="119" spans="1:10" x14ac:dyDescent="0.3">
      <c r="A119" s="3"/>
      <c r="B119" s="11">
        <v>21</v>
      </c>
      <c r="C119" s="11" t="s">
        <v>5</v>
      </c>
      <c r="D119" s="6">
        <v>14</v>
      </c>
      <c r="E119" s="5">
        <f t="shared" si="8"/>
        <v>0</v>
      </c>
      <c r="F119" s="17">
        <v>4</v>
      </c>
      <c r="G119" s="17">
        <v>2</v>
      </c>
      <c r="H119" s="6">
        <v>0</v>
      </c>
      <c r="J119" s="14" t="str">
        <f t="shared" si="9"/>
        <v>[21, 'M2', 14, 0, 4, 2, 0],</v>
      </c>
    </row>
    <row r="120" spans="1:10" x14ac:dyDescent="0.3">
      <c r="A120" s="3"/>
      <c r="B120" s="11">
        <v>22</v>
      </c>
      <c r="C120" s="11" t="s">
        <v>6</v>
      </c>
      <c r="D120" s="6">
        <v>14</v>
      </c>
      <c r="E120" s="5">
        <f t="shared" si="8"/>
        <v>0</v>
      </c>
      <c r="F120" s="17">
        <v>4</v>
      </c>
      <c r="G120" s="17">
        <v>2</v>
      </c>
      <c r="H120" s="6">
        <v>0</v>
      </c>
      <c r="J120" s="14" t="str">
        <f t="shared" si="9"/>
        <v>[22, 'M3', 14, 0, 4, 2, 0],</v>
      </c>
    </row>
    <row r="121" spans="1:10" x14ac:dyDescent="0.3">
      <c r="A121" s="3"/>
      <c r="B121" s="11">
        <v>23</v>
      </c>
      <c r="C121" s="11" t="s">
        <v>7</v>
      </c>
      <c r="D121" s="6">
        <v>14</v>
      </c>
      <c r="E121" s="5">
        <f t="shared" si="8"/>
        <v>0</v>
      </c>
      <c r="F121" s="17">
        <v>4</v>
      </c>
      <c r="G121" s="17">
        <v>2</v>
      </c>
      <c r="H121" s="6">
        <v>0</v>
      </c>
      <c r="J121" s="14" t="str">
        <f t="shared" si="9"/>
        <v>[23, 'M4', 14, 0, 4, 2, 0],</v>
      </c>
    </row>
    <row r="122" spans="1:10" x14ac:dyDescent="0.3">
      <c r="A122" s="3"/>
      <c r="B122" s="11">
        <v>24</v>
      </c>
      <c r="C122" s="11" t="s">
        <v>8</v>
      </c>
      <c r="D122" s="6">
        <v>16</v>
      </c>
      <c r="E122" s="5">
        <f t="shared" si="8"/>
        <v>0</v>
      </c>
      <c r="F122" s="17">
        <v>5</v>
      </c>
      <c r="G122" s="17">
        <v>2</v>
      </c>
      <c r="H122" s="6">
        <v>0</v>
      </c>
      <c r="J122" s="14" t="str">
        <f t="shared" si="9"/>
        <v>[24, 'M5', 16, 0, 5, 2, 0],</v>
      </c>
    </row>
    <row r="123" spans="1:10" x14ac:dyDescent="0.3">
      <c r="A123" s="3"/>
      <c r="B123" s="11">
        <v>30</v>
      </c>
      <c r="C123" s="11" t="s">
        <v>9</v>
      </c>
      <c r="D123" s="6">
        <v>8</v>
      </c>
      <c r="E123" s="5">
        <f t="shared" si="8"/>
        <v>8</v>
      </c>
      <c r="F123" s="17">
        <v>0</v>
      </c>
      <c r="G123" s="17">
        <v>0</v>
      </c>
      <c r="H123" s="6">
        <v>0</v>
      </c>
      <c r="J123" s="14" t="str">
        <f t="shared" si="9"/>
        <v>[30, 'A', 8, 8, 0, 0, 0],</v>
      </c>
    </row>
    <row r="124" spans="1:10" x14ac:dyDescent="0.3">
      <c r="A124" s="3"/>
      <c r="B124" s="11">
        <v>31</v>
      </c>
      <c r="C124" s="11" t="s">
        <v>10</v>
      </c>
      <c r="D124" s="6">
        <v>12</v>
      </c>
      <c r="E124" s="5">
        <f t="shared" si="8"/>
        <v>12</v>
      </c>
      <c r="F124" s="17">
        <v>0</v>
      </c>
      <c r="G124" s="17">
        <v>0</v>
      </c>
      <c r="H124" s="6">
        <v>0</v>
      </c>
      <c r="J124" s="14" t="str">
        <f t="shared" si="9"/>
        <v>[31, 'K', 12, 12, 0, 0, 0],</v>
      </c>
    </row>
    <row r="125" spans="1:10" x14ac:dyDescent="0.3">
      <c r="A125" s="3"/>
      <c r="B125" s="11">
        <v>32</v>
      </c>
      <c r="C125" s="11" t="s">
        <v>11</v>
      </c>
      <c r="D125" s="6">
        <v>8</v>
      </c>
      <c r="E125" s="5">
        <f t="shared" si="8"/>
        <v>8</v>
      </c>
      <c r="F125" s="17">
        <v>0</v>
      </c>
      <c r="G125" s="17">
        <v>0</v>
      </c>
      <c r="H125" s="6">
        <v>0</v>
      </c>
      <c r="J125" s="14" t="str">
        <f t="shared" si="9"/>
        <v>[32, 'Q', 8, 8, 0, 0, 0],</v>
      </c>
    </row>
    <row r="126" spans="1:10" x14ac:dyDescent="0.3">
      <c r="A126" s="3"/>
      <c r="B126" s="11">
        <v>33</v>
      </c>
      <c r="C126" s="11" t="s">
        <v>12</v>
      </c>
      <c r="D126" s="6">
        <v>12</v>
      </c>
      <c r="E126" s="5">
        <f t="shared" si="8"/>
        <v>12</v>
      </c>
      <c r="F126" s="17">
        <v>0</v>
      </c>
      <c r="G126" s="17">
        <v>0</v>
      </c>
      <c r="H126" s="6">
        <v>0</v>
      </c>
      <c r="J126" s="14" t="str">
        <f t="shared" si="9"/>
        <v>[33, 'J', 12, 12, 0, 0, 0],</v>
      </c>
    </row>
    <row r="127" spans="1:10" x14ac:dyDescent="0.3">
      <c r="A127" s="3"/>
      <c r="B127" s="11">
        <v>34</v>
      </c>
      <c r="C127" s="11" t="s">
        <v>13</v>
      </c>
      <c r="D127" s="6">
        <v>9</v>
      </c>
      <c r="E127" s="5">
        <f t="shared" si="8"/>
        <v>9</v>
      </c>
      <c r="F127" s="17">
        <v>0</v>
      </c>
      <c r="G127" s="17">
        <v>0</v>
      </c>
      <c r="H127" s="6">
        <v>0</v>
      </c>
      <c r="J127" s="14" t="str">
        <f t="shared" si="9"/>
        <v>[34, 'TE', 9, 9,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Q110:R127 T42:T55 L58 P95:Q109 N58:O58 K77:L91 Q58:R58 K95:L95 Q76:R76 J92:L92 K111:P111 R109 P110 N112:P112 N96:O110 J60:J73 J78:J91 J96:L110 J114:J127 A3:A7 Y7:Z10 X12:Z12 A8:L8 A128:R142 A39:I39 A9:G10 H10:R10 S3:Z6 S11:Z11 A40:Y40 B1:Z1 A2:Z2 M21:R21 S7:S10 A143:Z1048576 A22:R38 S13:Z38 K39:Z39 A41:E127 H9 J9:R9 H20:R20 M11:R19 A20:G21 A11:A19 H58:I127 H42:L56 H57:R57 H41:I41">
    <cfRule type="cellIs" dxfId="105" priority="22" operator="equal">
      <formula>0</formula>
    </cfRule>
  </conditionalFormatting>
  <conditionalFormatting sqref="J74">
    <cfRule type="cellIs" dxfId="104" priority="21" operator="equal">
      <formula>0</formula>
    </cfRule>
  </conditionalFormatting>
  <conditionalFormatting sqref="E41:E127">
    <cfRule type="cellIs" dxfId="103" priority="20" operator="lessThan">
      <formula>0</formula>
    </cfRule>
  </conditionalFormatting>
  <conditionalFormatting sqref="T7:X10">
    <cfRule type="cellIs" dxfId="102" priority="19" operator="equal">
      <formula>0</formula>
    </cfRule>
  </conditionalFormatting>
  <conditionalFormatting sqref="B20:F2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{31C189B3-36C0-41AC-9C38-C637838421DA}</x14:id>
        </ext>
      </extLst>
    </cfRule>
  </conditionalFormatting>
  <conditionalFormatting sqref="H5:L5">
    <cfRule type="cellIs" dxfId="101" priority="17" operator="equal">
      <formula>0</formula>
    </cfRule>
  </conditionalFormatting>
  <conditionalFormatting sqref="P8:Q8 M8:N8">
    <cfRule type="cellIs" dxfId="100" priority="16" operator="equal">
      <formula>0</formula>
    </cfRule>
  </conditionalFormatting>
  <conditionalFormatting sqref="B3:F7">
    <cfRule type="cellIs" dxfId="99" priority="14" operator="equal">
      <formula>0</formula>
    </cfRule>
  </conditionalFormatting>
  <conditionalFormatting sqref="I9">
    <cfRule type="cellIs" dxfId="98" priority="12" operator="equal">
      <formula>0</formula>
    </cfRule>
  </conditionalFormatting>
  <conditionalFormatting sqref="H6:L6">
    <cfRule type="cellIs" dxfId="97" priority="11" operator="equal">
      <formula>0</formula>
    </cfRule>
  </conditionalFormatting>
  <conditionalFormatting sqref="H4:L4">
    <cfRule type="cellIs" dxfId="96" priority="10" operator="equal">
      <formula>0</formula>
    </cfRule>
  </conditionalFormatting>
  <conditionalFormatting sqref="B11:L15 B16:K19">
    <cfRule type="cellIs" dxfId="95" priority="9" operator="equal">
      <formula>0</formula>
    </cfRule>
  </conditionalFormatting>
  <conditionalFormatting sqref="B11:F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{39E320BA-5331-4085-91D9-7AC9DC6F21AF}</x14:id>
        </ext>
      </extLst>
    </cfRule>
  </conditionalFormatting>
  <conditionalFormatting sqref="L16:L19">
    <cfRule type="cellIs" dxfId="94" priority="7" operator="equal">
      <formula>0</formula>
    </cfRule>
  </conditionalFormatting>
  <conditionalFormatting sqref="F41:G50 F56:G68 G51:G55 G69:G73 F92:G104 G87:G91 F110:G122 G105:G109 G123:G127 F74:G86">
    <cfRule type="cellIs" dxfId="93" priority="6" operator="equal">
      <formula>0</formula>
    </cfRule>
  </conditionalFormatting>
  <conditionalFormatting sqref="F105:F109">
    <cfRule type="cellIs" dxfId="92" priority="5" operator="equal">
      <formula>0</formula>
    </cfRule>
  </conditionalFormatting>
  <conditionalFormatting sqref="F123:F127">
    <cfRule type="cellIs" dxfId="91" priority="4" operator="equal">
      <formula>0</formula>
    </cfRule>
  </conditionalFormatting>
  <conditionalFormatting sqref="F87:F91">
    <cfRule type="cellIs" dxfId="90" priority="3" operator="equal">
      <formula>0</formula>
    </cfRule>
  </conditionalFormatting>
  <conditionalFormatting sqref="F69:F73">
    <cfRule type="cellIs" dxfId="89" priority="2" operator="equal">
      <formula>0</formula>
    </cfRule>
  </conditionalFormatting>
  <conditionalFormatting sqref="F51:F55">
    <cfRule type="cellIs" dxfId="88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C189B3-36C0-41AC-9C38-C637838421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B20:F20</xm:sqref>
        </x14:conditionalFormatting>
        <x14:conditionalFormatting xmlns:xm="http://schemas.microsoft.com/office/excel/2006/main">
          <x14:cfRule type="dataBar" id="{39E320BA-5331-4085-91D9-7AC9DC6F21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C58E-AF05-44FC-BEAF-D16F07EB8FAC}">
  <sheetPr codeName="工作表5"/>
  <dimension ref="A1:R128"/>
  <sheetViews>
    <sheetView topLeftCell="A58"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20" width="8.6640625" style="3"/>
    <col min="21" max="25" width="7" style="3" customWidth="1"/>
    <col min="26" max="16384" width="8.6640625" style="3"/>
  </cols>
  <sheetData>
    <row r="1" spans="1:18" x14ac:dyDescent="0.3">
      <c r="A1" s="1" t="s">
        <v>33</v>
      </c>
      <c r="B1" s="1">
        <v>6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2</v>
      </c>
      <c r="C4" s="21">
        <v>4</v>
      </c>
      <c r="D4" s="21">
        <v>3</v>
      </c>
      <c r="E4" s="21">
        <v>4</v>
      </c>
      <c r="F4" s="21">
        <v>2</v>
      </c>
      <c r="H4" s="17">
        <v>2</v>
      </c>
      <c r="I4" s="17">
        <v>4</v>
      </c>
      <c r="J4" s="17">
        <v>3</v>
      </c>
      <c r="K4" s="17">
        <v>4</v>
      </c>
      <c r="L4" s="17">
        <v>2</v>
      </c>
      <c r="N4" s="6">
        <v>2</v>
      </c>
      <c r="O4" s="6">
        <v>4</v>
      </c>
      <c r="P4" s="6">
        <v>3</v>
      </c>
      <c r="Q4" s="6">
        <v>4</v>
      </c>
      <c r="R4" s="6">
        <v>2</v>
      </c>
    </row>
    <row r="5" spans="1:18" x14ac:dyDescent="0.3">
      <c r="A5" s="1" t="s">
        <v>2</v>
      </c>
      <c r="B5" s="8">
        <v>0</v>
      </c>
      <c r="C5" s="8">
        <v>0</v>
      </c>
      <c r="D5" s="8">
        <v>10</v>
      </c>
      <c r="E5" s="8">
        <v>0</v>
      </c>
      <c r="F5" s="8">
        <v>0</v>
      </c>
      <c r="H5" s="17">
        <v>0</v>
      </c>
      <c r="I5" s="17">
        <v>0</v>
      </c>
      <c r="J5" s="17">
        <v>10</v>
      </c>
      <c r="K5" s="17">
        <v>0</v>
      </c>
      <c r="L5" s="17">
        <v>0</v>
      </c>
      <c r="N5" s="6">
        <v>0</v>
      </c>
      <c r="O5" s="6">
        <v>0</v>
      </c>
      <c r="P5" s="6">
        <v>10</v>
      </c>
      <c r="Q5" s="6">
        <v>0</v>
      </c>
      <c r="R5" s="6">
        <v>0</v>
      </c>
    </row>
    <row r="6" spans="1:18" x14ac:dyDescent="0.3">
      <c r="A6" s="1" t="s">
        <v>3</v>
      </c>
      <c r="B6" s="8">
        <v>9</v>
      </c>
      <c r="C6" s="8">
        <v>8</v>
      </c>
      <c r="D6" s="8">
        <v>28</v>
      </c>
      <c r="E6" s="8">
        <v>9</v>
      </c>
      <c r="F6" s="8">
        <v>6</v>
      </c>
      <c r="H6" s="17">
        <v>9</v>
      </c>
      <c r="I6" s="17">
        <v>8</v>
      </c>
      <c r="J6" s="17">
        <v>28</v>
      </c>
      <c r="K6" s="17">
        <v>9</v>
      </c>
      <c r="L6" s="17">
        <v>6</v>
      </c>
      <c r="N6" s="6">
        <v>9</v>
      </c>
      <c r="O6" s="6">
        <v>8</v>
      </c>
      <c r="P6" s="6">
        <v>28</v>
      </c>
      <c r="Q6" s="6">
        <v>9</v>
      </c>
      <c r="R6" s="6">
        <v>6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89</v>
      </c>
      <c r="C8" s="3">
        <v>208</v>
      </c>
      <c r="D8" s="3">
        <v>209</v>
      </c>
      <c r="E8" s="3">
        <v>187</v>
      </c>
      <c r="F8" s="3">
        <v>122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19"/>
      <c r="I20" s="19"/>
      <c r="J20" s="19"/>
      <c r="K20" s="19"/>
      <c r="L20" s="19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2</v>
      </c>
      <c r="C24" s="8">
        <v>4</v>
      </c>
      <c r="D24" s="8">
        <v>3</v>
      </c>
      <c r="E24" s="8">
        <v>4</v>
      </c>
      <c r="F24" s="8">
        <v>2</v>
      </c>
    </row>
    <row r="25" spans="1:12" x14ac:dyDescent="0.3">
      <c r="A25" s="1" t="s">
        <v>2</v>
      </c>
      <c r="B25" s="8">
        <v>0</v>
      </c>
      <c r="C25" s="7">
        <v>0</v>
      </c>
      <c r="D25" s="7">
        <v>10</v>
      </c>
      <c r="E25" s="7">
        <v>0</v>
      </c>
      <c r="F25" s="8">
        <v>0</v>
      </c>
    </row>
    <row r="26" spans="1:12" x14ac:dyDescent="0.3">
      <c r="A26" s="1" t="s">
        <v>3</v>
      </c>
      <c r="B26" s="8">
        <v>9</v>
      </c>
      <c r="C26" s="8">
        <v>8</v>
      </c>
      <c r="D26" s="8">
        <v>28</v>
      </c>
      <c r="E26" s="8">
        <v>9</v>
      </c>
      <c r="F26" s="8">
        <v>6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17</v>
      </c>
      <c r="D27" s="8">
        <v>16</v>
      </c>
      <c r="E27" s="8">
        <v>13</v>
      </c>
      <c r="F27" s="8">
        <v>11</v>
      </c>
    </row>
    <row r="28" spans="1:12" x14ac:dyDescent="0.3">
      <c r="A28" s="1" t="s">
        <v>5</v>
      </c>
      <c r="B28" s="8">
        <v>8</v>
      </c>
      <c r="C28" s="8">
        <v>30</v>
      </c>
      <c r="D28" s="8">
        <v>28</v>
      </c>
      <c r="E28" s="8">
        <v>24</v>
      </c>
      <c r="F28" s="8">
        <v>14</v>
      </c>
    </row>
    <row r="29" spans="1:12" x14ac:dyDescent="0.3">
      <c r="A29" s="1" t="s">
        <v>6</v>
      </c>
      <c r="B29" s="8">
        <v>13</v>
      </c>
      <c r="C29" s="8">
        <v>22</v>
      </c>
      <c r="D29" s="8">
        <v>28</v>
      </c>
      <c r="E29" s="8">
        <v>24</v>
      </c>
      <c r="F29" s="8">
        <v>14</v>
      </c>
    </row>
    <row r="30" spans="1:12" x14ac:dyDescent="0.3">
      <c r="A30" s="1" t="s">
        <v>7</v>
      </c>
      <c r="B30" s="8">
        <v>11</v>
      </c>
      <c r="C30" s="8">
        <v>22</v>
      </c>
      <c r="D30" s="8">
        <v>14</v>
      </c>
      <c r="E30" s="8">
        <v>22</v>
      </c>
      <c r="F30" s="8">
        <v>14</v>
      </c>
    </row>
    <row r="31" spans="1:12" x14ac:dyDescent="0.3">
      <c r="A31" s="1" t="s">
        <v>8</v>
      </c>
      <c r="B31" s="8">
        <v>11</v>
      </c>
      <c r="C31" s="8">
        <v>16</v>
      </c>
      <c r="D31" s="8">
        <v>16</v>
      </c>
      <c r="E31" s="8">
        <v>22</v>
      </c>
      <c r="F31" s="8">
        <v>17</v>
      </c>
    </row>
    <row r="32" spans="1:12" x14ac:dyDescent="0.3">
      <c r="A32" s="1" t="s">
        <v>9</v>
      </c>
      <c r="B32" s="8">
        <v>5</v>
      </c>
      <c r="C32" s="8">
        <v>24</v>
      </c>
      <c r="D32" s="8">
        <v>20</v>
      </c>
      <c r="E32" s="8">
        <v>15</v>
      </c>
      <c r="F32" s="8">
        <v>8</v>
      </c>
    </row>
    <row r="33" spans="1:10" x14ac:dyDescent="0.3">
      <c r="A33" s="1" t="s">
        <v>10</v>
      </c>
      <c r="B33" s="8">
        <v>9</v>
      </c>
      <c r="C33" s="8">
        <v>22</v>
      </c>
      <c r="D33" s="8">
        <v>16</v>
      </c>
      <c r="E33" s="8">
        <v>20</v>
      </c>
      <c r="F33" s="8">
        <v>12</v>
      </c>
    </row>
    <row r="34" spans="1:10" x14ac:dyDescent="0.3">
      <c r="A34" s="1" t="s">
        <v>11</v>
      </c>
      <c r="B34" s="8">
        <v>9</v>
      </c>
      <c r="C34" s="8">
        <v>16</v>
      </c>
      <c r="D34" s="8">
        <v>20</v>
      </c>
      <c r="E34" s="8">
        <v>15</v>
      </c>
      <c r="F34" s="8">
        <v>8</v>
      </c>
    </row>
    <row r="35" spans="1:10" x14ac:dyDescent="0.3">
      <c r="A35" s="1" t="s">
        <v>12</v>
      </c>
      <c r="B35" s="8">
        <v>9</v>
      </c>
      <c r="C35" s="8">
        <v>16</v>
      </c>
      <c r="D35" s="8">
        <v>22</v>
      </c>
      <c r="E35" s="8">
        <v>22</v>
      </c>
      <c r="F35" s="8">
        <v>12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8</v>
      </c>
      <c r="C36" s="8">
        <v>17</v>
      </c>
      <c r="D36" s="8">
        <v>23</v>
      </c>
      <c r="E36" s="8">
        <v>7</v>
      </c>
      <c r="F36" s="8">
        <v>9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2</v>
      </c>
      <c r="E43" s="5">
        <f t="shared" si="0"/>
        <v>2</v>
      </c>
      <c r="F43" s="17">
        <v>0</v>
      </c>
      <c r="G43" s="17">
        <v>0</v>
      </c>
      <c r="H43" s="6">
        <v>0</v>
      </c>
      <c r="J43" s="14" t="str">
        <f t="shared" si="1"/>
        <v>[10, 'C1', 2, 2,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9</v>
      </c>
      <c r="E45" s="5">
        <f t="shared" si="0"/>
        <v>9</v>
      </c>
      <c r="F45" s="17">
        <v>0</v>
      </c>
      <c r="G45" s="17">
        <v>0</v>
      </c>
      <c r="H45" s="6">
        <v>0</v>
      </c>
      <c r="J45" s="14" t="str">
        <f t="shared" si="1"/>
        <v>[12, 'C3', 9, 9,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13</v>
      </c>
      <c r="E48" s="5">
        <f t="shared" si="0"/>
        <v>0</v>
      </c>
      <c r="F48" s="17">
        <v>5</v>
      </c>
      <c r="G48" s="17">
        <v>1</v>
      </c>
      <c r="H48" s="6">
        <v>0</v>
      </c>
      <c r="J48" s="14" t="str">
        <f t="shared" si="1"/>
        <v>[22, 'M3', 13, 0, 5, 1, 0],</v>
      </c>
    </row>
    <row r="49" spans="1:10" x14ac:dyDescent="0.3">
      <c r="B49" s="11">
        <v>23</v>
      </c>
      <c r="C49" s="11" t="s">
        <v>7</v>
      </c>
      <c r="D49" s="6">
        <v>11</v>
      </c>
      <c r="E49" s="5">
        <f t="shared" si="0"/>
        <v>0</v>
      </c>
      <c r="F49" s="17">
        <v>4</v>
      </c>
      <c r="G49" s="17">
        <v>1</v>
      </c>
      <c r="H49" s="6">
        <v>0</v>
      </c>
      <c r="J49" s="14" t="str">
        <f t="shared" si="1"/>
        <v>[23, 'M4', 11, 0, 4, 1, 0],</v>
      </c>
    </row>
    <row r="50" spans="1:10" x14ac:dyDescent="0.3">
      <c r="A50" s="3"/>
      <c r="B50" s="11">
        <v>24</v>
      </c>
      <c r="C50" s="11" t="s">
        <v>8</v>
      </c>
      <c r="D50" s="6">
        <v>11</v>
      </c>
      <c r="E50" s="5">
        <f t="shared" si="0"/>
        <v>0</v>
      </c>
      <c r="F50" s="17">
        <v>4</v>
      </c>
      <c r="G50" s="17">
        <v>1</v>
      </c>
      <c r="H50" s="6">
        <v>0</v>
      </c>
      <c r="J50" s="14" t="str">
        <f t="shared" si="1"/>
        <v>[24, 'M5', 11, 0, 4, 1,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9</v>
      </c>
      <c r="E52" s="5">
        <f t="shared" si="0"/>
        <v>9</v>
      </c>
      <c r="F52" s="17">
        <v>0</v>
      </c>
      <c r="G52" s="17">
        <v>0</v>
      </c>
      <c r="H52" s="6">
        <v>0</v>
      </c>
      <c r="J52" s="14" t="str">
        <f t="shared" si="1"/>
        <v>[31, 'K', 9, 9, 0, 0, 0],</v>
      </c>
    </row>
    <row r="53" spans="1:10" x14ac:dyDescent="0.3">
      <c r="A53" s="3"/>
      <c r="B53" s="11">
        <v>32</v>
      </c>
      <c r="C53" s="11" t="s">
        <v>11</v>
      </c>
      <c r="D53" s="6">
        <v>9</v>
      </c>
      <c r="E53" s="5">
        <f t="shared" si="0"/>
        <v>9</v>
      </c>
      <c r="F53" s="17">
        <v>0</v>
      </c>
      <c r="G53" s="17">
        <v>0</v>
      </c>
      <c r="H53" s="6">
        <v>0</v>
      </c>
      <c r="J53" s="14" t="str">
        <f t="shared" si="1"/>
        <v>[32, 'Q', 9, 9, 0, 0, 0],</v>
      </c>
    </row>
    <row r="54" spans="1:10" x14ac:dyDescent="0.3">
      <c r="A54" s="3"/>
      <c r="B54" s="11">
        <v>33</v>
      </c>
      <c r="C54" s="11" t="s">
        <v>12</v>
      </c>
      <c r="D54" s="6">
        <v>9</v>
      </c>
      <c r="E54" s="5">
        <f t="shared" si="0"/>
        <v>9</v>
      </c>
      <c r="F54" s="17">
        <v>0</v>
      </c>
      <c r="G54" s="17">
        <v>0</v>
      </c>
      <c r="H54" s="6">
        <v>0</v>
      </c>
      <c r="J54" s="14" t="str">
        <f t="shared" si="1"/>
        <v>[33, 'J', 9, 9, 0, 0, 0],</v>
      </c>
    </row>
    <row r="55" spans="1:10" x14ac:dyDescent="0.3">
      <c r="A55" s="3"/>
      <c r="B55" s="11">
        <v>34</v>
      </c>
      <c r="C55" s="11" t="s">
        <v>13</v>
      </c>
      <c r="D55" s="6">
        <v>8</v>
      </c>
      <c r="E55" s="5">
        <f t="shared" si="0"/>
        <v>8</v>
      </c>
      <c r="F55" s="17">
        <v>0</v>
      </c>
      <c r="G55" s="17">
        <v>0</v>
      </c>
      <c r="H55" s="6">
        <v>0</v>
      </c>
      <c r="J55" s="14" t="str">
        <f t="shared" si="1"/>
        <v>[34, 'TE', 8, 8,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4</v>
      </c>
      <c r="E61" s="5">
        <f t="shared" si="2"/>
        <v>4</v>
      </c>
      <c r="F61" s="17">
        <v>0</v>
      </c>
      <c r="G61" s="17">
        <v>0</v>
      </c>
      <c r="H61" s="6">
        <v>0</v>
      </c>
      <c r="J61" s="14" t="str">
        <f t="shared" si="3"/>
        <v>[10, 'C1', 4, 4, 0, 0, 0],</v>
      </c>
    </row>
    <row r="62" spans="1:10" x14ac:dyDescent="0.3">
      <c r="A62" s="3"/>
      <c r="B62" s="11">
        <v>11</v>
      </c>
      <c r="C62" s="11" t="s">
        <v>2</v>
      </c>
      <c r="D62" s="6">
        <v>0</v>
      </c>
      <c r="E62" s="5">
        <f t="shared" si="2"/>
        <v>0</v>
      </c>
      <c r="F62" s="17">
        <v>0</v>
      </c>
      <c r="G62" s="17">
        <v>0</v>
      </c>
      <c r="H62" s="6">
        <v>0</v>
      </c>
      <c r="J62" s="14" t="str">
        <f t="shared" si="3"/>
        <v>[11, 'C2', 0, 0, 0, 0, 0],</v>
      </c>
    </row>
    <row r="63" spans="1:10" x14ac:dyDescent="0.3">
      <c r="A63" s="3"/>
      <c r="B63" s="11">
        <v>12</v>
      </c>
      <c r="C63" s="11" t="s">
        <v>3</v>
      </c>
      <c r="D63" s="6">
        <v>8</v>
      </c>
      <c r="E63" s="5">
        <f t="shared" si="2"/>
        <v>8</v>
      </c>
      <c r="F63" s="17">
        <v>0</v>
      </c>
      <c r="G63" s="17">
        <v>0</v>
      </c>
      <c r="H63" s="6">
        <v>0</v>
      </c>
      <c r="J63" s="14" t="str">
        <f t="shared" si="3"/>
        <v>[12, 'C3', 8, 8, 0, 0, 0],</v>
      </c>
    </row>
    <row r="64" spans="1:10" x14ac:dyDescent="0.3">
      <c r="A64" s="3"/>
      <c r="B64" s="11">
        <v>20</v>
      </c>
      <c r="C64" s="11" t="s">
        <v>4</v>
      </c>
      <c r="D64" s="6">
        <v>17</v>
      </c>
      <c r="E64" s="5">
        <f t="shared" si="2"/>
        <v>0</v>
      </c>
      <c r="F64" s="17">
        <v>4</v>
      </c>
      <c r="G64" s="17">
        <v>3</v>
      </c>
      <c r="H64" s="6">
        <v>0</v>
      </c>
      <c r="J64" s="14" t="str">
        <f t="shared" si="3"/>
        <v>[20, 'M1', 17, 0, 4, 3, 0],</v>
      </c>
    </row>
    <row r="65" spans="1:10" x14ac:dyDescent="0.3">
      <c r="A65" s="3"/>
      <c r="B65" s="11">
        <v>21</v>
      </c>
      <c r="C65" s="11" t="s">
        <v>5</v>
      </c>
      <c r="D65" s="6">
        <v>30</v>
      </c>
      <c r="E65" s="5">
        <f t="shared" si="2"/>
        <v>0</v>
      </c>
      <c r="F65" s="17">
        <v>6</v>
      </c>
      <c r="G65" s="17">
        <v>6</v>
      </c>
      <c r="H65" s="6">
        <v>0</v>
      </c>
      <c r="J65" s="14" t="str">
        <f t="shared" si="3"/>
        <v>[21, 'M2', 30, 0, 6, 6,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17</v>
      </c>
      <c r="E73" s="5">
        <f t="shared" si="2"/>
        <v>17</v>
      </c>
      <c r="F73" s="17">
        <v>0</v>
      </c>
      <c r="G73" s="17">
        <v>0</v>
      </c>
      <c r="H73" s="6">
        <v>0</v>
      </c>
      <c r="J73" s="14" t="str">
        <f t="shared" si="3"/>
        <v>[34, 'TE', 17, 17,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3</v>
      </c>
      <c r="E79" s="5">
        <f t="shared" si="4"/>
        <v>3</v>
      </c>
      <c r="F79" s="17">
        <v>0</v>
      </c>
      <c r="G79" s="17">
        <v>0</v>
      </c>
      <c r="H79" s="6">
        <v>0</v>
      </c>
      <c r="J79" s="14" t="str">
        <f t="shared" si="5"/>
        <v>[10, 'C1', 3, 3, 0, 0, 0],</v>
      </c>
    </row>
    <row r="80" spans="1:10" x14ac:dyDescent="0.3">
      <c r="A80" s="3"/>
      <c r="B80" s="11">
        <v>11</v>
      </c>
      <c r="C80" s="11" t="s">
        <v>2</v>
      </c>
      <c r="D80" s="6">
        <v>10</v>
      </c>
      <c r="E80" s="5">
        <f t="shared" si="4"/>
        <v>10</v>
      </c>
      <c r="F80" s="17">
        <v>0</v>
      </c>
      <c r="G80" s="17">
        <v>0</v>
      </c>
      <c r="H80" s="6">
        <v>0</v>
      </c>
      <c r="J80" s="14" t="str">
        <f t="shared" si="5"/>
        <v>[11, 'C2', 10, 10, 0, 0, 0],</v>
      </c>
    </row>
    <row r="81" spans="1:10" x14ac:dyDescent="0.3">
      <c r="A81" s="3"/>
      <c r="B81" s="11">
        <v>12</v>
      </c>
      <c r="C81" s="11" t="s">
        <v>3</v>
      </c>
      <c r="D81" s="6">
        <v>28</v>
      </c>
      <c r="E81" s="5">
        <f t="shared" si="4"/>
        <v>28</v>
      </c>
      <c r="F81" s="17">
        <v>0</v>
      </c>
      <c r="G81" s="17">
        <v>0</v>
      </c>
      <c r="H81" s="6">
        <v>0</v>
      </c>
      <c r="J81" s="14" t="str">
        <f t="shared" si="5"/>
        <v>[12, 'C3', 28, 28, 0, 0, 0],</v>
      </c>
    </row>
    <row r="82" spans="1:10" x14ac:dyDescent="0.3">
      <c r="A82" s="3"/>
      <c r="B82" s="11">
        <v>20</v>
      </c>
      <c r="C82" s="11" t="s">
        <v>4</v>
      </c>
      <c r="D82" s="6">
        <v>16</v>
      </c>
      <c r="E82" s="5">
        <f t="shared" si="4"/>
        <v>0</v>
      </c>
      <c r="F82" s="17">
        <v>5</v>
      </c>
      <c r="G82" s="17">
        <v>2</v>
      </c>
      <c r="H82" s="6">
        <v>0</v>
      </c>
      <c r="J82" s="14" t="str">
        <f t="shared" si="5"/>
        <v>[20, 'M1', 16, 0, 5, 2, 0],</v>
      </c>
    </row>
    <row r="83" spans="1:10" x14ac:dyDescent="0.3">
      <c r="A83" s="3"/>
      <c r="B83" s="11">
        <v>21</v>
      </c>
      <c r="C83" s="11" t="s">
        <v>5</v>
      </c>
      <c r="D83" s="6">
        <v>28</v>
      </c>
      <c r="E83" s="5">
        <f t="shared" si="4"/>
        <v>0</v>
      </c>
      <c r="F83" s="17">
        <v>11</v>
      </c>
      <c r="G83" s="17">
        <v>2</v>
      </c>
      <c r="H83" s="6">
        <v>0</v>
      </c>
      <c r="J83" s="14" t="str">
        <f t="shared" si="5"/>
        <v>[21, 'M2', 28, 0, 11, 2, 0],</v>
      </c>
    </row>
    <row r="84" spans="1:10" x14ac:dyDescent="0.3">
      <c r="A84" s="3"/>
      <c r="B84" s="11">
        <v>22</v>
      </c>
      <c r="C84" s="11" t="s">
        <v>6</v>
      </c>
      <c r="D84" s="6">
        <v>28</v>
      </c>
      <c r="E84" s="5">
        <f t="shared" si="4"/>
        <v>0</v>
      </c>
      <c r="F84" s="17">
        <v>11</v>
      </c>
      <c r="G84" s="17">
        <v>2</v>
      </c>
      <c r="H84" s="6">
        <v>0</v>
      </c>
      <c r="J84" s="14" t="str">
        <f t="shared" si="5"/>
        <v>[22, 'M3', 28, 0, 11, 2, 0],</v>
      </c>
    </row>
    <row r="85" spans="1:10" x14ac:dyDescent="0.3">
      <c r="A85" s="3"/>
      <c r="B85" s="11">
        <v>23</v>
      </c>
      <c r="C85" s="11" t="s">
        <v>7</v>
      </c>
      <c r="D85" s="6">
        <v>14</v>
      </c>
      <c r="E85" s="5">
        <f t="shared" si="4"/>
        <v>0</v>
      </c>
      <c r="F85" s="17">
        <v>4</v>
      </c>
      <c r="G85" s="17">
        <v>2</v>
      </c>
      <c r="H85" s="6">
        <v>0</v>
      </c>
      <c r="J85" s="14" t="str">
        <f t="shared" si="5"/>
        <v>[23, 'M4', 14, 0, 4, 2, 0],</v>
      </c>
    </row>
    <row r="86" spans="1:10" x14ac:dyDescent="0.3">
      <c r="A86" s="3"/>
      <c r="B86" s="11">
        <v>24</v>
      </c>
      <c r="C86" s="11" t="s">
        <v>8</v>
      </c>
      <c r="D86" s="6">
        <v>16</v>
      </c>
      <c r="E86" s="5">
        <f t="shared" si="4"/>
        <v>0</v>
      </c>
      <c r="F86" s="17">
        <v>5</v>
      </c>
      <c r="G86" s="17">
        <v>2</v>
      </c>
      <c r="H86" s="6">
        <v>0</v>
      </c>
      <c r="J86" s="14" t="str">
        <f t="shared" si="5"/>
        <v>[24, 'M5', 16, 0, 5, 2, 0],</v>
      </c>
    </row>
    <row r="87" spans="1:10" x14ac:dyDescent="0.3">
      <c r="A87" s="3"/>
      <c r="B87" s="11">
        <v>30</v>
      </c>
      <c r="C87" s="11" t="s">
        <v>9</v>
      </c>
      <c r="D87" s="6">
        <v>20</v>
      </c>
      <c r="E87" s="5">
        <f t="shared" si="4"/>
        <v>20</v>
      </c>
      <c r="F87" s="17">
        <v>0</v>
      </c>
      <c r="G87" s="17">
        <v>0</v>
      </c>
      <c r="H87" s="6">
        <v>0</v>
      </c>
      <c r="J87" s="14" t="str">
        <f t="shared" si="5"/>
        <v>[30, 'A', 20, 20, 0, 0, 0],</v>
      </c>
    </row>
    <row r="88" spans="1:10" x14ac:dyDescent="0.3">
      <c r="A88" s="3"/>
      <c r="B88" s="11">
        <v>31</v>
      </c>
      <c r="C88" s="11" t="s">
        <v>10</v>
      </c>
      <c r="D88" s="6">
        <v>16</v>
      </c>
      <c r="E88" s="5">
        <f t="shared" si="4"/>
        <v>16</v>
      </c>
      <c r="F88" s="17">
        <v>0</v>
      </c>
      <c r="G88" s="17">
        <v>0</v>
      </c>
      <c r="H88" s="6">
        <v>0</v>
      </c>
      <c r="J88" s="14" t="str">
        <f t="shared" si="5"/>
        <v>[31, 'K', 16, 16, 0, 0, 0],</v>
      </c>
    </row>
    <row r="89" spans="1:10" x14ac:dyDescent="0.3">
      <c r="A89" s="3"/>
      <c r="B89" s="11">
        <v>32</v>
      </c>
      <c r="C89" s="11" t="s">
        <v>11</v>
      </c>
      <c r="D89" s="6">
        <v>20</v>
      </c>
      <c r="E89" s="5">
        <f t="shared" si="4"/>
        <v>20</v>
      </c>
      <c r="F89" s="17">
        <v>0</v>
      </c>
      <c r="G89" s="17">
        <v>0</v>
      </c>
      <c r="H89" s="6">
        <v>0</v>
      </c>
      <c r="J89" s="14" t="str">
        <f t="shared" si="5"/>
        <v>[32, 'Q', 20, 20, 0, 0, 0],</v>
      </c>
    </row>
    <row r="90" spans="1:10" x14ac:dyDescent="0.3">
      <c r="A90" s="3"/>
      <c r="B90" s="11">
        <v>33</v>
      </c>
      <c r="C90" s="11" t="s">
        <v>12</v>
      </c>
      <c r="D90" s="6">
        <v>22</v>
      </c>
      <c r="E90" s="5">
        <f t="shared" si="4"/>
        <v>22</v>
      </c>
      <c r="F90" s="17">
        <v>0</v>
      </c>
      <c r="G90" s="17">
        <v>0</v>
      </c>
      <c r="H90" s="6">
        <v>0</v>
      </c>
      <c r="J90" s="14" t="str">
        <f t="shared" si="5"/>
        <v>[33, 'J', 22, 22, 0, 0, 0],</v>
      </c>
    </row>
    <row r="91" spans="1:10" x14ac:dyDescent="0.3">
      <c r="A91" s="3"/>
      <c r="B91" s="11">
        <v>34</v>
      </c>
      <c r="C91" s="11" t="s">
        <v>13</v>
      </c>
      <c r="D91" s="6">
        <v>23</v>
      </c>
      <c r="E91" s="5">
        <f t="shared" si="4"/>
        <v>23</v>
      </c>
      <c r="F91" s="17">
        <v>0</v>
      </c>
      <c r="G91" s="17">
        <v>0</v>
      </c>
      <c r="H91" s="6">
        <v>0</v>
      </c>
      <c r="J91" s="14" t="str">
        <f t="shared" si="5"/>
        <v>[34, 'TE', 23, 23,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4</v>
      </c>
      <c r="E97" s="5">
        <f t="shared" si="6"/>
        <v>4</v>
      </c>
      <c r="F97" s="17">
        <v>0</v>
      </c>
      <c r="G97" s="17">
        <v>0</v>
      </c>
      <c r="H97" s="6">
        <v>0</v>
      </c>
      <c r="J97" s="14" t="str">
        <f t="shared" si="7"/>
        <v>[10, 'C1', 4, 4, 0, 0, 0],</v>
      </c>
    </row>
    <row r="98" spans="1:10" x14ac:dyDescent="0.3">
      <c r="A98" s="3"/>
      <c r="B98" s="11">
        <v>11</v>
      </c>
      <c r="C98" s="11" t="s">
        <v>2</v>
      </c>
      <c r="D98" s="6">
        <v>0</v>
      </c>
      <c r="E98" s="5">
        <f t="shared" si="6"/>
        <v>0</v>
      </c>
      <c r="F98" s="17">
        <v>0</v>
      </c>
      <c r="G98" s="17">
        <v>0</v>
      </c>
      <c r="H98" s="6">
        <v>0</v>
      </c>
      <c r="J98" s="14" t="str">
        <f t="shared" si="7"/>
        <v>[11, 'C2', 0, 0, 0, 0, 0],</v>
      </c>
    </row>
    <row r="99" spans="1:10" x14ac:dyDescent="0.3">
      <c r="A99" s="3"/>
      <c r="B99" s="11">
        <v>12</v>
      </c>
      <c r="C99" s="11" t="s">
        <v>3</v>
      </c>
      <c r="D99" s="6">
        <v>9</v>
      </c>
      <c r="E99" s="5">
        <f t="shared" si="6"/>
        <v>9</v>
      </c>
      <c r="F99" s="17">
        <v>0</v>
      </c>
      <c r="G99" s="17">
        <v>0</v>
      </c>
      <c r="H99" s="6">
        <v>0</v>
      </c>
      <c r="J99" s="14" t="str">
        <f t="shared" si="7"/>
        <v>[12, 'C3', 9, 9, 0, 0, 0],</v>
      </c>
    </row>
    <row r="100" spans="1:10" x14ac:dyDescent="0.3">
      <c r="A100" s="3"/>
      <c r="B100" s="11">
        <v>20</v>
      </c>
      <c r="C100" s="11" t="s">
        <v>4</v>
      </c>
      <c r="D100" s="6">
        <v>13</v>
      </c>
      <c r="E100" s="5">
        <f t="shared" si="6"/>
        <v>0</v>
      </c>
      <c r="F100" s="17">
        <v>2</v>
      </c>
      <c r="G100" s="17">
        <v>3</v>
      </c>
      <c r="H100" s="6">
        <v>0</v>
      </c>
      <c r="J100" s="14" t="str">
        <f t="shared" si="7"/>
        <v>[20, 'M1', 13, 0, 2, 3, 0],</v>
      </c>
    </row>
    <row r="101" spans="1:10" x14ac:dyDescent="0.3">
      <c r="A101" s="3"/>
      <c r="B101" s="11">
        <v>21</v>
      </c>
      <c r="C101" s="11" t="s">
        <v>5</v>
      </c>
      <c r="D101" s="6">
        <v>24</v>
      </c>
      <c r="E101" s="5">
        <f t="shared" si="6"/>
        <v>0</v>
      </c>
      <c r="F101" s="17">
        <v>9</v>
      </c>
      <c r="G101" s="17">
        <v>2</v>
      </c>
      <c r="H101" s="6">
        <v>0</v>
      </c>
      <c r="J101" s="14" t="str">
        <f t="shared" si="7"/>
        <v>[21, 'M2', 24, 0, 9, 2, 0],</v>
      </c>
    </row>
    <row r="102" spans="1:10" x14ac:dyDescent="0.3">
      <c r="A102" s="3"/>
      <c r="B102" s="11">
        <v>22</v>
      </c>
      <c r="C102" s="11" t="s">
        <v>6</v>
      </c>
      <c r="D102" s="6">
        <v>24</v>
      </c>
      <c r="E102" s="5">
        <f t="shared" si="6"/>
        <v>0</v>
      </c>
      <c r="F102" s="17">
        <v>9</v>
      </c>
      <c r="G102" s="17">
        <v>2</v>
      </c>
      <c r="H102" s="6">
        <v>0</v>
      </c>
      <c r="J102" s="14" t="str">
        <f t="shared" si="7"/>
        <v>[22, 'M3', 24, 0, 9, 2, 0],</v>
      </c>
    </row>
    <row r="103" spans="1:10" x14ac:dyDescent="0.3">
      <c r="A103" s="3"/>
      <c r="B103" s="11">
        <v>23</v>
      </c>
      <c r="C103" s="11" t="s">
        <v>7</v>
      </c>
      <c r="D103" s="6">
        <v>22</v>
      </c>
      <c r="E103" s="5">
        <f t="shared" si="6"/>
        <v>0</v>
      </c>
      <c r="F103" s="17">
        <v>8</v>
      </c>
      <c r="G103" s="17">
        <v>2</v>
      </c>
      <c r="H103" s="6">
        <v>0</v>
      </c>
      <c r="J103" s="14" t="str">
        <f t="shared" si="7"/>
        <v>[23, 'M4', 22, 0, 8, 2, 0],</v>
      </c>
    </row>
    <row r="104" spans="1:10" x14ac:dyDescent="0.3">
      <c r="A104" s="3"/>
      <c r="B104" s="11">
        <v>24</v>
      </c>
      <c r="C104" s="11" t="s">
        <v>8</v>
      </c>
      <c r="D104" s="6">
        <v>22</v>
      </c>
      <c r="E104" s="5">
        <f t="shared" si="6"/>
        <v>0</v>
      </c>
      <c r="F104" s="17">
        <v>8</v>
      </c>
      <c r="G104" s="17">
        <v>2</v>
      </c>
      <c r="H104" s="6">
        <v>0</v>
      </c>
      <c r="J104" s="14" t="str">
        <f t="shared" si="7"/>
        <v>[24, 'M5', 22, 0, 8, 2, 0],</v>
      </c>
    </row>
    <row r="105" spans="1:10" x14ac:dyDescent="0.3">
      <c r="A105" s="3"/>
      <c r="B105" s="11">
        <v>30</v>
      </c>
      <c r="C105" s="11" t="s">
        <v>9</v>
      </c>
      <c r="D105" s="6">
        <v>15</v>
      </c>
      <c r="E105" s="5">
        <f t="shared" si="6"/>
        <v>15</v>
      </c>
      <c r="F105" s="17">
        <v>0</v>
      </c>
      <c r="G105" s="17">
        <v>0</v>
      </c>
      <c r="H105" s="6">
        <v>0</v>
      </c>
      <c r="J105" s="14" t="str">
        <f t="shared" si="7"/>
        <v>[30, 'A', 15, 15, 0, 0, 0],</v>
      </c>
    </row>
    <row r="106" spans="1:10" x14ac:dyDescent="0.3">
      <c r="A106" s="3"/>
      <c r="B106" s="11">
        <v>31</v>
      </c>
      <c r="C106" s="11" t="s">
        <v>10</v>
      </c>
      <c r="D106" s="6">
        <v>20</v>
      </c>
      <c r="E106" s="5">
        <f t="shared" si="6"/>
        <v>20</v>
      </c>
      <c r="F106" s="17">
        <v>0</v>
      </c>
      <c r="G106" s="17">
        <v>0</v>
      </c>
      <c r="H106" s="6">
        <v>0</v>
      </c>
      <c r="J106" s="14" t="str">
        <f t="shared" si="7"/>
        <v>[31, 'K', 20, 20, 0, 0, 0],</v>
      </c>
    </row>
    <row r="107" spans="1:10" x14ac:dyDescent="0.3">
      <c r="A107" s="3"/>
      <c r="B107" s="11">
        <v>32</v>
      </c>
      <c r="C107" s="11" t="s">
        <v>11</v>
      </c>
      <c r="D107" s="6">
        <v>15</v>
      </c>
      <c r="E107" s="5">
        <f t="shared" si="6"/>
        <v>15</v>
      </c>
      <c r="F107" s="17">
        <v>0</v>
      </c>
      <c r="G107" s="17">
        <v>0</v>
      </c>
      <c r="H107" s="6">
        <v>0</v>
      </c>
      <c r="J107" s="14" t="str">
        <f t="shared" si="7"/>
        <v>[32, 'Q', 15, 15, 0, 0, 0],</v>
      </c>
    </row>
    <row r="108" spans="1:10" x14ac:dyDescent="0.3">
      <c r="A108" s="3"/>
      <c r="B108" s="11">
        <v>33</v>
      </c>
      <c r="C108" s="11" t="s">
        <v>12</v>
      </c>
      <c r="D108" s="6">
        <v>22</v>
      </c>
      <c r="E108" s="5">
        <f t="shared" si="6"/>
        <v>22</v>
      </c>
      <c r="F108" s="17">
        <v>0</v>
      </c>
      <c r="G108" s="17">
        <v>0</v>
      </c>
      <c r="H108" s="6">
        <v>0</v>
      </c>
      <c r="J108" s="14" t="str">
        <f t="shared" si="7"/>
        <v>[33, 'J', 22, 22, 0, 0, 0],</v>
      </c>
    </row>
    <row r="109" spans="1:10" x14ac:dyDescent="0.3">
      <c r="A109" s="3"/>
      <c r="B109" s="11">
        <v>34</v>
      </c>
      <c r="C109" s="11" t="s">
        <v>13</v>
      </c>
      <c r="D109" s="6">
        <v>7</v>
      </c>
      <c r="E109" s="5">
        <f t="shared" si="6"/>
        <v>7</v>
      </c>
      <c r="F109" s="17">
        <v>0</v>
      </c>
      <c r="G109" s="17">
        <v>0</v>
      </c>
      <c r="H109" s="6">
        <v>0</v>
      </c>
      <c r="J109" s="14" t="str">
        <f t="shared" si="7"/>
        <v>[34, 'TE', 7, 7,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2</v>
      </c>
      <c r="E115" s="5">
        <f t="shared" si="8"/>
        <v>2</v>
      </c>
      <c r="F115" s="17">
        <v>0</v>
      </c>
      <c r="G115" s="17">
        <v>0</v>
      </c>
      <c r="H115" s="6">
        <v>0</v>
      </c>
      <c r="J115" s="14" t="str">
        <f t="shared" si="9"/>
        <v>[10, 'C1', 2, 2,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6</v>
      </c>
      <c r="E117" s="5">
        <f t="shared" si="8"/>
        <v>6</v>
      </c>
      <c r="F117" s="17">
        <v>0</v>
      </c>
      <c r="G117" s="17">
        <v>0</v>
      </c>
      <c r="H117" s="6">
        <v>0</v>
      </c>
      <c r="J117" s="14" t="str">
        <f t="shared" si="9"/>
        <v>[12, 'C3', 6, 6, 0, 0, 0],</v>
      </c>
    </row>
    <row r="118" spans="1:10" x14ac:dyDescent="0.3">
      <c r="A118" s="3"/>
      <c r="B118" s="11">
        <v>20</v>
      </c>
      <c r="C118" s="11" t="s">
        <v>4</v>
      </c>
      <c r="D118" s="6">
        <v>11</v>
      </c>
      <c r="E118" s="5">
        <f t="shared" si="8"/>
        <v>0</v>
      </c>
      <c r="F118" s="17">
        <v>4</v>
      </c>
      <c r="G118" s="17">
        <v>1</v>
      </c>
      <c r="H118" s="6">
        <v>0</v>
      </c>
      <c r="J118" s="14" t="str">
        <f t="shared" si="9"/>
        <v>[20, 'M1', 11, 0, 4, 1, 0],</v>
      </c>
    </row>
    <row r="119" spans="1:10" x14ac:dyDescent="0.3">
      <c r="A119" s="3"/>
      <c r="B119" s="11">
        <v>21</v>
      </c>
      <c r="C119" s="11" t="s">
        <v>5</v>
      </c>
      <c r="D119" s="6">
        <v>14</v>
      </c>
      <c r="E119" s="5">
        <f t="shared" si="8"/>
        <v>0</v>
      </c>
      <c r="F119" s="17">
        <v>4</v>
      </c>
      <c r="G119" s="17">
        <v>2</v>
      </c>
      <c r="H119" s="6">
        <v>0</v>
      </c>
      <c r="J119" s="14" t="str">
        <f t="shared" si="9"/>
        <v>[21, 'M2', 14, 0, 4, 2, 0],</v>
      </c>
    </row>
    <row r="120" spans="1:10" x14ac:dyDescent="0.3">
      <c r="A120" s="3"/>
      <c r="B120" s="11">
        <v>22</v>
      </c>
      <c r="C120" s="11" t="s">
        <v>6</v>
      </c>
      <c r="D120" s="6">
        <v>14</v>
      </c>
      <c r="E120" s="5">
        <f t="shared" si="8"/>
        <v>0</v>
      </c>
      <c r="F120" s="17">
        <v>4</v>
      </c>
      <c r="G120" s="17">
        <v>2</v>
      </c>
      <c r="H120" s="6">
        <v>0</v>
      </c>
      <c r="J120" s="14" t="str">
        <f t="shared" si="9"/>
        <v>[22, 'M3', 14, 0, 4, 2, 0],</v>
      </c>
    </row>
    <row r="121" spans="1:10" x14ac:dyDescent="0.3">
      <c r="A121" s="3"/>
      <c r="B121" s="11">
        <v>23</v>
      </c>
      <c r="C121" s="11" t="s">
        <v>7</v>
      </c>
      <c r="D121" s="6">
        <v>14</v>
      </c>
      <c r="E121" s="5">
        <f t="shared" si="8"/>
        <v>0</v>
      </c>
      <c r="F121" s="17">
        <v>4</v>
      </c>
      <c r="G121" s="17">
        <v>2</v>
      </c>
      <c r="H121" s="6">
        <v>0</v>
      </c>
      <c r="J121" s="14" t="str">
        <f t="shared" si="9"/>
        <v>[23, 'M4', 14, 0, 4, 2, 0],</v>
      </c>
    </row>
    <row r="122" spans="1:10" x14ac:dyDescent="0.3">
      <c r="A122" s="3"/>
      <c r="B122" s="11">
        <v>24</v>
      </c>
      <c r="C122" s="11" t="s">
        <v>8</v>
      </c>
      <c r="D122" s="6">
        <v>17</v>
      </c>
      <c r="E122" s="5">
        <f t="shared" si="8"/>
        <v>0</v>
      </c>
      <c r="F122" s="17">
        <v>4</v>
      </c>
      <c r="G122" s="17">
        <v>3</v>
      </c>
      <c r="H122" s="6">
        <v>0</v>
      </c>
      <c r="J122" s="14" t="str">
        <f t="shared" si="9"/>
        <v>[24, 'M5', 17, 0, 4, 3, 0],</v>
      </c>
    </row>
    <row r="123" spans="1:10" x14ac:dyDescent="0.3">
      <c r="A123" s="3"/>
      <c r="B123" s="11">
        <v>30</v>
      </c>
      <c r="C123" s="11" t="s">
        <v>9</v>
      </c>
      <c r="D123" s="6">
        <v>8</v>
      </c>
      <c r="E123" s="5">
        <f t="shared" si="8"/>
        <v>8</v>
      </c>
      <c r="F123" s="17">
        <v>0</v>
      </c>
      <c r="G123" s="17">
        <v>0</v>
      </c>
      <c r="H123" s="6">
        <v>0</v>
      </c>
      <c r="J123" s="14" t="str">
        <f t="shared" si="9"/>
        <v>[30, 'A', 8, 8, 0, 0, 0],</v>
      </c>
    </row>
    <row r="124" spans="1:10" x14ac:dyDescent="0.3">
      <c r="A124" s="3"/>
      <c r="B124" s="11">
        <v>31</v>
      </c>
      <c r="C124" s="11" t="s">
        <v>10</v>
      </c>
      <c r="D124" s="6">
        <v>12</v>
      </c>
      <c r="E124" s="5">
        <f t="shared" si="8"/>
        <v>12</v>
      </c>
      <c r="F124" s="17">
        <v>0</v>
      </c>
      <c r="G124" s="17">
        <v>0</v>
      </c>
      <c r="H124" s="6">
        <v>0</v>
      </c>
      <c r="J124" s="14" t="str">
        <f t="shared" si="9"/>
        <v>[31, 'K', 12, 12, 0, 0, 0],</v>
      </c>
    </row>
    <row r="125" spans="1:10" x14ac:dyDescent="0.3">
      <c r="A125" s="3"/>
      <c r="B125" s="11">
        <v>32</v>
      </c>
      <c r="C125" s="11" t="s">
        <v>11</v>
      </c>
      <c r="D125" s="6">
        <v>8</v>
      </c>
      <c r="E125" s="5">
        <f t="shared" si="8"/>
        <v>8</v>
      </c>
      <c r="F125" s="17">
        <v>0</v>
      </c>
      <c r="G125" s="17">
        <v>0</v>
      </c>
      <c r="H125" s="6">
        <v>0</v>
      </c>
      <c r="J125" s="14" t="str">
        <f t="shared" si="9"/>
        <v>[32, 'Q', 8, 8, 0, 0, 0],</v>
      </c>
    </row>
    <row r="126" spans="1:10" x14ac:dyDescent="0.3">
      <c r="A126" s="3"/>
      <c r="B126" s="11">
        <v>33</v>
      </c>
      <c r="C126" s="11" t="s">
        <v>12</v>
      </c>
      <c r="D126" s="6">
        <v>12</v>
      </c>
      <c r="E126" s="5">
        <f t="shared" si="8"/>
        <v>12</v>
      </c>
      <c r="F126" s="17">
        <v>0</v>
      </c>
      <c r="G126" s="17">
        <v>0</v>
      </c>
      <c r="H126" s="6">
        <v>0</v>
      </c>
      <c r="J126" s="14" t="str">
        <f t="shared" si="9"/>
        <v>[33, 'J', 12, 12, 0, 0, 0],</v>
      </c>
    </row>
    <row r="127" spans="1:10" x14ac:dyDescent="0.3">
      <c r="A127" s="3"/>
      <c r="B127" s="11">
        <v>34</v>
      </c>
      <c r="C127" s="11" t="s">
        <v>13</v>
      </c>
      <c r="D127" s="6">
        <v>9</v>
      </c>
      <c r="E127" s="5">
        <f t="shared" si="8"/>
        <v>9</v>
      </c>
      <c r="F127" s="17">
        <v>0</v>
      </c>
      <c r="G127" s="17">
        <v>0</v>
      </c>
      <c r="H127" s="6">
        <v>0</v>
      </c>
      <c r="J127" s="14" t="str">
        <f t="shared" si="9"/>
        <v>[34, 'TE', 9, 9,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U42:U55 L58 P95:Q109 N58:O58 K77:L91 Q58:R58 K95:L95 J92:L92 K111:P111 P110 N112:P112 N96:O110 J60:J73 J78:J91 J96:L110 J114:J127 A3:A7 S3:AA6 Z7:AA10 Y12:AA12 A8:L8 A39:I39 A9:G10 H10:R10 Q110:R127 Q76:R76 R109 A128:R142 S11:AA11 S13:AA20 S12 A22:AA38 A40:Z40 B1:AA1 A2:AA2 M21:AA21 S7:T10 A143:AA1048576 K39:AA39 A41:E127 H9 J9:R9 H20:R20 M11:R19 A20:G21 A11:A19 H58:I127 H57:R57 H42:L56 H41:I41">
    <cfRule type="cellIs" dxfId="87" priority="21" operator="equal">
      <formula>0</formula>
    </cfRule>
  </conditionalFormatting>
  <conditionalFormatting sqref="J74">
    <cfRule type="cellIs" dxfId="86" priority="20" operator="equal">
      <formula>0</formula>
    </cfRule>
  </conditionalFormatting>
  <conditionalFormatting sqref="E41:E127">
    <cfRule type="cellIs" dxfId="85" priority="19" operator="lessThan">
      <formula>0</formula>
    </cfRule>
  </conditionalFormatting>
  <conditionalFormatting sqref="U7:Y10">
    <cfRule type="cellIs" dxfId="84" priority="18" operator="equal">
      <formula>0</formula>
    </cfRule>
  </conditionalFormatting>
  <conditionalFormatting sqref="B20:F20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{3D7BED7A-85BF-4D88-80EE-CC83C594936B}</x14:id>
        </ext>
      </extLst>
    </cfRule>
  </conditionalFormatting>
  <conditionalFormatting sqref="H5:L5">
    <cfRule type="cellIs" dxfId="83" priority="16" operator="equal">
      <formula>0</formula>
    </cfRule>
  </conditionalFormatting>
  <conditionalFormatting sqref="P8:Q8 M8:N8">
    <cfRule type="cellIs" dxfId="82" priority="15" operator="equal">
      <formula>0</formula>
    </cfRule>
  </conditionalFormatting>
  <conditionalFormatting sqref="B3:F7">
    <cfRule type="cellIs" dxfId="81" priority="13" operator="equal">
      <formula>0</formula>
    </cfRule>
  </conditionalFormatting>
  <conditionalFormatting sqref="I9">
    <cfRule type="cellIs" dxfId="80" priority="12" operator="equal">
      <formula>0</formula>
    </cfRule>
  </conditionalFormatting>
  <conditionalFormatting sqref="H6:L6">
    <cfRule type="cellIs" dxfId="79" priority="11" operator="equal">
      <formula>0</formula>
    </cfRule>
  </conditionalFormatting>
  <conditionalFormatting sqref="H4:L4">
    <cfRule type="cellIs" dxfId="78" priority="10" operator="equal">
      <formula>0</formula>
    </cfRule>
  </conditionalFormatting>
  <conditionalFormatting sqref="B11:L15 B16:K19">
    <cfRule type="cellIs" dxfId="77" priority="9" operator="equal">
      <formula>0</formula>
    </cfRule>
  </conditionalFormatting>
  <conditionalFormatting sqref="B11:F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{D3ABDA0E-D5E4-408D-9177-C97B08187E83}</x14:id>
        </ext>
      </extLst>
    </cfRule>
  </conditionalFormatting>
  <conditionalFormatting sqref="L16:L19">
    <cfRule type="cellIs" dxfId="76" priority="7" operator="equal">
      <formula>0</formula>
    </cfRule>
  </conditionalFormatting>
  <conditionalFormatting sqref="F41:G50 F56:G68 G51:G55 G69:G73 F92:G104 G87:G91 F110:G122 G105:G109 G123:G127 F74:G86">
    <cfRule type="cellIs" dxfId="75" priority="6" operator="equal">
      <formula>0</formula>
    </cfRule>
  </conditionalFormatting>
  <conditionalFormatting sqref="F105:F109">
    <cfRule type="cellIs" dxfId="74" priority="5" operator="equal">
      <formula>0</formula>
    </cfRule>
  </conditionalFormatting>
  <conditionalFormatting sqref="F123:F127">
    <cfRule type="cellIs" dxfId="73" priority="4" operator="equal">
      <formula>0</formula>
    </cfRule>
  </conditionalFormatting>
  <conditionalFormatting sqref="F87:F91">
    <cfRule type="cellIs" dxfId="72" priority="3" operator="equal">
      <formula>0</formula>
    </cfRule>
  </conditionalFormatting>
  <conditionalFormatting sqref="F69:F73">
    <cfRule type="cellIs" dxfId="71" priority="2" operator="equal">
      <formula>0</formula>
    </cfRule>
  </conditionalFormatting>
  <conditionalFormatting sqref="F51:F55">
    <cfRule type="cellIs" dxfId="70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7BED7A-85BF-4D88-80EE-CC83C59493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B20:F20</xm:sqref>
        </x14:conditionalFormatting>
        <x14:conditionalFormatting xmlns:xm="http://schemas.microsoft.com/office/excel/2006/main">
          <x14:cfRule type="dataBar" id="{D3ABDA0E-D5E4-408D-9177-C97B08187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4EFC-DDF3-4669-A524-39A3F6896FCE}">
  <sheetPr codeName="工作表6"/>
  <dimension ref="A1:R128"/>
  <sheetViews>
    <sheetView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20" width="8.6640625" style="3"/>
    <col min="21" max="25" width="7" style="3" customWidth="1"/>
    <col min="26" max="16384" width="8.6640625" style="3"/>
  </cols>
  <sheetData>
    <row r="1" spans="1:18" x14ac:dyDescent="0.3">
      <c r="A1" s="1" t="s">
        <v>33</v>
      </c>
      <c r="B1" s="1">
        <v>5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2</v>
      </c>
      <c r="C4" s="21">
        <v>4</v>
      </c>
      <c r="D4" s="21">
        <v>3</v>
      </c>
      <c r="E4" s="21">
        <v>4</v>
      </c>
      <c r="F4" s="21">
        <v>2</v>
      </c>
      <c r="H4" s="17">
        <v>2</v>
      </c>
      <c r="I4" s="17">
        <v>4</v>
      </c>
      <c r="J4" s="17">
        <v>3</v>
      </c>
      <c r="K4" s="17">
        <v>4</v>
      </c>
      <c r="L4" s="17">
        <v>2</v>
      </c>
      <c r="N4" s="6">
        <v>2</v>
      </c>
      <c r="O4" s="6">
        <v>4</v>
      </c>
      <c r="P4" s="6">
        <v>3</v>
      </c>
      <c r="Q4" s="6">
        <v>4</v>
      </c>
      <c r="R4" s="6">
        <v>2</v>
      </c>
    </row>
    <row r="5" spans="1:18" x14ac:dyDescent="0.3">
      <c r="A5" s="1" t="s">
        <v>2</v>
      </c>
      <c r="B5" s="8">
        <v>0</v>
      </c>
      <c r="C5" s="8">
        <v>3</v>
      </c>
      <c r="D5" s="8">
        <v>4</v>
      </c>
      <c r="E5" s="8">
        <v>0</v>
      </c>
      <c r="F5" s="8">
        <v>0</v>
      </c>
      <c r="H5" s="17">
        <v>0</v>
      </c>
      <c r="I5" s="17">
        <v>3</v>
      </c>
      <c r="J5" s="17">
        <v>4</v>
      </c>
      <c r="K5" s="17">
        <v>0</v>
      </c>
      <c r="L5" s="17">
        <v>0</v>
      </c>
      <c r="N5" s="6">
        <v>0</v>
      </c>
      <c r="O5" s="6">
        <v>3</v>
      </c>
      <c r="P5" s="6">
        <v>4</v>
      </c>
      <c r="Q5" s="6">
        <v>0</v>
      </c>
      <c r="R5" s="6">
        <v>0</v>
      </c>
    </row>
    <row r="6" spans="1:18" x14ac:dyDescent="0.3">
      <c r="A6" s="1" t="s">
        <v>3</v>
      </c>
      <c r="B6" s="8">
        <v>5</v>
      </c>
      <c r="C6" s="8">
        <v>4</v>
      </c>
      <c r="D6" s="8">
        <v>28</v>
      </c>
      <c r="E6" s="8">
        <v>7</v>
      </c>
      <c r="F6" s="8">
        <v>4</v>
      </c>
      <c r="H6" s="17">
        <v>5</v>
      </c>
      <c r="I6" s="17">
        <v>4</v>
      </c>
      <c r="J6" s="17">
        <v>28</v>
      </c>
      <c r="K6" s="17">
        <v>7</v>
      </c>
      <c r="L6" s="17">
        <v>4</v>
      </c>
      <c r="N6" s="6">
        <v>5</v>
      </c>
      <c r="O6" s="6">
        <v>4</v>
      </c>
      <c r="P6" s="6">
        <v>28</v>
      </c>
      <c r="Q6" s="6">
        <v>7</v>
      </c>
      <c r="R6" s="6">
        <v>4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93</v>
      </c>
      <c r="C8" s="3">
        <v>209</v>
      </c>
      <c r="D8" s="3">
        <v>215</v>
      </c>
      <c r="E8" s="3">
        <v>189</v>
      </c>
      <c r="F8" s="3">
        <v>124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19"/>
      <c r="I20" s="19"/>
      <c r="J20" s="19"/>
      <c r="K20" s="19"/>
      <c r="L20" s="19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2</v>
      </c>
      <c r="C24" s="8">
        <v>4</v>
      </c>
      <c r="D24" s="8">
        <v>3</v>
      </c>
      <c r="E24" s="8">
        <v>4</v>
      </c>
      <c r="F24" s="8">
        <v>2</v>
      </c>
    </row>
    <row r="25" spans="1:12" x14ac:dyDescent="0.3">
      <c r="A25" s="1" t="s">
        <v>2</v>
      </c>
      <c r="B25" s="8">
        <v>0</v>
      </c>
      <c r="C25" s="7">
        <v>3</v>
      </c>
      <c r="D25" s="7">
        <v>4</v>
      </c>
      <c r="E25" s="7">
        <v>0</v>
      </c>
      <c r="F25" s="8">
        <v>0</v>
      </c>
    </row>
    <row r="26" spans="1:12" x14ac:dyDescent="0.3">
      <c r="A26" s="1" t="s">
        <v>3</v>
      </c>
      <c r="B26" s="8">
        <v>5</v>
      </c>
      <c r="C26" s="8">
        <v>4</v>
      </c>
      <c r="D26" s="8">
        <v>28</v>
      </c>
      <c r="E26" s="8">
        <v>7</v>
      </c>
      <c r="F26" s="8">
        <v>4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17</v>
      </c>
      <c r="D27" s="8">
        <v>17</v>
      </c>
      <c r="E27" s="8">
        <v>13</v>
      </c>
      <c r="F27" s="8">
        <v>11</v>
      </c>
    </row>
    <row r="28" spans="1:12" x14ac:dyDescent="0.3">
      <c r="A28" s="1" t="s">
        <v>5</v>
      </c>
      <c r="B28" s="8">
        <v>8</v>
      </c>
      <c r="C28" s="8">
        <v>30</v>
      </c>
      <c r="D28" s="8">
        <v>29</v>
      </c>
      <c r="E28" s="8">
        <v>24</v>
      </c>
      <c r="F28" s="8">
        <v>14</v>
      </c>
    </row>
    <row r="29" spans="1:12" x14ac:dyDescent="0.3">
      <c r="A29" s="1" t="s">
        <v>6</v>
      </c>
      <c r="B29" s="8">
        <v>14</v>
      </c>
      <c r="C29" s="8">
        <v>22</v>
      </c>
      <c r="D29" s="8">
        <v>29</v>
      </c>
      <c r="E29" s="8">
        <v>24</v>
      </c>
      <c r="F29" s="8">
        <v>14</v>
      </c>
    </row>
    <row r="30" spans="1:12" x14ac:dyDescent="0.3">
      <c r="A30" s="1" t="s">
        <v>7</v>
      </c>
      <c r="B30" s="8">
        <v>12</v>
      </c>
      <c r="C30" s="8">
        <v>22</v>
      </c>
      <c r="D30" s="8">
        <v>14</v>
      </c>
      <c r="E30" s="8">
        <v>22</v>
      </c>
      <c r="F30" s="8">
        <v>14</v>
      </c>
    </row>
    <row r="31" spans="1:12" x14ac:dyDescent="0.3">
      <c r="A31" s="1" t="s">
        <v>8</v>
      </c>
      <c r="B31" s="8">
        <v>12</v>
      </c>
      <c r="C31" s="8">
        <v>16</v>
      </c>
      <c r="D31" s="8">
        <v>17</v>
      </c>
      <c r="E31" s="8">
        <v>22</v>
      </c>
      <c r="F31" s="8">
        <v>17</v>
      </c>
    </row>
    <row r="32" spans="1:12" x14ac:dyDescent="0.3">
      <c r="A32" s="1" t="s">
        <v>9</v>
      </c>
      <c r="B32" s="8">
        <v>5</v>
      </c>
      <c r="C32" s="8">
        <v>24</v>
      </c>
      <c r="D32" s="8">
        <v>21</v>
      </c>
      <c r="E32" s="8">
        <v>15</v>
      </c>
      <c r="F32" s="8">
        <v>8</v>
      </c>
    </row>
    <row r="33" spans="1:10" x14ac:dyDescent="0.3">
      <c r="A33" s="1" t="s">
        <v>10</v>
      </c>
      <c r="B33" s="8">
        <v>10</v>
      </c>
      <c r="C33" s="8">
        <v>22</v>
      </c>
      <c r="D33" s="8">
        <v>17</v>
      </c>
      <c r="E33" s="8">
        <v>20</v>
      </c>
      <c r="F33" s="8">
        <v>12</v>
      </c>
    </row>
    <row r="34" spans="1:10" x14ac:dyDescent="0.3">
      <c r="A34" s="1" t="s">
        <v>11</v>
      </c>
      <c r="B34" s="8">
        <v>9</v>
      </c>
      <c r="C34" s="8">
        <v>16</v>
      </c>
      <c r="D34" s="8">
        <v>21</v>
      </c>
      <c r="E34" s="8">
        <v>15</v>
      </c>
      <c r="F34" s="8">
        <v>8</v>
      </c>
    </row>
    <row r="35" spans="1:10" x14ac:dyDescent="0.3">
      <c r="A35" s="1" t="s">
        <v>12</v>
      </c>
      <c r="B35" s="8">
        <v>10</v>
      </c>
      <c r="C35" s="8">
        <v>16</v>
      </c>
      <c r="D35" s="8">
        <v>23</v>
      </c>
      <c r="E35" s="8">
        <v>22</v>
      </c>
      <c r="F35" s="8">
        <v>12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7</v>
      </c>
      <c r="C36" s="8">
        <v>18</v>
      </c>
      <c r="D36" s="8">
        <v>21</v>
      </c>
      <c r="E36" s="8">
        <v>9</v>
      </c>
      <c r="F36" s="8">
        <v>11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2</v>
      </c>
      <c r="E43" s="5">
        <f t="shared" si="0"/>
        <v>2</v>
      </c>
      <c r="F43" s="17">
        <v>0</v>
      </c>
      <c r="G43" s="17">
        <v>0</v>
      </c>
      <c r="H43" s="6">
        <v>0</v>
      </c>
      <c r="J43" s="14" t="str">
        <f t="shared" si="1"/>
        <v>[10, 'C1', 2, 2,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5</v>
      </c>
      <c r="E45" s="5">
        <f t="shared" si="0"/>
        <v>5</v>
      </c>
      <c r="F45" s="17">
        <v>0</v>
      </c>
      <c r="G45" s="17">
        <v>0</v>
      </c>
      <c r="H45" s="6">
        <v>0</v>
      </c>
      <c r="J45" s="14" t="str">
        <f t="shared" si="1"/>
        <v>[12, 'C3', 5, 5,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14</v>
      </c>
      <c r="E48" s="5">
        <f t="shared" si="0"/>
        <v>0</v>
      </c>
      <c r="F48" s="17">
        <v>4</v>
      </c>
      <c r="G48" s="17">
        <v>2</v>
      </c>
      <c r="H48" s="6">
        <v>0</v>
      </c>
      <c r="J48" s="14" t="str">
        <f t="shared" si="1"/>
        <v>[22, 'M3', 14, 0, 4, 2, 0],</v>
      </c>
    </row>
    <row r="49" spans="1:10" x14ac:dyDescent="0.3">
      <c r="B49" s="11">
        <v>23</v>
      </c>
      <c r="C49" s="11" t="s">
        <v>7</v>
      </c>
      <c r="D49" s="6">
        <v>12</v>
      </c>
      <c r="E49" s="5">
        <f t="shared" si="0"/>
        <v>0</v>
      </c>
      <c r="F49" s="17">
        <v>3</v>
      </c>
      <c r="G49" s="17">
        <v>2</v>
      </c>
      <c r="H49" s="6">
        <v>0</v>
      </c>
      <c r="J49" s="14" t="str">
        <f t="shared" si="1"/>
        <v>[23, 'M4', 12, 0, 3, 2, 0],</v>
      </c>
    </row>
    <row r="50" spans="1:10" x14ac:dyDescent="0.3">
      <c r="A50" s="3"/>
      <c r="B50" s="11">
        <v>24</v>
      </c>
      <c r="C50" s="11" t="s">
        <v>8</v>
      </c>
      <c r="D50" s="6">
        <v>12</v>
      </c>
      <c r="E50" s="5">
        <f t="shared" si="0"/>
        <v>0</v>
      </c>
      <c r="F50" s="17">
        <v>3</v>
      </c>
      <c r="G50" s="17">
        <v>2</v>
      </c>
      <c r="H50" s="6">
        <v>0</v>
      </c>
      <c r="J50" s="14" t="str">
        <f t="shared" si="1"/>
        <v>[24, 'M5', 12, 0, 3, 2,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10</v>
      </c>
      <c r="E52" s="5">
        <f t="shared" si="0"/>
        <v>10</v>
      </c>
      <c r="F52" s="17">
        <v>0</v>
      </c>
      <c r="G52" s="17">
        <v>0</v>
      </c>
      <c r="H52" s="6">
        <v>0</v>
      </c>
      <c r="J52" s="14" t="str">
        <f t="shared" si="1"/>
        <v>[31, 'K', 10, 10, 0, 0, 0],</v>
      </c>
    </row>
    <row r="53" spans="1:10" x14ac:dyDescent="0.3">
      <c r="A53" s="3"/>
      <c r="B53" s="11">
        <v>32</v>
      </c>
      <c r="C53" s="11" t="s">
        <v>11</v>
      </c>
      <c r="D53" s="6">
        <v>9</v>
      </c>
      <c r="E53" s="5">
        <f t="shared" si="0"/>
        <v>9</v>
      </c>
      <c r="F53" s="17">
        <v>0</v>
      </c>
      <c r="G53" s="17">
        <v>0</v>
      </c>
      <c r="H53" s="6">
        <v>0</v>
      </c>
      <c r="J53" s="14" t="str">
        <f t="shared" si="1"/>
        <v>[32, 'Q', 9, 9, 0, 0, 0],</v>
      </c>
    </row>
    <row r="54" spans="1:10" x14ac:dyDescent="0.3">
      <c r="A54" s="3"/>
      <c r="B54" s="11">
        <v>33</v>
      </c>
      <c r="C54" s="11" t="s">
        <v>12</v>
      </c>
      <c r="D54" s="6">
        <v>10</v>
      </c>
      <c r="E54" s="5">
        <f t="shared" si="0"/>
        <v>10</v>
      </c>
      <c r="F54" s="17">
        <v>0</v>
      </c>
      <c r="G54" s="17">
        <v>0</v>
      </c>
      <c r="H54" s="6">
        <v>0</v>
      </c>
      <c r="J54" s="14" t="str">
        <f t="shared" si="1"/>
        <v>[33, 'J', 10, 10, 0, 0, 0],</v>
      </c>
    </row>
    <row r="55" spans="1:10" x14ac:dyDescent="0.3">
      <c r="A55" s="3"/>
      <c r="B55" s="11">
        <v>34</v>
      </c>
      <c r="C55" s="11" t="s">
        <v>13</v>
      </c>
      <c r="D55" s="6">
        <v>7</v>
      </c>
      <c r="E55" s="5">
        <f t="shared" si="0"/>
        <v>7</v>
      </c>
      <c r="F55" s="17">
        <v>0</v>
      </c>
      <c r="G55" s="17">
        <v>0</v>
      </c>
      <c r="H55" s="6">
        <v>0</v>
      </c>
      <c r="J55" s="14" t="str">
        <f t="shared" si="1"/>
        <v>[34, 'TE', 7, 7,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4</v>
      </c>
      <c r="E61" s="5">
        <f t="shared" si="2"/>
        <v>4</v>
      </c>
      <c r="F61" s="17">
        <v>0</v>
      </c>
      <c r="G61" s="17">
        <v>0</v>
      </c>
      <c r="H61" s="6">
        <v>0</v>
      </c>
      <c r="J61" s="14" t="str">
        <f t="shared" si="3"/>
        <v>[10, 'C1', 4, 4, 0, 0, 0],</v>
      </c>
    </row>
    <row r="62" spans="1:10" x14ac:dyDescent="0.3">
      <c r="A62" s="3"/>
      <c r="B62" s="11">
        <v>11</v>
      </c>
      <c r="C62" s="11" t="s">
        <v>2</v>
      </c>
      <c r="D62" s="6">
        <v>3</v>
      </c>
      <c r="E62" s="5">
        <f t="shared" si="2"/>
        <v>3</v>
      </c>
      <c r="F62" s="17">
        <v>0</v>
      </c>
      <c r="G62" s="17">
        <v>0</v>
      </c>
      <c r="H62" s="6">
        <v>0</v>
      </c>
      <c r="J62" s="14" t="str">
        <f t="shared" si="3"/>
        <v>[11, 'C2', 3, 3, 0, 0, 0],</v>
      </c>
    </row>
    <row r="63" spans="1:10" x14ac:dyDescent="0.3">
      <c r="A63" s="3"/>
      <c r="B63" s="11">
        <v>12</v>
      </c>
      <c r="C63" s="11" t="s">
        <v>3</v>
      </c>
      <c r="D63" s="6">
        <v>4</v>
      </c>
      <c r="E63" s="5">
        <f t="shared" si="2"/>
        <v>4</v>
      </c>
      <c r="F63" s="17">
        <v>0</v>
      </c>
      <c r="G63" s="17">
        <v>0</v>
      </c>
      <c r="H63" s="6">
        <v>0</v>
      </c>
      <c r="J63" s="14" t="str">
        <f t="shared" si="3"/>
        <v>[12, 'C3', 4, 4, 0, 0, 0],</v>
      </c>
    </row>
    <row r="64" spans="1:10" x14ac:dyDescent="0.3">
      <c r="A64" s="3"/>
      <c r="B64" s="11">
        <v>20</v>
      </c>
      <c r="C64" s="11" t="s">
        <v>4</v>
      </c>
      <c r="D64" s="6">
        <v>17</v>
      </c>
      <c r="E64" s="5">
        <f t="shared" si="2"/>
        <v>0</v>
      </c>
      <c r="F64" s="17">
        <v>4</v>
      </c>
      <c r="G64" s="17">
        <v>3</v>
      </c>
      <c r="H64" s="6">
        <v>0</v>
      </c>
      <c r="J64" s="14" t="str">
        <f t="shared" si="3"/>
        <v>[20, 'M1', 17, 0, 4, 3, 0],</v>
      </c>
    </row>
    <row r="65" spans="1:10" x14ac:dyDescent="0.3">
      <c r="A65" s="3"/>
      <c r="B65" s="11">
        <v>21</v>
      </c>
      <c r="C65" s="11" t="s">
        <v>5</v>
      </c>
      <c r="D65" s="6">
        <v>30</v>
      </c>
      <c r="E65" s="5">
        <f t="shared" si="2"/>
        <v>0</v>
      </c>
      <c r="F65" s="17">
        <v>6</v>
      </c>
      <c r="G65" s="17">
        <v>6</v>
      </c>
      <c r="H65" s="6">
        <v>0</v>
      </c>
      <c r="J65" s="14" t="str">
        <f t="shared" si="3"/>
        <v>[21, 'M2', 30, 0, 6, 6,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18</v>
      </c>
      <c r="E73" s="5">
        <f t="shared" si="2"/>
        <v>18</v>
      </c>
      <c r="F73" s="17">
        <v>0</v>
      </c>
      <c r="G73" s="17">
        <v>0</v>
      </c>
      <c r="H73" s="6">
        <v>0</v>
      </c>
      <c r="J73" s="14" t="str">
        <f t="shared" si="3"/>
        <v>[34, 'TE', 18, 18,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3</v>
      </c>
      <c r="E79" s="5">
        <f t="shared" si="4"/>
        <v>3</v>
      </c>
      <c r="F79" s="17">
        <v>0</v>
      </c>
      <c r="G79" s="17">
        <v>0</v>
      </c>
      <c r="H79" s="6">
        <v>0</v>
      </c>
      <c r="J79" s="14" t="str">
        <f t="shared" si="5"/>
        <v>[10, 'C1', 3, 3, 0, 0, 0],</v>
      </c>
    </row>
    <row r="80" spans="1:10" x14ac:dyDescent="0.3">
      <c r="A80" s="3"/>
      <c r="B80" s="11">
        <v>11</v>
      </c>
      <c r="C80" s="11" t="s">
        <v>2</v>
      </c>
      <c r="D80" s="6">
        <v>4</v>
      </c>
      <c r="E80" s="5">
        <f t="shared" si="4"/>
        <v>4</v>
      </c>
      <c r="F80" s="17">
        <v>0</v>
      </c>
      <c r="G80" s="17">
        <v>0</v>
      </c>
      <c r="H80" s="6">
        <v>0</v>
      </c>
      <c r="J80" s="14" t="str">
        <f t="shared" si="5"/>
        <v>[11, 'C2', 4, 4, 0, 0, 0],</v>
      </c>
    </row>
    <row r="81" spans="1:10" x14ac:dyDescent="0.3">
      <c r="A81" s="3"/>
      <c r="B81" s="11">
        <v>12</v>
      </c>
      <c r="C81" s="11" t="s">
        <v>3</v>
      </c>
      <c r="D81" s="6">
        <v>28</v>
      </c>
      <c r="E81" s="5">
        <f t="shared" si="4"/>
        <v>28</v>
      </c>
      <c r="F81" s="17">
        <v>0</v>
      </c>
      <c r="G81" s="17">
        <v>0</v>
      </c>
      <c r="H81" s="6">
        <v>0</v>
      </c>
      <c r="J81" s="14" t="str">
        <f t="shared" si="5"/>
        <v>[12, 'C3', 28, 28, 0, 0, 0],</v>
      </c>
    </row>
    <row r="82" spans="1:10" x14ac:dyDescent="0.3">
      <c r="A82" s="3"/>
      <c r="B82" s="11">
        <v>20</v>
      </c>
      <c r="C82" s="11" t="s">
        <v>4</v>
      </c>
      <c r="D82" s="6">
        <v>17</v>
      </c>
      <c r="E82" s="5">
        <f t="shared" si="4"/>
        <v>0</v>
      </c>
      <c r="F82" s="17">
        <v>4</v>
      </c>
      <c r="G82" s="17">
        <v>3</v>
      </c>
      <c r="H82" s="6">
        <v>0</v>
      </c>
      <c r="J82" s="14" t="str">
        <f t="shared" si="5"/>
        <v>[20, 'M1', 17, 0, 4, 3, 0],</v>
      </c>
    </row>
    <row r="83" spans="1:10" x14ac:dyDescent="0.3">
      <c r="A83" s="3"/>
      <c r="B83" s="11">
        <v>21</v>
      </c>
      <c r="C83" s="11" t="s">
        <v>5</v>
      </c>
      <c r="D83" s="6">
        <v>29</v>
      </c>
      <c r="E83" s="5">
        <f t="shared" si="4"/>
        <v>0</v>
      </c>
      <c r="F83" s="17">
        <v>10</v>
      </c>
      <c r="G83" s="17">
        <v>3</v>
      </c>
      <c r="H83" s="6">
        <v>0</v>
      </c>
      <c r="J83" s="14" t="str">
        <f t="shared" si="5"/>
        <v>[21, 'M2', 29, 0, 10, 3, 0],</v>
      </c>
    </row>
    <row r="84" spans="1:10" x14ac:dyDescent="0.3">
      <c r="A84" s="3"/>
      <c r="B84" s="11">
        <v>22</v>
      </c>
      <c r="C84" s="11" t="s">
        <v>6</v>
      </c>
      <c r="D84" s="6">
        <v>29</v>
      </c>
      <c r="E84" s="5">
        <f t="shared" si="4"/>
        <v>0</v>
      </c>
      <c r="F84" s="17">
        <v>10</v>
      </c>
      <c r="G84" s="17">
        <v>3</v>
      </c>
      <c r="H84" s="6">
        <v>0</v>
      </c>
      <c r="J84" s="14" t="str">
        <f t="shared" si="5"/>
        <v>[22, 'M3', 29, 0, 10, 3, 0],</v>
      </c>
    </row>
    <row r="85" spans="1:10" x14ac:dyDescent="0.3">
      <c r="A85" s="3"/>
      <c r="B85" s="11">
        <v>23</v>
      </c>
      <c r="C85" s="11" t="s">
        <v>7</v>
      </c>
      <c r="D85" s="6">
        <v>14</v>
      </c>
      <c r="E85" s="5">
        <f t="shared" si="4"/>
        <v>0</v>
      </c>
      <c r="F85" s="17">
        <v>4</v>
      </c>
      <c r="G85" s="17">
        <v>2</v>
      </c>
      <c r="H85" s="6">
        <v>0</v>
      </c>
      <c r="J85" s="14" t="str">
        <f t="shared" si="5"/>
        <v>[23, 'M4', 14, 0, 4, 2, 0],</v>
      </c>
    </row>
    <row r="86" spans="1:10" x14ac:dyDescent="0.3">
      <c r="A86" s="3"/>
      <c r="B86" s="11">
        <v>24</v>
      </c>
      <c r="C86" s="11" t="s">
        <v>8</v>
      </c>
      <c r="D86" s="6">
        <v>17</v>
      </c>
      <c r="E86" s="5">
        <f t="shared" si="4"/>
        <v>0</v>
      </c>
      <c r="F86" s="17">
        <v>4</v>
      </c>
      <c r="G86" s="17">
        <v>3</v>
      </c>
      <c r="H86" s="6">
        <v>0</v>
      </c>
      <c r="J86" s="14" t="str">
        <f t="shared" si="5"/>
        <v>[24, 'M5', 17, 0, 4, 3, 0],</v>
      </c>
    </row>
    <row r="87" spans="1:10" x14ac:dyDescent="0.3">
      <c r="A87" s="3"/>
      <c r="B87" s="11">
        <v>30</v>
      </c>
      <c r="C87" s="11" t="s">
        <v>9</v>
      </c>
      <c r="D87" s="6">
        <v>21</v>
      </c>
      <c r="E87" s="5">
        <f t="shared" si="4"/>
        <v>21</v>
      </c>
      <c r="F87" s="17">
        <v>0</v>
      </c>
      <c r="G87" s="17">
        <v>0</v>
      </c>
      <c r="H87" s="6">
        <v>0</v>
      </c>
      <c r="J87" s="14" t="str">
        <f t="shared" si="5"/>
        <v>[30, 'A', 21, 21, 0, 0, 0],</v>
      </c>
    </row>
    <row r="88" spans="1:10" x14ac:dyDescent="0.3">
      <c r="A88" s="3"/>
      <c r="B88" s="11">
        <v>31</v>
      </c>
      <c r="C88" s="11" t="s">
        <v>10</v>
      </c>
      <c r="D88" s="6">
        <v>17</v>
      </c>
      <c r="E88" s="5">
        <f t="shared" si="4"/>
        <v>17</v>
      </c>
      <c r="F88" s="17">
        <v>0</v>
      </c>
      <c r="G88" s="17">
        <v>0</v>
      </c>
      <c r="H88" s="6">
        <v>0</v>
      </c>
      <c r="J88" s="14" t="str">
        <f t="shared" si="5"/>
        <v>[31, 'K', 17, 17, 0, 0, 0],</v>
      </c>
    </row>
    <row r="89" spans="1:10" x14ac:dyDescent="0.3">
      <c r="A89" s="3"/>
      <c r="B89" s="11">
        <v>32</v>
      </c>
      <c r="C89" s="11" t="s">
        <v>11</v>
      </c>
      <c r="D89" s="6">
        <v>21</v>
      </c>
      <c r="E89" s="5">
        <f t="shared" si="4"/>
        <v>21</v>
      </c>
      <c r="F89" s="17">
        <v>0</v>
      </c>
      <c r="G89" s="17">
        <v>0</v>
      </c>
      <c r="H89" s="6">
        <v>0</v>
      </c>
      <c r="J89" s="14" t="str">
        <f t="shared" si="5"/>
        <v>[32, 'Q', 21, 21, 0, 0, 0],</v>
      </c>
    </row>
    <row r="90" spans="1:10" x14ac:dyDescent="0.3">
      <c r="A90" s="3"/>
      <c r="B90" s="11">
        <v>33</v>
      </c>
      <c r="C90" s="11" t="s">
        <v>12</v>
      </c>
      <c r="D90" s="6">
        <v>23</v>
      </c>
      <c r="E90" s="5">
        <f t="shared" si="4"/>
        <v>23</v>
      </c>
      <c r="F90" s="17">
        <v>0</v>
      </c>
      <c r="G90" s="17">
        <v>0</v>
      </c>
      <c r="H90" s="6">
        <v>0</v>
      </c>
      <c r="J90" s="14" t="str">
        <f t="shared" si="5"/>
        <v>[33, 'J', 23, 23, 0, 0, 0],</v>
      </c>
    </row>
    <row r="91" spans="1:10" x14ac:dyDescent="0.3">
      <c r="A91" s="3"/>
      <c r="B91" s="11">
        <v>34</v>
      </c>
      <c r="C91" s="11" t="s">
        <v>13</v>
      </c>
      <c r="D91" s="6">
        <v>21</v>
      </c>
      <c r="E91" s="5">
        <f t="shared" si="4"/>
        <v>21</v>
      </c>
      <c r="F91" s="17">
        <v>0</v>
      </c>
      <c r="G91" s="17">
        <v>0</v>
      </c>
      <c r="H91" s="6">
        <v>0</v>
      </c>
      <c r="J91" s="14" t="str">
        <f t="shared" si="5"/>
        <v>[34, 'TE', 21, 21,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4</v>
      </c>
      <c r="E97" s="5">
        <f t="shared" si="6"/>
        <v>4</v>
      </c>
      <c r="F97" s="17">
        <v>0</v>
      </c>
      <c r="G97" s="17">
        <v>0</v>
      </c>
      <c r="H97" s="6">
        <v>0</v>
      </c>
      <c r="J97" s="14" t="str">
        <f t="shared" si="7"/>
        <v>[10, 'C1', 4, 4, 0, 0, 0],</v>
      </c>
    </row>
    <row r="98" spans="1:10" x14ac:dyDescent="0.3">
      <c r="A98" s="3"/>
      <c r="B98" s="11">
        <v>11</v>
      </c>
      <c r="C98" s="11" t="s">
        <v>2</v>
      </c>
      <c r="D98" s="6">
        <v>0</v>
      </c>
      <c r="E98" s="5">
        <f t="shared" si="6"/>
        <v>0</v>
      </c>
      <c r="F98" s="17">
        <v>0</v>
      </c>
      <c r="G98" s="17">
        <v>0</v>
      </c>
      <c r="H98" s="6">
        <v>0</v>
      </c>
      <c r="J98" s="14" t="str">
        <f t="shared" si="7"/>
        <v>[11, 'C2', 0, 0, 0, 0, 0],</v>
      </c>
    </row>
    <row r="99" spans="1:10" x14ac:dyDescent="0.3">
      <c r="A99" s="3"/>
      <c r="B99" s="11">
        <v>12</v>
      </c>
      <c r="C99" s="11" t="s">
        <v>3</v>
      </c>
      <c r="D99" s="6">
        <v>7</v>
      </c>
      <c r="E99" s="5">
        <f t="shared" si="6"/>
        <v>7</v>
      </c>
      <c r="F99" s="17">
        <v>0</v>
      </c>
      <c r="G99" s="17">
        <v>0</v>
      </c>
      <c r="H99" s="6">
        <v>0</v>
      </c>
      <c r="J99" s="14" t="str">
        <f t="shared" si="7"/>
        <v>[12, 'C3', 7, 7, 0, 0, 0],</v>
      </c>
    </row>
    <row r="100" spans="1:10" x14ac:dyDescent="0.3">
      <c r="A100" s="3"/>
      <c r="B100" s="11">
        <v>20</v>
      </c>
      <c r="C100" s="11" t="s">
        <v>4</v>
      </c>
      <c r="D100" s="6">
        <v>13</v>
      </c>
      <c r="E100" s="5">
        <f t="shared" si="6"/>
        <v>0</v>
      </c>
      <c r="F100" s="17">
        <v>2</v>
      </c>
      <c r="G100" s="17">
        <v>3</v>
      </c>
      <c r="H100" s="6">
        <v>0</v>
      </c>
      <c r="J100" s="14" t="str">
        <f t="shared" si="7"/>
        <v>[20, 'M1', 13, 0, 2, 3, 0],</v>
      </c>
    </row>
    <row r="101" spans="1:10" x14ac:dyDescent="0.3">
      <c r="A101" s="3"/>
      <c r="B101" s="11">
        <v>21</v>
      </c>
      <c r="C101" s="11" t="s">
        <v>5</v>
      </c>
      <c r="D101" s="6">
        <v>24</v>
      </c>
      <c r="E101" s="5">
        <f t="shared" si="6"/>
        <v>0</v>
      </c>
      <c r="F101" s="17">
        <v>9</v>
      </c>
      <c r="G101" s="17">
        <v>2</v>
      </c>
      <c r="H101" s="6">
        <v>0</v>
      </c>
      <c r="J101" s="14" t="str">
        <f t="shared" si="7"/>
        <v>[21, 'M2', 24, 0, 9, 2, 0],</v>
      </c>
    </row>
    <row r="102" spans="1:10" x14ac:dyDescent="0.3">
      <c r="A102" s="3"/>
      <c r="B102" s="11">
        <v>22</v>
      </c>
      <c r="C102" s="11" t="s">
        <v>6</v>
      </c>
      <c r="D102" s="6">
        <v>24</v>
      </c>
      <c r="E102" s="5">
        <f t="shared" si="6"/>
        <v>0</v>
      </c>
      <c r="F102" s="17">
        <v>9</v>
      </c>
      <c r="G102" s="17">
        <v>2</v>
      </c>
      <c r="H102" s="6">
        <v>0</v>
      </c>
      <c r="J102" s="14" t="str">
        <f t="shared" si="7"/>
        <v>[22, 'M3', 24, 0, 9, 2, 0],</v>
      </c>
    </row>
    <row r="103" spans="1:10" x14ac:dyDescent="0.3">
      <c r="A103" s="3"/>
      <c r="B103" s="11">
        <v>23</v>
      </c>
      <c r="C103" s="11" t="s">
        <v>7</v>
      </c>
      <c r="D103" s="6">
        <v>22</v>
      </c>
      <c r="E103" s="5">
        <f t="shared" si="6"/>
        <v>0</v>
      </c>
      <c r="F103" s="17">
        <v>8</v>
      </c>
      <c r="G103" s="17">
        <v>2</v>
      </c>
      <c r="H103" s="6">
        <v>0</v>
      </c>
      <c r="J103" s="14" t="str">
        <f t="shared" si="7"/>
        <v>[23, 'M4', 22, 0, 8, 2, 0],</v>
      </c>
    </row>
    <row r="104" spans="1:10" x14ac:dyDescent="0.3">
      <c r="A104" s="3"/>
      <c r="B104" s="11">
        <v>24</v>
      </c>
      <c r="C104" s="11" t="s">
        <v>8</v>
      </c>
      <c r="D104" s="6">
        <v>22</v>
      </c>
      <c r="E104" s="5">
        <f t="shared" si="6"/>
        <v>0</v>
      </c>
      <c r="F104" s="17">
        <v>8</v>
      </c>
      <c r="G104" s="17">
        <v>2</v>
      </c>
      <c r="H104" s="6">
        <v>0</v>
      </c>
      <c r="J104" s="14" t="str">
        <f t="shared" si="7"/>
        <v>[24, 'M5', 22, 0, 8, 2, 0],</v>
      </c>
    </row>
    <row r="105" spans="1:10" x14ac:dyDescent="0.3">
      <c r="A105" s="3"/>
      <c r="B105" s="11">
        <v>30</v>
      </c>
      <c r="C105" s="11" t="s">
        <v>9</v>
      </c>
      <c r="D105" s="6">
        <v>15</v>
      </c>
      <c r="E105" s="5">
        <f t="shared" si="6"/>
        <v>15</v>
      </c>
      <c r="F105" s="17">
        <v>0</v>
      </c>
      <c r="G105" s="17">
        <v>0</v>
      </c>
      <c r="H105" s="6">
        <v>0</v>
      </c>
      <c r="J105" s="14" t="str">
        <f t="shared" si="7"/>
        <v>[30, 'A', 15, 15, 0, 0, 0],</v>
      </c>
    </row>
    <row r="106" spans="1:10" x14ac:dyDescent="0.3">
      <c r="A106" s="3"/>
      <c r="B106" s="11">
        <v>31</v>
      </c>
      <c r="C106" s="11" t="s">
        <v>10</v>
      </c>
      <c r="D106" s="6">
        <v>20</v>
      </c>
      <c r="E106" s="5">
        <f t="shared" si="6"/>
        <v>20</v>
      </c>
      <c r="F106" s="17">
        <v>0</v>
      </c>
      <c r="G106" s="17">
        <v>0</v>
      </c>
      <c r="H106" s="6">
        <v>0</v>
      </c>
      <c r="J106" s="14" t="str">
        <f t="shared" si="7"/>
        <v>[31, 'K', 20, 20, 0, 0, 0],</v>
      </c>
    </row>
    <row r="107" spans="1:10" x14ac:dyDescent="0.3">
      <c r="A107" s="3"/>
      <c r="B107" s="11">
        <v>32</v>
      </c>
      <c r="C107" s="11" t="s">
        <v>11</v>
      </c>
      <c r="D107" s="6">
        <v>15</v>
      </c>
      <c r="E107" s="5">
        <f t="shared" si="6"/>
        <v>15</v>
      </c>
      <c r="F107" s="17">
        <v>0</v>
      </c>
      <c r="G107" s="17">
        <v>0</v>
      </c>
      <c r="H107" s="6">
        <v>0</v>
      </c>
      <c r="J107" s="14" t="str">
        <f t="shared" si="7"/>
        <v>[32, 'Q', 15, 15, 0, 0, 0],</v>
      </c>
    </row>
    <row r="108" spans="1:10" x14ac:dyDescent="0.3">
      <c r="A108" s="3"/>
      <c r="B108" s="11">
        <v>33</v>
      </c>
      <c r="C108" s="11" t="s">
        <v>12</v>
      </c>
      <c r="D108" s="6">
        <v>22</v>
      </c>
      <c r="E108" s="5">
        <f t="shared" si="6"/>
        <v>22</v>
      </c>
      <c r="F108" s="17">
        <v>0</v>
      </c>
      <c r="G108" s="17">
        <v>0</v>
      </c>
      <c r="H108" s="6">
        <v>0</v>
      </c>
      <c r="J108" s="14" t="str">
        <f t="shared" si="7"/>
        <v>[33, 'J', 22, 22, 0, 0, 0],</v>
      </c>
    </row>
    <row r="109" spans="1:10" x14ac:dyDescent="0.3">
      <c r="A109" s="3"/>
      <c r="B109" s="11">
        <v>34</v>
      </c>
      <c r="C109" s="11" t="s">
        <v>13</v>
      </c>
      <c r="D109" s="6">
        <v>9</v>
      </c>
      <c r="E109" s="5">
        <f t="shared" si="6"/>
        <v>9</v>
      </c>
      <c r="F109" s="17">
        <v>0</v>
      </c>
      <c r="G109" s="17">
        <v>0</v>
      </c>
      <c r="H109" s="6">
        <v>0</v>
      </c>
      <c r="J109" s="14" t="str">
        <f t="shared" si="7"/>
        <v>[34, 'TE', 9, 9,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2</v>
      </c>
      <c r="E115" s="5">
        <f t="shared" si="8"/>
        <v>2</v>
      </c>
      <c r="F115" s="17">
        <v>0</v>
      </c>
      <c r="G115" s="17">
        <v>0</v>
      </c>
      <c r="H115" s="6">
        <v>0</v>
      </c>
      <c r="J115" s="14" t="str">
        <f t="shared" si="9"/>
        <v>[10, 'C1', 2, 2,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4</v>
      </c>
      <c r="E117" s="5">
        <f t="shared" si="8"/>
        <v>4</v>
      </c>
      <c r="F117" s="17">
        <v>0</v>
      </c>
      <c r="G117" s="17">
        <v>0</v>
      </c>
      <c r="H117" s="6">
        <v>0</v>
      </c>
      <c r="J117" s="14" t="str">
        <f t="shared" si="9"/>
        <v>[12, 'C3', 4, 4, 0, 0, 0],</v>
      </c>
    </row>
    <row r="118" spans="1:10" x14ac:dyDescent="0.3">
      <c r="A118" s="3"/>
      <c r="B118" s="11">
        <v>20</v>
      </c>
      <c r="C118" s="11" t="s">
        <v>4</v>
      </c>
      <c r="D118" s="6">
        <v>11</v>
      </c>
      <c r="E118" s="5">
        <f t="shared" si="8"/>
        <v>0</v>
      </c>
      <c r="F118" s="17">
        <v>4</v>
      </c>
      <c r="G118" s="17">
        <v>1</v>
      </c>
      <c r="H118" s="6">
        <v>0</v>
      </c>
      <c r="J118" s="14" t="str">
        <f t="shared" si="9"/>
        <v>[20, 'M1', 11, 0, 4, 1, 0],</v>
      </c>
    </row>
    <row r="119" spans="1:10" x14ac:dyDescent="0.3">
      <c r="A119" s="3"/>
      <c r="B119" s="11">
        <v>21</v>
      </c>
      <c r="C119" s="11" t="s">
        <v>5</v>
      </c>
      <c r="D119" s="6">
        <v>14</v>
      </c>
      <c r="E119" s="5">
        <f t="shared" si="8"/>
        <v>0</v>
      </c>
      <c r="F119" s="17">
        <v>4</v>
      </c>
      <c r="G119" s="17">
        <v>2</v>
      </c>
      <c r="H119" s="6">
        <v>0</v>
      </c>
      <c r="J119" s="14" t="str">
        <f t="shared" si="9"/>
        <v>[21, 'M2', 14, 0, 4, 2, 0],</v>
      </c>
    </row>
    <row r="120" spans="1:10" x14ac:dyDescent="0.3">
      <c r="A120" s="3"/>
      <c r="B120" s="11">
        <v>22</v>
      </c>
      <c r="C120" s="11" t="s">
        <v>6</v>
      </c>
      <c r="D120" s="6">
        <v>14</v>
      </c>
      <c r="E120" s="5">
        <f t="shared" si="8"/>
        <v>0</v>
      </c>
      <c r="F120" s="17">
        <v>4</v>
      </c>
      <c r="G120" s="17">
        <v>2</v>
      </c>
      <c r="H120" s="6">
        <v>0</v>
      </c>
      <c r="J120" s="14" t="str">
        <f t="shared" si="9"/>
        <v>[22, 'M3', 14, 0, 4, 2, 0],</v>
      </c>
    </row>
    <row r="121" spans="1:10" x14ac:dyDescent="0.3">
      <c r="A121" s="3"/>
      <c r="B121" s="11">
        <v>23</v>
      </c>
      <c r="C121" s="11" t="s">
        <v>7</v>
      </c>
      <c r="D121" s="6">
        <v>14</v>
      </c>
      <c r="E121" s="5">
        <f t="shared" si="8"/>
        <v>0</v>
      </c>
      <c r="F121" s="17">
        <v>4</v>
      </c>
      <c r="G121" s="17">
        <v>2</v>
      </c>
      <c r="H121" s="6">
        <v>0</v>
      </c>
      <c r="J121" s="14" t="str">
        <f t="shared" si="9"/>
        <v>[23, 'M4', 14, 0, 4, 2, 0],</v>
      </c>
    </row>
    <row r="122" spans="1:10" x14ac:dyDescent="0.3">
      <c r="A122" s="3"/>
      <c r="B122" s="11">
        <v>24</v>
      </c>
      <c r="C122" s="11" t="s">
        <v>8</v>
      </c>
      <c r="D122" s="6">
        <v>17</v>
      </c>
      <c r="E122" s="5">
        <f t="shared" si="8"/>
        <v>0</v>
      </c>
      <c r="F122" s="17">
        <v>4</v>
      </c>
      <c r="G122" s="17">
        <v>3</v>
      </c>
      <c r="H122" s="6">
        <v>0</v>
      </c>
      <c r="J122" s="14" t="str">
        <f t="shared" si="9"/>
        <v>[24, 'M5', 17, 0, 4, 3, 0],</v>
      </c>
    </row>
    <row r="123" spans="1:10" x14ac:dyDescent="0.3">
      <c r="A123" s="3"/>
      <c r="B123" s="11">
        <v>30</v>
      </c>
      <c r="C123" s="11" t="s">
        <v>9</v>
      </c>
      <c r="D123" s="6">
        <v>8</v>
      </c>
      <c r="E123" s="5">
        <f t="shared" si="8"/>
        <v>8</v>
      </c>
      <c r="F123" s="17">
        <v>0</v>
      </c>
      <c r="G123" s="17">
        <v>0</v>
      </c>
      <c r="H123" s="6">
        <v>0</v>
      </c>
      <c r="J123" s="14" t="str">
        <f t="shared" si="9"/>
        <v>[30, 'A', 8, 8, 0, 0, 0],</v>
      </c>
    </row>
    <row r="124" spans="1:10" x14ac:dyDescent="0.3">
      <c r="A124" s="3"/>
      <c r="B124" s="11">
        <v>31</v>
      </c>
      <c r="C124" s="11" t="s">
        <v>10</v>
      </c>
      <c r="D124" s="6">
        <v>12</v>
      </c>
      <c r="E124" s="5">
        <f t="shared" si="8"/>
        <v>12</v>
      </c>
      <c r="F124" s="17">
        <v>0</v>
      </c>
      <c r="G124" s="17">
        <v>0</v>
      </c>
      <c r="H124" s="6">
        <v>0</v>
      </c>
      <c r="J124" s="14" t="str">
        <f t="shared" si="9"/>
        <v>[31, 'K', 12, 12, 0, 0, 0],</v>
      </c>
    </row>
    <row r="125" spans="1:10" x14ac:dyDescent="0.3">
      <c r="A125" s="3"/>
      <c r="B125" s="11">
        <v>32</v>
      </c>
      <c r="C125" s="11" t="s">
        <v>11</v>
      </c>
      <c r="D125" s="6">
        <v>8</v>
      </c>
      <c r="E125" s="5">
        <f t="shared" si="8"/>
        <v>8</v>
      </c>
      <c r="F125" s="17">
        <v>0</v>
      </c>
      <c r="G125" s="17">
        <v>0</v>
      </c>
      <c r="H125" s="6">
        <v>0</v>
      </c>
      <c r="J125" s="14" t="str">
        <f t="shared" si="9"/>
        <v>[32, 'Q', 8, 8, 0, 0, 0],</v>
      </c>
    </row>
    <row r="126" spans="1:10" x14ac:dyDescent="0.3">
      <c r="A126" s="3"/>
      <c r="B126" s="11">
        <v>33</v>
      </c>
      <c r="C126" s="11" t="s">
        <v>12</v>
      </c>
      <c r="D126" s="6">
        <v>12</v>
      </c>
      <c r="E126" s="5">
        <f t="shared" si="8"/>
        <v>12</v>
      </c>
      <c r="F126" s="17">
        <v>0</v>
      </c>
      <c r="G126" s="17">
        <v>0</v>
      </c>
      <c r="H126" s="6">
        <v>0</v>
      </c>
      <c r="J126" s="14" t="str">
        <f t="shared" si="9"/>
        <v>[33, 'J', 12, 12, 0, 0, 0],</v>
      </c>
    </row>
    <row r="127" spans="1:10" x14ac:dyDescent="0.3">
      <c r="A127" s="3"/>
      <c r="B127" s="11">
        <v>34</v>
      </c>
      <c r="C127" s="11" t="s">
        <v>13</v>
      </c>
      <c r="D127" s="6">
        <v>11</v>
      </c>
      <c r="E127" s="5">
        <f t="shared" si="8"/>
        <v>11</v>
      </c>
      <c r="F127" s="17">
        <v>0</v>
      </c>
      <c r="G127" s="17">
        <v>0</v>
      </c>
      <c r="H127" s="6">
        <v>0</v>
      </c>
      <c r="J127" s="14" t="str">
        <f t="shared" si="9"/>
        <v>[34, 'TE', 11, 11,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Q110:R127 U42:U55 L58 P95:Q109 N58:O58 K77:L91 Q58:R58 K95:L95 Q76:R76 J92:L92 K111:P111 R109 P110 N112:P112 N96:O110 J60:J73 J78:J91 J96:L110 J114:J127 A3:A7 Z7:AA10 Y12:AA12 S11:AA11 S12 B1:R1 A2:R2 M21:R21 A8:L8 A128:R1048576 A39:I39 K39:R39 A22:R38 A9:G10 H10:R10 S143:AA1048576 S7:T10 S13:AA39 S1:AA6 A40:Z40 H9 J9:R9 A41:E127 H20:R20 M11:R19 A20:G21 A11:A19 H42:L56 H57:R57 H58:I127 H41:I41">
    <cfRule type="cellIs" dxfId="69" priority="29" operator="equal">
      <formula>0</formula>
    </cfRule>
  </conditionalFormatting>
  <conditionalFormatting sqref="J74">
    <cfRule type="cellIs" dxfId="68" priority="28" operator="equal">
      <formula>0</formula>
    </cfRule>
  </conditionalFormatting>
  <conditionalFormatting sqref="E41:E127">
    <cfRule type="cellIs" dxfId="67" priority="27" operator="lessThan">
      <formula>0</formula>
    </cfRule>
  </conditionalFormatting>
  <conditionalFormatting sqref="U7:Y10">
    <cfRule type="cellIs" dxfId="66" priority="26" operator="equal">
      <formula>0</formula>
    </cfRule>
  </conditionalFormatting>
  <conditionalFormatting sqref="B20:F2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{4EBFDE93-F74E-4392-AC25-4156348DD991}</x14:id>
        </ext>
      </extLst>
    </cfRule>
  </conditionalFormatting>
  <conditionalFormatting sqref="H5:L5">
    <cfRule type="cellIs" dxfId="65" priority="24" operator="equal">
      <formula>0</formula>
    </cfRule>
  </conditionalFormatting>
  <conditionalFormatting sqref="P8:Q8 M8:N8">
    <cfRule type="cellIs" dxfId="64" priority="23" operator="equal">
      <formula>0</formula>
    </cfRule>
  </conditionalFormatting>
  <conditionalFormatting sqref="B3:F7">
    <cfRule type="cellIs" dxfId="63" priority="18" operator="equal">
      <formula>0</formula>
    </cfRule>
  </conditionalFormatting>
  <conditionalFormatting sqref="I9">
    <cfRule type="cellIs" dxfId="62" priority="12" operator="equal">
      <formula>0</formula>
    </cfRule>
  </conditionalFormatting>
  <conditionalFormatting sqref="H6:L6">
    <cfRule type="cellIs" dxfId="61" priority="11" operator="equal">
      <formula>0</formula>
    </cfRule>
  </conditionalFormatting>
  <conditionalFormatting sqref="H4:L4">
    <cfRule type="cellIs" dxfId="60" priority="10" operator="equal">
      <formula>0</formula>
    </cfRule>
  </conditionalFormatting>
  <conditionalFormatting sqref="B11:L15 B16:K19">
    <cfRule type="cellIs" dxfId="59" priority="9" operator="equal">
      <formula>0</formula>
    </cfRule>
  </conditionalFormatting>
  <conditionalFormatting sqref="B11:F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{75979337-E4B5-4012-8DFA-99F65B4A6972}</x14:id>
        </ext>
      </extLst>
    </cfRule>
  </conditionalFormatting>
  <conditionalFormatting sqref="L16:L19">
    <cfRule type="cellIs" dxfId="58" priority="7" operator="equal">
      <formula>0</formula>
    </cfRule>
  </conditionalFormatting>
  <conditionalFormatting sqref="F41:G50 F56:G68 G51:G55 G69:G73 F92:G104 G87:G91 F110:G122 G105:G109 G123:G127 F74:G86">
    <cfRule type="cellIs" dxfId="57" priority="6" operator="equal">
      <formula>0</formula>
    </cfRule>
  </conditionalFormatting>
  <conditionalFormatting sqref="F105:F109">
    <cfRule type="cellIs" dxfId="56" priority="5" operator="equal">
      <formula>0</formula>
    </cfRule>
  </conditionalFormatting>
  <conditionalFormatting sqref="F123:F127">
    <cfRule type="cellIs" dxfId="55" priority="4" operator="equal">
      <formula>0</formula>
    </cfRule>
  </conditionalFormatting>
  <conditionalFormatting sqref="F87:F91">
    <cfRule type="cellIs" dxfId="54" priority="3" operator="equal">
      <formula>0</formula>
    </cfRule>
  </conditionalFormatting>
  <conditionalFormatting sqref="F69:F73">
    <cfRule type="cellIs" dxfId="53" priority="2" operator="equal">
      <formula>0</formula>
    </cfRule>
  </conditionalFormatting>
  <conditionalFormatting sqref="F51:F55">
    <cfRule type="cellIs" dxfId="52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BFDE93-F74E-4392-AC25-4156348DD9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B20:F20</xm:sqref>
        </x14:conditionalFormatting>
        <x14:conditionalFormatting xmlns:xm="http://schemas.microsoft.com/office/excel/2006/main">
          <x14:cfRule type="dataBar" id="{75979337-E4B5-4012-8DFA-99F65B4A6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7161-EC97-430B-BBBD-53D90BBA367A}">
  <sheetPr codeName="工作表7"/>
  <dimension ref="A1:R128"/>
  <sheetViews>
    <sheetView topLeftCell="A68"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20" width="8.6640625" style="3"/>
    <col min="21" max="25" width="7" style="3" customWidth="1"/>
    <col min="26" max="16384" width="8.6640625" style="3"/>
  </cols>
  <sheetData>
    <row r="1" spans="1:18" x14ac:dyDescent="0.3">
      <c r="A1" s="1" t="s">
        <v>33</v>
      </c>
      <c r="B1" s="1">
        <v>4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2</v>
      </c>
      <c r="C4" s="21">
        <v>4</v>
      </c>
      <c r="D4" s="21">
        <v>3</v>
      </c>
      <c r="E4" s="21">
        <v>4</v>
      </c>
      <c r="F4" s="21">
        <v>2</v>
      </c>
      <c r="H4" s="17">
        <v>2</v>
      </c>
      <c r="I4" s="17">
        <v>4</v>
      </c>
      <c r="J4" s="17">
        <v>3</v>
      </c>
      <c r="K4" s="17">
        <v>4</v>
      </c>
      <c r="L4" s="17">
        <v>2</v>
      </c>
      <c r="N4" s="6">
        <v>2</v>
      </c>
      <c r="O4" s="6">
        <v>4</v>
      </c>
      <c r="P4" s="6">
        <v>3</v>
      </c>
      <c r="Q4" s="6">
        <v>4</v>
      </c>
      <c r="R4" s="6">
        <v>2</v>
      </c>
    </row>
    <row r="5" spans="1:18" x14ac:dyDescent="0.3">
      <c r="A5" s="1" t="s">
        <v>2</v>
      </c>
      <c r="B5" s="8">
        <v>0</v>
      </c>
      <c r="C5" s="8">
        <v>0</v>
      </c>
      <c r="D5" s="8">
        <v>0</v>
      </c>
      <c r="E5" s="8">
        <v>6</v>
      </c>
      <c r="F5" s="8">
        <v>0</v>
      </c>
      <c r="H5" s="17">
        <v>0</v>
      </c>
      <c r="I5" s="17">
        <v>0</v>
      </c>
      <c r="J5" s="17">
        <v>0</v>
      </c>
      <c r="K5" s="17">
        <v>6</v>
      </c>
      <c r="L5" s="17">
        <v>0</v>
      </c>
      <c r="N5" s="6">
        <v>0</v>
      </c>
      <c r="O5" s="6">
        <v>0</v>
      </c>
      <c r="P5" s="6">
        <v>0</v>
      </c>
      <c r="Q5" s="6">
        <v>6</v>
      </c>
      <c r="R5" s="6">
        <v>0</v>
      </c>
    </row>
    <row r="6" spans="1:18" x14ac:dyDescent="0.3">
      <c r="A6" s="1" t="s">
        <v>3</v>
      </c>
      <c r="B6" s="8">
        <v>9</v>
      </c>
      <c r="C6" s="8">
        <v>6</v>
      </c>
      <c r="D6" s="8">
        <v>28</v>
      </c>
      <c r="E6" s="8">
        <v>9</v>
      </c>
      <c r="F6" s="8">
        <v>2</v>
      </c>
      <c r="H6" s="17">
        <v>9</v>
      </c>
      <c r="I6" s="17">
        <v>6</v>
      </c>
      <c r="J6" s="17">
        <v>28</v>
      </c>
      <c r="K6" s="17">
        <v>9</v>
      </c>
      <c r="L6" s="17">
        <v>2</v>
      </c>
      <c r="N6" s="6">
        <v>9</v>
      </c>
      <c r="O6" s="6">
        <v>6</v>
      </c>
      <c r="P6" s="6">
        <v>28</v>
      </c>
      <c r="Q6" s="6">
        <v>9</v>
      </c>
      <c r="R6" s="6">
        <v>2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89</v>
      </c>
      <c r="C8" s="3">
        <v>210</v>
      </c>
      <c r="D8" s="3">
        <v>219</v>
      </c>
      <c r="E8" s="3">
        <v>181</v>
      </c>
      <c r="F8" s="3">
        <v>126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22"/>
      <c r="I20" s="22"/>
      <c r="J20" s="22"/>
      <c r="K20" s="22"/>
      <c r="L20" s="22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2</v>
      </c>
      <c r="C24" s="8">
        <v>4</v>
      </c>
      <c r="D24" s="8">
        <v>3</v>
      </c>
      <c r="E24" s="8">
        <v>4</v>
      </c>
      <c r="F24" s="8">
        <v>2</v>
      </c>
    </row>
    <row r="25" spans="1:12" x14ac:dyDescent="0.3">
      <c r="A25" s="1" t="s">
        <v>2</v>
      </c>
      <c r="B25" s="8">
        <v>0</v>
      </c>
      <c r="C25" s="7">
        <v>0</v>
      </c>
      <c r="D25" s="7">
        <v>0</v>
      </c>
      <c r="E25" s="7">
        <v>6</v>
      </c>
      <c r="F25" s="8">
        <v>0</v>
      </c>
    </row>
    <row r="26" spans="1:12" x14ac:dyDescent="0.3">
      <c r="A26" s="1" t="s">
        <v>3</v>
      </c>
      <c r="B26" s="8">
        <v>9</v>
      </c>
      <c r="C26" s="8">
        <v>6</v>
      </c>
      <c r="D26" s="8">
        <v>28</v>
      </c>
      <c r="E26" s="8">
        <v>9</v>
      </c>
      <c r="F26" s="8">
        <v>2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18</v>
      </c>
      <c r="D27" s="8">
        <v>17</v>
      </c>
      <c r="E27" s="8">
        <v>13</v>
      </c>
      <c r="F27" s="8">
        <v>11</v>
      </c>
    </row>
    <row r="28" spans="1:12" x14ac:dyDescent="0.3">
      <c r="A28" s="1" t="s">
        <v>5</v>
      </c>
      <c r="B28" s="8">
        <v>8</v>
      </c>
      <c r="C28" s="8">
        <v>31</v>
      </c>
      <c r="D28" s="8">
        <v>30</v>
      </c>
      <c r="E28" s="8">
        <v>23</v>
      </c>
      <c r="F28" s="8">
        <v>15</v>
      </c>
    </row>
    <row r="29" spans="1:12" x14ac:dyDescent="0.3">
      <c r="A29" s="1" t="s">
        <v>6</v>
      </c>
      <c r="B29" s="8">
        <v>13</v>
      </c>
      <c r="C29" s="8">
        <v>22</v>
      </c>
      <c r="D29" s="8">
        <v>30</v>
      </c>
      <c r="E29" s="8">
        <v>23</v>
      </c>
      <c r="F29" s="8">
        <v>15</v>
      </c>
    </row>
    <row r="30" spans="1:12" x14ac:dyDescent="0.3">
      <c r="A30" s="1" t="s">
        <v>7</v>
      </c>
      <c r="B30" s="8">
        <v>11</v>
      </c>
      <c r="C30" s="8">
        <v>22</v>
      </c>
      <c r="D30" s="8">
        <v>15</v>
      </c>
      <c r="E30" s="8">
        <v>21</v>
      </c>
      <c r="F30" s="8">
        <v>15</v>
      </c>
    </row>
    <row r="31" spans="1:12" x14ac:dyDescent="0.3">
      <c r="A31" s="1" t="s">
        <v>8</v>
      </c>
      <c r="B31" s="8">
        <v>11</v>
      </c>
      <c r="C31" s="8">
        <v>16</v>
      </c>
      <c r="D31" s="8">
        <v>17</v>
      </c>
      <c r="E31" s="8">
        <v>21</v>
      </c>
      <c r="F31" s="8">
        <v>17</v>
      </c>
    </row>
    <row r="32" spans="1:12" x14ac:dyDescent="0.3">
      <c r="A32" s="1" t="s">
        <v>9</v>
      </c>
      <c r="B32" s="8">
        <v>5</v>
      </c>
      <c r="C32" s="8">
        <v>24</v>
      </c>
      <c r="D32" s="8">
        <v>21</v>
      </c>
      <c r="E32" s="8">
        <v>14</v>
      </c>
      <c r="F32" s="8">
        <v>9</v>
      </c>
    </row>
    <row r="33" spans="1:10" x14ac:dyDescent="0.3">
      <c r="A33" s="1" t="s">
        <v>10</v>
      </c>
      <c r="B33" s="8">
        <v>9</v>
      </c>
      <c r="C33" s="8">
        <v>22</v>
      </c>
      <c r="D33" s="8">
        <v>17</v>
      </c>
      <c r="E33" s="8">
        <v>19</v>
      </c>
      <c r="F33" s="8">
        <v>12</v>
      </c>
    </row>
    <row r="34" spans="1:10" x14ac:dyDescent="0.3">
      <c r="A34" s="1" t="s">
        <v>11</v>
      </c>
      <c r="B34" s="8">
        <v>9</v>
      </c>
      <c r="C34" s="8">
        <v>16</v>
      </c>
      <c r="D34" s="8">
        <v>21</v>
      </c>
      <c r="E34" s="8">
        <v>14</v>
      </c>
      <c r="F34" s="8">
        <v>9</v>
      </c>
    </row>
    <row r="35" spans="1:10" x14ac:dyDescent="0.3">
      <c r="A35" s="1" t="s">
        <v>12</v>
      </c>
      <c r="B35" s="8">
        <v>9</v>
      </c>
      <c r="C35" s="8">
        <v>16</v>
      </c>
      <c r="D35" s="8">
        <v>23</v>
      </c>
      <c r="E35" s="8">
        <v>21</v>
      </c>
      <c r="F35" s="8">
        <v>12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8</v>
      </c>
      <c r="C36" s="8">
        <v>17</v>
      </c>
      <c r="D36" s="8">
        <v>22</v>
      </c>
      <c r="E36" s="8">
        <v>9</v>
      </c>
      <c r="F36" s="8">
        <v>8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2</v>
      </c>
      <c r="E43" s="5">
        <f t="shared" si="0"/>
        <v>2</v>
      </c>
      <c r="F43" s="17">
        <v>0</v>
      </c>
      <c r="G43" s="17">
        <v>0</v>
      </c>
      <c r="H43" s="6">
        <v>0</v>
      </c>
      <c r="J43" s="14" t="str">
        <f t="shared" si="1"/>
        <v>[10, 'C1', 2, 2,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9</v>
      </c>
      <c r="E45" s="5">
        <f t="shared" si="0"/>
        <v>9</v>
      </c>
      <c r="F45" s="17">
        <v>0</v>
      </c>
      <c r="G45" s="17">
        <v>0</v>
      </c>
      <c r="H45" s="6">
        <v>0</v>
      </c>
      <c r="J45" s="14" t="str">
        <f t="shared" si="1"/>
        <v>[12, 'C3', 9, 9,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13</v>
      </c>
      <c r="E48" s="5">
        <f t="shared" si="0"/>
        <v>0</v>
      </c>
      <c r="F48" s="17">
        <v>5</v>
      </c>
      <c r="G48" s="17">
        <v>1</v>
      </c>
      <c r="H48" s="6">
        <v>0</v>
      </c>
      <c r="J48" s="14" t="str">
        <f t="shared" si="1"/>
        <v>[22, 'M3', 13, 0, 5, 1, 0],</v>
      </c>
    </row>
    <row r="49" spans="1:10" x14ac:dyDescent="0.3">
      <c r="B49" s="11">
        <v>23</v>
      </c>
      <c r="C49" s="11" t="s">
        <v>7</v>
      </c>
      <c r="D49" s="6">
        <v>11</v>
      </c>
      <c r="E49" s="5">
        <f t="shared" si="0"/>
        <v>0</v>
      </c>
      <c r="F49" s="17">
        <v>4</v>
      </c>
      <c r="G49" s="17">
        <v>1</v>
      </c>
      <c r="H49" s="6">
        <v>0</v>
      </c>
      <c r="J49" s="14" t="str">
        <f t="shared" si="1"/>
        <v>[23, 'M4', 11, 0, 4, 1, 0],</v>
      </c>
    </row>
    <row r="50" spans="1:10" x14ac:dyDescent="0.3">
      <c r="A50" s="3"/>
      <c r="B50" s="11">
        <v>24</v>
      </c>
      <c r="C50" s="11" t="s">
        <v>8</v>
      </c>
      <c r="D50" s="6">
        <v>11</v>
      </c>
      <c r="E50" s="5">
        <f t="shared" si="0"/>
        <v>0</v>
      </c>
      <c r="F50" s="17">
        <v>4</v>
      </c>
      <c r="G50" s="17">
        <v>1</v>
      </c>
      <c r="H50" s="6">
        <v>0</v>
      </c>
      <c r="J50" s="14" t="str">
        <f t="shared" si="1"/>
        <v>[24, 'M5', 11, 0, 4, 1,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9</v>
      </c>
      <c r="E52" s="5">
        <f t="shared" si="0"/>
        <v>9</v>
      </c>
      <c r="F52" s="17">
        <v>0</v>
      </c>
      <c r="G52" s="17">
        <v>0</v>
      </c>
      <c r="H52" s="6">
        <v>0</v>
      </c>
      <c r="J52" s="14" t="str">
        <f t="shared" si="1"/>
        <v>[31, 'K', 9, 9, 0, 0, 0],</v>
      </c>
    </row>
    <row r="53" spans="1:10" x14ac:dyDescent="0.3">
      <c r="A53" s="3"/>
      <c r="B53" s="11">
        <v>32</v>
      </c>
      <c r="C53" s="11" t="s">
        <v>11</v>
      </c>
      <c r="D53" s="6">
        <v>9</v>
      </c>
      <c r="E53" s="5">
        <f t="shared" si="0"/>
        <v>9</v>
      </c>
      <c r="F53" s="17">
        <v>0</v>
      </c>
      <c r="G53" s="17">
        <v>0</v>
      </c>
      <c r="H53" s="6">
        <v>0</v>
      </c>
      <c r="J53" s="14" t="str">
        <f t="shared" si="1"/>
        <v>[32, 'Q', 9, 9, 0, 0, 0],</v>
      </c>
    </row>
    <row r="54" spans="1:10" x14ac:dyDescent="0.3">
      <c r="A54" s="3"/>
      <c r="B54" s="11">
        <v>33</v>
      </c>
      <c r="C54" s="11" t="s">
        <v>12</v>
      </c>
      <c r="D54" s="6">
        <v>9</v>
      </c>
      <c r="E54" s="5">
        <f t="shared" si="0"/>
        <v>9</v>
      </c>
      <c r="F54" s="17">
        <v>0</v>
      </c>
      <c r="G54" s="17">
        <v>0</v>
      </c>
      <c r="H54" s="6">
        <v>0</v>
      </c>
      <c r="J54" s="14" t="str">
        <f t="shared" si="1"/>
        <v>[33, 'J', 9, 9, 0, 0, 0],</v>
      </c>
    </row>
    <row r="55" spans="1:10" x14ac:dyDescent="0.3">
      <c r="A55" s="3"/>
      <c r="B55" s="11">
        <v>34</v>
      </c>
      <c r="C55" s="11" t="s">
        <v>13</v>
      </c>
      <c r="D55" s="6">
        <v>8</v>
      </c>
      <c r="E55" s="5">
        <f t="shared" si="0"/>
        <v>8</v>
      </c>
      <c r="F55" s="17">
        <v>0</v>
      </c>
      <c r="G55" s="17">
        <v>0</v>
      </c>
      <c r="H55" s="6">
        <v>0</v>
      </c>
      <c r="J55" s="14" t="str">
        <f t="shared" si="1"/>
        <v>[34, 'TE', 8, 8,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4</v>
      </c>
      <c r="E61" s="5">
        <f t="shared" si="2"/>
        <v>4</v>
      </c>
      <c r="F61" s="17">
        <v>0</v>
      </c>
      <c r="G61" s="17">
        <v>0</v>
      </c>
      <c r="H61" s="6">
        <v>0</v>
      </c>
      <c r="J61" s="14" t="str">
        <f t="shared" si="3"/>
        <v>[10, 'C1', 4, 4, 0, 0, 0],</v>
      </c>
    </row>
    <row r="62" spans="1:10" x14ac:dyDescent="0.3">
      <c r="A62" s="3"/>
      <c r="B62" s="11">
        <v>11</v>
      </c>
      <c r="C62" s="11" t="s">
        <v>2</v>
      </c>
      <c r="D62" s="6">
        <v>0</v>
      </c>
      <c r="E62" s="5">
        <f t="shared" si="2"/>
        <v>0</v>
      </c>
      <c r="F62" s="17">
        <v>0</v>
      </c>
      <c r="G62" s="17">
        <v>0</v>
      </c>
      <c r="H62" s="6">
        <v>0</v>
      </c>
      <c r="J62" s="14" t="str">
        <f t="shared" si="3"/>
        <v>[11, 'C2', 0, 0, 0, 0, 0],</v>
      </c>
    </row>
    <row r="63" spans="1:10" x14ac:dyDescent="0.3">
      <c r="A63" s="3"/>
      <c r="B63" s="11">
        <v>12</v>
      </c>
      <c r="C63" s="11" t="s">
        <v>3</v>
      </c>
      <c r="D63" s="6">
        <v>6</v>
      </c>
      <c r="E63" s="5">
        <f t="shared" si="2"/>
        <v>6</v>
      </c>
      <c r="F63" s="17">
        <v>0</v>
      </c>
      <c r="G63" s="17">
        <v>0</v>
      </c>
      <c r="H63" s="6">
        <v>0</v>
      </c>
      <c r="J63" s="14" t="str">
        <f t="shared" si="3"/>
        <v>[12, 'C3', 6, 6, 0, 0, 0],</v>
      </c>
    </row>
    <row r="64" spans="1:10" x14ac:dyDescent="0.3">
      <c r="A64" s="3"/>
      <c r="B64" s="11">
        <v>20</v>
      </c>
      <c r="C64" s="11" t="s">
        <v>4</v>
      </c>
      <c r="D64" s="6">
        <v>18</v>
      </c>
      <c r="E64" s="5">
        <f t="shared" si="2"/>
        <v>0</v>
      </c>
      <c r="F64" s="17">
        <v>3</v>
      </c>
      <c r="G64" s="17">
        <v>4</v>
      </c>
      <c r="H64" s="6">
        <v>0</v>
      </c>
      <c r="J64" s="14" t="str">
        <f t="shared" si="3"/>
        <v>[20, 'M1', 18, 0, 3, 4, 0],</v>
      </c>
    </row>
    <row r="65" spans="1:10" x14ac:dyDescent="0.3">
      <c r="A65" s="3"/>
      <c r="B65" s="11">
        <v>21</v>
      </c>
      <c r="C65" s="11" t="s">
        <v>5</v>
      </c>
      <c r="D65" s="6">
        <v>31</v>
      </c>
      <c r="E65" s="5">
        <f t="shared" si="2"/>
        <v>0</v>
      </c>
      <c r="F65" s="17">
        <v>5</v>
      </c>
      <c r="G65" s="17">
        <v>7</v>
      </c>
      <c r="H65" s="6">
        <v>0</v>
      </c>
      <c r="J65" s="14" t="str">
        <f t="shared" si="3"/>
        <v>[21, 'M2', 31, 0, 5, 7,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17</v>
      </c>
      <c r="E73" s="5">
        <f t="shared" si="2"/>
        <v>17</v>
      </c>
      <c r="F73" s="17">
        <v>0</v>
      </c>
      <c r="G73" s="17">
        <v>0</v>
      </c>
      <c r="H73" s="6">
        <v>0</v>
      </c>
      <c r="J73" s="14" t="str">
        <f t="shared" si="3"/>
        <v>[34, 'TE', 17, 17,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3</v>
      </c>
      <c r="E79" s="5">
        <f t="shared" si="4"/>
        <v>3</v>
      </c>
      <c r="F79" s="17">
        <v>0</v>
      </c>
      <c r="G79" s="17">
        <v>0</v>
      </c>
      <c r="H79" s="6">
        <v>0</v>
      </c>
      <c r="J79" s="14" t="str">
        <f t="shared" si="5"/>
        <v>[10, 'C1', 3, 3, 0, 0, 0],</v>
      </c>
    </row>
    <row r="80" spans="1:10" x14ac:dyDescent="0.3">
      <c r="A80" s="3"/>
      <c r="B80" s="11">
        <v>11</v>
      </c>
      <c r="C80" s="11" t="s">
        <v>2</v>
      </c>
      <c r="D80" s="6">
        <v>0</v>
      </c>
      <c r="E80" s="5">
        <f t="shared" si="4"/>
        <v>0</v>
      </c>
      <c r="F80" s="17">
        <v>0</v>
      </c>
      <c r="G80" s="17">
        <v>0</v>
      </c>
      <c r="H80" s="6">
        <v>0</v>
      </c>
      <c r="J80" s="14" t="str">
        <f t="shared" si="5"/>
        <v>[11, 'C2', 0, 0, 0, 0, 0],</v>
      </c>
    </row>
    <row r="81" spans="1:10" x14ac:dyDescent="0.3">
      <c r="A81" s="3"/>
      <c r="B81" s="11">
        <v>12</v>
      </c>
      <c r="C81" s="11" t="s">
        <v>3</v>
      </c>
      <c r="D81" s="6">
        <v>28</v>
      </c>
      <c r="E81" s="5">
        <f t="shared" si="4"/>
        <v>28</v>
      </c>
      <c r="F81" s="17">
        <v>0</v>
      </c>
      <c r="G81" s="17">
        <v>0</v>
      </c>
      <c r="H81" s="6">
        <v>0</v>
      </c>
      <c r="J81" s="14" t="str">
        <f t="shared" si="5"/>
        <v>[12, 'C3', 28, 28, 0, 0, 0],</v>
      </c>
    </row>
    <row r="82" spans="1:10" x14ac:dyDescent="0.3">
      <c r="A82" s="3"/>
      <c r="B82" s="11">
        <v>20</v>
      </c>
      <c r="C82" s="11" t="s">
        <v>4</v>
      </c>
      <c r="D82" s="6">
        <v>17</v>
      </c>
      <c r="E82" s="5">
        <f t="shared" si="4"/>
        <v>0</v>
      </c>
      <c r="F82" s="17">
        <v>4</v>
      </c>
      <c r="G82" s="17">
        <v>3</v>
      </c>
      <c r="H82" s="6">
        <v>0</v>
      </c>
      <c r="J82" s="14" t="str">
        <f t="shared" si="5"/>
        <v>[20, 'M1', 17, 0, 4, 3, 0],</v>
      </c>
    </row>
    <row r="83" spans="1:10" x14ac:dyDescent="0.3">
      <c r="A83" s="3"/>
      <c r="B83" s="11">
        <v>21</v>
      </c>
      <c r="C83" s="11" t="s">
        <v>5</v>
      </c>
      <c r="D83" s="6">
        <v>30</v>
      </c>
      <c r="E83" s="5">
        <f t="shared" si="4"/>
        <v>0</v>
      </c>
      <c r="F83" s="17">
        <v>9</v>
      </c>
      <c r="G83" s="17">
        <v>4</v>
      </c>
      <c r="H83" s="6">
        <v>0</v>
      </c>
      <c r="J83" s="14" t="str">
        <f t="shared" si="5"/>
        <v>[21, 'M2', 30, 0, 9, 4, 0],</v>
      </c>
    </row>
    <row r="84" spans="1:10" x14ac:dyDescent="0.3">
      <c r="A84" s="3"/>
      <c r="B84" s="11">
        <v>22</v>
      </c>
      <c r="C84" s="11" t="s">
        <v>6</v>
      </c>
      <c r="D84" s="6">
        <v>30</v>
      </c>
      <c r="E84" s="5">
        <f t="shared" si="4"/>
        <v>0</v>
      </c>
      <c r="F84" s="17">
        <v>9</v>
      </c>
      <c r="G84" s="17">
        <v>4</v>
      </c>
      <c r="H84" s="6">
        <v>0</v>
      </c>
      <c r="J84" s="14" t="str">
        <f t="shared" si="5"/>
        <v>[22, 'M3', 30, 0, 9, 4, 0],</v>
      </c>
    </row>
    <row r="85" spans="1:10" x14ac:dyDescent="0.3">
      <c r="A85" s="3"/>
      <c r="B85" s="11">
        <v>23</v>
      </c>
      <c r="C85" s="11" t="s">
        <v>7</v>
      </c>
      <c r="D85" s="6">
        <v>15</v>
      </c>
      <c r="E85" s="5">
        <f t="shared" si="4"/>
        <v>0</v>
      </c>
      <c r="F85" s="17">
        <v>3</v>
      </c>
      <c r="G85" s="17">
        <v>3</v>
      </c>
      <c r="H85" s="6">
        <v>0</v>
      </c>
      <c r="J85" s="14" t="str">
        <f t="shared" si="5"/>
        <v>[23, 'M4', 15, 0, 3, 3, 0],</v>
      </c>
    </row>
    <row r="86" spans="1:10" x14ac:dyDescent="0.3">
      <c r="A86" s="3"/>
      <c r="B86" s="11">
        <v>24</v>
      </c>
      <c r="C86" s="11" t="s">
        <v>8</v>
      </c>
      <c r="D86" s="6">
        <v>17</v>
      </c>
      <c r="E86" s="5">
        <f t="shared" si="4"/>
        <v>0</v>
      </c>
      <c r="F86" s="17">
        <v>4</v>
      </c>
      <c r="G86" s="17">
        <v>3</v>
      </c>
      <c r="H86" s="6">
        <v>0</v>
      </c>
      <c r="J86" s="14" t="str">
        <f t="shared" si="5"/>
        <v>[24, 'M5', 17, 0, 4, 3, 0],</v>
      </c>
    </row>
    <row r="87" spans="1:10" x14ac:dyDescent="0.3">
      <c r="A87" s="3"/>
      <c r="B87" s="11">
        <v>30</v>
      </c>
      <c r="C87" s="11" t="s">
        <v>9</v>
      </c>
      <c r="D87" s="6">
        <v>21</v>
      </c>
      <c r="E87" s="5">
        <f t="shared" si="4"/>
        <v>21</v>
      </c>
      <c r="F87" s="17">
        <v>0</v>
      </c>
      <c r="G87" s="17">
        <v>0</v>
      </c>
      <c r="H87" s="6">
        <v>0</v>
      </c>
      <c r="J87" s="14" t="str">
        <f t="shared" si="5"/>
        <v>[30, 'A', 21, 21, 0, 0, 0],</v>
      </c>
    </row>
    <row r="88" spans="1:10" x14ac:dyDescent="0.3">
      <c r="A88" s="3"/>
      <c r="B88" s="11">
        <v>31</v>
      </c>
      <c r="C88" s="11" t="s">
        <v>10</v>
      </c>
      <c r="D88" s="6">
        <v>17</v>
      </c>
      <c r="E88" s="5">
        <f t="shared" si="4"/>
        <v>17</v>
      </c>
      <c r="F88" s="17">
        <v>0</v>
      </c>
      <c r="G88" s="17">
        <v>0</v>
      </c>
      <c r="H88" s="6">
        <v>0</v>
      </c>
      <c r="J88" s="14" t="str">
        <f t="shared" si="5"/>
        <v>[31, 'K', 17, 17, 0, 0, 0],</v>
      </c>
    </row>
    <row r="89" spans="1:10" x14ac:dyDescent="0.3">
      <c r="A89" s="3"/>
      <c r="B89" s="11">
        <v>32</v>
      </c>
      <c r="C89" s="11" t="s">
        <v>11</v>
      </c>
      <c r="D89" s="6">
        <v>21</v>
      </c>
      <c r="E89" s="5">
        <f t="shared" si="4"/>
        <v>21</v>
      </c>
      <c r="F89" s="17">
        <v>0</v>
      </c>
      <c r="G89" s="17">
        <v>0</v>
      </c>
      <c r="H89" s="6">
        <v>0</v>
      </c>
      <c r="J89" s="14" t="str">
        <f t="shared" si="5"/>
        <v>[32, 'Q', 21, 21, 0, 0, 0],</v>
      </c>
    </row>
    <row r="90" spans="1:10" x14ac:dyDescent="0.3">
      <c r="A90" s="3"/>
      <c r="B90" s="11">
        <v>33</v>
      </c>
      <c r="C90" s="11" t="s">
        <v>12</v>
      </c>
      <c r="D90" s="6">
        <v>23</v>
      </c>
      <c r="E90" s="5">
        <f t="shared" si="4"/>
        <v>23</v>
      </c>
      <c r="F90" s="17">
        <v>0</v>
      </c>
      <c r="G90" s="17">
        <v>0</v>
      </c>
      <c r="H90" s="6">
        <v>0</v>
      </c>
      <c r="J90" s="14" t="str">
        <f t="shared" si="5"/>
        <v>[33, 'J', 23, 23, 0, 0, 0],</v>
      </c>
    </row>
    <row r="91" spans="1:10" x14ac:dyDescent="0.3">
      <c r="A91" s="3"/>
      <c r="B91" s="11">
        <v>34</v>
      </c>
      <c r="C91" s="11" t="s">
        <v>13</v>
      </c>
      <c r="D91" s="6">
        <v>22</v>
      </c>
      <c r="E91" s="5">
        <f t="shared" si="4"/>
        <v>22</v>
      </c>
      <c r="F91" s="17">
        <v>0</v>
      </c>
      <c r="G91" s="17">
        <v>0</v>
      </c>
      <c r="H91" s="6">
        <v>0</v>
      </c>
      <c r="J91" s="14" t="str">
        <f t="shared" si="5"/>
        <v>[34, 'TE', 22, 22,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4</v>
      </c>
      <c r="E97" s="5">
        <f t="shared" si="6"/>
        <v>4</v>
      </c>
      <c r="F97" s="17">
        <v>0</v>
      </c>
      <c r="G97" s="17">
        <v>0</v>
      </c>
      <c r="H97" s="6">
        <v>0</v>
      </c>
      <c r="J97" s="14" t="str">
        <f t="shared" si="7"/>
        <v>[10, 'C1', 4, 4, 0, 0, 0],</v>
      </c>
    </row>
    <row r="98" spans="1:10" x14ac:dyDescent="0.3">
      <c r="A98" s="3"/>
      <c r="B98" s="11">
        <v>11</v>
      </c>
      <c r="C98" s="11" t="s">
        <v>2</v>
      </c>
      <c r="D98" s="6">
        <v>6</v>
      </c>
      <c r="E98" s="5">
        <f t="shared" si="6"/>
        <v>6</v>
      </c>
      <c r="F98" s="17">
        <v>0</v>
      </c>
      <c r="G98" s="17">
        <v>0</v>
      </c>
      <c r="H98" s="6">
        <v>0</v>
      </c>
      <c r="J98" s="14" t="str">
        <f t="shared" si="7"/>
        <v>[11, 'C2', 6, 6, 0, 0, 0],</v>
      </c>
    </row>
    <row r="99" spans="1:10" x14ac:dyDescent="0.3">
      <c r="A99" s="3"/>
      <c r="B99" s="11">
        <v>12</v>
      </c>
      <c r="C99" s="11" t="s">
        <v>3</v>
      </c>
      <c r="D99" s="6">
        <v>9</v>
      </c>
      <c r="E99" s="5">
        <f t="shared" si="6"/>
        <v>9</v>
      </c>
      <c r="F99" s="17">
        <v>0</v>
      </c>
      <c r="G99" s="17">
        <v>0</v>
      </c>
      <c r="H99" s="6">
        <v>0</v>
      </c>
      <c r="J99" s="14" t="str">
        <f t="shared" si="7"/>
        <v>[12, 'C3', 9, 9, 0, 0, 0],</v>
      </c>
    </row>
    <row r="100" spans="1:10" x14ac:dyDescent="0.3">
      <c r="A100" s="3"/>
      <c r="B100" s="11">
        <v>20</v>
      </c>
      <c r="C100" s="11" t="s">
        <v>4</v>
      </c>
      <c r="D100" s="6">
        <v>13</v>
      </c>
      <c r="E100" s="5">
        <f t="shared" si="6"/>
        <v>0</v>
      </c>
      <c r="F100" s="17">
        <v>2</v>
      </c>
      <c r="G100" s="17">
        <v>3</v>
      </c>
      <c r="H100" s="6">
        <v>0</v>
      </c>
      <c r="J100" s="14" t="str">
        <f t="shared" si="7"/>
        <v>[20, 'M1', 13, 0, 2, 3, 0],</v>
      </c>
    </row>
    <row r="101" spans="1:10" x14ac:dyDescent="0.3">
      <c r="A101" s="3"/>
      <c r="B101" s="11">
        <v>21</v>
      </c>
      <c r="C101" s="11" t="s">
        <v>5</v>
      </c>
      <c r="D101" s="6">
        <v>23</v>
      </c>
      <c r="E101" s="5">
        <f t="shared" si="6"/>
        <v>0</v>
      </c>
      <c r="F101" s="17">
        <v>7</v>
      </c>
      <c r="G101" s="17">
        <v>3</v>
      </c>
      <c r="H101" s="6">
        <v>0</v>
      </c>
      <c r="J101" s="14" t="str">
        <f t="shared" si="7"/>
        <v>[21, 'M2', 23, 0, 7, 3, 0],</v>
      </c>
    </row>
    <row r="102" spans="1:10" x14ac:dyDescent="0.3">
      <c r="A102" s="3"/>
      <c r="B102" s="11">
        <v>22</v>
      </c>
      <c r="C102" s="11" t="s">
        <v>6</v>
      </c>
      <c r="D102" s="6">
        <v>23</v>
      </c>
      <c r="E102" s="5">
        <f t="shared" si="6"/>
        <v>0</v>
      </c>
      <c r="F102" s="17">
        <v>7</v>
      </c>
      <c r="G102" s="17">
        <v>3</v>
      </c>
      <c r="H102" s="6">
        <v>0</v>
      </c>
      <c r="J102" s="14" t="str">
        <f t="shared" si="7"/>
        <v>[22, 'M3', 23, 0, 7, 3, 0],</v>
      </c>
    </row>
    <row r="103" spans="1:10" x14ac:dyDescent="0.3">
      <c r="A103" s="3"/>
      <c r="B103" s="11">
        <v>23</v>
      </c>
      <c r="C103" s="11" t="s">
        <v>7</v>
      </c>
      <c r="D103" s="6">
        <v>21</v>
      </c>
      <c r="E103" s="5">
        <f t="shared" si="6"/>
        <v>0</v>
      </c>
      <c r="F103" s="17">
        <v>6</v>
      </c>
      <c r="G103" s="17">
        <v>3</v>
      </c>
      <c r="H103" s="6">
        <v>0</v>
      </c>
      <c r="J103" s="14" t="str">
        <f t="shared" si="7"/>
        <v>[23, 'M4', 21, 0, 6, 3, 0],</v>
      </c>
    </row>
    <row r="104" spans="1:10" x14ac:dyDescent="0.3">
      <c r="A104" s="3"/>
      <c r="B104" s="11">
        <v>24</v>
      </c>
      <c r="C104" s="11" t="s">
        <v>8</v>
      </c>
      <c r="D104" s="6">
        <v>21</v>
      </c>
      <c r="E104" s="5">
        <f t="shared" si="6"/>
        <v>0</v>
      </c>
      <c r="F104" s="17">
        <v>6</v>
      </c>
      <c r="G104" s="17">
        <v>3</v>
      </c>
      <c r="H104" s="6">
        <v>0</v>
      </c>
      <c r="J104" s="14" t="str">
        <f t="shared" si="7"/>
        <v>[24, 'M5', 21, 0, 6, 3, 0],</v>
      </c>
    </row>
    <row r="105" spans="1:10" x14ac:dyDescent="0.3">
      <c r="A105" s="3"/>
      <c r="B105" s="11">
        <v>30</v>
      </c>
      <c r="C105" s="11" t="s">
        <v>9</v>
      </c>
      <c r="D105" s="6">
        <v>14</v>
      </c>
      <c r="E105" s="5">
        <f t="shared" si="6"/>
        <v>14</v>
      </c>
      <c r="F105" s="17">
        <v>0</v>
      </c>
      <c r="G105" s="17">
        <v>0</v>
      </c>
      <c r="H105" s="6">
        <v>0</v>
      </c>
      <c r="J105" s="14" t="str">
        <f t="shared" si="7"/>
        <v>[30, 'A', 14, 14, 0, 0, 0],</v>
      </c>
    </row>
    <row r="106" spans="1:10" x14ac:dyDescent="0.3">
      <c r="A106" s="3"/>
      <c r="B106" s="11">
        <v>31</v>
      </c>
      <c r="C106" s="11" t="s">
        <v>10</v>
      </c>
      <c r="D106" s="6">
        <v>19</v>
      </c>
      <c r="E106" s="5">
        <f t="shared" si="6"/>
        <v>19</v>
      </c>
      <c r="F106" s="17">
        <v>0</v>
      </c>
      <c r="G106" s="17">
        <v>0</v>
      </c>
      <c r="H106" s="6">
        <v>0</v>
      </c>
      <c r="J106" s="14" t="str">
        <f t="shared" si="7"/>
        <v>[31, 'K', 19, 19, 0, 0, 0],</v>
      </c>
    </row>
    <row r="107" spans="1:10" x14ac:dyDescent="0.3">
      <c r="A107" s="3"/>
      <c r="B107" s="11">
        <v>32</v>
      </c>
      <c r="C107" s="11" t="s">
        <v>11</v>
      </c>
      <c r="D107" s="6">
        <v>14</v>
      </c>
      <c r="E107" s="5">
        <f t="shared" si="6"/>
        <v>14</v>
      </c>
      <c r="F107" s="17">
        <v>0</v>
      </c>
      <c r="G107" s="17">
        <v>0</v>
      </c>
      <c r="H107" s="6">
        <v>0</v>
      </c>
      <c r="J107" s="14" t="str">
        <f t="shared" si="7"/>
        <v>[32, 'Q', 14, 14, 0, 0, 0],</v>
      </c>
    </row>
    <row r="108" spans="1:10" x14ac:dyDescent="0.3">
      <c r="A108" s="3"/>
      <c r="B108" s="11">
        <v>33</v>
      </c>
      <c r="C108" s="11" t="s">
        <v>12</v>
      </c>
      <c r="D108" s="6">
        <v>21</v>
      </c>
      <c r="E108" s="5">
        <f t="shared" si="6"/>
        <v>21</v>
      </c>
      <c r="F108" s="17">
        <v>0</v>
      </c>
      <c r="G108" s="17">
        <v>0</v>
      </c>
      <c r="H108" s="6">
        <v>0</v>
      </c>
      <c r="J108" s="14" t="str">
        <f t="shared" si="7"/>
        <v>[33, 'J', 21, 21, 0, 0, 0],</v>
      </c>
    </row>
    <row r="109" spans="1:10" x14ac:dyDescent="0.3">
      <c r="A109" s="3"/>
      <c r="B109" s="11">
        <v>34</v>
      </c>
      <c r="C109" s="11" t="s">
        <v>13</v>
      </c>
      <c r="D109" s="6">
        <v>9</v>
      </c>
      <c r="E109" s="5">
        <f t="shared" si="6"/>
        <v>9</v>
      </c>
      <c r="F109" s="17">
        <v>0</v>
      </c>
      <c r="G109" s="17">
        <v>0</v>
      </c>
      <c r="H109" s="6">
        <v>0</v>
      </c>
      <c r="J109" s="14" t="str">
        <f t="shared" si="7"/>
        <v>[34, 'TE', 9, 9,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2</v>
      </c>
      <c r="E115" s="5">
        <f t="shared" si="8"/>
        <v>2</v>
      </c>
      <c r="F115" s="17">
        <v>0</v>
      </c>
      <c r="G115" s="17">
        <v>0</v>
      </c>
      <c r="H115" s="6">
        <v>0</v>
      </c>
      <c r="J115" s="14" t="str">
        <f t="shared" si="9"/>
        <v>[10, 'C1', 2, 2,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2</v>
      </c>
      <c r="E117" s="5">
        <f t="shared" si="8"/>
        <v>2</v>
      </c>
      <c r="F117" s="17">
        <v>0</v>
      </c>
      <c r="G117" s="17">
        <v>0</v>
      </c>
      <c r="H117" s="6">
        <v>0</v>
      </c>
      <c r="J117" s="14" t="str">
        <f t="shared" si="9"/>
        <v>[12, 'C3', 2, 2, 0, 0, 0],</v>
      </c>
    </row>
    <row r="118" spans="1:10" x14ac:dyDescent="0.3">
      <c r="A118" s="3"/>
      <c r="B118" s="11">
        <v>20</v>
      </c>
      <c r="C118" s="11" t="s">
        <v>4</v>
      </c>
      <c r="D118" s="6">
        <v>11</v>
      </c>
      <c r="E118" s="5">
        <f t="shared" si="8"/>
        <v>0</v>
      </c>
      <c r="F118" s="17">
        <v>4</v>
      </c>
      <c r="G118" s="17">
        <v>1</v>
      </c>
      <c r="H118" s="6">
        <v>0</v>
      </c>
      <c r="J118" s="14" t="str">
        <f t="shared" si="9"/>
        <v>[20, 'M1', 11, 0, 4, 1, 0],</v>
      </c>
    </row>
    <row r="119" spans="1:10" x14ac:dyDescent="0.3">
      <c r="A119" s="3"/>
      <c r="B119" s="11">
        <v>21</v>
      </c>
      <c r="C119" s="11" t="s">
        <v>5</v>
      </c>
      <c r="D119" s="6">
        <v>15</v>
      </c>
      <c r="E119" s="5">
        <f t="shared" si="8"/>
        <v>0</v>
      </c>
      <c r="F119" s="17">
        <v>3</v>
      </c>
      <c r="G119" s="17">
        <v>3</v>
      </c>
      <c r="H119" s="6">
        <v>0</v>
      </c>
      <c r="J119" s="14" t="str">
        <f t="shared" si="9"/>
        <v>[21, 'M2', 15, 0, 3, 3, 0],</v>
      </c>
    </row>
    <row r="120" spans="1:10" x14ac:dyDescent="0.3">
      <c r="A120" s="3"/>
      <c r="B120" s="11">
        <v>22</v>
      </c>
      <c r="C120" s="11" t="s">
        <v>6</v>
      </c>
      <c r="D120" s="6">
        <v>15</v>
      </c>
      <c r="E120" s="5">
        <f t="shared" si="8"/>
        <v>0</v>
      </c>
      <c r="F120" s="17">
        <v>3</v>
      </c>
      <c r="G120" s="17">
        <v>3</v>
      </c>
      <c r="H120" s="6">
        <v>0</v>
      </c>
      <c r="J120" s="14" t="str">
        <f t="shared" si="9"/>
        <v>[22, 'M3', 15, 0, 3, 3, 0],</v>
      </c>
    </row>
    <row r="121" spans="1:10" x14ac:dyDescent="0.3">
      <c r="A121" s="3"/>
      <c r="B121" s="11">
        <v>23</v>
      </c>
      <c r="C121" s="11" t="s">
        <v>7</v>
      </c>
      <c r="D121" s="6">
        <v>15</v>
      </c>
      <c r="E121" s="5">
        <f t="shared" si="8"/>
        <v>0</v>
      </c>
      <c r="F121" s="17">
        <v>3</v>
      </c>
      <c r="G121" s="17">
        <v>3</v>
      </c>
      <c r="H121" s="6">
        <v>0</v>
      </c>
      <c r="J121" s="14" t="str">
        <f t="shared" si="9"/>
        <v>[23, 'M4', 15, 0, 3, 3, 0],</v>
      </c>
    </row>
    <row r="122" spans="1:10" x14ac:dyDescent="0.3">
      <c r="A122" s="3"/>
      <c r="B122" s="11">
        <v>24</v>
      </c>
      <c r="C122" s="11" t="s">
        <v>8</v>
      </c>
      <c r="D122" s="6">
        <v>17</v>
      </c>
      <c r="E122" s="5">
        <f t="shared" si="8"/>
        <v>0</v>
      </c>
      <c r="F122" s="17">
        <v>4</v>
      </c>
      <c r="G122" s="17">
        <v>3</v>
      </c>
      <c r="H122" s="6">
        <v>0</v>
      </c>
      <c r="J122" s="14" t="str">
        <f t="shared" si="9"/>
        <v>[24, 'M5', 17, 0, 4, 3, 0],</v>
      </c>
    </row>
    <row r="123" spans="1:10" x14ac:dyDescent="0.3">
      <c r="A123" s="3"/>
      <c r="B123" s="11">
        <v>30</v>
      </c>
      <c r="C123" s="11" t="s">
        <v>9</v>
      </c>
      <c r="D123" s="6">
        <v>9</v>
      </c>
      <c r="E123" s="5">
        <f t="shared" si="8"/>
        <v>9</v>
      </c>
      <c r="F123" s="17">
        <v>0</v>
      </c>
      <c r="G123" s="17">
        <v>0</v>
      </c>
      <c r="H123" s="6">
        <v>0</v>
      </c>
      <c r="J123" s="14" t="str">
        <f t="shared" si="9"/>
        <v>[30, 'A', 9, 9, 0, 0, 0],</v>
      </c>
    </row>
    <row r="124" spans="1:10" x14ac:dyDescent="0.3">
      <c r="A124" s="3"/>
      <c r="B124" s="11">
        <v>31</v>
      </c>
      <c r="C124" s="11" t="s">
        <v>10</v>
      </c>
      <c r="D124" s="6">
        <v>12</v>
      </c>
      <c r="E124" s="5">
        <f t="shared" si="8"/>
        <v>12</v>
      </c>
      <c r="F124" s="17">
        <v>0</v>
      </c>
      <c r="G124" s="17">
        <v>0</v>
      </c>
      <c r="H124" s="6">
        <v>0</v>
      </c>
      <c r="J124" s="14" t="str">
        <f t="shared" si="9"/>
        <v>[31, 'K', 12, 12, 0, 0, 0],</v>
      </c>
    </row>
    <row r="125" spans="1:10" x14ac:dyDescent="0.3">
      <c r="A125" s="3"/>
      <c r="B125" s="11">
        <v>32</v>
      </c>
      <c r="C125" s="11" t="s">
        <v>11</v>
      </c>
      <c r="D125" s="6">
        <v>9</v>
      </c>
      <c r="E125" s="5">
        <f t="shared" si="8"/>
        <v>9</v>
      </c>
      <c r="F125" s="17">
        <v>0</v>
      </c>
      <c r="G125" s="17">
        <v>0</v>
      </c>
      <c r="H125" s="6">
        <v>0</v>
      </c>
      <c r="J125" s="14" t="str">
        <f t="shared" si="9"/>
        <v>[32, 'Q', 9, 9, 0, 0, 0],</v>
      </c>
    </row>
    <row r="126" spans="1:10" x14ac:dyDescent="0.3">
      <c r="A126" s="3"/>
      <c r="B126" s="11">
        <v>33</v>
      </c>
      <c r="C126" s="11" t="s">
        <v>12</v>
      </c>
      <c r="D126" s="6">
        <v>12</v>
      </c>
      <c r="E126" s="5">
        <f t="shared" si="8"/>
        <v>12</v>
      </c>
      <c r="F126" s="17">
        <v>0</v>
      </c>
      <c r="G126" s="17">
        <v>0</v>
      </c>
      <c r="H126" s="6">
        <v>0</v>
      </c>
      <c r="J126" s="14" t="str">
        <f t="shared" si="9"/>
        <v>[33, 'J', 12, 12, 0, 0, 0],</v>
      </c>
    </row>
    <row r="127" spans="1:10" x14ac:dyDescent="0.3">
      <c r="A127" s="3"/>
      <c r="B127" s="11">
        <v>34</v>
      </c>
      <c r="C127" s="11" t="s">
        <v>13</v>
      </c>
      <c r="D127" s="6">
        <v>8</v>
      </c>
      <c r="E127" s="5">
        <f t="shared" si="8"/>
        <v>8</v>
      </c>
      <c r="F127" s="17">
        <v>0</v>
      </c>
      <c r="G127" s="17">
        <v>0</v>
      </c>
      <c r="H127" s="6">
        <v>0</v>
      </c>
      <c r="J127" s="14" t="str">
        <f t="shared" si="9"/>
        <v>[34, 'TE', 8, 8,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Q110:R127 U42:U55 L58 P95:Q109 N58:O58 K77:L91 Q58:R58 K95:L95 Q76:R76 J92:L92 K111:P111 R109 P110 N112:P112 N96:O110 J60:J73 J78:J91 J96:L110 J114:J127 A3:A7 Z7:AA10 Y12:AA12 S11:AA11 S12 B1:R1 A2:R2 A8:L8 A128:R1048576 A39:I39 K39:R39 A22:R38 A9:G10 H10:R10 S143:AA1048576 S7:T10 S13:AA39 S1:AA6 A40:Z40 H9 J9:R9 A41:E127 M11:R21 A21:G21 A11:A20 H58:I127 H42:L56 H57:R57 H41:I41">
    <cfRule type="cellIs" dxfId="51" priority="25" operator="equal">
      <formula>0</formula>
    </cfRule>
  </conditionalFormatting>
  <conditionalFormatting sqref="J74">
    <cfRule type="cellIs" dxfId="50" priority="24" operator="equal">
      <formula>0</formula>
    </cfRule>
  </conditionalFormatting>
  <conditionalFormatting sqref="E41:E127">
    <cfRule type="cellIs" dxfId="49" priority="23" operator="lessThan">
      <formula>0</formula>
    </cfRule>
  </conditionalFormatting>
  <conditionalFormatting sqref="U7:Y10">
    <cfRule type="cellIs" dxfId="48" priority="22" operator="equal">
      <formula>0</formula>
    </cfRule>
  </conditionalFormatting>
  <conditionalFormatting sqref="H5:L5">
    <cfRule type="cellIs" dxfId="47" priority="20" operator="equal">
      <formula>0</formula>
    </cfRule>
  </conditionalFormatting>
  <conditionalFormatting sqref="P8:Q8 M8:N8">
    <cfRule type="cellIs" dxfId="46" priority="19" operator="equal">
      <formula>0</formula>
    </cfRule>
  </conditionalFormatting>
  <conditionalFormatting sqref="B3:F7">
    <cfRule type="cellIs" dxfId="45" priority="15" operator="equal">
      <formula>0</formula>
    </cfRule>
  </conditionalFormatting>
  <conditionalFormatting sqref="I9">
    <cfRule type="cellIs" dxfId="44" priority="14" operator="equal">
      <formula>0</formula>
    </cfRule>
  </conditionalFormatting>
  <conditionalFormatting sqref="H6:L6">
    <cfRule type="cellIs" dxfId="43" priority="13" operator="equal">
      <formula>0</formula>
    </cfRule>
  </conditionalFormatting>
  <conditionalFormatting sqref="H4:L4">
    <cfRule type="cellIs" dxfId="42" priority="12" operator="equal">
      <formula>0</formula>
    </cfRule>
  </conditionalFormatting>
  <conditionalFormatting sqref="B20:L20">
    <cfRule type="cellIs" dxfId="41" priority="11" operator="equal">
      <formula>0</formula>
    </cfRule>
  </conditionalFormatting>
  <conditionalFormatting sqref="B20:F2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{200CBB7D-6837-422D-BDB5-8743C7FB06E8}</x14:id>
        </ext>
      </extLst>
    </cfRule>
  </conditionalFormatting>
  <conditionalFormatting sqref="B11:L15 B16:K19">
    <cfRule type="cellIs" dxfId="40" priority="9" operator="equal">
      <formula>0</formula>
    </cfRule>
  </conditionalFormatting>
  <conditionalFormatting sqref="B11:F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{8D4E36A1-3647-42BB-B4D2-C743856FF02F}</x14:id>
        </ext>
      </extLst>
    </cfRule>
  </conditionalFormatting>
  <conditionalFormatting sqref="L16:L19">
    <cfRule type="cellIs" dxfId="39" priority="7" operator="equal">
      <formula>0</formula>
    </cfRule>
  </conditionalFormatting>
  <conditionalFormatting sqref="F41:G50 F56:G68 G51:G55 G69:G73 F92:G104 G87:G91 F110:G122 G105:G109 G123:G127 F74:G86">
    <cfRule type="cellIs" dxfId="38" priority="6" operator="equal">
      <formula>0</formula>
    </cfRule>
  </conditionalFormatting>
  <conditionalFormatting sqref="F105:F109">
    <cfRule type="cellIs" dxfId="37" priority="5" operator="equal">
      <formula>0</formula>
    </cfRule>
  </conditionalFormatting>
  <conditionalFormatting sqref="F123:F127">
    <cfRule type="cellIs" dxfId="36" priority="4" operator="equal">
      <formula>0</formula>
    </cfRule>
  </conditionalFormatting>
  <conditionalFormatting sqref="F87:F91">
    <cfRule type="cellIs" dxfId="35" priority="3" operator="equal">
      <formula>0</formula>
    </cfRule>
  </conditionalFormatting>
  <conditionalFormatting sqref="F69:F73">
    <cfRule type="cellIs" dxfId="34" priority="2" operator="equal">
      <formula>0</formula>
    </cfRule>
  </conditionalFormatting>
  <conditionalFormatting sqref="F51:F55">
    <cfRule type="cellIs" dxfId="33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0CBB7D-6837-422D-BDB5-8743C7FB06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B20:F20</xm:sqref>
        </x14:conditionalFormatting>
        <x14:conditionalFormatting xmlns:xm="http://schemas.microsoft.com/office/excel/2006/main">
          <x14:cfRule type="dataBar" id="{8D4E36A1-3647-42BB-B4D2-C743856FF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B677-19C2-4DBE-8800-7C2871C6ACD2}">
  <sheetPr codeName="工作表8"/>
  <dimension ref="A1:R128"/>
  <sheetViews>
    <sheetView topLeftCell="A12"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19" width="10.08203125" style="3" customWidth="1"/>
    <col min="20" max="21" width="8.6640625" style="3"/>
    <col min="22" max="26" width="7" style="3" customWidth="1"/>
    <col min="27" max="16384" width="8.6640625" style="3"/>
  </cols>
  <sheetData>
    <row r="1" spans="1:18" x14ac:dyDescent="0.3">
      <c r="A1" s="1" t="s">
        <v>33</v>
      </c>
      <c r="B1" s="1">
        <v>3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2</v>
      </c>
      <c r="C4" s="21">
        <v>4</v>
      </c>
      <c r="D4" s="21">
        <v>3</v>
      </c>
      <c r="E4" s="21">
        <v>4</v>
      </c>
      <c r="F4" s="21">
        <v>2</v>
      </c>
      <c r="H4" s="17">
        <v>2</v>
      </c>
      <c r="I4" s="17">
        <v>4</v>
      </c>
      <c r="J4" s="17">
        <v>3</v>
      </c>
      <c r="K4" s="17">
        <v>4</v>
      </c>
      <c r="L4" s="17">
        <v>2</v>
      </c>
      <c r="N4" s="6">
        <v>2</v>
      </c>
      <c r="O4" s="6">
        <v>4</v>
      </c>
      <c r="P4" s="6">
        <v>3</v>
      </c>
      <c r="Q4" s="6">
        <v>4</v>
      </c>
      <c r="R4" s="6">
        <v>2</v>
      </c>
    </row>
    <row r="5" spans="1:18" x14ac:dyDescent="0.3">
      <c r="A5" s="1" t="s">
        <v>2</v>
      </c>
      <c r="B5" s="8">
        <v>0</v>
      </c>
      <c r="C5" s="8">
        <v>3</v>
      </c>
      <c r="D5" s="8">
        <v>0</v>
      </c>
      <c r="E5" s="8">
        <v>3</v>
      </c>
      <c r="F5" s="8">
        <v>0</v>
      </c>
      <c r="H5" s="17">
        <v>0</v>
      </c>
      <c r="I5" s="17">
        <v>3</v>
      </c>
      <c r="J5" s="17">
        <v>0</v>
      </c>
      <c r="K5" s="17">
        <v>3</v>
      </c>
      <c r="L5" s="17">
        <v>0</v>
      </c>
      <c r="N5" s="6">
        <v>0</v>
      </c>
      <c r="O5" s="6">
        <v>3</v>
      </c>
      <c r="P5" s="6">
        <v>0</v>
      </c>
      <c r="Q5" s="6">
        <v>3</v>
      </c>
      <c r="R5" s="6">
        <v>0</v>
      </c>
    </row>
    <row r="6" spans="1:18" x14ac:dyDescent="0.3">
      <c r="A6" s="1" t="s">
        <v>3</v>
      </c>
      <c r="B6" s="8">
        <v>5</v>
      </c>
      <c r="C6" s="8">
        <v>6</v>
      </c>
      <c r="D6" s="8">
        <v>28</v>
      </c>
      <c r="E6" s="8">
        <v>7</v>
      </c>
      <c r="F6" s="8">
        <v>2</v>
      </c>
      <c r="H6" s="17">
        <v>5</v>
      </c>
      <c r="I6" s="17">
        <v>6</v>
      </c>
      <c r="J6" s="17">
        <v>28</v>
      </c>
      <c r="K6" s="17">
        <v>7</v>
      </c>
      <c r="L6" s="17">
        <v>2</v>
      </c>
      <c r="N6" s="6">
        <v>5</v>
      </c>
      <c r="O6" s="6">
        <v>6</v>
      </c>
      <c r="P6" s="6">
        <v>28</v>
      </c>
      <c r="Q6" s="6">
        <v>7</v>
      </c>
      <c r="R6" s="6">
        <v>2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93</v>
      </c>
      <c r="C8" s="3">
        <v>207</v>
      </c>
      <c r="D8" s="3">
        <v>219</v>
      </c>
      <c r="E8" s="3">
        <v>186</v>
      </c>
      <c r="F8" s="3">
        <v>126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22"/>
      <c r="I20" s="22"/>
      <c r="J20" s="22"/>
      <c r="K20" s="22"/>
      <c r="L20" s="22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2</v>
      </c>
      <c r="C24" s="8">
        <v>4</v>
      </c>
      <c r="D24" s="8">
        <v>3</v>
      </c>
      <c r="E24" s="8">
        <v>4</v>
      </c>
      <c r="F24" s="8">
        <v>2</v>
      </c>
    </row>
    <row r="25" spans="1:12" x14ac:dyDescent="0.3">
      <c r="A25" s="1" t="s">
        <v>2</v>
      </c>
      <c r="B25" s="8">
        <v>0</v>
      </c>
      <c r="C25" s="7">
        <v>3</v>
      </c>
      <c r="D25" s="7">
        <v>0</v>
      </c>
      <c r="E25" s="7">
        <v>3</v>
      </c>
      <c r="F25" s="8">
        <v>0</v>
      </c>
    </row>
    <row r="26" spans="1:12" x14ac:dyDescent="0.3">
      <c r="A26" s="1" t="s">
        <v>3</v>
      </c>
      <c r="B26" s="8">
        <v>5</v>
      </c>
      <c r="C26" s="8">
        <v>6</v>
      </c>
      <c r="D26" s="8">
        <v>28</v>
      </c>
      <c r="E26" s="8">
        <v>7</v>
      </c>
      <c r="F26" s="8">
        <v>2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17</v>
      </c>
      <c r="D27" s="8">
        <v>17</v>
      </c>
      <c r="E27" s="8">
        <v>13</v>
      </c>
      <c r="F27" s="8">
        <v>11</v>
      </c>
    </row>
    <row r="28" spans="1:12" x14ac:dyDescent="0.3">
      <c r="A28" s="1" t="s">
        <v>5</v>
      </c>
      <c r="B28" s="8">
        <v>8</v>
      </c>
      <c r="C28" s="8">
        <v>30</v>
      </c>
      <c r="D28" s="8">
        <v>30</v>
      </c>
      <c r="E28" s="8">
        <v>23</v>
      </c>
      <c r="F28" s="8">
        <v>15</v>
      </c>
    </row>
    <row r="29" spans="1:12" x14ac:dyDescent="0.3">
      <c r="A29" s="1" t="s">
        <v>6</v>
      </c>
      <c r="B29" s="8">
        <v>14</v>
      </c>
      <c r="C29" s="8">
        <v>22</v>
      </c>
      <c r="D29" s="8">
        <v>30</v>
      </c>
      <c r="E29" s="8">
        <v>23</v>
      </c>
      <c r="F29" s="8">
        <v>15</v>
      </c>
    </row>
    <row r="30" spans="1:12" x14ac:dyDescent="0.3">
      <c r="A30" s="1" t="s">
        <v>7</v>
      </c>
      <c r="B30" s="8">
        <v>12</v>
      </c>
      <c r="C30" s="8">
        <v>22</v>
      </c>
      <c r="D30" s="8">
        <v>15</v>
      </c>
      <c r="E30" s="8">
        <v>22</v>
      </c>
      <c r="F30" s="8">
        <v>15</v>
      </c>
    </row>
    <row r="31" spans="1:12" x14ac:dyDescent="0.3">
      <c r="A31" s="1" t="s">
        <v>8</v>
      </c>
      <c r="B31" s="8">
        <v>12</v>
      </c>
      <c r="C31" s="8">
        <v>16</v>
      </c>
      <c r="D31" s="8">
        <v>17</v>
      </c>
      <c r="E31" s="8">
        <v>22</v>
      </c>
      <c r="F31" s="8">
        <v>17</v>
      </c>
    </row>
    <row r="32" spans="1:12" x14ac:dyDescent="0.3">
      <c r="A32" s="1" t="s">
        <v>9</v>
      </c>
      <c r="B32" s="8">
        <v>5</v>
      </c>
      <c r="C32" s="8">
        <v>24</v>
      </c>
      <c r="D32" s="8">
        <v>21</v>
      </c>
      <c r="E32" s="8">
        <v>14</v>
      </c>
      <c r="F32" s="8">
        <v>9</v>
      </c>
    </row>
    <row r="33" spans="1:10" x14ac:dyDescent="0.3">
      <c r="A33" s="1" t="s">
        <v>10</v>
      </c>
      <c r="B33" s="8">
        <v>10</v>
      </c>
      <c r="C33" s="8">
        <v>22</v>
      </c>
      <c r="D33" s="8">
        <v>17</v>
      </c>
      <c r="E33" s="8">
        <v>20</v>
      </c>
      <c r="F33" s="8">
        <v>12</v>
      </c>
    </row>
    <row r="34" spans="1:10" x14ac:dyDescent="0.3">
      <c r="A34" s="1" t="s">
        <v>11</v>
      </c>
      <c r="B34" s="8">
        <v>9</v>
      </c>
      <c r="C34" s="8">
        <v>16</v>
      </c>
      <c r="D34" s="8">
        <v>21</v>
      </c>
      <c r="E34" s="8">
        <v>14</v>
      </c>
      <c r="F34" s="8">
        <v>9</v>
      </c>
    </row>
    <row r="35" spans="1:10" x14ac:dyDescent="0.3">
      <c r="A35" s="1" t="s">
        <v>12</v>
      </c>
      <c r="B35" s="8">
        <v>10</v>
      </c>
      <c r="C35" s="8">
        <v>16</v>
      </c>
      <c r="D35" s="8">
        <v>23</v>
      </c>
      <c r="E35" s="8">
        <v>22</v>
      </c>
      <c r="F35" s="8">
        <v>12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7</v>
      </c>
      <c r="C36" s="8">
        <v>16</v>
      </c>
      <c r="D36" s="8">
        <v>22</v>
      </c>
      <c r="E36" s="8">
        <v>10</v>
      </c>
      <c r="F36" s="8">
        <v>8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2</v>
      </c>
      <c r="E43" s="5">
        <f t="shared" si="0"/>
        <v>2</v>
      </c>
      <c r="F43" s="17">
        <v>0</v>
      </c>
      <c r="G43" s="17">
        <v>0</v>
      </c>
      <c r="H43" s="6">
        <v>0</v>
      </c>
      <c r="J43" s="14" t="str">
        <f t="shared" si="1"/>
        <v>[10, 'C1', 2, 2,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5</v>
      </c>
      <c r="E45" s="5">
        <f t="shared" si="0"/>
        <v>5</v>
      </c>
      <c r="F45" s="17">
        <v>0</v>
      </c>
      <c r="G45" s="17">
        <v>0</v>
      </c>
      <c r="H45" s="6">
        <v>0</v>
      </c>
      <c r="J45" s="14" t="str">
        <f t="shared" si="1"/>
        <v>[12, 'C3', 5, 5,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14</v>
      </c>
      <c r="E48" s="5">
        <f t="shared" si="0"/>
        <v>0</v>
      </c>
      <c r="F48" s="17">
        <v>4</v>
      </c>
      <c r="G48" s="17">
        <v>2</v>
      </c>
      <c r="H48" s="6">
        <v>0</v>
      </c>
      <c r="J48" s="14" t="str">
        <f t="shared" si="1"/>
        <v>[22, 'M3', 14, 0, 4, 2, 0],</v>
      </c>
    </row>
    <row r="49" spans="1:10" x14ac:dyDescent="0.3">
      <c r="B49" s="11">
        <v>23</v>
      </c>
      <c r="C49" s="11" t="s">
        <v>7</v>
      </c>
      <c r="D49" s="6">
        <v>12</v>
      </c>
      <c r="E49" s="5">
        <f t="shared" si="0"/>
        <v>0</v>
      </c>
      <c r="F49" s="17">
        <v>3</v>
      </c>
      <c r="G49" s="17">
        <v>2</v>
      </c>
      <c r="H49" s="6">
        <v>0</v>
      </c>
      <c r="J49" s="14" t="str">
        <f t="shared" si="1"/>
        <v>[23, 'M4', 12, 0, 3, 2, 0],</v>
      </c>
    </row>
    <row r="50" spans="1:10" x14ac:dyDescent="0.3">
      <c r="A50" s="3"/>
      <c r="B50" s="11">
        <v>24</v>
      </c>
      <c r="C50" s="11" t="s">
        <v>8</v>
      </c>
      <c r="D50" s="6">
        <v>12</v>
      </c>
      <c r="E50" s="5">
        <f t="shared" si="0"/>
        <v>0</v>
      </c>
      <c r="F50" s="17">
        <v>3</v>
      </c>
      <c r="G50" s="17">
        <v>2</v>
      </c>
      <c r="H50" s="6">
        <v>0</v>
      </c>
      <c r="J50" s="14" t="str">
        <f t="shared" si="1"/>
        <v>[24, 'M5', 12, 0, 3, 2,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10</v>
      </c>
      <c r="E52" s="5">
        <f t="shared" si="0"/>
        <v>10</v>
      </c>
      <c r="F52" s="17">
        <v>0</v>
      </c>
      <c r="G52" s="17">
        <v>0</v>
      </c>
      <c r="H52" s="6">
        <v>0</v>
      </c>
      <c r="J52" s="14" t="str">
        <f t="shared" si="1"/>
        <v>[31, 'K', 10, 10, 0, 0, 0],</v>
      </c>
    </row>
    <row r="53" spans="1:10" x14ac:dyDescent="0.3">
      <c r="A53" s="3"/>
      <c r="B53" s="11">
        <v>32</v>
      </c>
      <c r="C53" s="11" t="s">
        <v>11</v>
      </c>
      <c r="D53" s="6">
        <v>9</v>
      </c>
      <c r="E53" s="5">
        <f t="shared" si="0"/>
        <v>9</v>
      </c>
      <c r="F53" s="17">
        <v>0</v>
      </c>
      <c r="G53" s="17">
        <v>0</v>
      </c>
      <c r="H53" s="6">
        <v>0</v>
      </c>
      <c r="J53" s="14" t="str">
        <f t="shared" si="1"/>
        <v>[32, 'Q', 9, 9, 0, 0, 0],</v>
      </c>
    </row>
    <row r="54" spans="1:10" x14ac:dyDescent="0.3">
      <c r="A54" s="3"/>
      <c r="B54" s="11">
        <v>33</v>
      </c>
      <c r="C54" s="11" t="s">
        <v>12</v>
      </c>
      <c r="D54" s="6">
        <v>10</v>
      </c>
      <c r="E54" s="5">
        <f t="shared" si="0"/>
        <v>10</v>
      </c>
      <c r="F54" s="17">
        <v>0</v>
      </c>
      <c r="G54" s="17">
        <v>0</v>
      </c>
      <c r="H54" s="6">
        <v>0</v>
      </c>
      <c r="J54" s="14" t="str">
        <f t="shared" si="1"/>
        <v>[33, 'J', 10, 10, 0, 0, 0],</v>
      </c>
    </row>
    <row r="55" spans="1:10" x14ac:dyDescent="0.3">
      <c r="A55" s="3"/>
      <c r="B55" s="11">
        <v>34</v>
      </c>
      <c r="C55" s="11" t="s">
        <v>13</v>
      </c>
      <c r="D55" s="6">
        <v>7</v>
      </c>
      <c r="E55" s="5">
        <f t="shared" si="0"/>
        <v>7</v>
      </c>
      <c r="F55" s="17">
        <v>0</v>
      </c>
      <c r="G55" s="17">
        <v>0</v>
      </c>
      <c r="H55" s="6">
        <v>0</v>
      </c>
      <c r="J55" s="14" t="str">
        <f t="shared" si="1"/>
        <v>[34, 'TE', 7, 7,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4</v>
      </c>
      <c r="E61" s="5">
        <f t="shared" si="2"/>
        <v>4</v>
      </c>
      <c r="F61" s="17">
        <v>0</v>
      </c>
      <c r="G61" s="17">
        <v>0</v>
      </c>
      <c r="H61" s="6">
        <v>0</v>
      </c>
      <c r="J61" s="14" t="str">
        <f t="shared" si="3"/>
        <v>[10, 'C1', 4, 4, 0, 0, 0],</v>
      </c>
    </row>
    <row r="62" spans="1:10" x14ac:dyDescent="0.3">
      <c r="A62" s="3"/>
      <c r="B62" s="11">
        <v>11</v>
      </c>
      <c r="C62" s="11" t="s">
        <v>2</v>
      </c>
      <c r="D62" s="6">
        <v>3</v>
      </c>
      <c r="E62" s="5">
        <f t="shared" si="2"/>
        <v>3</v>
      </c>
      <c r="F62" s="17">
        <v>0</v>
      </c>
      <c r="G62" s="17">
        <v>0</v>
      </c>
      <c r="H62" s="6">
        <v>0</v>
      </c>
      <c r="J62" s="14" t="str">
        <f t="shared" si="3"/>
        <v>[11, 'C2', 3, 3, 0, 0, 0],</v>
      </c>
    </row>
    <row r="63" spans="1:10" x14ac:dyDescent="0.3">
      <c r="A63" s="3"/>
      <c r="B63" s="11">
        <v>12</v>
      </c>
      <c r="C63" s="11" t="s">
        <v>3</v>
      </c>
      <c r="D63" s="6">
        <v>6</v>
      </c>
      <c r="E63" s="5">
        <f t="shared" si="2"/>
        <v>6</v>
      </c>
      <c r="F63" s="17">
        <v>0</v>
      </c>
      <c r="G63" s="17">
        <v>0</v>
      </c>
      <c r="H63" s="6">
        <v>0</v>
      </c>
      <c r="J63" s="14" t="str">
        <f t="shared" si="3"/>
        <v>[12, 'C3', 6, 6, 0, 0, 0],</v>
      </c>
    </row>
    <row r="64" spans="1:10" x14ac:dyDescent="0.3">
      <c r="A64" s="3"/>
      <c r="B64" s="11">
        <v>20</v>
      </c>
      <c r="C64" s="11" t="s">
        <v>4</v>
      </c>
      <c r="D64" s="6">
        <v>17</v>
      </c>
      <c r="E64" s="5">
        <f t="shared" si="2"/>
        <v>0</v>
      </c>
      <c r="F64" s="17">
        <v>4</v>
      </c>
      <c r="G64" s="17">
        <v>3</v>
      </c>
      <c r="H64" s="6">
        <v>0</v>
      </c>
      <c r="J64" s="14" t="str">
        <f t="shared" si="3"/>
        <v>[20, 'M1', 17, 0, 4, 3, 0],</v>
      </c>
    </row>
    <row r="65" spans="1:10" x14ac:dyDescent="0.3">
      <c r="A65" s="3"/>
      <c r="B65" s="11">
        <v>21</v>
      </c>
      <c r="C65" s="11" t="s">
        <v>5</v>
      </c>
      <c r="D65" s="6">
        <v>30</v>
      </c>
      <c r="E65" s="5">
        <f t="shared" si="2"/>
        <v>0</v>
      </c>
      <c r="F65" s="17">
        <v>6</v>
      </c>
      <c r="G65" s="17">
        <v>6</v>
      </c>
      <c r="H65" s="6">
        <v>0</v>
      </c>
      <c r="J65" s="14" t="str">
        <f t="shared" si="3"/>
        <v>[21, 'M2', 30, 0, 6, 6,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16</v>
      </c>
      <c r="E73" s="5">
        <f t="shared" si="2"/>
        <v>16</v>
      </c>
      <c r="F73" s="17">
        <v>0</v>
      </c>
      <c r="G73" s="17">
        <v>0</v>
      </c>
      <c r="H73" s="6">
        <v>0</v>
      </c>
      <c r="J73" s="14" t="str">
        <f t="shared" si="3"/>
        <v>[34, 'TE', 16, 16,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3</v>
      </c>
      <c r="E79" s="5">
        <f t="shared" si="4"/>
        <v>3</v>
      </c>
      <c r="F79" s="17">
        <v>0</v>
      </c>
      <c r="G79" s="17">
        <v>0</v>
      </c>
      <c r="H79" s="6">
        <v>0</v>
      </c>
      <c r="J79" s="14" t="str">
        <f t="shared" si="5"/>
        <v>[10, 'C1', 3, 3, 0, 0, 0],</v>
      </c>
    </row>
    <row r="80" spans="1:10" x14ac:dyDescent="0.3">
      <c r="A80" s="3"/>
      <c r="B80" s="11">
        <v>11</v>
      </c>
      <c r="C80" s="11" t="s">
        <v>2</v>
      </c>
      <c r="D80" s="6">
        <v>0</v>
      </c>
      <c r="E80" s="5">
        <f t="shared" si="4"/>
        <v>0</v>
      </c>
      <c r="F80" s="17">
        <v>0</v>
      </c>
      <c r="G80" s="17">
        <v>0</v>
      </c>
      <c r="H80" s="6">
        <v>0</v>
      </c>
      <c r="J80" s="14" t="str">
        <f t="shared" si="5"/>
        <v>[11, 'C2', 0, 0, 0, 0, 0],</v>
      </c>
    </row>
    <row r="81" spans="1:10" x14ac:dyDescent="0.3">
      <c r="A81" s="3"/>
      <c r="B81" s="11">
        <v>12</v>
      </c>
      <c r="C81" s="11" t="s">
        <v>3</v>
      </c>
      <c r="D81" s="6">
        <v>28</v>
      </c>
      <c r="E81" s="5">
        <f t="shared" si="4"/>
        <v>28</v>
      </c>
      <c r="F81" s="17">
        <v>0</v>
      </c>
      <c r="G81" s="17">
        <v>0</v>
      </c>
      <c r="H81" s="6">
        <v>0</v>
      </c>
      <c r="J81" s="14" t="str">
        <f t="shared" si="5"/>
        <v>[12, 'C3', 28, 28, 0, 0, 0],</v>
      </c>
    </row>
    <row r="82" spans="1:10" x14ac:dyDescent="0.3">
      <c r="A82" s="3"/>
      <c r="B82" s="11">
        <v>20</v>
      </c>
      <c r="C82" s="11" t="s">
        <v>4</v>
      </c>
      <c r="D82" s="6">
        <v>17</v>
      </c>
      <c r="E82" s="5">
        <f t="shared" si="4"/>
        <v>0</v>
      </c>
      <c r="F82" s="17">
        <v>4</v>
      </c>
      <c r="G82" s="17">
        <v>3</v>
      </c>
      <c r="H82" s="6">
        <v>0</v>
      </c>
      <c r="J82" s="14" t="str">
        <f t="shared" si="5"/>
        <v>[20, 'M1', 17, 0, 4, 3, 0],</v>
      </c>
    </row>
    <row r="83" spans="1:10" x14ac:dyDescent="0.3">
      <c r="A83" s="3"/>
      <c r="B83" s="11">
        <v>21</v>
      </c>
      <c r="C83" s="11" t="s">
        <v>5</v>
      </c>
      <c r="D83" s="6">
        <v>30</v>
      </c>
      <c r="E83" s="5">
        <f t="shared" si="4"/>
        <v>0</v>
      </c>
      <c r="F83" s="17">
        <v>9</v>
      </c>
      <c r="G83" s="17">
        <v>4</v>
      </c>
      <c r="H83" s="6">
        <v>0</v>
      </c>
      <c r="J83" s="14" t="str">
        <f t="shared" si="5"/>
        <v>[21, 'M2', 30, 0, 9, 4, 0],</v>
      </c>
    </row>
    <row r="84" spans="1:10" x14ac:dyDescent="0.3">
      <c r="A84" s="3"/>
      <c r="B84" s="11">
        <v>22</v>
      </c>
      <c r="C84" s="11" t="s">
        <v>6</v>
      </c>
      <c r="D84" s="6">
        <v>30</v>
      </c>
      <c r="E84" s="5">
        <f t="shared" si="4"/>
        <v>0</v>
      </c>
      <c r="F84" s="17">
        <v>9</v>
      </c>
      <c r="G84" s="17">
        <v>4</v>
      </c>
      <c r="H84" s="6">
        <v>0</v>
      </c>
      <c r="J84" s="14" t="str">
        <f t="shared" si="5"/>
        <v>[22, 'M3', 30, 0, 9, 4, 0],</v>
      </c>
    </row>
    <row r="85" spans="1:10" x14ac:dyDescent="0.3">
      <c r="A85" s="3"/>
      <c r="B85" s="11">
        <v>23</v>
      </c>
      <c r="C85" s="11" t="s">
        <v>7</v>
      </c>
      <c r="D85" s="6">
        <v>15</v>
      </c>
      <c r="E85" s="5">
        <f t="shared" si="4"/>
        <v>0</v>
      </c>
      <c r="F85" s="17">
        <v>3</v>
      </c>
      <c r="G85" s="17">
        <v>3</v>
      </c>
      <c r="H85" s="6">
        <v>0</v>
      </c>
      <c r="J85" s="14" t="str">
        <f t="shared" si="5"/>
        <v>[23, 'M4', 15, 0, 3, 3, 0],</v>
      </c>
    </row>
    <row r="86" spans="1:10" x14ac:dyDescent="0.3">
      <c r="A86" s="3"/>
      <c r="B86" s="11">
        <v>24</v>
      </c>
      <c r="C86" s="11" t="s">
        <v>8</v>
      </c>
      <c r="D86" s="6">
        <v>17</v>
      </c>
      <c r="E86" s="5">
        <f t="shared" si="4"/>
        <v>0</v>
      </c>
      <c r="F86" s="17">
        <v>4</v>
      </c>
      <c r="G86" s="17">
        <v>3</v>
      </c>
      <c r="H86" s="6">
        <v>0</v>
      </c>
      <c r="J86" s="14" t="str">
        <f t="shared" si="5"/>
        <v>[24, 'M5', 17, 0, 4, 3, 0],</v>
      </c>
    </row>
    <row r="87" spans="1:10" x14ac:dyDescent="0.3">
      <c r="A87" s="3"/>
      <c r="B87" s="11">
        <v>30</v>
      </c>
      <c r="C87" s="11" t="s">
        <v>9</v>
      </c>
      <c r="D87" s="6">
        <v>21</v>
      </c>
      <c r="E87" s="5">
        <f t="shared" si="4"/>
        <v>21</v>
      </c>
      <c r="F87" s="17">
        <v>0</v>
      </c>
      <c r="G87" s="17">
        <v>0</v>
      </c>
      <c r="H87" s="6">
        <v>0</v>
      </c>
      <c r="J87" s="14" t="str">
        <f t="shared" si="5"/>
        <v>[30, 'A', 21, 21, 0, 0, 0],</v>
      </c>
    </row>
    <row r="88" spans="1:10" x14ac:dyDescent="0.3">
      <c r="A88" s="3"/>
      <c r="B88" s="11">
        <v>31</v>
      </c>
      <c r="C88" s="11" t="s">
        <v>10</v>
      </c>
      <c r="D88" s="6">
        <v>17</v>
      </c>
      <c r="E88" s="5">
        <f t="shared" si="4"/>
        <v>17</v>
      </c>
      <c r="F88" s="17">
        <v>0</v>
      </c>
      <c r="G88" s="17">
        <v>0</v>
      </c>
      <c r="H88" s="6">
        <v>0</v>
      </c>
      <c r="J88" s="14" t="str">
        <f t="shared" si="5"/>
        <v>[31, 'K', 17, 17, 0, 0, 0],</v>
      </c>
    </row>
    <row r="89" spans="1:10" x14ac:dyDescent="0.3">
      <c r="A89" s="3"/>
      <c r="B89" s="11">
        <v>32</v>
      </c>
      <c r="C89" s="11" t="s">
        <v>11</v>
      </c>
      <c r="D89" s="6">
        <v>21</v>
      </c>
      <c r="E89" s="5">
        <f t="shared" si="4"/>
        <v>21</v>
      </c>
      <c r="F89" s="17">
        <v>0</v>
      </c>
      <c r="G89" s="17">
        <v>0</v>
      </c>
      <c r="H89" s="6">
        <v>0</v>
      </c>
      <c r="J89" s="14" t="str">
        <f t="shared" si="5"/>
        <v>[32, 'Q', 21, 21, 0, 0, 0],</v>
      </c>
    </row>
    <row r="90" spans="1:10" x14ac:dyDescent="0.3">
      <c r="A90" s="3"/>
      <c r="B90" s="11">
        <v>33</v>
      </c>
      <c r="C90" s="11" t="s">
        <v>12</v>
      </c>
      <c r="D90" s="6">
        <v>23</v>
      </c>
      <c r="E90" s="5">
        <f t="shared" si="4"/>
        <v>23</v>
      </c>
      <c r="F90" s="17">
        <v>0</v>
      </c>
      <c r="G90" s="17">
        <v>0</v>
      </c>
      <c r="H90" s="6">
        <v>0</v>
      </c>
      <c r="J90" s="14" t="str">
        <f t="shared" si="5"/>
        <v>[33, 'J', 23, 23, 0, 0, 0],</v>
      </c>
    </row>
    <row r="91" spans="1:10" x14ac:dyDescent="0.3">
      <c r="A91" s="3"/>
      <c r="B91" s="11">
        <v>34</v>
      </c>
      <c r="C91" s="11" t="s">
        <v>13</v>
      </c>
      <c r="D91" s="6">
        <v>22</v>
      </c>
      <c r="E91" s="5">
        <f t="shared" si="4"/>
        <v>22</v>
      </c>
      <c r="F91" s="17">
        <v>0</v>
      </c>
      <c r="G91" s="17">
        <v>0</v>
      </c>
      <c r="H91" s="6">
        <v>0</v>
      </c>
      <c r="J91" s="14" t="str">
        <f t="shared" si="5"/>
        <v>[34, 'TE', 22, 22,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4</v>
      </c>
      <c r="E97" s="5">
        <f t="shared" si="6"/>
        <v>4</v>
      </c>
      <c r="F97" s="17">
        <v>0</v>
      </c>
      <c r="G97" s="17">
        <v>0</v>
      </c>
      <c r="H97" s="6">
        <v>0</v>
      </c>
      <c r="J97" s="14" t="str">
        <f t="shared" si="7"/>
        <v>[10, 'C1', 4, 4, 0, 0, 0],</v>
      </c>
    </row>
    <row r="98" spans="1:10" x14ac:dyDescent="0.3">
      <c r="A98" s="3"/>
      <c r="B98" s="11">
        <v>11</v>
      </c>
      <c r="C98" s="11" t="s">
        <v>2</v>
      </c>
      <c r="D98" s="6">
        <v>3</v>
      </c>
      <c r="E98" s="5">
        <f t="shared" si="6"/>
        <v>3</v>
      </c>
      <c r="F98" s="17">
        <v>0</v>
      </c>
      <c r="G98" s="17">
        <v>0</v>
      </c>
      <c r="H98" s="6">
        <v>0</v>
      </c>
      <c r="J98" s="14" t="str">
        <f t="shared" si="7"/>
        <v>[11, 'C2', 3, 3, 0, 0, 0],</v>
      </c>
    </row>
    <row r="99" spans="1:10" x14ac:dyDescent="0.3">
      <c r="A99" s="3"/>
      <c r="B99" s="11">
        <v>12</v>
      </c>
      <c r="C99" s="11" t="s">
        <v>3</v>
      </c>
      <c r="D99" s="6">
        <v>7</v>
      </c>
      <c r="E99" s="5">
        <f t="shared" si="6"/>
        <v>7</v>
      </c>
      <c r="F99" s="17">
        <v>0</v>
      </c>
      <c r="G99" s="17">
        <v>0</v>
      </c>
      <c r="H99" s="6">
        <v>0</v>
      </c>
      <c r="J99" s="14" t="str">
        <f t="shared" si="7"/>
        <v>[12, 'C3', 7, 7, 0, 0, 0],</v>
      </c>
    </row>
    <row r="100" spans="1:10" x14ac:dyDescent="0.3">
      <c r="A100" s="3"/>
      <c r="B100" s="11">
        <v>20</v>
      </c>
      <c r="C100" s="11" t="s">
        <v>4</v>
      </c>
      <c r="D100" s="6">
        <v>13</v>
      </c>
      <c r="E100" s="5">
        <f t="shared" si="6"/>
        <v>0</v>
      </c>
      <c r="F100" s="17">
        <v>2</v>
      </c>
      <c r="G100" s="17">
        <v>3</v>
      </c>
      <c r="H100" s="6">
        <v>0</v>
      </c>
      <c r="J100" s="14" t="str">
        <f t="shared" si="7"/>
        <v>[20, 'M1', 13, 0, 2, 3, 0],</v>
      </c>
    </row>
    <row r="101" spans="1:10" x14ac:dyDescent="0.3">
      <c r="A101" s="3"/>
      <c r="B101" s="11">
        <v>21</v>
      </c>
      <c r="C101" s="11" t="s">
        <v>5</v>
      </c>
      <c r="D101" s="6">
        <v>23</v>
      </c>
      <c r="E101" s="5">
        <f t="shared" si="6"/>
        <v>0</v>
      </c>
      <c r="F101" s="17">
        <v>7</v>
      </c>
      <c r="G101" s="17">
        <v>3</v>
      </c>
      <c r="H101" s="6">
        <v>0</v>
      </c>
      <c r="J101" s="14" t="str">
        <f t="shared" si="7"/>
        <v>[21, 'M2', 23, 0, 7, 3, 0],</v>
      </c>
    </row>
    <row r="102" spans="1:10" x14ac:dyDescent="0.3">
      <c r="A102" s="3"/>
      <c r="B102" s="11">
        <v>22</v>
      </c>
      <c r="C102" s="11" t="s">
        <v>6</v>
      </c>
      <c r="D102" s="6">
        <v>23</v>
      </c>
      <c r="E102" s="5">
        <f t="shared" si="6"/>
        <v>0</v>
      </c>
      <c r="F102" s="17">
        <v>7</v>
      </c>
      <c r="G102" s="17">
        <v>3</v>
      </c>
      <c r="H102" s="6">
        <v>0</v>
      </c>
      <c r="J102" s="14" t="str">
        <f t="shared" si="7"/>
        <v>[22, 'M3', 23, 0, 7, 3, 0],</v>
      </c>
    </row>
    <row r="103" spans="1:10" x14ac:dyDescent="0.3">
      <c r="A103" s="3"/>
      <c r="B103" s="11">
        <v>23</v>
      </c>
      <c r="C103" s="11" t="s">
        <v>7</v>
      </c>
      <c r="D103" s="6">
        <v>22</v>
      </c>
      <c r="E103" s="5">
        <f t="shared" si="6"/>
        <v>0</v>
      </c>
      <c r="F103" s="17">
        <v>5</v>
      </c>
      <c r="G103" s="17">
        <v>4</v>
      </c>
      <c r="H103" s="6">
        <v>0</v>
      </c>
      <c r="J103" s="14" t="str">
        <f t="shared" si="7"/>
        <v>[23, 'M4', 22, 0, 5, 4, 0],</v>
      </c>
    </row>
    <row r="104" spans="1:10" x14ac:dyDescent="0.3">
      <c r="A104" s="3"/>
      <c r="B104" s="11">
        <v>24</v>
      </c>
      <c r="C104" s="11" t="s">
        <v>8</v>
      </c>
      <c r="D104" s="6">
        <v>22</v>
      </c>
      <c r="E104" s="5">
        <f t="shared" si="6"/>
        <v>0</v>
      </c>
      <c r="F104" s="17">
        <v>5</v>
      </c>
      <c r="G104" s="17">
        <v>4</v>
      </c>
      <c r="H104" s="6">
        <v>0</v>
      </c>
      <c r="J104" s="14" t="str">
        <f t="shared" si="7"/>
        <v>[24, 'M5', 22, 0, 5, 4, 0],</v>
      </c>
    </row>
    <row r="105" spans="1:10" x14ac:dyDescent="0.3">
      <c r="A105" s="3"/>
      <c r="B105" s="11">
        <v>30</v>
      </c>
      <c r="C105" s="11" t="s">
        <v>9</v>
      </c>
      <c r="D105" s="6">
        <v>14</v>
      </c>
      <c r="E105" s="5">
        <f t="shared" si="6"/>
        <v>14</v>
      </c>
      <c r="F105" s="17">
        <v>0</v>
      </c>
      <c r="G105" s="17">
        <v>0</v>
      </c>
      <c r="H105" s="6">
        <v>0</v>
      </c>
      <c r="J105" s="14" t="str">
        <f t="shared" si="7"/>
        <v>[30, 'A', 14, 14, 0, 0, 0],</v>
      </c>
    </row>
    <row r="106" spans="1:10" x14ac:dyDescent="0.3">
      <c r="A106" s="3"/>
      <c r="B106" s="11">
        <v>31</v>
      </c>
      <c r="C106" s="11" t="s">
        <v>10</v>
      </c>
      <c r="D106" s="6">
        <v>20</v>
      </c>
      <c r="E106" s="5">
        <f t="shared" si="6"/>
        <v>20</v>
      </c>
      <c r="F106" s="17">
        <v>0</v>
      </c>
      <c r="G106" s="17">
        <v>0</v>
      </c>
      <c r="H106" s="6">
        <v>0</v>
      </c>
      <c r="J106" s="14" t="str">
        <f t="shared" si="7"/>
        <v>[31, 'K', 20, 20, 0, 0, 0],</v>
      </c>
    </row>
    <row r="107" spans="1:10" x14ac:dyDescent="0.3">
      <c r="A107" s="3"/>
      <c r="B107" s="11">
        <v>32</v>
      </c>
      <c r="C107" s="11" t="s">
        <v>11</v>
      </c>
      <c r="D107" s="6">
        <v>14</v>
      </c>
      <c r="E107" s="5">
        <f t="shared" si="6"/>
        <v>14</v>
      </c>
      <c r="F107" s="17">
        <v>0</v>
      </c>
      <c r="G107" s="17">
        <v>0</v>
      </c>
      <c r="H107" s="6">
        <v>0</v>
      </c>
      <c r="J107" s="14" t="str">
        <f t="shared" si="7"/>
        <v>[32, 'Q', 14, 14, 0, 0, 0],</v>
      </c>
    </row>
    <row r="108" spans="1:10" x14ac:dyDescent="0.3">
      <c r="A108" s="3"/>
      <c r="B108" s="11">
        <v>33</v>
      </c>
      <c r="C108" s="11" t="s">
        <v>12</v>
      </c>
      <c r="D108" s="6">
        <v>22</v>
      </c>
      <c r="E108" s="5">
        <f t="shared" si="6"/>
        <v>22</v>
      </c>
      <c r="F108" s="17">
        <v>0</v>
      </c>
      <c r="G108" s="17">
        <v>0</v>
      </c>
      <c r="H108" s="6">
        <v>0</v>
      </c>
      <c r="J108" s="14" t="str">
        <f t="shared" si="7"/>
        <v>[33, 'J', 22, 22, 0, 0, 0],</v>
      </c>
    </row>
    <row r="109" spans="1:10" x14ac:dyDescent="0.3">
      <c r="A109" s="3"/>
      <c r="B109" s="11">
        <v>34</v>
      </c>
      <c r="C109" s="11" t="s">
        <v>13</v>
      </c>
      <c r="D109" s="6">
        <v>10</v>
      </c>
      <c r="E109" s="5">
        <f t="shared" si="6"/>
        <v>10</v>
      </c>
      <c r="F109" s="17">
        <v>0</v>
      </c>
      <c r="G109" s="17">
        <v>0</v>
      </c>
      <c r="H109" s="6">
        <v>0</v>
      </c>
      <c r="J109" s="14" t="str">
        <f t="shared" si="7"/>
        <v>[34, 'TE', 10, 10,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2</v>
      </c>
      <c r="E115" s="5">
        <f t="shared" si="8"/>
        <v>2</v>
      </c>
      <c r="F115" s="17">
        <v>0</v>
      </c>
      <c r="G115" s="17">
        <v>0</v>
      </c>
      <c r="H115" s="6">
        <v>0</v>
      </c>
      <c r="J115" s="14" t="str">
        <f t="shared" si="9"/>
        <v>[10, 'C1', 2, 2,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2</v>
      </c>
      <c r="E117" s="5">
        <f t="shared" si="8"/>
        <v>2</v>
      </c>
      <c r="F117" s="17">
        <v>0</v>
      </c>
      <c r="G117" s="17">
        <v>0</v>
      </c>
      <c r="H117" s="6">
        <v>0</v>
      </c>
      <c r="J117" s="14" t="str">
        <f t="shared" si="9"/>
        <v>[12, 'C3', 2, 2, 0, 0, 0],</v>
      </c>
    </row>
    <row r="118" spans="1:10" x14ac:dyDescent="0.3">
      <c r="A118" s="3"/>
      <c r="B118" s="11">
        <v>20</v>
      </c>
      <c r="C118" s="11" t="s">
        <v>4</v>
      </c>
      <c r="D118" s="6">
        <v>11</v>
      </c>
      <c r="E118" s="5">
        <f t="shared" si="8"/>
        <v>0</v>
      </c>
      <c r="F118" s="17">
        <v>4</v>
      </c>
      <c r="G118" s="17">
        <v>1</v>
      </c>
      <c r="H118" s="6">
        <v>0</v>
      </c>
      <c r="J118" s="14" t="str">
        <f t="shared" si="9"/>
        <v>[20, 'M1', 11, 0, 4, 1, 0],</v>
      </c>
    </row>
    <row r="119" spans="1:10" x14ac:dyDescent="0.3">
      <c r="A119" s="3"/>
      <c r="B119" s="11">
        <v>21</v>
      </c>
      <c r="C119" s="11" t="s">
        <v>5</v>
      </c>
      <c r="D119" s="6">
        <v>15</v>
      </c>
      <c r="E119" s="5">
        <f t="shared" si="8"/>
        <v>0</v>
      </c>
      <c r="F119" s="17">
        <v>3</v>
      </c>
      <c r="G119" s="17">
        <v>3</v>
      </c>
      <c r="H119" s="6">
        <v>0</v>
      </c>
      <c r="J119" s="14" t="str">
        <f t="shared" si="9"/>
        <v>[21, 'M2', 15, 0, 3, 3, 0],</v>
      </c>
    </row>
    <row r="120" spans="1:10" x14ac:dyDescent="0.3">
      <c r="A120" s="3"/>
      <c r="B120" s="11">
        <v>22</v>
      </c>
      <c r="C120" s="11" t="s">
        <v>6</v>
      </c>
      <c r="D120" s="6">
        <v>15</v>
      </c>
      <c r="E120" s="5">
        <f t="shared" si="8"/>
        <v>0</v>
      </c>
      <c r="F120" s="17">
        <v>3</v>
      </c>
      <c r="G120" s="17">
        <v>3</v>
      </c>
      <c r="H120" s="6">
        <v>0</v>
      </c>
      <c r="J120" s="14" t="str">
        <f t="shared" si="9"/>
        <v>[22, 'M3', 15, 0, 3, 3, 0],</v>
      </c>
    </row>
    <row r="121" spans="1:10" x14ac:dyDescent="0.3">
      <c r="A121" s="3"/>
      <c r="B121" s="11">
        <v>23</v>
      </c>
      <c r="C121" s="11" t="s">
        <v>7</v>
      </c>
      <c r="D121" s="6">
        <v>15</v>
      </c>
      <c r="E121" s="5">
        <f t="shared" si="8"/>
        <v>0</v>
      </c>
      <c r="F121" s="17">
        <v>3</v>
      </c>
      <c r="G121" s="17">
        <v>3</v>
      </c>
      <c r="H121" s="6">
        <v>0</v>
      </c>
      <c r="J121" s="14" t="str">
        <f t="shared" si="9"/>
        <v>[23, 'M4', 15, 0, 3, 3, 0],</v>
      </c>
    </row>
    <row r="122" spans="1:10" x14ac:dyDescent="0.3">
      <c r="A122" s="3"/>
      <c r="B122" s="11">
        <v>24</v>
      </c>
      <c r="C122" s="11" t="s">
        <v>8</v>
      </c>
      <c r="D122" s="6">
        <v>17</v>
      </c>
      <c r="E122" s="5">
        <f t="shared" si="8"/>
        <v>0</v>
      </c>
      <c r="F122" s="17">
        <v>4</v>
      </c>
      <c r="G122" s="17">
        <v>3</v>
      </c>
      <c r="H122" s="6">
        <v>0</v>
      </c>
      <c r="J122" s="14" t="str">
        <f t="shared" si="9"/>
        <v>[24, 'M5', 17, 0, 4, 3, 0],</v>
      </c>
    </row>
    <row r="123" spans="1:10" x14ac:dyDescent="0.3">
      <c r="A123" s="3"/>
      <c r="B123" s="11">
        <v>30</v>
      </c>
      <c r="C123" s="11" t="s">
        <v>9</v>
      </c>
      <c r="D123" s="6">
        <v>9</v>
      </c>
      <c r="E123" s="5">
        <f t="shared" si="8"/>
        <v>9</v>
      </c>
      <c r="F123" s="17">
        <v>0</v>
      </c>
      <c r="G123" s="17">
        <v>0</v>
      </c>
      <c r="H123" s="6">
        <v>0</v>
      </c>
      <c r="J123" s="14" t="str">
        <f t="shared" si="9"/>
        <v>[30, 'A', 9, 9, 0, 0, 0],</v>
      </c>
    </row>
    <row r="124" spans="1:10" x14ac:dyDescent="0.3">
      <c r="A124" s="3"/>
      <c r="B124" s="11">
        <v>31</v>
      </c>
      <c r="C124" s="11" t="s">
        <v>10</v>
      </c>
      <c r="D124" s="6">
        <v>12</v>
      </c>
      <c r="E124" s="5">
        <f t="shared" si="8"/>
        <v>12</v>
      </c>
      <c r="F124" s="17">
        <v>0</v>
      </c>
      <c r="G124" s="17">
        <v>0</v>
      </c>
      <c r="H124" s="6">
        <v>0</v>
      </c>
      <c r="J124" s="14" t="str">
        <f t="shared" si="9"/>
        <v>[31, 'K', 12, 12, 0, 0, 0],</v>
      </c>
    </row>
    <row r="125" spans="1:10" x14ac:dyDescent="0.3">
      <c r="A125" s="3"/>
      <c r="B125" s="11">
        <v>32</v>
      </c>
      <c r="C125" s="11" t="s">
        <v>11</v>
      </c>
      <c r="D125" s="6">
        <v>9</v>
      </c>
      <c r="E125" s="5">
        <f t="shared" si="8"/>
        <v>9</v>
      </c>
      <c r="F125" s="17">
        <v>0</v>
      </c>
      <c r="G125" s="17">
        <v>0</v>
      </c>
      <c r="H125" s="6">
        <v>0</v>
      </c>
      <c r="J125" s="14" t="str">
        <f t="shared" si="9"/>
        <v>[32, 'Q', 9, 9, 0, 0, 0],</v>
      </c>
    </row>
    <row r="126" spans="1:10" x14ac:dyDescent="0.3">
      <c r="A126" s="3"/>
      <c r="B126" s="11">
        <v>33</v>
      </c>
      <c r="C126" s="11" t="s">
        <v>12</v>
      </c>
      <c r="D126" s="6">
        <v>12</v>
      </c>
      <c r="E126" s="5">
        <f t="shared" si="8"/>
        <v>12</v>
      </c>
      <c r="F126" s="17">
        <v>0</v>
      </c>
      <c r="G126" s="17">
        <v>0</v>
      </c>
      <c r="H126" s="6">
        <v>0</v>
      </c>
      <c r="J126" s="14" t="str">
        <f t="shared" si="9"/>
        <v>[33, 'J', 12, 12, 0, 0, 0],</v>
      </c>
    </row>
    <row r="127" spans="1:10" x14ac:dyDescent="0.3">
      <c r="A127" s="3"/>
      <c r="B127" s="11">
        <v>34</v>
      </c>
      <c r="C127" s="11" t="s">
        <v>13</v>
      </c>
      <c r="D127" s="6">
        <v>8</v>
      </c>
      <c r="E127" s="5">
        <f t="shared" si="8"/>
        <v>8</v>
      </c>
      <c r="F127" s="17">
        <v>0</v>
      </c>
      <c r="G127" s="17">
        <v>0</v>
      </c>
      <c r="H127" s="6">
        <v>0</v>
      </c>
      <c r="J127" s="14" t="str">
        <f t="shared" si="9"/>
        <v>[34, 'TE', 8, 8,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S95:S108 Q110:S127 V42:V55 L58 P95:Q109 N58:O58 K77:L91 Q58:R58 K95:L95 Q76:S76 J92:L92 K111:P111 R109:S109 P110 N112:P112 N96:O110 J60:J73 J78:J91 J96:L110 J114:J127 A3:A7 AA7:AB10 Z12:AB12 T11:AB11 T12 B1:S1 A2:S2 S8 A8:L8 A128:S1048576 A39:I39 K39:S39 A22:S38 A9:G10 H10:S10 T7:U10 T143:AB1048576 T13:AB39 T1:AB6 A40:AA40 A41:E127 H9 J9:S9 M11:S21 A21:G21 A11:A20 H58:I127 H42:L56 H57:S57 H41:I41">
    <cfRule type="cellIs" dxfId="32" priority="33" operator="equal">
      <formula>0</formula>
    </cfRule>
  </conditionalFormatting>
  <conditionalFormatting sqref="J74">
    <cfRule type="cellIs" dxfId="31" priority="32" operator="equal">
      <formula>0</formula>
    </cfRule>
  </conditionalFormatting>
  <conditionalFormatting sqref="E41:E127">
    <cfRule type="cellIs" dxfId="30" priority="31" operator="lessThan">
      <formula>0</formula>
    </cfRule>
  </conditionalFormatting>
  <conditionalFormatting sqref="V7:Z10">
    <cfRule type="cellIs" dxfId="29" priority="30" operator="equal">
      <formula>0</formula>
    </cfRule>
  </conditionalFormatting>
  <conditionalFormatting sqref="H5:L5 H6 K6:L6">
    <cfRule type="cellIs" dxfId="28" priority="28" operator="equal">
      <formula>0</formula>
    </cfRule>
  </conditionalFormatting>
  <conditionalFormatting sqref="P8:Q8 M8:N8">
    <cfRule type="cellIs" dxfId="27" priority="27" operator="equal">
      <formula>0</formula>
    </cfRule>
  </conditionalFormatting>
  <conditionalFormatting sqref="I6:J6">
    <cfRule type="cellIs" dxfId="26" priority="26" operator="equal">
      <formula>0</formula>
    </cfRule>
  </conditionalFormatting>
  <conditionalFormatting sqref="B3:F7">
    <cfRule type="cellIs" dxfId="25" priority="18" operator="equal">
      <formula>0</formula>
    </cfRule>
  </conditionalFormatting>
  <conditionalFormatting sqref="I9">
    <cfRule type="cellIs" dxfId="24" priority="14" operator="equal">
      <formula>0</formula>
    </cfRule>
  </conditionalFormatting>
  <conditionalFormatting sqref="H4:L4">
    <cfRule type="cellIs" dxfId="23" priority="12" operator="equal">
      <formula>0</formula>
    </cfRule>
  </conditionalFormatting>
  <conditionalFormatting sqref="B20:L20">
    <cfRule type="cellIs" dxfId="22" priority="11" operator="equal">
      <formula>0</formula>
    </cfRule>
  </conditionalFormatting>
  <conditionalFormatting sqref="B20:F20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{6EECAED5-A3D6-4175-AE49-A12690520302}</x14:id>
        </ext>
      </extLst>
    </cfRule>
  </conditionalFormatting>
  <conditionalFormatting sqref="B11:L15 B16:K19">
    <cfRule type="cellIs" dxfId="21" priority="9" operator="equal">
      <formula>0</formula>
    </cfRule>
  </conditionalFormatting>
  <conditionalFormatting sqref="B11:F19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{259DC44A-2DA5-4E55-B5D4-7216229F8515}</x14:id>
        </ext>
      </extLst>
    </cfRule>
  </conditionalFormatting>
  <conditionalFormatting sqref="L16:L19">
    <cfRule type="cellIs" dxfId="20" priority="7" operator="equal">
      <formula>0</formula>
    </cfRule>
  </conditionalFormatting>
  <conditionalFormatting sqref="F41:G50 F56:G68 G51:G55 G69:G73 F92:G104 G87:G91 F110:G122 G105:G109 G123:G127 F74:G86">
    <cfRule type="cellIs" dxfId="19" priority="6" operator="equal">
      <formula>0</formula>
    </cfRule>
  </conditionalFormatting>
  <conditionalFormatting sqref="F105:F109">
    <cfRule type="cellIs" dxfId="18" priority="5" operator="equal">
      <formula>0</formula>
    </cfRule>
  </conditionalFormatting>
  <conditionalFormatting sqref="F123:F127">
    <cfRule type="cellIs" dxfId="17" priority="4" operator="equal">
      <formula>0</formula>
    </cfRule>
  </conditionalFormatting>
  <conditionalFormatting sqref="F87:F91">
    <cfRule type="cellIs" dxfId="16" priority="3" operator="equal">
      <formula>0</formula>
    </cfRule>
  </conditionalFormatting>
  <conditionalFormatting sqref="F69:F73">
    <cfRule type="cellIs" dxfId="15" priority="2" operator="equal">
      <formula>0</formula>
    </cfRule>
  </conditionalFormatting>
  <conditionalFormatting sqref="F51:F55">
    <cfRule type="cellIs" dxfId="14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ECAED5-A3D6-4175-AE49-A126905203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B20:F20</xm:sqref>
        </x14:conditionalFormatting>
        <x14:conditionalFormatting xmlns:xm="http://schemas.microsoft.com/office/excel/2006/main">
          <x14:cfRule type="dataBar" id="{259DC44A-2DA5-4E55-B5D4-7216229F85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B11:F19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E273-4DE9-4BDE-80D7-E77BE0698A33}">
  <sheetPr codeName="工作表9"/>
  <dimension ref="A1:R128"/>
  <sheetViews>
    <sheetView zoomScale="85" zoomScaleNormal="85" workbookViewId="0">
      <selection activeCell="J128" sqref="J41:J128"/>
    </sheetView>
  </sheetViews>
  <sheetFormatPr defaultRowHeight="15.6" x14ac:dyDescent="0.3"/>
  <cols>
    <col min="1" max="1" width="11.25" style="1" bestFit="1" customWidth="1"/>
    <col min="2" max="3" width="11.58203125" style="3" customWidth="1"/>
    <col min="4" max="4" width="14.1640625" style="3" customWidth="1"/>
    <col min="5" max="7" width="10.08203125" style="3" customWidth="1"/>
    <col min="8" max="18" width="7.33203125" style="3" customWidth="1"/>
    <col min="19" max="19" width="10.08203125" style="3" customWidth="1"/>
    <col min="20" max="20" width="8.6640625" style="3"/>
    <col min="21" max="25" width="7" style="3" customWidth="1"/>
    <col min="26" max="16384" width="8.6640625" style="3"/>
  </cols>
  <sheetData>
    <row r="1" spans="1:18" x14ac:dyDescent="0.3">
      <c r="A1" s="1" t="s">
        <v>33</v>
      </c>
      <c r="B1" s="1">
        <v>2</v>
      </c>
      <c r="H1" s="3" t="s">
        <v>34</v>
      </c>
      <c r="N1" s="3" t="s">
        <v>35</v>
      </c>
    </row>
    <row r="2" spans="1:18" x14ac:dyDescent="0.3"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H2" s="2" t="s">
        <v>14</v>
      </c>
      <c r="I2" s="2" t="s">
        <v>16</v>
      </c>
      <c r="J2" s="2" t="s">
        <v>17</v>
      </c>
      <c r="K2" s="2" t="s">
        <v>18</v>
      </c>
      <c r="L2" s="2" t="s">
        <v>19</v>
      </c>
      <c r="N2" s="2" t="s">
        <v>14</v>
      </c>
      <c r="O2" s="2" t="s">
        <v>16</v>
      </c>
      <c r="P2" s="2" t="s">
        <v>17</v>
      </c>
      <c r="Q2" s="2" t="s">
        <v>18</v>
      </c>
      <c r="R2" s="2" t="s">
        <v>19</v>
      </c>
    </row>
    <row r="3" spans="1:18" x14ac:dyDescent="0.3">
      <c r="A3" s="1" t="s">
        <v>29</v>
      </c>
      <c r="B3" s="20" cm="1">
        <f t="array" ref="B3:F7">H3:L7</f>
        <v>0</v>
      </c>
      <c r="C3" s="21">
        <v>6</v>
      </c>
      <c r="D3" s="21">
        <v>6</v>
      </c>
      <c r="E3" s="21">
        <v>3</v>
      </c>
      <c r="F3" s="21">
        <v>3</v>
      </c>
      <c r="H3" s="16">
        <v>0</v>
      </c>
      <c r="I3" s="17">
        <v>6</v>
      </c>
      <c r="J3" s="17">
        <v>6</v>
      </c>
      <c r="K3" s="17">
        <v>3</v>
      </c>
      <c r="L3" s="17">
        <v>3</v>
      </c>
      <c r="N3" s="6">
        <v>0</v>
      </c>
      <c r="O3" s="6">
        <v>6</v>
      </c>
      <c r="P3" s="6">
        <v>6</v>
      </c>
      <c r="Q3" s="6">
        <v>3</v>
      </c>
      <c r="R3" s="6">
        <v>3</v>
      </c>
    </row>
    <row r="4" spans="1:18" x14ac:dyDescent="0.3">
      <c r="A4" s="1" t="s">
        <v>15</v>
      </c>
      <c r="B4" s="21">
        <v>2</v>
      </c>
      <c r="C4" s="21">
        <v>4</v>
      </c>
      <c r="D4" s="21">
        <v>3</v>
      </c>
      <c r="E4" s="21">
        <v>4</v>
      </c>
      <c r="F4" s="21">
        <v>2</v>
      </c>
      <c r="H4" s="17">
        <v>2</v>
      </c>
      <c r="I4" s="17">
        <v>4</v>
      </c>
      <c r="J4" s="17">
        <v>3</v>
      </c>
      <c r="K4" s="17">
        <v>4</v>
      </c>
      <c r="L4" s="17">
        <v>2</v>
      </c>
      <c r="N4" s="6">
        <v>2</v>
      </c>
      <c r="O4" s="6">
        <v>4</v>
      </c>
      <c r="P4" s="6">
        <v>3</v>
      </c>
      <c r="Q4" s="6">
        <v>4</v>
      </c>
      <c r="R4" s="6">
        <v>2</v>
      </c>
    </row>
    <row r="5" spans="1:18" x14ac:dyDescent="0.3">
      <c r="A5" s="1" t="s">
        <v>2</v>
      </c>
      <c r="B5" s="8">
        <v>0</v>
      </c>
      <c r="C5" s="8">
        <v>0</v>
      </c>
      <c r="D5" s="8">
        <v>5</v>
      </c>
      <c r="E5" s="8">
        <v>3</v>
      </c>
      <c r="F5" s="8">
        <v>0</v>
      </c>
      <c r="H5" s="17">
        <v>0</v>
      </c>
      <c r="I5" s="17">
        <v>0</v>
      </c>
      <c r="J5" s="17">
        <v>5</v>
      </c>
      <c r="K5" s="17">
        <v>3</v>
      </c>
      <c r="L5" s="17">
        <v>0</v>
      </c>
      <c r="N5" s="6">
        <v>0</v>
      </c>
      <c r="O5" s="6">
        <v>0</v>
      </c>
      <c r="P5" s="6">
        <v>5</v>
      </c>
      <c r="Q5" s="6">
        <v>3</v>
      </c>
      <c r="R5" s="6">
        <v>0</v>
      </c>
    </row>
    <row r="6" spans="1:18" x14ac:dyDescent="0.3">
      <c r="A6" s="1" t="s">
        <v>3</v>
      </c>
      <c r="B6" s="8">
        <v>7</v>
      </c>
      <c r="C6" s="8">
        <v>6</v>
      </c>
      <c r="D6" s="8">
        <v>28</v>
      </c>
      <c r="E6" s="8">
        <v>5</v>
      </c>
      <c r="F6" s="8">
        <v>2</v>
      </c>
      <c r="H6" s="17">
        <v>7</v>
      </c>
      <c r="I6" s="17">
        <v>6</v>
      </c>
      <c r="J6" s="17">
        <v>28</v>
      </c>
      <c r="K6" s="17">
        <v>5</v>
      </c>
      <c r="L6" s="17">
        <v>2</v>
      </c>
      <c r="N6" s="6">
        <v>7</v>
      </c>
      <c r="O6" s="6">
        <v>6</v>
      </c>
      <c r="P6" s="6">
        <v>28</v>
      </c>
      <c r="Q6" s="6">
        <v>5</v>
      </c>
      <c r="R6" s="6">
        <v>2</v>
      </c>
    </row>
    <row r="7" spans="1:18" x14ac:dyDescent="0.3">
      <c r="A7" s="1" t="s">
        <v>21</v>
      </c>
      <c r="B7" s="8">
        <v>100</v>
      </c>
      <c r="C7" s="8">
        <v>220</v>
      </c>
      <c r="D7" s="8">
        <v>250</v>
      </c>
      <c r="E7" s="8">
        <v>200</v>
      </c>
      <c r="F7" s="8">
        <v>130</v>
      </c>
      <c r="H7" s="17">
        <v>100</v>
      </c>
      <c r="I7" s="17">
        <v>220</v>
      </c>
      <c r="J7" s="17">
        <v>250</v>
      </c>
      <c r="K7" s="17">
        <v>200</v>
      </c>
      <c r="L7" s="17">
        <v>130</v>
      </c>
      <c r="N7" s="6">
        <v>100</v>
      </c>
      <c r="O7" s="6">
        <v>220</v>
      </c>
      <c r="P7" s="6">
        <v>250</v>
      </c>
      <c r="Q7" s="6">
        <v>200</v>
      </c>
      <c r="R7" s="6">
        <v>130</v>
      </c>
    </row>
    <row r="8" spans="1:18" x14ac:dyDescent="0.3">
      <c r="B8" s="3" cm="1">
        <f t="array" ref="B8:F8">B7:F7-B6:F6-B5:F5-B4:F4</f>
        <v>91</v>
      </c>
      <c r="C8" s="3">
        <v>210</v>
      </c>
      <c r="D8" s="3">
        <v>214</v>
      </c>
      <c r="E8" s="3">
        <v>188</v>
      </c>
      <c r="F8" s="3">
        <v>126</v>
      </c>
    </row>
    <row r="9" spans="1:18" x14ac:dyDescent="0.3">
      <c r="H9" s="3" t="s">
        <v>30</v>
      </c>
      <c r="I9" s="15">
        <v>0.97</v>
      </c>
    </row>
    <row r="10" spans="1:18" x14ac:dyDescent="0.3">
      <c r="B10" s="2" t="s">
        <v>14</v>
      </c>
      <c r="C10" s="2" t="s">
        <v>16</v>
      </c>
      <c r="D10" s="2" t="s">
        <v>17</v>
      </c>
      <c r="E10" s="2" t="s">
        <v>18</v>
      </c>
      <c r="F10" s="2" t="s">
        <v>19</v>
      </c>
      <c r="H10" s="2" t="s">
        <v>14</v>
      </c>
      <c r="I10" s="2" t="s">
        <v>16</v>
      </c>
      <c r="J10" s="2" t="s">
        <v>17</v>
      </c>
      <c r="K10" s="2" t="s">
        <v>18</v>
      </c>
      <c r="L10" s="2" t="s">
        <v>19</v>
      </c>
    </row>
    <row r="11" spans="1:18" x14ac:dyDescent="0.3">
      <c r="A11" s="1" t="s">
        <v>4</v>
      </c>
      <c r="B11" s="12" cm="1">
        <f t="array" ref="B11:F20">H11:L20*I9</f>
        <v>6.7900000000000002E-2</v>
      </c>
      <c r="C11" s="12">
        <v>8.3620689655172414E-2</v>
      </c>
      <c r="D11" s="12">
        <v>7.7600000000000002E-2</v>
      </c>
      <c r="E11" s="12">
        <v>7.1323529411764702E-2</v>
      </c>
      <c r="F11" s="12">
        <v>8.7299999999999989E-2</v>
      </c>
      <c r="H11" s="19">
        <v>7.0000000000000007E-2</v>
      </c>
      <c r="I11" s="19">
        <v>8.6206896551724144E-2</v>
      </c>
      <c r="J11" s="19">
        <v>0.08</v>
      </c>
      <c r="K11" s="19">
        <v>7.3529411764705885E-2</v>
      </c>
      <c r="L11" s="19">
        <v>0.09</v>
      </c>
    </row>
    <row r="12" spans="1:18" x14ac:dyDescent="0.3">
      <c r="A12" s="1" t="s">
        <v>5</v>
      </c>
      <c r="B12" s="12">
        <v>8.7299999999999989E-2</v>
      </c>
      <c r="C12" s="12">
        <v>0.14549999999999999</v>
      </c>
      <c r="D12" s="12">
        <v>0.1358</v>
      </c>
      <c r="E12" s="12">
        <v>0.12609999999999999</v>
      </c>
      <c r="F12" s="12">
        <v>0.11639999999999999</v>
      </c>
      <c r="H12" s="19">
        <v>0.09</v>
      </c>
      <c r="I12" s="19">
        <v>0.15</v>
      </c>
      <c r="J12" s="19">
        <v>0.14000000000000001</v>
      </c>
      <c r="K12" s="19">
        <v>0.13</v>
      </c>
      <c r="L12" s="19">
        <v>0.12</v>
      </c>
    </row>
    <row r="13" spans="1:18" x14ac:dyDescent="0.3">
      <c r="A13" s="1" t="s">
        <v>6</v>
      </c>
      <c r="B13" s="12">
        <v>0.14549999999999999</v>
      </c>
      <c r="C13" s="12">
        <v>0.1067</v>
      </c>
      <c r="D13" s="12">
        <v>0.1358</v>
      </c>
      <c r="E13" s="12">
        <v>0.12609999999999999</v>
      </c>
      <c r="F13" s="12">
        <v>0.11639999999999999</v>
      </c>
      <c r="H13" s="19">
        <v>0.15</v>
      </c>
      <c r="I13" s="19">
        <v>0.11</v>
      </c>
      <c r="J13" s="19">
        <v>0.14000000000000001</v>
      </c>
      <c r="K13" s="19">
        <v>0.13</v>
      </c>
      <c r="L13" s="19">
        <v>0.12</v>
      </c>
    </row>
    <row r="14" spans="1:18" x14ac:dyDescent="0.3">
      <c r="A14" s="1" t="s">
        <v>7</v>
      </c>
      <c r="B14" s="12">
        <v>0.12609999999999999</v>
      </c>
      <c r="C14" s="12">
        <v>0.1067</v>
      </c>
      <c r="D14" s="12">
        <v>6.6896551724137929E-2</v>
      </c>
      <c r="E14" s="12">
        <v>0.11639999999999999</v>
      </c>
      <c r="F14" s="12">
        <v>0.11639999999999999</v>
      </c>
      <c r="H14" s="19">
        <v>0.13</v>
      </c>
      <c r="I14" s="19">
        <v>0.11</v>
      </c>
      <c r="J14" s="19">
        <v>6.8965517241379309E-2</v>
      </c>
      <c r="K14" s="19">
        <v>0.12</v>
      </c>
      <c r="L14" s="19">
        <v>0.12</v>
      </c>
    </row>
    <row r="15" spans="1:18" x14ac:dyDescent="0.3">
      <c r="A15" s="1" t="s">
        <v>8</v>
      </c>
      <c r="B15" s="12">
        <v>0.12609999999999999</v>
      </c>
      <c r="C15" s="12">
        <v>7.7600000000000002E-2</v>
      </c>
      <c r="D15" s="12">
        <v>7.7600000000000002E-2</v>
      </c>
      <c r="E15" s="12">
        <v>0.11639999999999999</v>
      </c>
      <c r="F15" s="12">
        <v>0.1358</v>
      </c>
      <c r="H15" s="19">
        <v>0.13</v>
      </c>
      <c r="I15" s="19">
        <v>0.08</v>
      </c>
      <c r="J15" s="19">
        <v>0.08</v>
      </c>
      <c r="K15" s="19">
        <v>0.12</v>
      </c>
      <c r="L15" s="19">
        <v>0.14000000000000001</v>
      </c>
    </row>
    <row r="16" spans="1:18" x14ac:dyDescent="0.3">
      <c r="A16" s="1" t="s">
        <v>9</v>
      </c>
      <c r="B16" s="12">
        <v>5.8199999999999995E-2</v>
      </c>
      <c r="C16" s="12">
        <v>0.11639999999999999</v>
      </c>
      <c r="D16" s="12">
        <v>9.7000000000000003E-2</v>
      </c>
      <c r="E16" s="12">
        <v>7.7600000000000002E-2</v>
      </c>
      <c r="F16" s="12">
        <v>6.7900000000000002E-2</v>
      </c>
      <c r="H16" s="19">
        <v>0.06</v>
      </c>
      <c r="I16" s="19">
        <v>0.12</v>
      </c>
      <c r="J16" s="19">
        <v>0.1</v>
      </c>
      <c r="K16" s="19">
        <v>0.08</v>
      </c>
      <c r="L16" s="19">
        <v>7.0000000000000007E-2</v>
      </c>
    </row>
    <row r="17" spans="1:12" x14ac:dyDescent="0.3">
      <c r="A17" s="1" t="s">
        <v>10</v>
      </c>
      <c r="B17" s="12">
        <v>0.1067</v>
      </c>
      <c r="C17" s="12">
        <v>0.1067</v>
      </c>
      <c r="D17" s="12">
        <v>7.7600000000000002E-2</v>
      </c>
      <c r="E17" s="12">
        <v>0.1067</v>
      </c>
      <c r="F17" s="12">
        <v>9.7000000000000003E-2</v>
      </c>
      <c r="H17" s="19">
        <v>0.11</v>
      </c>
      <c r="I17" s="19">
        <v>0.11</v>
      </c>
      <c r="J17" s="19">
        <v>0.08</v>
      </c>
      <c r="K17" s="19">
        <v>0.11</v>
      </c>
      <c r="L17" s="19">
        <v>0.1</v>
      </c>
    </row>
    <row r="18" spans="1:12" x14ac:dyDescent="0.3">
      <c r="A18" s="1" t="s">
        <v>11</v>
      </c>
      <c r="B18" s="12">
        <v>9.7000000000000003E-2</v>
      </c>
      <c r="C18" s="12">
        <v>7.7600000000000002E-2</v>
      </c>
      <c r="D18" s="12">
        <v>9.7000000000000003E-2</v>
      </c>
      <c r="E18" s="12">
        <v>7.7600000000000002E-2</v>
      </c>
      <c r="F18" s="12">
        <v>6.7900000000000002E-2</v>
      </c>
      <c r="H18" s="19">
        <v>0.1</v>
      </c>
      <c r="I18" s="19">
        <v>0.08</v>
      </c>
      <c r="J18" s="19">
        <v>0.1</v>
      </c>
      <c r="K18" s="19">
        <v>0.08</v>
      </c>
      <c r="L18" s="19">
        <v>7.0000000000000007E-2</v>
      </c>
    </row>
    <row r="19" spans="1:12" x14ac:dyDescent="0.3">
      <c r="A19" s="1" t="s">
        <v>12</v>
      </c>
      <c r="B19" s="12">
        <v>0.1067</v>
      </c>
      <c r="C19" s="12">
        <v>7.7600000000000002E-2</v>
      </c>
      <c r="D19" s="12">
        <v>0.1067</v>
      </c>
      <c r="E19" s="12">
        <v>0.11639999999999999</v>
      </c>
      <c r="F19" s="12">
        <v>9.7000000000000003E-2</v>
      </c>
      <c r="H19" s="19">
        <v>0.11</v>
      </c>
      <c r="I19" s="19">
        <v>0.08</v>
      </c>
      <c r="J19" s="19">
        <v>0.11</v>
      </c>
      <c r="K19" s="19">
        <v>0.12</v>
      </c>
      <c r="L19" s="19">
        <v>0.1</v>
      </c>
    </row>
    <row r="20" spans="1:12" x14ac:dyDescent="0.3">
      <c r="A20" s="1" t="s">
        <v>13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H20" s="19"/>
      <c r="I20" s="19"/>
      <c r="J20" s="19"/>
      <c r="K20" s="19"/>
      <c r="L20" s="19"/>
    </row>
    <row r="23" spans="1:12" x14ac:dyDescent="0.3">
      <c r="A23" s="1" t="s">
        <v>0</v>
      </c>
      <c r="B23" s="8" cm="1">
        <f t="array" ref="B23:F26">B3:F6</f>
        <v>0</v>
      </c>
      <c r="C23" s="8">
        <v>6</v>
      </c>
      <c r="D23" s="8">
        <v>6</v>
      </c>
      <c r="E23" s="8">
        <v>3</v>
      </c>
      <c r="F23" s="8">
        <v>3</v>
      </c>
    </row>
    <row r="24" spans="1:12" x14ac:dyDescent="0.3">
      <c r="A24" s="1" t="s">
        <v>15</v>
      </c>
      <c r="B24" s="8">
        <v>2</v>
      </c>
      <c r="C24" s="8">
        <v>4</v>
      </c>
      <c r="D24" s="8">
        <v>3</v>
      </c>
      <c r="E24" s="8">
        <v>4</v>
      </c>
      <c r="F24" s="8">
        <v>2</v>
      </c>
    </row>
    <row r="25" spans="1:12" x14ac:dyDescent="0.3">
      <c r="A25" s="1" t="s">
        <v>2</v>
      </c>
      <c r="B25" s="8">
        <v>0</v>
      </c>
      <c r="C25" s="7">
        <v>0</v>
      </c>
      <c r="D25" s="7">
        <v>5</v>
      </c>
      <c r="E25" s="7">
        <v>3</v>
      </c>
      <c r="F25" s="8">
        <v>0</v>
      </c>
    </row>
    <row r="26" spans="1:12" x14ac:dyDescent="0.3">
      <c r="A26" s="1" t="s">
        <v>3</v>
      </c>
      <c r="B26" s="8">
        <v>7</v>
      </c>
      <c r="C26" s="8">
        <v>6</v>
      </c>
      <c r="D26" s="8">
        <v>28</v>
      </c>
      <c r="E26" s="8">
        <v>5</v>
      </c>
      <c r="F26" s="8">
        <v>2</v>
      </c>
    </row>
    <row r="27" spans="1:12" x14ac:dyDescent="0.3">
      <c r="A27" s="1" t="s">
        <v>4</v>
      </c>
      <c r="B27" s="8" cm="1">
        <f t="array" ref="B27:F35">ROUND(B11:F19*_xlfn.ANCHORARRAY($B$8), 0)</f>
        <v>6</v>
      </c>
      <c r="C27" s="8">
        <v>18</v>
      </c>
      <c r="D27" s="8">
        <v>17</v>
      </c>
      <c r="E27" s="8">
        <v>13</v>
      </c>
      <c r="F27" s="8">
        <v>11</v>
      </c>
    </row>
    <row r="28" spans="1:12" x14ac:dyDescent="0.3">
      <c r="A28" s="1" t="s">
        <v>5</v>
      </c>
      <c r="B28" s="8">
        <v>8</v>
      </c>
      <c r="C28" s="8">
        <v>31</v>
      </c>
      <c r="D28" s="8">
        <v>29</v>
      </c>
      <c r="E28" s="8">
        <v>24</v>
      </c>
      <c r="F28" s="8">
        <v>15</v>
      </c>
    </row>
    <row r="29" spans="1:12" x14ac:dyDescent="0.3">
      <c r="A29" s="1" t="s">
        <v>6</v>
      </c>
      <c r="B29" s="8">
        <v>13</v>
      </c>
      <c r="C29" s="8">
        <v>22</v>
      </c>
      <c r="D29" s="8">
        <v>29</v>
      </c>
      <c r="E29" s="8">
        <v>24</v>
      </c>
      <c r="F29" s="8">
        <v>15</v>
      </c>
    </row>
    <row r="30" spans="1:12" x14ac:dyDescent="0.3">
      <c r="A30" s="1" t="s">
        <v>7</v>
      </c>
      <c r="B30" s="8">
        <v>11</v>
      </c>
      <c r="C30" s="8">
        <v>22</v>
      </c>
      <c r="D30" s="8">
        <v>14</v>
      </c>
      <c r="E30" s="8">
        <v>22</v>
      </c>
      <c r="F30" s="8">
        <v>15</v>
      </c>
    </row>
    <row r="31" spans="1:12" x14ac:dyDescent="0.3">
      <c r="A31" s="1" t="s">
        <v>8</v>
      </c>
      <c r="B31" s="8">
        <v>11</v>
      </c>
      <c r="C31" s="8">
        <v>16</v>
      </c>
      <c r="D31" s="8">
        <v>17</v>
      </c>
      <c r="E31" s="8">
        <v>22</v>
      </c>
      <c r="F31" s="8">
        <v>17</v>
      </c>
    </row>
    <row r="32" spans="1:12" x14ac:dyDescent="0.3">
      <c r="A32" s="1" t="s">
        <v>9</v>
      </c>
      <c r="B32" s="8">
        <v>5</v>
      </c>
      <c r="C32" s="8">
        <v>24</v>
      </c>
      <c r="D32" s="8">
        <v>21</v>
      </c>
      <c r="E32" s="8">
        <v>15</v>
      </c>
      <c r="F32" s="8">
        <v>9</v>
      </c>
    </row>
    <row r="33" spans="1:10" x14ac:dyDescent="0.3">
      <c r="A33" s="1" t="s">
        <v>10</v>
      </c>
      <c r="B33" s="8">
        <v>10</v>
      </c>
      <c r="C33" s="8">
        <v>22</v>
      </c>
      <c r="D33" s="8">
        <v>17</v>
      </c>
      <c r="E33" s="8">
        <v>20</v>
      </c>
      <c r="F33" s="8">
        <v>12</v>
      </c>
    </row>
    <row r="34" spans="1:10" x14ac:dyDescent="0.3">
      <c r="A34" s="1" t="s">
        <v>11</v>
      </c>
      <c r="B34" s="8">
        <v>9</v>
      </c>
      <c r="C34" s="8">
        <v>16</v>
      </c>
      <c r="D34" s="8">
        <v>21</v>
      </c>
      <c r="E34" s="8">
        <v>15</v>
      </c>
      <c r="F34" s="8">
        <v>9</v>
      </c>
    </row>
    <row r="35" spans="1:10" x14ac:dyDescent="0.3">
      <c r="A35" s="1" t="s">
        <v>12</v>
      </c>
      <c r="B35" s="8">
        <v>10</v>
      </c>
      <c r="C35" s="8">
        <v>16</v>
      </c>
      <c r="D35" s="8">
        <v>23</v>
      </c>
      <c r="E35" s="8">
        <v>22</v>
      </c>
      <c r="F35" s="8">
        <v>12</v>
      </c>
    </row>
    <row r="36" spans="1:10" x14ac:dyDescent="0.3">
      <c r="A36" s="1" t="s">
        <v>13</v>
      </c>
      <c r="B36" s="8" cm="1">
        <f t="array" ref="B36:F36">B7:F7-B35:F35-B34:F34-B33:F33-B32:F32-B31:F31-B30:F30-B29:F29-B28:F28-B27:F27-B26:F26-B25:F25-B24:F24-B23:F23</f>
        <v>8</v>
      </c>
      <c r="C36" s="8">
        <v>17</v>
      </c>
      <c r="D36" s="8">
        <v>20</v>
      </c>
      <c r="E36" s="8">
        <v>8</v>
      </c>
      <c r="F36" s="8">
        <v>8</v>
      </c>
    </row>
    <row r="37" spans="1:10" x14ac:dyDescent="0.3">
      <c r="A37" s="1" t="s">
        <v>20</v>
      </c>
      <c r="B37" s="7">
        <f>SUM(B23:B36)</f>
        <v>100</v>
      </c>
      <c r="C37" s="7">
        <f>SUM(C23:C36)</f>
        <v>220</v>
      </c>
      <c r="D37" s="7">
        <f>SUM(D23:D36)</f>
        <v>250</v>
      </c>
      <c r="E37" s="7">
        <f>SUM(E23:E36)</f>
        <v>200</v>
      </c>
      <c r="F37" s="7">
        <f>SUM(F23:F36)</f>
        <v>130</v>
      </c>
    </row>
    <row r="38" spans="1:10" x14ac:dyDescent="0.3">
      <c r="J38" s="14" t="str">
        <f>"['"&amp;_xlfn.TEXTJOIN("', '", , B41:D41)&amp;"', "&amp;_xlfn.TEXTJOIN(", ", , E41:H41)&amp;"]"</f>
        <v>['symbol_id', 'symbol_str', 'symbol_count', 1, 2, 3, 5]</v>
      </c>
    </row>
    <row r="40" spans="1:10" x14ac:dyDescent="0.3">
      <c r="B40" s="3" t="s">
        <v>14</v>
      </c>
    </row>
    <row r="41" spans="1:10" x14ac:dyDescent="0.3">
      <c r="B41" s="2" t="s">
        <v>27</v>
      </c>
      <c r="C41" s="2" t="s">
        <v>26</v>
      </c>
      <c r="D41" s="2" t="s">
        <v>28</v>
      </c>
      <c r="E41" s="2">
        <v>1</v>
      </c>
      <c r="F41" s="2">
        <v>2</v>
      </c>
      <c r="G41" s="2">
        <v>3</v>
      </c>
      <c r="H41" s="2">
        <v>5</v>
      </c>
      <c r="J41" s="14" t="s">
        <v>32</v>
      </c>
    </row>
    <row r="42" spans="1:10" x14ac:dyDescent="0.3">
      <c r="B42" s="10">
        <v>0</v>
      </c>
      <c r="C42" s="10" t="s">
        <v>0</v>
      </c>
      <c r="D42" s="4" cm="1">
        <f t="array" ref="D42:D55">B$23:B$36</f>
        <v>0</v>
      </c>
      <c r="E42" s="5">
        <f t="shared" ref="E42:E55" si="0">D42-SUMPRODUCT($F$41:$H$41,F42:H42)</f>
        <v>0</v>
      </c>
      <c r="F42" s="18">
        <v>0</v>
      </c>
      <c r="G42" s="18">
        <v>0</v>
      </c>
      <c r="H42" s="4">
        <v>0</v>
      </c>
      <c r="J42" s="14" t="str">
        <f t="shared" ref="J42:J55" si="1">"["&amp;B42&amp;", '"&amp;C42&amp;"', "&amp;_xlfn.TEXTJOIN(", ", , D42:H42)&amp;"]"&amp;","</f>
        <v>[0, 'WW', 0, 0, 0, 0, 0],</v>
      </c>
    </row>
    <row r="43" spans="1:10" x14ac:dyDescent="0.3">
      <c r="B43" s="11">
        <v>10</v>
      </c>
      <c r="C43" s="11" t="s">
        <v>1</v>
      </c>
      <c r="D43" s="6">
        <v>2</v>
      </c>
      <c r="E43" s="5">
        <f t="shared" si="0"/>
        <v>2</v>
      </c>
      <c r="F43" s="17">
        <v>0</v>
      </c>
      <c r="G43" s="17">
        <v>0</v>
      </c>
      <c r="H43" s="6">
        <v>0</v>
      </c>
      <c r="J43" s="14" t="str">
        <f t="shared" si="1"/>
        <v>[10, 'C1', 2, 2, 0, 0, 0],</v>
      </c>
    </row>
    <row r="44" spans="1:10" x14ac:dyDescent="0.3">
      <c r="B44" s="11">
        <v>11</v>
      </c>
      <c r="C44" s="11" t="s">
        <v>2</v>
      </c>
      <c r="D44" s="6">
        <v>0</v>
      </c>
      <c r="E44" s="5">
        <f t="shared" si="0"/>
        <v>0</v>
      </c>
      <c r="F44" s="17">
        <v>0</v>
      </c>
      <c r="G44" s="17">
        <v>0</v>
      </c>
      <c r="H44" s="6">
        <v>0</v>
      </c>
      <c r="J44" s="14" t="str">
        <f t="shared" si="1"/>
        <v>[11, 'C2', 0, 0, 0, 0, 0],</v>
      </c>
    </row>
    <row r="45" spans="1:10" x14ac:dyDescent="0.3">
      <c r="B45" s="11">
        <v>12</v>
      </c>
      <c r="C45" s="11" t="s">
        <v>3</v>
      </c>
      <c r="D45" s="6">
        <v>7</v>
      </c>
      <c r="E45" s="5">
        <f t="shared" si="0"/>
        <v>7</v>
      </c>
      <c r="F45" s="17">
        <v>0</v>
      </c>
      <c r="G45" s="17">
        <v>0</v>
      </c>
      <c r="H45" s="6">
        <v>0</v>
      </c>
      <c r="J45" s="14" t="str">
        <f t="shared" si="1"/>
        <v>[12, 'C3', 7, 7, 0, 0, 0],</v>
      </c>
    </row>
    <row r="46" spans="1:10" x14ac:dyDescent="0.3">
      <c r="B46" s="11">
        <v>20</v>
      </c>
      <c r="C46" s="11" t="s">
        <v>4</v>
      </c>
      <c r="D46" s="6">
        <v>6</v>
      </c>
      <c r="E46" s="5">
        <f t="shared" si="0"/>
        <v>0</v>
      </c>
      <c r="F46" s="17">
        <v>0</v>
      </c>
      <c r="G46" s="17">
        <v>2</v>
      </c>
      <c r="H46" s="6">
        <v>0</v>
      </c>
      <c r="J46" s="14" t="str">
        <f t="shared" si="1"/>
        <v>[20, 'M1', 6, 0, 0, 2, 0],</v>
      </c>
    </row>
    <row r="47" spans="1:10" x14ac:dyDescent="0.3">
      <c r="B47" s="11">
        <v>21</v>
      </c>
      <c r="C47" s="11" t="s">
        <v>5</v>
      </c>
      <c r="D47" s="6">
        <v>8</v>
      </c>
      <c r="E47" s="5">
        <f t="shared" si="0"/>
        <v>0</v>
      </c>
      <c r="F47" s="17">
        <v>1</v>
      </c>
      <c r="G47" s="17">
        <v>2</v>
      </c>
      <c r="H47" s="6">
        <v>0</v>
      </c>
      <c r="J47" s="14" t="str">
        <f t="shared" si="1"/>
        <v>[21, 'M2', 8, 0, 1, 2, 0],</v>
      </c>
    </row>
    <row r="48" spans="1:10" x14ac:dyDescent="0.3">
      <c r="B48" s="11">
        <v>22</v>
      </c>
      <c r="C48" s="11" t="s">
        <v>6</v>
      </c>
      <c r="D48" s="6">
        <v>13</v>
      </c>
      <c r="E48" s="5">
        <f t="shared" si="0"/>
        <v>0</v>
      </c>
      <c r="F48" s="17">
        <v>2</v>
      </c>
      <c r="G48" s="17">
        <v>3</v>
      </c>
      <c r="H48" s="6">
        <v>0</v>
      </c>
      <c r="J48" s="14" t="str">
        <f t="shared" si="1"/>
        <v>[22, 'M3', 13, 0, 2, 3, 0],</v>
      </c>
    </row>
    <row r="49" spans="1:10" x14ac:dyDescent="0.3">
      <c r="B49" s="11">
        <v>23</v>
      </c>
      <c r="C49" s="11" t="s">
        <v>7</v>
      </c>
      <c r="D49" s="6">
        <v>11</v>
      </c>
      <c r="E49" s="5">
        <f t="shared" si="0"/>
        <v>0</v>
      </c>
      <c r="F49" s="17">
        <v>1</v>
      </c>
      <c r="G49" s="17">
        <v>3</v>
      </c>
      <c r="H49" s="6">
        <v>0</v>
      </c>
      <c r="J49" s="14" t="str">
        <f t="shared" si="1"/>
        <v>[23, 'M4', 11, 0, 1, 3, 0],</v>
      </c>
    </row>
    <row r="50" spans="1:10" x14ac:dyDescent="0.3">
      <c r="A50" s="3"/>
      <c r="B50" s="11">
        <v>24</v>
      </c>
      <c r="C50" s="11" t="s">
        <v>8</v>
      </c>
      <c r="D50" s="6">
        <v>11</v>
      </c>
      <c r="E50" s="5">
        <f t="shared" si="0"/>
        <v>0</v>
      </c>
      <c r="F50" s="17">
        <v>1</v>
      </c>
      <c r="G50" s="17">
        <v>3</v>
      </c>
      <c r="H50" s="6">
        <v>0</v>
      </c>
      <c r="J50" s="14" t="str">
        <f t="shared" si="1"/>
        <v>[24, 'M5', 11, 0, 1, 3, 0],</v>
      </c>
    </row>
    <row r="51" spans="1:10" x14ac:dyDescent="0.3">
      <c r="A51" s="3"/>
      <c r="B51" s="11">
        <v>30</v>
      </c>
      <c r="C51" s="11" t="s">
        <v>9</v>
      </c>
      <c r="D51" s="6">
        <v>5</v>
      </c>
      <c r="E51" s="5">
        <f t="shared" si="0"/>
        <v>5</v>
      </c>
      <c r="F51" s="17">
        <v>0</v>
      </c>
      <c r="G51" s="17">
        <v>0</v>
      </c>
      <c r="H51" s="6">
        <v>0</v>
      </c>
      <c r="J51" s="14" t="str">
        <f t="shared" si="1"/>
        <v>[30, 'A', 5, 5, 0, 0, 0],</v>
      </c>
    </row>
    <row r="52" spans="1:10" x14ac:dyDescent="0.3">
      <c r="A52" s="3"/>
      <c r="B52" s="11">
        <v>31</v>
      </c>
      <c r="C52" s="11" t="s">
        <v>10</v>
      </c>
      <c r="D52" s="6">
        <v>10</v>
      </c>
      <c r="E52" s="5">
        <f t="shared" si="0"/>
        <v>10</v>
      </c>
      <c r="F52" s="17">
        <v>0</v>
      </c>
      <c r="G52" s="17">
        <v>0</v>
      </c>
      <c r="H52" s="6">
        <v>0</v>
      </c>
      <c r="J52" s="14" t="str">
        <f t="shared" si="1"/>
        <v>[31, 'K', 10, 10, 0, 0, 0],</v>
      </c>
    </row>
    <row r="53" spans="1:10" x14ac:dyDescent="0.3">
      <c r="A53" s="3"/>
      <c r="B53" s="11">
        <v>32</v>
      </c>
      <c r="C53" s="11" t="s">
        <v>11</v>
      </c>
      <c r="D53" s="6">
        <v>9</v>
      </c>
      <c r="E53" s="5">
        <f t="shared" si="0"/>
        <v>9</v>
      </c>
      <c r="F53" s="17">
        <v>0</v>
      </c>
      <c r="G53" s="17">
        <v>0</v>
      </c>
      <c r="H53" s="6">
        <v>0</v>
      </c>
      <c r="J53" s="14" t="str">
        <f t="shared" si="1"/>
        <v>[32, 'Q', 9, 9, 0, 0, 0],</v>
      </c>
    </row>
    <row r="54" spans="1:10" x14ac:dyDescent="0.3">
      <c r="A54" s="3"/>
      <c r="B54" s="11">
        <v>33</v>
      </c>
      <c r="C54" s="11" t="s">
        <v>12</v>
      </c>
      <c r="D54" s="6">
        <v>10</v>
      </c>
      <c r="E54" s="5">
        <f t="shared" si="0"/>
        <v>10</v>
      </c>
      <c r="F54" s="17">
        <v>0</v>
      </c>
      <c r="G54" s="17">
        <v>0</v>
      </c>
      <c r="H54" s="6">
        <v>0</v>
      </c>
      <c r="J54" s="14" t="str">
        <f t="shared" si="1"/>
        <v>[33, 'J', 10, 10, 0, 0, 0],</v>
      </c>
    </row>
    <row r="55" spans="1:10" x14ac:dyDescent="0.3">
      <c r="A55" s="3"/>
      <c r="B55" s="11">
        <v>34</v>
      </c>
      <c r="C55" s="11" t="s">
        <v>13</v>
      </c>
      <c r="D55" s="6">
        <v>8</v>
      </c>
      <c r="E55" s="5">
        <f t="shared" si="0"/>
        <v>8</v>
      </c>
      <c r="F55" s="17">
        <v>0</v>
      </c>
      <c r="G55" s="17">
        <v>0</v>
      </c>
      <c r="H55" s="6">
        <v>0</v>
      </c>
      <c r="J55" s="14" t="str">
        <f t="shared" si="1"/>
        <v>[34, 'TE', 8, 8, 0, 0, 0],</v>
      </c>
    </row>
    <row r="56" spans="1:10" x14ac:dyDescent="0.3">
      <c r="A56" s="3"/>
      <c r="J56" s="14" t="s">
        <v>31</v>
      </c>
    </row>
    <row r="57" spans="1:10" x14ac:dyDescent="0.3">
      <c r="A57" s="3"/>
    </row>
    <row r="58" spans="1:10" x14ac:dyDescent="0.3">
      <c r="A58" s="3"/>
      <c r="B58" s="3" t="s">
        <v>22</v>
      </c>
    </row>
    <row r="59" spans="1:10" x14ac:dyDescent="0.3">
      <c r="A59" s="3"/>
      <c r="B59" s="2" t="s">
        <v>27</v>
      </c>
      <c r="C59" s="2" t="s">
        <v>26</v>
      </c>
      <c r="D59" s="2" t="s">
        <v>28</v>
      </c>
      <c r="E59" s="2">
        <v>1</v>
      </c>
      <c r="F59" s="2">
        <v>2</v>
      </c>
      <c r="G59" s="2">
        <v>3</v>
      </c>
      <c r="H59" s="2">
        <v>5</v>
      </c>
      <c r="J59" s="14" t="s">
        <v>32</v>
      </c>
    </row>
    <row r="60" spans="1:10" x14ac:dyDescent="0.3">
      <c r="A60" s="3"/>
      <c r="B60" s="10">
        <v>0</v>
      </c>
      <c r="C60" s="10" t="s">
        <v>0</v>
      </c>
      <c r="D60" s="4" cm="1">
        <f t="array" ref="D60:D73">C$23:C$36</f>
        <v>6</v>
      </c>
      <c r="E60" s="5">
        <f t="shared" ref="E60:E73" si="2">D60-SUMPRODUCT($F$41:$H$41,F60:H60)</f>
        <v>0</v>
      </c>
      <c r="F60" s="18">
        <v>0</v>
      </c>
      <c r="G60" s="18">
        <v>2</v>
      </c>
      <c r="H60" s="4">
        <v>0</v>
      </c>
      <c r="J60" s="14" t="str">
        <f t="shared" ref="J60:J73" si="3">"["&amp;B60&amp;", '"&amp;C60&amp;"', "&amp;_xlfn.TEXTJOIN(", ", , D60:H60)&amp;"]"&amp;","</f>
        <v>[0, 'WW', 6, 0, 0, 2, 0],</v>
      </c>
    </row>
    <row r="61" spans="1:10" x14ac:dyDescent="0.3">
      <c r="A61" s="3"/>
      <c r="B61" s="11">
        <v>10</v>
      </c>
      <c r="C61" s="11" t="s">
        <v>1</v>
      </c>
      <c r="D61" s="6">
        <v>4</v>
      </c>
      <c r="E61" s="5">
        <f t="shared" si="2"/>
        <v>4</v>
      </c>
      <c r="F61" s="17">
        <v>0</v>
      </c>
      <c r="G61" s="17">
        <v>0</v>
      </c>
      <c r="H61" s="6">
        <v>0</v>
      </c>
      <c r="J61" s="14" t="str">
        <f t="shared" si="3"/>
        <v>[10, 'C1', 4, 4, 0, 0, 0],</v>
      </c>
    </row>
    <row r="62" spans="1:10" x14ac:dyDescent="0.3">
      <c r="A62" s="3"/>
      <c r="B62" s="11">
        <v>11</v>
      </c>
      <c r="C62" s="11" t="s">
        <v>2</v>
      </c>
      <c r="D62" s="6">
        <v>0</v>
      </c>
      <c r="E62" s="5">
        <f t="shared" si="2"/>
        <v>0</v>
      </c>
      <c r="F62" s="17">
        <v>0</v>
      </c>
      <c r="G62" s="17">
        <v>0</v>
      </c>
      <c r="H62" s="6">
        <v>0</v>
      </c>
      <c r="J62" s="14" t="str">
        <f t="shared" si="3"/>
        <v>[11, 'C2', 0, 0, 0, 0, 0],</v>
      </c>
    </row>
    <row r="63" spans="1:10" x14ac:dyDescent="0.3">
      <c r="A63" s="3"/>
      <c r="B63" s="11">
        <v>12</v>
      </c>
      <c r="C63" s="11" t="s">
        <v>3</v>
      </c>
      <c r="D63" s="6">
        <v>6</v>
      </c>
      <c r="E63" s="5">
        <f t="shared" si="2"/>
        <v>6</v>
      </c>
      <c r="F63" s="17">
        <v>0</v>
      </c>
      <c r="G63" s="17">
        <v>0</v>
      </c>
      <c r="H63" s="6">
        <v>0</v>
      </c>
      <c r="J63" s="14" t="str">
        <f t="shared" si="3"/>
        <v>[12, 'C3', 6, 6, 0, 0, 0],</v>
      </c>
    </row>
    <row r="64" spans="1:10" x14ac:dyDescent="0.3">
      <c r="A64" s="3"/>
      <c r="B64" s="11">
        <v>20</v>
      </c>
      <c r="C64" s="11" t="s">
        <v>4</v>
      </c>
      <c r="D64" s="6">
        <v>18</v>
      </c>
      <c r="E64" s="5">
        <f t="shared" si="2"/>
        <v>0</v>
      </c>
      <c r="F64" s="17">
        <v>3</v>
      </c>
      <c r="G64" s="17">
        <v>4</v>
      </c>
      <c r="H64" s="6">
        <v>0</v>
      </c>
      <c r="J64" s="14" t="str">
        <f t="shared" si="3"/>
        <v>[20, 'M1', 18, 0, 3, 4, 0],</v>
      </c>
    </row>
    <row r="65" spans="1:10" x14ac:dyDescent="0.3">
      <c r="A65" s="3"/>
      <c r="B65" s="11">
        <v>21</v>
      </c>
      <c r="C65" s="11" t="s">
        <v>5</v>
      </c>
      <c r="D65" s="6">
        <v>31</v>
      </c>
      <c r="E65" s="5">
        <f t="shared" si="2"/>
        <v>0</v>
      </c>
      <c r="F65" s="17">
        <v>5</v>
      </c>
      <c r="G65" s="17">
        <v>7</v>
      </c>
      <c r="H65" s="6">
        <v>0</v>
      </c>
      <c r="J65" s="14" t="str">
        <f t="shared" si="3"/>
        <v>[21, 'M2', 31, 0, 5, 7, 0],</v>
      </c>
    </row>
    <row r="66" spans="1:10" x14ac:dyDescent="0.3">
      <c r="A66" s="3"/>
      <c r="B66" s="11">
        <v>22</v>
      </c>
      <c r="C66" s="11" t="s">
        <v>6</v>
      </c>
      <c r="D66" s="6">
        <v>22</v>
      </c>
      <c r="E66" s="5">
        <f t="shared" si="2"/>
        <v>0</v>
      </c>
      <c r="F66" s="17">
        <v>5</v>
      </c>
      <c r="G66" s="17">
        <v>4</v>
      </c>
      <c r="H66" s="6">
        <v>0</v>
      </c>
      <c r="J66" s="14" t="str">
        <f t="shared" si="3"/>
        <v>[22, 'M3', 22, 0, 5, 4, 0],</v>
      </c>
    </row>
    <row r="67" spans="1:10" x14ac:dyDescent="0.3">
      <c r="A67" s="3"/>
      <c r="B67" s="11">
        <v>23</v>
      </c>
      <c r="C67" s="11" t="s">
        <v>7</v>
      </c>
      <c r="D67" s="6">
        <v>22</v>
      </c>
      <c r="E67" s="5">
        <f t="shared" si="2"/>
        <v>0</v>
      </c>
      <c r="F67" s="17">
        <v>5</v>
      </c>
      <c r="G67" s="17">
        <v>4</v>
      </c>
      <c r="H67" s="6">
        <v>0</v>
      </c>
      <c r="J67" s="14" t="str">
        <f t="shared" si="3"/>
        <v>[23, 'M4', 22, 0, 5, 4, 0],</v>
      </c>
    </row>
    <row r="68" spans="1:10" x14ac:dyDescent="0.3">
      <c r="A68" s="3"/>
      <c r="B68" s="11">
        <v>24</v>
      </c>
      <c r="C68" s="11" t="s">
        <v>8</v>
      </c>
      <c r="D68" s="6">
        <v>16</v>
      </c>
      <c r="E68" s="5">
        <f t="shared" si="2"/>
        <v>0</v>
      </c>
      <c r="F68" s="17">
        <v>2</v>
      </c>
      <c r="G68" s="17">
        <v>4</v>
      </c>
      <c r="H68" s="6">
        <v>0</v>
      </c>
      <c r="J68" s="14" t="str">
        <f t="shared" si="3"/>
        <v>[24, 'M5', 16, 0, 2, 4, 0],</v>
      </c>
    </row>
    <row r="69" spans="1:10" x14ac:dyDescent="0.3">
      <c r="A69" s="3"/>
      <c r="B69" s="11">
        <v>30</v>
      </c>
      <c r="C69" s="11" t="s">
        <v>9</v>
      </c>
      <c r="D69" s="6">
        <v>24</v>
      </c>
      <c r="E69" s="5">
        <f t="shared" si="2"/>
        <v>24</v>
      </c>
      <c r="F69" s="17">
        <v>0</v>
      </c>
      <c r="G69" s="17">
        <v>0</v>
      </c>
      <c r="H69" s="6">
        <v>0</v>
      </c>
      <c r="J69" s="14" t="str">
        <f t="shared" si="3"/>
        <v>[30, 'A', 24, 24, 0, 0, 0],</v>
      </c>
    </row>
    <row r="70" spans="1:10" x14ac:dyDescent="0.3">
      <c r="A70" s="3"/>
      <c r="B70" s="11">
        <v>31</v>
      </c>
      <c r="C70" s="11" t="s">
        <v>10</v>
      </c>
      <c r="D70" s="6">
        <v>22</v>
      </c>
      <c r="E70" s="5">
        <f t="shared" si="2"/>
        <v>22</v>
      </c>
      <c r="F70" s="17">
        <v>0</v>
      </c>
      <c r="G70" s="17">
        <v>0</v>
      </c>
      <c r="H70" s="6">
        <v>0</v>
      </c>
      <c r="J70" s="14" t="str">
        <f t="shared" si="3"/>
        <v>[31, 'K', 22, 22, 0, 0, 0],</v>
      </c>
    </row>
    <row r="71" spans="1:10" x14ac:dyDescent="0.3">
      <c r="A71" s="3"/>
      <c r="B71" s="11">
        <v>32</v>
      </c>
      <c r="C71" s="11" t="s">
        <v>11</v>
      </c>
      <c r="D71" s="6">
        <v>16</v>
      </c>
      <c r="E71" s="5">
        <f t="shared" si="2"/>
        <v>16</v>
      </c>
      <c r="F71" s="17">
        <v>0</v>
      </c>
      <c r="G71" s="17">
        <v>0</v>
      </c>
      <c r="H71" s="6">
        <v>0</v>
      </c>
      <c r="J71" s="14" t="str">
        <f t="shared" si="3"/>
        <v>[32, 'Q', 16, 16, 0, 0, 0],</v>
      </c>
    </row>
    <row r="72" spans="1:10" x14ac:dyDescent="0.3">
      <c r="A72" s="3"/>
      <c r="B72" s="11">
        <v>33</v>
      </c>
      <c r="C72" s="11" t="s">
        <v>12</v>
      </c>
      <c r="D72" s="6">
        <v>16</v>
      </c>
      <c r="E72" s="5">
        <f t="shared" si="2"/>
        <v>16</v>
      </c>
      <c r="F72" s="17">
        <v>0</v>
      </c>
      <c r="G72" s="17">
        <v>0</v>
      </c>
      <c r="H72" s="6">
        <v>0</v>
      </c>
      <c r="J72" s="14" t="str">
        <f t="shared" si="3"/>
        <v>[33, 'J', 16, 16, 0, 0, 0],</v>
      </c>
    </row>
    <row r="73" spans="1:10" x14ac:dyDescent="0.3">
      <c r="A73" s="3"/>
      <c r="B73" s="11">
        <v>34</v>
      </c>
      <c r="C73" s="11" t="s">
        <v>13</v>
      </c>
      <c r="D73" s="6">
        <v>17</v>
      </c>
      <c r="E73" s="5">
        <f t="shared" si="2"/>
        <v>17</v>
      </c>
      <c r="F73" s="17">
        <v>0</v>
      </c>
      <c r="G73" s="17">
        <v>0</v>
      </c>
      <c r="H73" s="6">
        <v>0</v>
      </c>
      <c r="J73" s="14" t="str">
        <f t="shared" si="3"/>
        <v>[34, 'TE', 17, 17, 0, 0, 0],</v>
      </c>
    </row>
    <row r="74" spans="1:10" x14ac:dyDescent="0.3">
      <c r="A74" s="3"/>
      <c r="J74" s="14" t="s">
        <v>31</v>
      </c>
    </row>
    <row r="75" spans="1:10" x14ac:dyDescent="0.3">
      <c r="A75" s="3"/>
    </row>
    <row r="76" spans="1:10" x14ac:dyDescent="0.3">
      <c r="A76" s="3"/>
      <c r="B76" s="3" t="s">
        <v>25</v>
      </c>
    </row>
    <row r="77" spans="1:10" x14ac:dyDescent="0.3">
      <c r="A77" s="3"/>
      <c r="B77" s="2" t="s">
        <v>27</v>
      </c>
      <c r="C77" s="13" t="s">
        <v>26</v>
      </c>
      <c r="D77" s="2" t="s">
        <v>28</v>
      </c>
      <c r="E77" s="2">
        <v>1</v>
      </c>
      <c r="F77" s="2">
        <v>2</v>
      </c>
      <c r="G77" s="2">
        <v>3</v>
      </c>
      <c r="H77" s="2">
        <v>5</v>
      </c>
      <c r="J77" s="14" t="s">
        <v>32</v>
      </c>
    </row>
    <row r="78" spans="1:10" x14ac:dyDescent="0.3">
      <c r="A78" s="3"/>
      <c r="B78" s="10">
        <v>0</v>
      </c>
      <c r="C78" s="10" t="s">
        <v>0</v>
      </c>
      <c r="D78" s="4" cm="1">
        <f t="array" ref="D78:D91">D$23:D$36</f>
        <v>6</v>
      </c>
      <c r="E78" s="5">
        <f t="shared" ref="E78:E91" si="4">D78-SUMPRODUCT($F$41:$H$41,F78:H78)</f>
        <v>0</v>
      </c>
      <c r="F78" s="18">
        <v>0</v>
      </c>
      <c r="G78" s="18">
        <v>2</v>
      </c>
      <c r="H78" s="4">
        <v>0</v>
      </c>
      <c r="J78" s="14" t="str">
        <f t="shared" ref="J78:J91" si="5">"["&amp;B78&amp;", '"&amp;C78&amp;"', "&amp;_xlfn.TEXTJOIN(", ", , D78:H78)&amp;"]"&amp;","</f>
        <v>[0, 'WW', 6, 0, 0, 2, 0],</v>
      </c>
    </row>
    <row r="79" spans="1:10" x14ac:dyDescent="0.3">
      <c r="A79" s="3"/>
      <c r="B79" s="11">
        <v>10</v>
      </c>
      <c r="C79" s="11" t="s">
        <v>1</v>
      </c>
      <c r="D79" s="6">
        <v>3</v>
      </c>
      <c r="E79" s="5">
        <f t="shared" si="4"/>
        <v>3</v>
      </c>
      <c r="F79" s="17">
        <v>0</v>
      </c>
      <c r="G79" s="17">
        <v>0</v>
      </c>
      <c r="H79" s="6">
        <v>0</v>
      </c>
      <c r="J79" s="14" t="str">
        <f t="shared" si="5"/>
        <v>[10, 'C1', 3, 3, 0, 0, 0],</v>
      </c>
    </row>
    <row r="80" spans="1:10" x14ac:dyDescent="0.3">
      <c r="A80" s="3"/>
      <c r="B80" s="11">
        <v>11</v>
      </c>
      <c r="C80" s="11" t="s">
        <v>2</v>
      </c>
      <c r="D80" s="6">
        <v>5</v>
      </c>
      <c r="E80" s="5">
        <f t="shared" si="4"/>
        <v>5</v>
      </c>
      <c r="F80" s="17">
        <v>0</v>
      </c>
      <c r="G80" s="17">
        <v>0</v>
      </c>
      <c r="H80" s="6">
        <v>0</v>
      </c>
      <c r="J80" s="14" t="str">
        <f t="shared" si="5"/>
        <v>[11, 'C2', 5, 5, 0, 0, 0],</v>
      </c>
    </row>
    <row r="81" spans="1:10" x14ac:dyDescent="0.3">
      <c r="A81" s="3"/>
      <c r="B81" s="11">
        <v>12</v>
      </c>
      <c r="C81" s="11" t="s">
        <v>3</v>
      </c>
      <c r="D81" s="6">
        <v>28</v>
      </c>
      <c r="E81" s="5">
        <f t="shared" si="4"/>
        <v>28</v>
      </c>
      <c r="F81" s="17">
        <v>0</v>
      </c>
      <c r="G81" s="17">
        <v>0</v>
      </c>
      <c r="H81" s="6">
        <v>0</v>
      </c>
      <c r="J81" s="14" t="str">
        <f t="shared" si="5"/>
        <v>[12, 'C3', 28, 28, 0, 0, 0],</v>
      </c>
    </row>
    <row r="82" spans="1:10" x14ac:dyDescent="0.3">
      <c r="A82" s="3"/>
      <c r="B82" s="11">
        <v>20</v>
      </c>
      <c r="C82" s="11" t="s">
        <v>4</v>
      </c>
      <c r="D82" s="6">
        <v>17</v>
      </c>
      <c r="E82" s="5">
        <f t="shared" si="4"/>
        <v>0</v>
      </c>
      <c r="F82" s="17">
        <v>4</v>
      </c>
      <c r="G82" s="17">
        <v>3</v>
      </c>
      <c r="H82" s="6">
        <v>0</v>
      </c>
      <c r="J82" s="14" t="str">
        <f t="shared" si="5"/>
        <v>[20, 'M1', 17, 0, 4, 3, 0],</v>
      </c>
    </row>
    <row r="83" spans="1:10" x14ac:dyDescent="0.3">
      <c r="A83" s="3"/>
      <c r="B83" s="11">
        <v>21</v>
      </c>
      <c r="C83" s="11" t="s">
        <v>5</v>
      </c>
      <c r="D83" s="6">
        <v>29</v>
      </c>
      <c r="E83" s="5">
        <f t="shared" si="4"/>
        <v>0</v>
      </c>
      <c r="F83" s="17">
        <v>7</v>
      </c>
      <c r="G83" s="17">
        <v>5</v>
      </c>
      <c r="H83" s="6">
        <v>0</v>
      </c>
      <c r="J83" s="14" t="str">
        <f t="shared" si="5"/>
        <v>[21, 'M2', 29, 0, 7, 5, 0],</v>
      </c>
    </row>
    <row r="84" spans="1:10" x14ac:dyDescent="0.3">
      <c r="A84" s="3"/>
      <c r="B84" s="11">
        <v>22</v>
      </c>
      <c r="C84" s="11" t="s">
        <v>6</v>
      </c>
      <c r="D84" s="6">
        <v>29</v>
      </c>
      <c r="E84" s="5">
        <f t="shared" si="4"/>
        <v>0</v>
      </c>
      <c r="F84" s="17">
        <v>7</v>
      </c>
      <c r="G84" s="17">
        <v>5</v>
      </c>
      <c r="H84" s="6">
        <v>0</v>
      </c>
      <c r="J84" s="14" t="str">
        <f t="shared" si="5"/>
        <v>[22, 'M3', 29, 0, 7, 5, 0],</v>
      </c>
    </row>
    <row r="85" spans="1:10" x14ac:dyDescent="0.3">
      <c r="A85" s="3"/>
      <c r="B85" s="11">
        <v>23</v>
      </c>
      <c r="C85" s="11" t="s">
        <v>7</v>
      </c>
      <c r="D85" s="6">
        <v>14</v>
      </c>
      <c r="E85" s="5">
        <f t="shared" si="4"/>
        <v>0</v>
      </c>
      <c r="F85" s="17">
        <v>4</v>
      </c>
      <c r="G85" s="17">
        <v>2</v>
      </c>
      <c r="H85" s="6">
        <v>0</v>
      </c>
      <c r="J85" s="14" t="str">
        <f t="shared" si="5"/>
        <v>[23, 'M4', 14, 0, 4, 2, 0],</v>
      </c>
    </row>
    <row r="86" spans="1:10" x14ac:dyDescent="0.3">
      <c r="A86" s="3"/>
      <c r="B86" s="11">
        <v>24</v>
      </c>
      <c r="C86" s="11" t="s">
        <v>8</v>
      </c>
      <c r="D86" s="6">
        <v>17</v>
      </c>
      <c r="E86" s="5">
        <f t="shared" si="4"/>
        <v>0</v>
      </c>
      <c r="F86" s="17">
        <v>4</v>
      </c>
      <c r="G86" s="17">
        <v>3</v>
      </c>
      <c r="H86" s="6">
        <v>0</v>
      </c>
      <c r="J86" s="14" t="str">
        <f t="shared" si="5"/>
        <v>[24, 'M5', 17, 0, 4, 3, 0],</v>
      </c>
    </row>
    <row r="87" spans="1:10" x14ac:dyDescent="0.3">
      <c r="A87" s="3"/>
      <c r="B87" s="11">
        <v>30</v>
      </c>
      <c r="C87" s="11" t="s">
        <v>9</v>
      </c>
      <c r="D87" s="6">
        <v>21</v>
      </c>
      <c r="E87" s="5">
        <f t="shared" si="4"/>
        <v>21</v>
      </c>
      <c r="F87" s="17">
        <v>0</v>
      </c>
      <c r="G87" s="17">
        <v>0</v>
      </c>
      <c r="H87" s="6">
        <v>0</v>
      </c>
      <c r="J87" s="14" t="str">
        <f t="shared" si="5"/>
        <v>[30, 'A', 21, 21, 0, 0, 0],</v>
      </c>
    </row>
    <row r="88" spans="1:10" x14ac:dyDescent="0.3">
      <c r="A88" s="3"/>
      <c r="B88" s="11">
        <v>31</v>
      </c>
      <c r="C88" s="11" t="s">
        <v>10</v>
      </c>
      <c r="D88" s="6">
        <v>17</v>
      </c>
      <c r="E88" s="5">
        <f t="shared" si="4"/>
        <v>17</v>
      </c>
      <c r="F88" s="17">
        <v>0</v>
      </c>
      <c r="G88" s="17">
        <v>0</v>
      </c>
      <c r="H88" s="6">
        <v>0</v>
      </c>
      <c r="J88" s="14" t="str">
        <f t="shared" si="5"/>
        <v>[31, 'K', 17, 17, 0, 0, 0],</v>
      </c>
    </row>
    <row r="89" spans="1:10" x14ac:dyDescent="0.3">
      <c r="A89" s="3"/>
      <c r="B89" s="11">
        <v>32</v>
      </c>
      <c r="C89" s="11" t="s">
        <v>11</v>
      </c>
      <c r="D89" s="6">
        <v>21</v>
      </c>
      <c r="E89" s="5">
        <f t="shared" si="4"/>
        <v>21</v>
      </c>
      <c r="F89" s="17">
        <v>0</v>
      </c>
      <c r="G89" s="17">
        <v>0</v>
      </c>
      <c r="H89" s="6">
        <v>0</v>
      </c>
      <c r="J89" s="14" t="str">
        <f t="shared" si="5"/>
        <v>[32, 'Q', 21, 21, 0, 0, 0],</v>
      </c>
    </row>
    <row r="90" spans="1:10" x14ac:dyDescent="0.3">
      <c r="A90" s="3"/>
      <c r="B90" s="11">
        <v>33</v>
      </c>
      <c r="C90" s="11" t="s">
        <v>12</v>
      </c>
      <c r="D90" s="6">
        <v>23</v>
      </c>
      <c r="E90" s="5">
        <f t="shared" si="4"/>
        <v>23</v>
      </c>
      <c r="F90" s="17">
        <v>0</v>
      </c>
      <c r="G90" s="17">
        <v>0</v>
      </c>
      <c r="H90" s="6">
        <v>0</v>
      </c>
      <c r="J90" s="14" t="str">
        <f t="shared" si="5"/>
        <v>[33, 'J', 23, 23, 0, 0, 0],</v>
      </c>
    </row>
    <row r="91" spans="1:10" x14ac:dyDescent="0.3">
      <c r="A91" s="3"/>
      <c r="B91" s="11">
        <v>34</v>
      </c>
      <c r="C91" s="11" t="s">
        <v>13</v>
      </c>
      <c r="D91" s="6">
        <v>20</v>
      </c>
      <c r="E91" s="5">
        <f t="shared" si="4"/>
        <v>20</v>
      </c>
      <c r="F91" s="17">
        <v>0</v>
      </c>
      <c r="G91" s="17">
        <v>0</v>
      </c>
      <c r="H91" s="6">
        <v>0</v>
      </c>
      <c r="J91" s="14" t="str">
        <f t="shared" si="5"/>
        <v>[34, 'TE', 20, 20, 0, 0, 0],</v>
      </c>
    </row>
    <row r="92" spans="1:10" x14ac:dyDescent="0.3">
      <c r="A92" s="3"/>
      <c r="J92" s="14" t="s">
        <v>31</v>
      </c>
    </row>
    <row r="93" spans="1:10" x14ac:dyDescent="0.3">
      <c r="A93" s="3"/>
    </row>
    <row r="94" spans="1:10" x14ac:dyDescent="0.3">
      <c r="A94" s="3"/>
      <c r="B94" s="3" t="s">
        <v>24</v>
      </c>
    </row>
    <row r="95" spans="1:10" x14ac:dyDescent="0.3">
      <c r="A95" s="3"/>
      <c r="B95" s="2" t="s">
        <v>27</v>
      </c>
      <c r="C95" s="2" t="s">
        <v>26</v>
      </c>
      <c r="D95" s="13" t="s">
        <v>28</v>
      </c>
      <c r="E95" s="2">
        <v>1</v>
      </c>
      <c r="F95" s="2">
        <v>2</v>
      </c>
      <c r="G95" s="2">
        <v>3</v>
      </c>
      <c r="H95" s="2">
        <v>5</v>
      </c>
      <c r="J95" s="14" t="s">
        <v>32</v>
      </c>
    </row>
    <row r="96" spans="1:10" x14ac:dyDescent="0.3">
      <c r="A96" s="3"/>
      <c r="B96" s="10">
        <v>0</v>
      </c>
      <c r="C96" s="10" t="s">
        <v>0</v>
      </c>
      <c r="D96" s="4" cm="1">
        <f t="array" ref="D96:D109">E$23:E$36</f>
        <v>3</v>
      </c>
      <c r="E96" s="5">
        <f t="shared" ref="E96:E109" si="6">D96-SUMPRODUCT($F$41:$H$41,F96:H96)</f>
        <v>0</v>
      </c>
      <c r="F96" s="18">
        <v>0</v>
      </c>
      <c r="G96" s="18">
        <v>1</v>
      </c>
      <c r="H96" s="4">
        <v>0</v>
      </c>
      <c r="J96" s="14" t="str">
        <f t="shared" ref="J96:J109" si="7">"["&amp;B96&amp;", '"&amp;C96&amp;"', "&amp;_xlfn.TEXTJOIN(", ", , D96:H96)&amp;"]"&amp;","</f>
        <v>[0, 'WW', 3, 0, 0, 1, 0],</v>
      </c>
    </row>
    <row r="97" spans="1:10" x14ac:dyDescent="0.3">
      <c r="A97" s="3"/>
      <c r="B97" s="11">
        <v>10</v>
      </c>
      <c r="C97" s="11" t="s">
        <v>1</v>
      </c>
      <c r="D97" s="6">
        <v>4</v>
      </c>
      <c r="E97" s="5">
        <f t="shared" si="6"/>
        <v>4</v>
      </c>
      <c r="F97" s="17">
        <v>0</v>
      </c>
      <c r="G97" s="17">
        <v>0</v>
      </c>
      <c r="H97" s="6">
        <v>0</v>
      </c>
      <c r="J97" s="14" t="str">
        <f t="shared" si="7"/>
        <v>[10, 'C1', 4, 4, 0, 0, 0],</v>
      </c>
    </row>
    <row r="98" spans="1:10" x14ac:dyDescent="0.3">
      <c r="A98" s="3"/>
      <c r="B98" s="11">
        <v>11</v>
      </c>
      <c r="C98" s="11" t="s">
        <v>2</v>
      </c>
      <c r="D98" s="6">
        <v>3</v>
      </c>
      <c r="E98" s="5">
        <f t="shared" si="6"/>
        <v>3</v>
      </c>
      <c r="F98" s="17">
        <v>0</v>
      </c>
      <c r="G98" s="17">
        <v>0</v>
      </c>
      <c r="H98" s="6">
        <v>0</v>
      </c>
      <c r="J98" s="14" t="str">
        <f t="shared" si="7"/>
        <v>[11, 'C2', 3, 3, 0, 0, 0],</v>
      </c>
    </row>
    <row r="99" spans="1:10" x14ac:dyDescent="0.3">
      <c r="A99" s="3"/>
      <c r="B99" s="11">
        <v>12</v>
      </c>
      <c r="C99" s="11" t="s">
        <v>3</v>
      </c>
      <c r="D99" s="6">
        <v>5</v>
      </c>
      <c r="E99" s="5">
        <f t="shared" si="6"/>
        <v>5</v>
      </c>
      <c r="F99" s="17">
        <v>0</v>
      </c>
      <c r="G99" s="17">
        <v>0</v>
      </c>
      <c r="H99" s="6">
        <v>0</v>
      </c>
      <c r="J99" s="14" t="str">
        <f t="shared" si="7"/>
        <v>[12, 'C3', 5, 5, 0, 0, 0],</v>
      </c>
    </row>
    <row r="100" spans="1:10" x14ac:dyDescent="0.3">
      <c r="A100" s="3"/>
      <c r="B100" s="11">
        <v>20</v>
      </c>
      <c r="C100" s="11" t="s">
        <v>4</v>
      </c>
      <c r="D100" s="6">
        <v>13</v>
      </c>
      <c r="E100" s="5">
        <f t="shared" si="6"/>
        <v>0</v>
      </c>
      <c r="F100" s="17">
        <v>2</v>
      </c>
      <c r="G100" s="17">
        <v>3</v>
      </c>
      <c r="H100" s="6">
        <v>0</v>
      </c>
      <c r="J100" s="14" t="str">
        <f t="shared" si="7"/>
        <v>[20, 'M1', 13, 0, 2, 3, 0],</v>
      </c>
    </row>
    <row r="101" spans="1:10" x14ac:dyDescent="0.3">
      <c r="A101" s="3"/>
      <c r="B101" s="11">
        <v>21</v>
      </c>
      <c r="C101" s="11" t="s">
        <v>5</v>
      </c>
      <c r="D101" s="6">
        <v>24</v>
      </c>
      <c r="E101" s="5">
        <f t="shared" si="6"/>
        <v>0</v>
      </c>
      <c r="F101" s="17">
        <v>6</v>
      </c>
      <c r="G101" s="17">
        <v>4</v>
      </c>
      <c r="H101" s="6">
        <v>0</v>
      </c>
      <c r="J101" s="14" t="str">
        <f t="shared" si="7"/>
        <v>[21, 'M2', 24, 0, 6, 4, 0],</v>
      </c>
    </row>
    <row r="102" spans="1:10" x14ac:dyDescent="0.3">
      <c r="A102" s="3"/>
      <c r="B102" s="11">
        <v>22</v>
      </c>
      <c r="C102" s="11" t="s">
        <v>6</v>
      </c>
      <c r="D102" s="6">
        <v>24</v>
      </c>
      <c r="E102" s="5">
        <f t="shared" si="6"/>
        <v>0</v>
      </c>
      <c r="F102" s="17">
        <v>6</v>
      </c>
      <c r="G102" s="17">
        <v>4</v>
      </c>
      <c r="H102" s="6">
        <v>0</v>
      </c>
      <c r="J102" s="14" t="str">
        <f t="shared" si="7"/>
        <v>[22, 'M3', 24, 0, 6, 4, 0],</v>
      </c>
    </row>
    <row r="103" spans="1:10" x14ac:dyDescent="0.3">
      <c r="A103" s="3"/>
      <c r="B103" s="11">
        <v>23</v>
      </c>
      <c r="C103" s="11" t="s">
        <v>7</v>
      </c>
      <c r="D103" s="6">
        <v>22</v>
      </c>
      <c r="E103" s="5">
        <f t="shared" si="6"/>
        <v>0</v>
      </c>
      <c r="F103" s="17">
        <v>5</v>
      </c>
      <c r="G103" s="17">
        <v>4</v>
      </c>
      <c r="H103" s="6">
        <v>0</v>
      </c>
      <c r="J103" s="14" t="str">
        <f t="shared" si="7"/>
        <v>[23, 'M4', 22, 0, 5, 4, 0],</v>
      </c>
    </row>
    <row r="104" spans="1:10" x14ac:dyDescent="0.3">
      <c r="A104" s="3"/>
      <c r="B104" s="11">
        <v>24</v>
      </c>
      <c r="C104" s="11" t="s">
        <v>8</v>
      </c>
      <c r="D104" s="6">
        <v>22</v>
      </c>
      <c r="E104" s="5">
        <f t="shared" si="6"/>
        <v>0</v>
      </c>
      <c r="F104" s="17">
        <v>5</v>
      </c>
      <c r="G104" s="17">
        <v>4</v>
      </c>
      <c r="H104" s="6">
        <v>0</v>
      </c>
      <c r="J104" s="14" t="str">
        <f t="shared" si="7"/>
        <v>[24, 'M5', 22, 0, 5, 4, 0],</v>
      </c>
    </row>
    <row r="105" spans="1:10" x14ac:dyDescent="0.3">
      <c r="A105" s="3"/>
      <c r="B105" s="11">
        <v>30</v>
      </c>
      <c r="C105" s="11" t="s">
        <v>9</v>
      </c>
      <c r="D105" s="6">
        <v>15</v>
      </c>
      <c r="E105" s="5">
        <f t="shared" si="6"/>
        <v>15</v>
      </c>
      <c r="F105" s="17">
        <v>0</v>
      </c>
      <c r="G105" s="17">
        <v>0</v>
      </c>
      <c r="H105" s="6">
        <v>0</v>
      </c>
      <c r="J105" s="14" t="str">
        <f t="shared" si="7"/>
        <v>[30, 'A', 15, 15, 0, 0, 0],</v>
      </c>
    </row>
    <row r="106" spans="1:10" x14ac:dyDescent="0.3">
      <c r="A106" s="3"/>
      <c r="B106" s="11">
        <v>31</v>
      </c>
      <c r="C106" s="11" t="s">
        <v>10</v>
      </c>
      <c r="D106" s="6">
        <v>20</v>
      </c>
      <c r="E106" s="5">
        <f t="shared" si="6"/>
        <v>20</v>
      </c>
      <c r="F106" s="17">
        <v>0</v>
      </c>
      <c r="G106" s="17">
        <v>0</v>
      </c>
      <c r="H106" s="6">
        <v>0</v>
      </c>
      <c r="J106" s="14" t="str">
        <f t="shared" si="7"/>
        <v>[31, 'K', 20, 20, 0, 0, 0],</v>
      </c>
    </row>
    <row r="107" spans="1:10" x14ac:dyDescent="0.3">
      <c r="A107" s="3"/>
      <c r="B107" s="11">
        <v>32</v>
      </c>
      <c r="C107" s="11" t="s">
        <v>11</v>
      </c>
      <c r="D107" s="6">
        <v>15</v>
      </c>
      <c r="E107" s="5">
        <f t="shared" si="6"/>
        <v>15</v>
      </c>
      <c r="F107" s="17">
        <v>0</v>
      </c>
      <c r="G107" s="17">
        <v>0</v>
      </c>
      <c r="H107" s="6">
        <v>0</v>
      </c>
      <c r="J107" s="14" t="str">
        <f t="shared" si="7"/>
        <v>[32, 'Q', 15, 15, 0, 0, 0],</v>
      </c>
    </row>
    <row r="108" spans="1:10" x14ac:dyDescent="0.3">
      <c r="A108" s="3"/>
      <c r="B108" s="11">
        <v>33</v>
      </c>
      <c r="C108" s="11" t="s">
        <v>12</v>
      </c>
      <c r="D108" s="6">
        <v>22</v>
      </c>
      <c r="E108" s="5">
        <f t="shared" si="6"/>
        <v>22</v>
      </c>
      <c r="F108" s="17">
        <v>0</v>
      </c>
      <c r="G108" s="17">
        <v>0</v>
      </c>
      <c r="H108" s="6">
        <v>0</v>
      </c>
      <c r="J108" s="14" t="str">
        <f t="shared" si="7"/>
        <v>[33, 'J', 22, 22, 0, 0, 0],</v>
      </c>
    </row>
    <row r="109" spans="1:10" x14ac:dyDescent="0.3">
      <c r="A109" s="3"/>
      <c r="B109" s="11">
        <v>34</v>
      </c>
      <c r="C109" s="11" t="s">
        <v>13</v>
      </c>
      <c r="D109" s="6">
        <v>8</v>
      </c>
      <c r="E109" s="5">
        <f t="shared" si="6"/>
        <v>8</v>
      </c>
      <c r="F109" s="17">
        <v>0</v>
      </c>
      <c r="G109" s="17">
        <v>0</v>
      </c>
      <c r="H109" s="6">
        <v>0</v>
      </c>
      <c r="J109" s="14" t="str">
        <f t="shared" si="7"/>
        <v>[34, 'TE', 8, 8, 0, 0, 0],</v>
      </c>
    </row>
    <row r="110" spans="1:10" x14ac:dyDescent="0.3">
      <c r="A110" s="3"/>
      <c r="J110" s="14" t="s">
        <v>31</v>
      </c>
    </row>
    <row r="111" spans="1:10" x14ac:dyDescent="0.3">
      <c r="A111" s="3"/>
    </row>
    <row r="112" spans="1:10" x14ac:dyDescent="0.3">
      <c r="A112" s="3"/>
      <c r="B112" s="3" t="s">
        <v>23</v>
      </c>
    </row>
    <row r="113" spans="1:10" x14ac:dyDescent="0.3">
      <c r="A113" s="3"/>
      <c r="B113" s="2" t="s">
        <v>27</v>
      </c>
      <c r="C113" s="2" t="s">
        <v>26</v>
      </c>
      <c r="D113" s="13" t="s">
        <v>28</v>
      </c>
      <c r="E113" s="2">
        <v>1</v>
      </c>
      <c r="F113" s="2">
        <v>2</v>
      </c>
      <c r="G113" s="2">
        <v>3</v>
      </c>
      <c r="H113" s="2">
        <v>5</v>
      </c>
      <c r="J113" s="14" t="s">
        <v>32</v>
      </c>
    </row>
    <row r="114" spans="1:10" x14ac:dyDescent="0.3">
      <c r="A114" s="3"/>
      <c r="B114" s="10">
        <v>0</v>
      </c>
      <c r="C114" s="10" t="s">
        <v>0</v>
      </c>
      <c r="D114" s="4" cm="1">
        <f t="array" ref="D114:D127">F$23:F$36</f>
        <v>3</v>
      </c>
      <c r="E114" s="5">
        <f t="shared" ref="E114:E127" si="8">D114-SUMPRODUCT($F$41:$H$41,F114:H114)</f>
        <v>0</v>
      </c>
      <c r="F114" s="18">
        <v>0</v>
      </c>
      <c r="G114" s="18">
        <v>1</v>
      </c>
      <c r="H114" s="4">
        <v>0</v>
      </c>
      <c r="J114" s="14" t="str">
        <f t="shared" ref="J114:J127" si="9">"["&amp;B114&amp;", '"&amp;C114&amp;"', "&amp;_xlfn.TEXTJOIN(", ", , D114:H114)&amp;"]"&amp;","</f>
        <v>[0, 'WW', 3, 0, 0, 1, 0],</v>
      </c>
    </row>
    <row r="115" spans="1:10" x14ac:dyDescent="0.3">
      <c r="A115" s="3"/>
      <c r="B115" s="11">
        <v>10</v>
      </c>
      <c r="C115" s="11" t="s">
        <v>1</v>
      </c>
      <c r="D115" s="6">
        <v>2</v>
      </c>
      <c r="E115" s="5">
        <f t="shared" si="8"/>
        <v>2</v>
      </c>
      <c r="F115" s="17">
        <v>0</v>
      </c>
      <c r="G115" s="17">
        <v>0</v>
      </c>
      <c r="H115" s="6">
        <v>0</v>
      </c>
      <c r="J115" s="14" t="str">
        <f t="shared" si="9"/>
        <v>[10, 'C1', 2, 2, 0, 0, 0],</v>
      </c>
    </row>
    <row r="116" spans="1:10" x14ac:dyDescent="0.3">
      <c r="A116" s="3"/>
      <c r="B116" s="11">
        <v>11</v>
      </c>
      <c r="C116" s="11" t="s">
        <v>2</v>
      </c>
      <c r="D116" s="6">
        <v>0</v>
      </c>
      <c r="E116" s="5">
        <f t="shared" si="8"/>
        <v>0</v>
      </c>
      <c r="F116" s="17">
        <v>0</v>
      </c>
      <c r="G116" s="17">
        <v>0</v>
      </c>
      <c r="H116" s="6">
        <v>0</v>
      </c>
      <c r="J116" s="14" t="str">
        <f t="shared" si="9"/>
        <v>[11, 'C2', 0, 0, 0, 0, 0],</v>
      </c>
    </row>
    <row r="117" spans="1:10" x14ac:dyDescent="0.3">
      <c r="A117" s="3"/>
      <c r="B117" s="11">
        <v>12</v>
      </c>
      <c r="C117" s="11" t="s">
        <v>3</v>
      </c>
      <c r="D117" s="6">
        <v>2</v>
      </c>
      <c r="E117" s="5">
        <f t="shared" si="8"/>
        <v>2</v>
      </c>
      <c r="F117" s="17">
        <v>0</v>
      </c>
      <c r="G117" s="17">
        <v>0</v>
      </c>
      <c r="H117" s="6">
        <v>0</v>
      </c>
      <c r="J117" s="14" t="str">
        <f t="shared" si="9"/>
        <v>[12, 'C3', 2, 2, 0, 0, 0],</v>
      </c>
    </row>
    <row r="118" spans="1:10" x14ac:dyDescent="0.3">
      <c r="A118" s="3"/>
      <c r="B118" s="11">
        <v>20</v>
      </c>
      <c r="C118" s="11" t="s">
        <v>4</v>
      </c>
      <c r="D118" s="6">
        <v>11</v>
      </c>
      <c r="E118" s="5">
        <f t="shared" si="8"/>
        <v>0</v>
      </c>
      <c r="F118" s="17">
        <v>4</v>
      </c>
      <c r="G118" s="17">
        <v>1</v>
      </c>
      <c r="H118" s="6">
        <v>0</v>
      </c>
      <c r="J118" s="14" t="str">
        <f t="shared" si="9"/>
        <v>[20, 'M1', 11, 0, 4, 1, 0],</v>
      </c>
    </row>
    <row r="119" spans="1:10" x14ac:dyDescent="0.3">
      <c r="A119" s="3"/>
      <c r="B119" s="11">
        <v>21</v>
      </c>
      <c r="C119" s="11" t="s">
        <v>5</v>
      </c>
      <c r="D119" s="6">
        <v>15</v>
      </c>
      <c r="E119" s="5">
        <f t="shared" si="8"/>
        <v>0</v>
      </c>
      <c r="F119" s="17">
        <v>3</v>
      </c>
      <c r="G119" s="17">
        <v>3</v>
      </c>
      <c r="H119" s="6">
        <v>0</v>
      </c>
      <c r="J119" s="14" t="str">
        <f t="shared" si="9"/>
        <v>[21, 'M2', 15, 0, 3, 3, 0],</v>
      </c>
    </row>
    <row r="120" spans="1:10" x14ac:dyDescent="0.3">
      <c r="A120" s="3"/>
      <c r="B120" s="11">
        <v>22</v>
      </c>
      <c r="C120" s="11" t="s">
        <v>6</v>
      </c>
      <c r="D120" s="6">
        <v>15</v>
      </c>
      <c r="E120" s="5">
        <f t="shared" si="8"/>
        <v>0</v>
      </c>
      <c r="F120" s="17">
        <v>3</v>
      </c>
      <c r="G120" s="17">
        <v>3</v>
      </c>
      <c r="H120" s="6">
        <v>0</v>
      </c>
      <c r="J120" s="14" t="str">
        <f t="shared" si="9"/>
        <v>[22, 'M3', 15, 0, 3, 3, 0],</v>
      </c>
    </row>
    <row r="121" spans="1:10" x14ac:dyDescent="0.3">
      <c r="A121" s="3"/>
      <c r="B121" s="11">
        <v>23</v>
      </c>
      <c r="C121" s="11" t="s">
        <v>7</v>
      </c>
      <c r="D121" s="6">
        <v>15</v>
      </c>
      <c r="E121" s="5">
        <f t="shared" si="8"/>
        <v>0</v>
      </c>
      <c r="F121" s="17">
        <v>3</v>
      </c>
      <c r="G121" s="17">
        <v>3</v>
      </c>
      <c r="H121" s="6">
        <v>0</v>
      </c>
      <c r="J121" s="14" t="str">
        <f t="shared" si="9"/>
        <v>[23, 'M4', 15, 0, 3, 3, 0],</v>
      </c>
    </row>
    <row r="122" spans="1:10" x14ac:dyDescent="0.3">
      <c r="A122" s="3"/>
      <c r="B122" s="11">
        <v>24</v>
      </c>
      <c r="C122" s="11" t="s">
        <v>8</v>
      </c>
      <c r="D122" s="6">
        <v>17</v>
      </c>
      <c r="E122" s="5">
        <f t="shared" si="8"/>
        <v>0</v>
      </c>
      <c r="F122" s="17">
        <v>4</v>
      </c>
      <c r="G122" s="17">
        <v>3</v>
      </c>
      <c r="H122" s="6">
        <v>0</v>
      </c>
      <c r="J122" s="14" t="str">
        <f t="shared" si="9"/>
        <v>[24, 'M5', 17, 0, 4, 3, 0],</v>
      </c>
    </row>
    <row r="123" spans="1:10" x14ac:dyDescent="0.3">
      <c r="A123" s="3"/>
      <c r="B123" s="11">
        <v>30</v>
      </c>
      <c r="C123" s="11" t="s">
        <v>9</v>
      </c>
      <c r="D123" s="6">
        <v>9</v>
      </c>
      <c r="E123" s="5">
        <f t="shared" si="8"/>
        <v>9</v>
      </c>
      <c r="F123" s="17">
        <v>0</v>
      </c>
      <c r="G123" s="17">
        <v>0</v>
      </c>
      <c r="H123" s="6">
        <v>0</v>
      </c>
      <c r="J123" s="14" t="str">
        <f t="shared" si="9"/>
        <v>[30, 'A', 9, 9, 0, 0, 0],</v>
      </c>
    </row>
    <row r="124" spans="1:10" x14ac:dyDescent="0.3">
      <c r="A124" s="3"/>
      <c r="B124" s="11">
        <v>31</v>
      </c>
      <c r="C124" s="11" t="s">
        <v>10</v>
      </c>
      <c r="D124" s="6">
        <v>12</v>
      </c>
      <c r="E124" s="5">
        <f t="shared" si="8"/>
        <v>12</v>
      </c>
      <c r="F124" s="17">
        <v>0</v>
      </c>
      <c r="G124" s="17">
        <v>0</v>
      </c>
      <c r="H124" s="6">
        <v>0</v>
      </c>
      <c r="J124" s="14" t="str">
        <f t="shared" si="9"/>
        <v>[31, 'K', 12, 12, 0, 0, 0],</v>
      </c>
    </row>
    <row r="125" spans="1:10" x14ac:dyDescent="0.3">
      <c r="A125" s="3"/>
      <c r="B125" s="11">
        <v>32</v>
      </c>
      <c r="C125" s="11" t="s">
        <v>11</v>
      </c>
      <c r="D125" s="6">
        <v>9</v>
      </c>
      <c r="E125" s="5">
        <f t="shared" si="8"/>
        <v>9</v>
      </c>
      <c r="F125" s="17">
        <v>0</v>
      </c>
      <c r="G125" s="17">
        <v>0</v>
      </c>
      <c r="H125" s="6">
        <v>0</v>
      </c>
      <c r="J125" s="14" t="str">
        <f t="shared" si="9"/>
        <v>[32, 'Q', 9, 9, 0, 0, 0],</v>
      </c>
    </row>
    <row r="126" spans="1:10" x14ac:dyDescent="0.3">
      <c r="A126" s="3"/>
      <c r="B126" s="11">
        <v>33</v>
      </c>
      <c r="C126" s="11" t="s">
        <v>12</v>
      </c>
      <c r="D126" s="6">
        <v>12</v>
      </c>
      <c r="E126" s="5">
        <f t="shared" si="8"/>
        <v>12</v>
      </c>
      <c r="F126" s="17">
        <v>0</v>
      </c>
      <c r="G126" s="17">
        <v>0</v>
      </c>
      <c r="H126" s="6">
        <v>0</v>
      </c>
      <c r="J126" s="14" t="str">
        <f t="shared" si="9"/>
        <v>[33, 'J', 12, 12, 0, 0, 0],</v>
      </c>
    </row>
    <row r="127" spans="1:10" x14ac:dyDescent="0.3">
      <c r="A127" s="3"/>
      <c r="B127" s="11">
        <v>34</v>
      </c>
      <c r="C127" s="11" t="s">
        <v>13</v>
      </c>
      <c r="D127" s="6">
        <v>8</v>
      </c>
      <c r="E127" s="5">
        <f t="shared" si="8"/>
        <v>8</v>
      </c>
      <c r="F127" s="17">
        <v>0</v>
      </c>
      <c r="G127" s="17">
        <v>0</v>
      </c>
      <c r="H127" s="6">
        <v>0</v>
      </c>
      <c r="J127" s="14" t="str">
        <f t="shared" si="9"/>
        <v>[34, 'TE', 8, 8, 0, 0, 0],</v>
      </c>
    </row>
    <row r="128" spans="1:10" x14ac:dyDescent="0.3">
      <c r="A128" s="3"/>
      <c r="J128" s="14" t="s">
        <v>31</v>
      </c>
    </row>
  </sheetData>
  <phoneticPr fontId="2" type="noConversion"/>
  <conditionalFormatting sqref="K60:L74 S95:S108 Q110:S127 U42:U55 L58 P95:Q109 N58:O58 K77:L91 Q58:R58 K95:L95 Q76:S76 J92:L92 K111:P111 R109:S109 P110 N112:P112 N96:O110 J60:J73 J78:J91 J96:L110 J114:J127 A3:F7 Z7:AA10 Y12:AA12 A11:G21 H9:L20 B1:S1 A2:S2 M11:S21 S8 P8:Q8 A41:I41 A128:S1048576 A57:S57 A42:L50 A39:I39 K39:S39 A22:S38 A9:S10 A8:N8 T11:AA11 T7:T10 T143:AA1048576 T13:AA39 T1:AA6 A40:Z40 A58:I68 A56:L56 A51:E55 G51:L55 A69:E73 G69:I73 A92:I104 A87:E91 G87:I91 A110:I122 A105:E109 G105:I109 A123:E127 G123:I127 A74:I86">
    <cfRule type="cellIs" dxfId="13" priority="22" operator="equal">
      <formula>0</formula>
    </cfRule>
  </conditionalFormatting>
  <conditionalFormatting sqref="J74">
    <cfRule type="cellIs" dxfId="12" priority="21" operator="equal">
      <formula>0</formula>
    </cfRule>
  </conditionalFormatting>
  <conditionalFormatting sqref="E41:E127">
    <cfRule type="cellIs" dxfId="11" priority="20" operator="lessThan">
      <formula>0</formula>
    </cfRule>
  </conditionalFormatting>
  <conditionalFormatting sqref="U7:Y10">
    <cfRule type="cellIs" dxfId="10" priority="19" operator="equal">
      <formula>0</formula>
    </cfRule>
  </conditionalFormatting>
  <conditionalFormatting sqref="B11:F2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{FD6C2412-4F00-4B48-A5A4-2610CBFE6CE1}</x14:id>
        </ext>
      </extLst>
    </cfRule>
  </conditionalFormatting>
  <conditionalFormatting sqref="H5:L6">
    <cfRule type="cellIs" dxfId="9" priority="16" operator="equal">
      <formula>0</formula>
    </cfRule>
  </conditionalFormatting>
  <conditionalFormatting sqref="F105:F109">
    <cfRule type="cellIs" dxfId="8" priority="7" operator="equal">
      <formula>0</formula>
    </cfRule>
  </conditionalFormatting>
  <conditionalFormatting sqref="H4:L4">
    <cfRule type="cellIs" dxfId="7" priority="5" operator="equal">
      <formula>0</formula>
    </cfRule>
  </conditionalFormatting>
  <conditionalFormatting sqref="F123:F127">
    <cfRule type="cellIs" dxfId="6" priority="4" operator="equal">
      <formula>0</formula>
    </cfRule>
  </conditionalFormatting>
  <conditionalFormatting sqref="F87:F91">
    <cfRule type="cellIs" dxfId="5" priority="3" operator="equal">
      <formula>0</formula>
    </cfRule>
  </conditionalFormatting>
  <conditionalFormatting sqref="F69:F73">
    <cfRule type="cellIs" dxfId="4" priority="2" operator="equal">
      <formula>0</formula>
    </cfRule>
  </conditionalFormatting>
  <conditionalFormatting sqref="F51:F55">
    <cfRule type="cellIs" dxfId="3" priority="1" operator="equal">
      <formula>0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6C2412-4F00-4B48-A5A4-2610CBFE6C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B11:F20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Reel</vt:lpstr>
      <vt:lpstr>BG (8)</vt:lpstr>
      <vt:lpstr>BG (7)</vt:lpstr>
      <vt:lpstr>BG (6)</vt:lpstr>
      <vt:lpstr>BG (5)</vt:lpstr>
      <vt:lpstr>BG (4)</vt:lpstr>
      <vt:lpstr>BG (3)</vt:lpstr>
      <vt:lpstr>BG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2025-04-07T07:38:02Z</dcterms:created>
  <dcterms:modified xsi:type="dcterms:W3CDTF">2026-04-30T05:41:21Z</dcterms:modified>
</cp:coreProperties>
</file>