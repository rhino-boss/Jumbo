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1990" yWindow="2670" windowWidth="20970" windowHeight="12585" tabRatio="840" firstSheet="0" activeTab="1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_Weight" sheetId="2" state="visible" r:id="rId2"/>
    <sheet xmlns:r="http://schemas.openxmlformats.org/officeDocument/2006/relationships" name="Detail" sheetId="3" state="visible" r:id="rId3"/>
    <sheet xmlns:r="http://schemas.openxmlformats.org/officeDocument/2006/relationships" name="Detail_Newbie" sheetId="4" state="visible" r:id="rId4"/>
    <sheet xmlns:r="http://schemas.openxmlformats.org/officeDocument/2006/relationships" name="OP Jackpot" sheetId="5" state="visible" r:id="rId5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0.0000"/>
    <numFmt numFmtId="165" formatCode="0.0000_);[Red]\(0.0000\)"/>
    <numFmt numFmtId="166" formatCode="0.00_);[Red]\(0.00\)"/>
    <numFmt numFmtId="167" formatCode="_-* #,##0_-;\-* #,##0_-;_-* &quot;-&quot;??_-;_-@_-"/>
    <numFmt numFmtId="168" formatCode="0.000"/>
    <numFmt numFmtId="169" formatCode="0.0000%"/>
    <numFmt numFmtId="170" formatCode="0_);[Red]\(0\)"/>
  </numFmts>
  <fonts count="26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/>
      <sz val="12"/>
    </font>
  </fonts>
  <fills count="40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61100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  <xf numFmtId="43" fontId="2" fillId="0" borderId="0" applyAlignment="1">
      <alignment vertical="center"/>
    </xf>
  </cellStyleXfs>
  <cellXfs count="139">
    <xf numFmtId="0" fontId="0" fillId="0" borderId="0" pivotButton="0" quotePrefix="0" xfId="0"/>
    <xf numFmtId="0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58215">
      <alignment horizontal="left" vertical="center" indent="1"/>
    </xf>
    <xf numFmtId="0" fontId="23" fillId="0" borderId="0" pivotButton="0" quotePrefix="0" xfId="0"/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2">
      <alignment horizontal="left" vertical="center"/>
    </xf>
    <xf numFmtId="10" fontId="19" fillId="0" borderId="0" applyAlignment="1" pivotButton="0" quotePrefix="0" xfId="1">
      <alignment horizontal="center" vertical="center" wrapText="1"/>
    </xf>
    <xf numFmtId="0" fontId="19" fillId="0" borderId="10" pivotButton="0" quotePrefix="0" xfId="0"/>
    <xf numFmtId="0" fontId="19" fillId="34" borderId="11" applyAlignment="1" pivotButton="0" quotePrefix="0" xfId="0">
      <alignment horizontal="center" vertical="center"/>
    </xf>
    <xf numFmtId="0" fontId="19" fillId="35" borderId="11" pivotButton="0" quotePrefix="0" xfId="0"/>
    <xf numFmtId="0" fontId="19" fillId="0" borderId="11" pivotButton="0" quotePrefix="0" xfId="0"/>
    <xf numFmtId="0" fontId="23" fillId="34" borderId="11" applyAlignment="1" pivotButton="0" quotePrefix="0" xfId="0">
      <alignment horizontal="center" vertical="center"/>
    </xf>
    <xf numFmtId="0" fontId="23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 wrapText="1"/>
    </xf>
    <xf numFmtId="10" fontId="19" fillId="34" borderId="11" applyAlignment="1" pivotButton="0" quotePrefix="0" xfId="1">
      <alignment horizontal="center" vertical="center"/>
    </xf>
    <xf numFmtId="10" fontId="19" fillId="0" borderId="0" applyAlignment="1" pivotButton="0" quotePrefix="0" xfId="0">
      <alignment horizontal="center" vertical="center" wrapText="1"/>
    </xf>
    <xf numFmtId="10" fontId="19" fillId="33" borderId="11" applyAlignment="1" pivotButton="0" quotePrefix="0" xfId="1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33" borderId="12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0" fontId="19" fillId="0" borderId="12" applyAlignment="1" pivotButton="0" quotePrefix="0" xfId="0">
      <alignment horizontal="center" vertical="center" wrapText="1"/>
    </xf>
    <xf numFmtId="3" fontId="19" fillId="35" borderId="11" pivotButton="0" quotePrefix="0" xfId="0"/>
    <xf numFmtId="0" fontId="0" fillId="0" borderId="11" pivotButton="0" quotePrefix="0" xfId="0"/>
    <xf numFmtId="10" fontId="23" fillId="0" borderId="11" applyAlignment="1" pivotButton="0" quotePrefix="0" xfId="1">
      <alignment vertical="center"/>
    </xf>
    <xf numFmtId="10" fontId="23" fillId="0" borderId="13" applyAlignment="1" pivotButton="0" quotePrefix="0" xfId="1">
      <alignment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10" fontId="23" fillId="37" borderId="11" pivotButton="0" quotePrefix="0" xfId="1"/>
    <xf numFmtId="1" fontId="23" fillId="37" borderId="11" pivotButton="0" quotePrefix="0" xfId="1"/>
    <xf numFmtId="2" fontId="23" fillId="37" borderId="11" pivotButton="0" quotePrefix="0" xfId="1"/>
    <xf numFmtId="10" fontId="23" fillId="37" borderId="11" applyAlignment="1" pivotButton="0" quotePrefix="1" xfId="1">
      <alignment vertical="center"/>
    </xf>
    <xf numFmtId="0" fontId="23" fillId="0" borderId="0" applyAlignment="1" pivotButton="0" quotePrefix="0" xfId="0">
      <alignment horizontal="center" vertical="center"/>
    </xf>
    <xf numFmtId="10" fontId="23" fillId="0" borderId="0" applyAlignment="1" pivotButton="0" quotePrefix="0" xfId="1">
      <alignment vertical="center"/>
    </xf>
    <xf numFmtId="10" fontId="23" fillId="0" borderId="0" pivotButton="0" quotePrefix="0" xfId="1"/>
    <xf numFmtId="1" fontId="19" fillId="0" borderId="0" applyAlignment="1" pivotButton="0" quotePrefix="0" xfId="0">
      <alignment vertical="center"/>
    </xf>
    <xf numFmtId="1" fontId="23" fillId="0" borderId="0" pivotButton="0" quotePrefix="0" xfId="1"/>
    <xf numFmtId="1" fontId="23" fillId="0" borderId="0" applyAlignment="1" pivotButton="0" quotePrefix="0" xfId="1">
      <alignment vertical="center"/>
    </xf>
    <xf numFmtId="0" fontId="23" fillId="34" borderId="11" applyAlignment="1" pivotButton="0" quotePrefix="0" xfId="0">
      <alignment vertical="center"/>
    </xf>
    <xf numFmtId="10" fontId="24" fillId="0" borderId="0" applyAlignment="1" pivotButton="0" quotePrefix="0" xfId="1">
      <alignment horizontal="center" vertical="center"/>
    </xf>
    <xf numFmtId="0" fontId="24" fillId="0" borderId="0" applyAlignment="1" pivotButton="0" quotePrefix="0" xfId="0">
      <alignment horizontal="center"/>
    </xf>
    <xf numFmtId="10" fontId="24" fillId="0" borderId="0" pivotButton="0" quotePrefix="0" xfId="1"/>
    <xf numFmtId="0" fontId="23" fillId="0" borderId="11" applyAlignment="1" pivotButton="0" quotePrefix="0" xfId="0">
      <alignment vertical="center"/>
    </xf>
    <xf numFmtId="10" fontId="23" fillId="0" borderId="0" pivotButton="0" quotePrefix="0" xfId="0"/>
    <xf numFmtId="10" fontId="23" fillId="0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/>
    </xf>
    <xf numFmtId="0" fontId="23" fillId="0" borderId="13" applyAlignment="1" pivotButton="0" quotePrefix="0" xfId="0">
      <alignment vertical="center"/>
    </xf>
    <xf numFmtId="10" fontId="23" fillId="0" borderId="11" pivotButton="0" quotePrefix="0" xfId="1"/>
    <xf numFmtId="2" fontId="24" fillId="0" borderId="0" pivotButton="0" quotePrefix="0" xfId="0"/>
    <xf numFmtId="10" fontId="19" fillId="0" borderId="11" applyAlignment="1" pivotButton="0" quotePrefix="0" xfId="1">
      <alignment vertical="center"/>
    </xf>
    <xf numFmtId="0" fontId="23" fillId="0" borderId="11" applyAlignment="1" pivotButton="0" quotePrefix="0" xfId="1">
      <alignment vertical="center"/>
    </xf>
    <xf numFmtId="0" fontId="19" fillId="38" borderId="0" applyAlignment="1" pivotButton="0" quotePrefix="0" xfId="0">
      <alignment vertical="center"/>
    </xf>
    <xf numFmtId="0" fontId="24" fillId="38" borderId="0" pivotButton="0" quotePrefix="0" xfId="0"/>
    <xf numFmtId="0" fontId="23" fillId="38" borderId="0" applyAlignment="1" pivotButton="0" quotePrefix="0" xfId="0">
      <alignment vertical="center"/>
    </xf>
    <xf numFmtId="0" fontId="23" fillId="38" borderId="0" pivotButton="0" quotePrefix="0" xfId="0"/>
    <xf numFmtId="0" fontId="23" fillId="39" borderId="0" applyAlignment="1" pivotButton="0" quotePrefix="0" xfId="0">
      <alignment vertical="center"/>
    </xf>
    <xf numFmtId="0" fontId="19" fillId="39" borderId="0" applyAlignment="1" pivotButton="0" quotePrefix="0" xfId="0">
      <alignment vertical="center"/>
    </xf>
    <xf numFmtId="0" fontId="24" fillId="39" borderId="0" pivotButton="0" quotePrefix="0" xfId="0"/>
    <xf numFmtId="10" fontId="23" fillId="39" borderId="0" applyAlignment="1" pivotButton="0" quotePrefix="0" xfId="0">
      <alignment vertical="center"/>
    </xf>
    <xf numFmtId="0" fontId="23" fillId="39" borderId="0" pivotButton="0" quotePrefix="0" xfId="0"/>
    <xf numFmtId="0" fontId="25" fillId="39" borderId="0" applyAlignment="1" pivotButton="0" quotePrefix="0" xfId="0">
      <alignment vertical="center"/>
    </xf>
    <xf numFmtId="0" fontId="25" fillId="38" borderId="0" applyAlignment="1" pivotButton="0" quotePrefix="0" xfId="0">
      <alignment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58215">
      <alignment horizontal="center" vertical="center"/>
    </xf>
    <xf numFmtId="10" fontId="24" fillId="0" borderId="0" pivotButton="0" quotePrefix="0" xfId="0"/>
    <xf numFmtId="10" fontId="19" fillId="0" borderId="11" applyAlignment="1" pivotButton="0" quotePrefix="0" xfId="1">
      <alignment horizontal="center" vertical="center" wrapText="1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  <xf numFmtId="10" fontId="23" fillId="0" borderId="0" applyAlignment="1" pivotButton="0" quotePrefix="0" xfId="1">
      <alignment vertical="center"/>
    </xf>
    <xf numFmtId="10" fontId="23" fillId="39" borderId="0" applyAlignment="1" pivotButton="0" quotePrefix="0" xfId="1">
      <alignment vertical="center"/>
    </xf>
    <xf numFmtId="10" fontId="23" fillId="0" borderId="11" applyAlignment="1" pivotButton="0" quotePrefix="0" xfId="1">
      <alignment vertical="center"/>
    </xf>
    <xf numFmtId="10" fontId="19" fillId="0" borderId="10" applyAlignment="1" pivotButton="0" quotePrefix="0" xfId="1">
      <alignment horizontal="center" vertical="center" wrapText="1"/>
    </xf>
    <xf numFmtId="0" fontId="0" fillId="0" borderId="13" pivotButton="0" quotePrefix="0" xfId="0"/>
    <xf numFmtId="10" fontId="19" fillId="0" borderId="11" applyAlignment="1" pivotButton="0" quotePrefix="0" xfId="1">
      <alignment horizontal="center" vertical="center" wrapText="1"/>
    </xf>
    <xf numFmtId="0" fontId="0" fillId="0" borderId="12" pivotButton="0" quotePrefix="0" xfId="0"/>
    <xf numFmtId="10" fontId="19" fillId="0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3" fontId="23" fillId="35" borderId="11" applyAlignment="1" pivotButton="0" quotePrefix="0" xfId="0">
      <alignment horizontal="center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 wrapText="1"/>
    </xf>
    <xf numFmtId="166" fontId="19" fillId="33" borderId="10" applyAlignment="1" pivotButton="0" quotePrefix="0" xfId="0">
      <alignment horizontal="center" vertical="center" wrapText="1"/>
    </xf>
    <xf numFmtId="166" fontId="19" fillId="0" borderId="10" applyAlignment="1" pivotButton="0" quotePrefix="0" xfId="0">
      <alignment horizontal="center" vertical="center" wrapText="1"/>
    </xf>
    <xf numFmtId="167" fontId="23" fillId="0" borderId="11" applyAlignment="1" pivotButton="0" quotePrefix="0" xfId="61099">
      <alignment vertical="center"/>
    </xf>
    <xf numFmtId="168" fontId="24" fillId="0" borderId="0" pivotButton="0" quotePrefix="0" xfId="1"/>
    <xf numFmtId="168" fontId="24" fillId="0" borderId="0" pivotButton="0" quotePrefix="0" xfId="0"/>
    <xf numFmtId="169" fontId="23" fillId="37" borderId="11" applyAlignment="1" pivotButton="0" quotePrefix="0" xfId="1">
      <alignment vertical="center"/>
    </xf>
    <xf numFmtId="169" fontId="23" fillId="36" borderId="11" applyAlignment="1" pivotButton="0" quotePrefix="0" xfId="1">
      <alignment vertical="center"/>
    </xf>
    <xf numFmtId="170" fontId="24" fillId="0" borderId="0" applyAlignment="1" pivotButton="0" quotePrefix="0" xfId="1">
      <alignment vertical="center"/>
    </xf>
    <xf numFmtId="170" fontId="24" fillId="0" borderId="0" pivotButton="0" quotePrefix="0" xfId="0"/>
    <xf numFmtId="169" fontId="19" fillId="0" borderId="0" applyAlignment="1" pivotButton="0" quotePrefix="0" xfId="0">
      <alignment vertical="center"/>
    </xf>
    <xf numFmtId="169" fontId="19" fillId="39" borderId="0" applyAlignment="1" pivotButton="0" quotePrefix="0" xfId="0">
      <alignment vertical="center"/>
    </xf>
    <xf numFmtId="167" fontId="23" fillId="0" borderId="0" applyAlignment="1" pivotButton="0" quotePrefix="0" xfId="61099">
      <alignment vertical="center"/>
    </xf>
    <xf numFmtId="167" fontId="19" fillId="33" borderId="13" applyAlignment="1" pivotButton="0" quotePrefix="0" xfId="61099">
      <alignment vertical="center"/>
    </xf>
    <xf numFmtId="166" fontId="23" fillId="0" borderId="13" applyAlignment="1" pivotButton="0" quotePrefix="0" xfId="1">
      <alignment vertical="center"/>
    </xf>
    <xf numFmtId="164" fontId="23" fillId="33" borderId="11" applyAlignment="1" pivotButton="0" quotePrefix="0" xfId="0">
      <alignment vertical="center"/>
    </xf>
    <xf numFmtId="170" fontId="19" fillId="37" borderId="11" applyAlignment="1" pivotButton="0" quotePrefix="0" xfId="61099">
      <alignment vertical="center"/>
    </xf>
    <xf numFmtId="164" fontId="24" fillId="0" borderId="0" pivotButton="0" quotePrefix="0" xfId="0"/>
    <xf numFmtId="167" fontId="19" fillId="33" borderId="11" applyAlignment="1" pivotButton="0" quotePrefix="0" xfId="61099">
      <alignment vertical="center"/>
    </xf>
    <xf numFmtId="166" fontId="23" fillId="0" borderId="11" applyAlignment="1" pivotButton="0" quotePrefix="0" xfId="1">
      <alignment vertical="center"/>
    </xf>
    <xf numFmtId="164" fontId="24" fillId="0" borderId="0" pivotButton="0" quotePrefix="0" xfId="1"/>
    <xf numFmtId="170" fontId="23" fillId="37" borderId="11" applyAlignment="1" pivotButton="0" quotePrefix="0" xfId="61099">
      <alignment vertical="center"/>
    </xf>
    <xf numFmtId="167" fontId="19" fillId="0" borderId="0" applyAlignment="1" pivotButton="0" quotePrefix="0" xfId="0">
      <alignment vertical="center"/>
    </xf>
    <xf numFmtId="164" fontId="19" fillId="33" borderId="11" applyAlignment="1" pivotButton="0" quotePrefix="0" xfId="0">
      <alignment vertical="center"/>
    </xf>
    <xf numFmtId="167" fontId="24" fillId="0" borderId="13" applyAlignment="1" pivotButton="0" quotePrefix="0" xfId="61099">
      <alignment vertical="center"/>
    </xf>
    <xf numFmtId="167" fontId="24" fillId="0" borderId="11" applyAlignment="1" pivotButton="0" quotePrefix="0" xfId="61099">
      <alignment vertical="center"/>
    </xf>
    <xf numFmtId="167" fontId="23" fillId="35" borderId="10" pivotButton="0" quotePrefix="0" xfId="61099"/>
  </cellXfs>
  <cellStyles count="61100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  <cellStyle name="千分位" xfId="61099" builtinId="3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tabColor theme="3" tint="0.5999938962981048"/>
    <outlinePr summaryBelow="1" summaryRight="1"/>
    <pageSetUpPr/>
  </sheetPr>
  <dimension ref="A2:J36"/>
  <sheetViews>
    <sheetView zoomScale="85" zoomScaleNormal="85" workbookViewId="0">
      <selection activeCell="H17" sqref="H17"/>
    </sheetView>
  </sheetViews>
  <sheetFormatPr baseColWidth="8" defaultColWidth="8.88671875" defaultRowHeight="15.6"/>
  <cols>
    <col width="24" bestFit="1" customWidth="1" style="1" min="1" max="1"/>
    <col width="22.88671875" bestFit="1" customWidth="1" style="1" min="2" max="2"/>
    <col width="21" customWidth="1" style="1" min="3" max="9"/>
    <col width="14.77734375" customWidth="1" style="1" min="10" max="10"/>
    <col width="8.88671875" customWidth="1" style="1" min="11" max="14"/>
    <col width="8.88671875" customWidth="1" style="1" min="15" max="16384"/>
  </cols>
  <sheetData>
    <row r="2">
      <c r="A2" s="3" t="inlineStr">
        <is>
          <t>Model:</t>
        </is>
      </c>
      <c r="B2" s="64" t="inlineStr">
        <is>
          <t>H027194</t>
        </is>
      </c>
    </row>
    <row r="3">
      <c r="A3" s="3" t="inlineStr">
        <is>
          <t>Version:</t>
        </is>
      </c>
      <c r="B3" s="65" t="inlineStr">
        <is>
          <t>0.0.0.0</t>
        </is>
      </c>
      <c r="C3" s="65" t="n"/>
    </row>
    <row r="5">
      <c r="A5" s="3" t="n"/>
      <c r="B5" s="6" t="n"/>
      <c r="C5" s="6" t="n"/>
    </row>
    <row r="6">
      <c r="A6" s="9" t="inlineStr">
        <is>
          <t>Base Bet</t>
        </is>
      </c>
      <c r="B6" s="9" t="inlineStr">
        <is>
          <t>Board Cells</t>
        </is>
      </c>
      <c r="E6" s="108" t="n"/>
      <c r="F6" s="108" t="n"/>
      <c r="G6" s="109" t="n"/>
      <c r="H6" s="109" t="n"/>
      <c r="I6" s="109" t="n"/>
      <c r="J6" s="108" t="n"/>
    </row>
    <row r="7">
      <c r="A7" s="21" t="n">
        <v>100</v>
      </c>
      <c r="B7" s="21" t="n">
        <v>30</v>
      </c>
      <c r="H7" s="22" t="n"/>
      <c r="I7" s="110" t="n"/>
      <c r="J7" s="111" t="n"/>
    </row>
    <row r="8">
      <c r="H8" s="22" t="n"/>
      <c r="I8" s="110" t="n"/>
      <c r="J8" s="111" t="n"/>
    </row>
    <row r="9">
      <c r="H9" s="22" t="n"/>
      <c r="I9" s="110" t="n"/>
      <c r="J9" s="111" t="n"/>
    </row>
    <row r="10">
      <c r="A10" s="9" t="inlineStr">
        <is>
          <t>Coin in</t>
        </is>
      </c>
      <c r="B10" s="9" t="inlineStr">
        <is>
          <t>Price(x)</t>
        </is>
      </c>
      <c r="C10" s="16" t="inlineStr">
        <is>
          <t>Bet Type</t>
        </is>
      </c>
      <c r="D10" s="16" t="inlineStr">
        <is>
          <t>Bet Type</t>
        </is>
      </c>
      <c r="E10" s="22" t="n"/>
      <c r="F10" s="110" t="n"/>
      <c r="G10" s="111" t="n"/>
    </row>
    <row r="11">
      <c r="A11" s="23" t="n">
        <v>100</v>
      </c>
      <c r="B11" s="21" t="n">
        <v>1</v>
      </c>
      <c r="C11" s="102" t="inlineStr">
        <is>
          <t>Normal Bet</t>
        </is>
      </c>
      <c r="D11" s="102" t="inlineStr">
        <is>
          <t>Normal Bet</t>
        </is>
      </c>
      <c r="E11" s="22" t="n"/>
      <c r="F11" s="110" t="n"/>
      <c r="G11" s="111" t="n"/>
    </row>
    <row r="12">
      <c r="A12" s="23" t="n">
        <v>200</v>
      </c>
      <c r="B12" s="21" t="n">
        <v>2</v>
      </c>
      <c r="C12" s="102" t="inlineStr">
        <is>
          <t>Extra Bet</t>
        </is>
      </c>
      <c r="D12" s="102" t="inlineStr">
        <is>
          <t>Buy Feature</t>
        </is>
      </c>
      <c r="E12" s="22" t="n"/>
      <c r="F12" s="110" t="n"/>
      <c r="G12" s="111" t="n"/>
    </row>
    <row r="13">
      <c r="A13" s="23" t="n">
        <v>10000</v>
      </c>
      <c r="B13" s="21" t="n">
        <v>100</v>
      </c>
      <c r="C13" s="102" t="inlineStr">
        <is>
          <t>Buy Feature</t>
        </is>
      </c>
      <c r="D13" s="102" t="inlineStr">
        <is>
          <t>Super Feature</t>
        </is>
      </c>
      <c r="H13" s="22" t="n"/>
      <c r="I13" s="110" t="n"/>
      <c r="J13" s="111" t="n"/>
    </row>
    <row r="14">
      <c r="H14" s="22" t="n"/>
      <c r="I14" s="110" t="n"/>
      <c r="J14" s="111" t="n"/>
    </row>
    <row r="15">
      <c r="A15" s="5" t="inlineStr">
        <is>
          <t>Reel #</t>
        </is>
      </c>
      <c r="B15" s="7" t="n">
        <v>1</v>
      </c>
      <c r="C15" s="17" t="n">
        <v>2</v>
      </c>
      <c r="D15" s="112" t="n">
        <v>3</v>
      </c>
      <c r="E15" s="22" t="n">
        <v>4</v>
      </c>
      <c r="F15" t="n">
        <v>5</v>
      </c>
      <c r="G15" t="n">
        <v>6</v>
      </c>
      <c r="H15" s="22" t="n"/>
      <c r="I15" s="110" t="n"/>
      <c r="J15" s="111" t="n"/>
    </row>
    <row r="16">
      <c r="A16" s="16" t="inlineStr">
        <is>
          <t>Visible Window Size</t>
        </is>
      </c>
      <c r="B16" s="9" t="n">
        <v>5</v>
      </c>
      <c r="C16" s="9" t="n">
        <v>5</v>
      </c>
      <c r="D16" s="9" t="n">
        <v>5</v>
      </c>
      <c r="E16" s="9" t="n">
        <v>5</v>
      </c>
      <c r="F16" t="n">
        <v>5</v>
      </c>
      <c r="G16" t="n">
        <v>5</v>
      </c>
      <c r="H16" s="22" t="n"/>
      <c r="I16" s="110" t="n"/>
      <c r="J16" s="111" t="n"/>
    </row>
    <row r="17">
      <c r="A17" s="100">
        <f>D11</f>
        <v/>
      </c>
      <c r="B17" s="18">
        <f>Detail!C7</f>
        <v/>
      </c>
      <c r="C17" s="104">
        <f>1/D17</f>
        <v/>
      </c>
      <c r="D17" s="113">
        <f>Detail!G7</f>
        <v/>
      </c>
      <c r="E17" s="15" t="inlineStr">
        <is>
          <t>Base Game</t>
        </is>
      </c>
      <c r="H17" s="22" t="n"/>
      <c r="I17" s="110" t="n"/>
      <c r="J17" s="111" t="n"/>
    </row>
    <row r="18" ht="15.6" customHeight="1">
      <c r="A18" s="101" t="n"/>
      <c r="B18" s="18">
        <f>Detail!D7</f>
        <v/>
      </c>
      <c r="C18" s="101" t="n"/>
      <c r="D18" s="101" t="n"/>
      <c r="E18" s="15" t="inlineStr">
        <is>
          <t>Free Game</t>
        </is>
      </c>
      <c r="H18" s="22" t="n"/>
      <c r="I18" s="110" t="n"/>
      <c r="J18" s="111" t="n"/>
    </row>
    <row r="19" ht="15.6" customHeight="1">
      <c r="A19" s="19" t="n"/>
      <c r="B19" s="7" t="n"/>
      <c r="C19" s="17" t="n"/>
      <c r="D19" s="112" t="n"/>
      <c r="E19" s="22" t="n"/>
      <c r="H19" s="22" t="n"/>
      <c r="I19" s="110" t="n"/>
      <c r="J19" s="111" t="n"/>
    </row>
    <row r="20">
      <c r="A20" s="16" t="inlineStr">
        <is>
          <t>Bet Type</t>
        </is>
      </c>
      <c r="B20" s="9" t="inlineStr">
        <is>
          <t xml:space="preserve">Pay Back </t>
        </is>
      </c>
      <c r="C20" s="9" t="inlineStr">
        <is>
          <t>Hit%</t>
        </is>
      </c>
      <c r="D20" s="9" t="inlineStr">
        <is>
          <t>Pulls/Hit</t>
        </is>
      </c>
      <c r="E20" s="9" t="inlineStr">
        <is>
          <t>Description</t>
        </is>
      </c>
      <c r="H20" s="22" t="n"/>
      <c r="I20" s="110" t="n"/>
      <c r="J20" s="111" t="n"/>
    </row>
    <row r="21">
      <c r="A21" s="102">
        <f>D12</f>
        <v/>
      </c>
      <c r="B21" s="18">
        <f>Detail!C8</f>
        <v/>
      </c>
      <c r="C21" s="104">
        <f>1/D21</f>
        <v/>
      </c>
      <c r="D21" s="114" t="n">
        <v>1</v>
      </c>
      <c r="E21" s="15" t="inlineStr">
        <is>
          <t>Base Game</t>
        </is>
      </c>
      <c r="H21" s="22" t="n"/>
      <c r="I21" s="110" t="n"/>
      <c r="J21" s="111" t="n"/>
    </row>
    <row r="22">
      <c r="A22" s="103" t="n"/>
      <c r="B22" s="18">
        <f>Detail!D8</f>
        <v/>
      </c>
      <c r="C22" s="101" t="n"/>
      <c r="D22" s="101" t="n"/>
      <c r="E22" s="15" t="inlineStr">
        <is>
          <t>Free Game</t>
        </is>
      </c>
      <c r="H22" s="22" t="n"/>
      <c r="I22" s="110" t="n"/>
      <c r="J22" s="111" t="n"/>
    </row>
    <row r="23" ht="15.6" customHeight="1">
      <c r="H23" s="22" t="n"/>
      <c r="I23" s="110" t="n"/>
      <c r="J23" s="111" t="n"/>
    </row>
    <row r="24">
      <c r="A24" s="16" t="inlineStr">
        <is>
          <t>Bet Type</t>
        </is>
      </c>
      <c r="B24" s="9" t="inlineStr">
        <is>
          <t xml:space="preserve">Pay Back </t>
        </is>
      </c>
      <c r="C24" s="9" t="inlineStr">
        <is>
          <t>Hit%</t>
        </is>
      </c>
      <c r="D24" s="9" t="inlineStr">
        <is>
          <t>Pulls/Hit</t>
        </is>
      </c>
      <c r="E24" s="9" t="inlineStr">
        <is>
          <t>Description</t>
        </is>
      </c>
      <c r="F24" s="4" t="n"/>
      <c r="G24" s="4" t="n"/>
      <c r="H24" s="4" t="n"/>
      <c r="I24" s="4" t="n"/>
    </row>
    <row r="25">
      <c r="A25" s="102">
        <f>D13</f>
        <v/>
      </c>
      <c r="B25" s="18">
        <f>Detail!C9</f>
        <v/>
      </c>
      <c r="C25" s="104">
        <f>IFERROR(1/D25,0)</f>
        <v/>
      </c>
      <c r="D25" s="114" t="n">
        <v>1</v>
      </c>
      <c r="E25" s="15" t="inlineStr">
        <is>
          <t>Base Game</t>
        </is>
      </c>
      <c r="F25" s="4" t="n"/>
      <c r="G25" s="4" t="n"/>
      <c r="H25" s="4" t="n"/>
      <c r="I25" s="4" t="n"/>
    </row>
    <row r="26">
      <c r="A26" s="103" t="n"/>
      <c r="B26" s="18">
        <f>Detail!D9</f>
        <v/>
      </c>
      <c r="C26" s="101" t="n"/>
      <c r="D26" s="101" t="n"/>
      <c r="E26" s="15" t="inlineStr">
        <is>
          <t>Free Game</t>
        </is>
      </c>
      <c r="F26" s="4" t="n"/>
      <c r="G26" s="4" t="n"/>
      <c r="H26" s="4" t="n"/>
      <c r="I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</row>
    <row r="36">
      <c r="B36" s="2" t="n"/>
      <c r="C36" s="2" t="n"/>
      <c r="D36" s="2" t="n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tabSelected="1" zoomScale="85" zoomScaleNormal="85" workbookViewId="0">
      <selection activeCell="M21" sqref="M21"/>
    </sheetView>
  </sheetViews>
  <sheetFormatPr baseColWidth="8" defaultRowHeight="16.2"/>
  <cols>
    <col width="27.109375" bestFit="1" customWidth="1" style="20" min="1" max="1"/>
    <col width="28.77734375" bestFit="1" customWidth="1" min="2" max="3"/>
    <col width="18.44140625" bestFit="1" customWidth="1" min="4" max="5"/>
    <col width="14" bestFit="1" customWidth="1" min="6" max="7"/>
  </cols>
  <sheetData>
    <row r="1">
      <c r="A1" t="inlineStr">
        <is>
          <t>H027 Card Range Weight Summary</t>
        </is>
      </c>
    </row>
    <row r="2">
      <c r="A2" s="9" t="inlineStr">
        <is>
          <t>Range</t>
        </is>
      </c>
      <c r="B2" s="9" t="inlineStr">
        <is>
          <t>Weight_NB_BG_Newbie</t>
        </is>
      </c>
      <c r="C2" s="9" t="inlineStr">
        <is>
          <t>Weight_NB_FG_Newbie</t>
        </is>
      </c>
      <c r="D2" s="9" t="inlineStr">
        <is>
          <t>Weight_NB_BG</t>
        </is>
      </c>
      <c r="E2" s="9" t="inlineStr">
        <is>
          <t>Weight_NB_FG</t>
        </is>
      </c>
      <c r="F2" s="9" t="inlineStr">
        <is>
          <t>Weight_BF</t>
        </is>
      </c>
      <c r="G2" s="9" t="inlineStr">
        <is>
          <t>Weight_SF</t>
        </is>
      </c>
    </row>
    <row r="3">
      <c r="A3" s="13" t="inlineStr">
        <is>
          <t>(-1, 0]</t>
        </is>
      </c>
      <c r="B3" s="10">
        <f>Detail_Newbie!K15</f>
        <v/>
      </c>
      <c r="C3" s="10">
        <f>Detail_Newbie!K86</f>
        <v/>
      </c>
      <c r="D3" s="10">
        <f>Detail!K15</f>
        <v/>
      </c>
      <c r="E3" s="10">
        <f>Detail!K86</f>
        <v/>
      </c>
      <c r="F3" s="10">
        <f>Detail!K163</f>
        <v/>
      </c>
      <c r="G3" s="10">
        <f>Detail!K234</f>
        <v/>
      </c>
    </row>
    <row r="4">
      <c r="A4" s="13" t="inlineStr">
        <is>
          <t>(-1, 0]</t>
        </is>
      </c>
      <c r="B4" s="10" t="n">
        <v>694112196</v>
      </c>
      <c r="C4" s="10" t="n">
        <v>16217</v>
      </c>
      <c r="D4" s="10" t="n">
        <v>693473066</v>
      </c>
      <c r="E4" s="10" t="n">
        <v>2143577</v>
      </c>
      <c r="F4" s="10" t="n">
        <v>0</v>
      </c>
      <c r="G4" s="10" t="n">
        <v>0</v>
      </c>
    </row>
    <row r="5">
      <c r="A5" s="13" t="inlineStr">
        <is>
          <t>(0, 1]</t>
        </is>
      </c>
      <c r="B5" s="10" t="n">
        <v>154179940</v>
      </c>
      <c r="C5" s="10" t="n">
        <v>11228</v>
      </c>
      <c r="D5" s="10" t="n">
        <v>154113757</v>
      </c>
      <c r="E5" s="10" t="n">
        <v>1416535</v>
      </c>
      <c r="F5" s="10" t="n">
        <v>0</v>
      </c>
      <c r="G5" s="10" t="n">
        <v>0</v>
      </c>
    </row>
    <row r="6">
      <c r="A6" s="13" t="inlineStr">
        <is>
          <t>(1, 2]</t>
        </is>
      </c>
      <c r="B6" s="10" t="n">
        <v>52969308</v>
      </c>
      <c r="C6" s="10" t="n">
        <v>8790</v>
      </c>
      <c r="D6" s="10" t="n">
        <v>52998656</v>
      </c>
      <c r="E6" s="10" t="n">
        <v>1051862</v>
      </c>
      <c r="F6" s="10" t="n">
        <v>0</v>
      </c>
      <c r="G6" s="10" t="n">
        <v>0</v>
      </c>
    </row>
    <row r="7">
      <c r="A7" s="13" t="inlineStr">
        <is>
          <t>(2, 3]</t>
        </is>
      </c>
      <c r="B7" s="10" t="n">
        <v>25304058</v>
      </c>
      <c r="C7" s="10" t="n">
        <v>15407</v>
      </c>
      <c r="D7" s="10" t="n">
        <v>25343868</v>
      </c>
      <c r="E7" s="10" t="n">
        <v>1732660</v>
      </c>
      <c r="F7" s="10" t="n">
        <v>28562</v>
      </c>
      <c r="G7" s="10" t="n">
        <v>28562</v>
      </c>
    </row>
    <row r="8">
      <c r="A8" s="13" t="inlineStr">
        <is>
          <t>(3, 4]</t>
        </is>
      </c>
      <c r="B8" s="10" t="n">
        <v>16909959</v>
      </c>
      <c r="C8" s="10" t="n">
        <v>12971</v>
      </c>
      <c r="D8" s="10" t="n">
        <v>16953005</v>
      </c>
      <c r="E8" s="10" t="n">
        <v>1369763</v>
      </c>
      <c r="F8" s="10" t="n">
        <v>26090</v>
      </c>
      <c r="G8" s="10" t="n">
        <v>26090</v>
      </c>
    </row>
    <row r="9">
      <c r="A9" s="13" t="inlineStr">
        <is>
          <t>(4, 5]</t>
        </is>
      </c>
      <c r="B9" s="10" t="n">
        <v>10604147</v>
      </c>
      <c r="C9" s="10" t="n">
        <v>23747</v>
      </c>
      <c r="D9" s="10" t="n">
        <v>10641538</v>
      </c>
      <c r="E9" s="10" t="n">
        <v>2372063</v>
      </c>
      <c r="F9" s="10" t="n">
        <v>39665</v>
      </c>
      <c r="G9" s="10" t="n">
        <v>39665</v>
      </c>
    </row>
    <row r="10">
      <c r="A10" s="13" t="inlineStr">
        <is>
          <t>(5, 6]</t>
        </is>
      </c>
      <c r="B10" s="10" t="n">
        <v>6991786</v>
      </c>
      <c r="C10" s="10" t="n">
        <v>39494</v>
      </c>
      <c r="D10" s="10" t="n">
        <v>7023229</v>
      </c>
      <c r="E10" s="10" t="n">
        <v>3678676</v>
      </c>
      <c r="F10" s="10" t="n">
        <v>48205</v>
      </c>
      <c r="G10" s="10" t="n">
        <v>48205</v>
      </c>
    </row>
    <row r="11">
      <c r="A11" s="13" t="inlineStr">
        <is>
          <t>(6, 7]</t>
        </is>
      </c>
      <c r="B11" s="10" t="n">
        <v>4663978</v>
      </c>
      <c r="C11" s="10" t="n">
        <v>22658</v>
      </c>
      <c r="D11" s="10" t="n">
        <v>4689260</v>
      </c>
      <c r="E11" s="10" t="n">
        <v>1983117</v>
      </c>
      <c r="F11" s="10" t="n">
        <v>66589</v>
      </c>
      <c r="G11" s="10" t="n">
        <v>66589</v>
      </c>
    </row>
    <row r="12">
      <c r="A12" s="13" t="inlineStr">
        <is>
          <t>(7, 8]</t>
        </is>
      </c>
      <c r="B12" s="10" t="n">
        <v>3128355</v>
      </c>
      <c r="C12" s="10" t="n">
        <v>59644</v>
      </c>
      <c r="D12" s="10" t="n">
        <v>3148673</v>
      </c>
      <c r="E12" s="10" t="n">
        <v>4898638</v>
      </c>
      <c r="F12" s="10" t="n">
        <v>78123</v>
      </c>
      <c r="G12" s="10" t="n">
        <v>78123</v>
      </c>
    </row>
    <row r="13">
      <c r="A13" s="13" t="inlineStr">
        <is>
          <t>(8, 9]</t>
        </is>
      </c>
      <c r="B13" s="10" t="n">
        <v>2617719</v>
      </c>
      <c r="C13" s="10" t="n">
        <v>28907</v>
      </c>
      <c r="D13" s="10" t="n">
        <v>2637421</v>
      </c>
      <c r="E13" s="10" t="n">
        <v>2265996</v>
      </c>
      <c r="F13" s="10" t="n">
        <v>96053</v>
      </c>
      <c r="G13" s="10" t="n">
        <v>96053</v>
      </c>
    </row>
    <row r="14">
      <c r="A14" s="13" t="inlineStr">
        <is>
          <t>(9, 10]</t>
        </is>
      </c>
      <c r="B14" s="10" t="n">
        <v>3068713</v>
      </c>
      <c r="C14" s="10" t="n">
        <v>43878</v>
      </c>
      <c r="D14" s="10" t="n">
        <v>3095317</v>
      </c>
      <c r="E14" s="10" t="n">
        <v>3191785</v>
      </c>
      <c r="F14" s="10" t="n">
        <v>112205</v>
      </c>
      <c r="G14" s="10" t="n">
        <v>112205</v>
      </c>
    </row>
    <row r="15">
      <c r="A15" s="13" t="inlineStr">
        <is>
          <t>(10, 15]</t>
        </is>
      </c>
      <c r="B15" s="10" t="n">
        <v>10040517</v>
      </c>
      <c r="C15" s="10" t="n">
        <v>420522</v>
      </c>
      <c r="D15" s="10" t="n">
        <v>10151360</v>
      </c>
      <c r="E15" s="10" t="n">
        <v>25620053</v>
      </c>
      <c r="F15" s="10" t="n">
        <v>863568</v>
      </c>
      <c r="G15" s="10" t="n">
        <v>863568</v>
      </c>
    </row>
    <row r="16">
      <c r="A16" s="13" t="inlineStr">
        <is>
          <t>(15, 20]</t>
        </is>
      </c>
      <c r="B16" s="10" t="n">
        <v>6133908</v>
      </c>
      <c r="C16" s="10" t="n">
        <v>522819</v>
      </c>
      <c r="D16" s="10" t="n">
        <v>6233172</v>
      </c>
      <c r="E16" s="10" t="n">
        <v>23274151</v>
      </c>
      <c r="F16" s="10" t="n">
        <v>1449251</v>
      </c>
      <c r="G16" s="10" t="n">
        <v>1449251</v>
      </c>
    </row>
    <row r="17">
      <c r="A17" s="13" t="inlineStr">
        <is>
          <t>(20, 25]</t>
        </is>
      </c>
      <c r="B17" s="10" t="n">
        <v>4753847</v>
      </c>
      <c r="C17" s="10" t="n">
        <v>883893</v>
      </c>
      <c r="D17" s="10" t="n">
        <v>4856237</v>
      </c>
      <c r="E17" s="10" t="n">
        <v>28800167</v>
      </c>
      <c r="F17" s="10" t="n">
        <v>2212457</v>
      </c>
      <c r="G17" s="10" t="n">
        <v>2212457</v>
      </c>
    </row>
    <row r="18">
      <c r="A18" s="13" t="inlineStr">
        <is>
          <t>(25, 30]</t>
        </is>
      </c>
      <c r="B18" s="10" t="n">
        <v>4521569</v>
      </c>
      <c r="C18" s="10" t="n">
        <v>1372118</v>
      </c>
      <c r="D18" s="10" t="n">
        <v>4641441</v>
      </c>
      <c r="E18" s="10" t="n">
        <v>33189112</v>
      </c>
      <c r="F18" s="10" t="n">
        <v>3128345</v>
      </c>
      <c r="G18" s="10" t="n">
        <v>3128345</v>
      </c>
    </row>
    <row r="19">
      <c r="A19" s="13" t="inlineStr">
        <is>
          <t>(30, 35]</t>
        </is>
      </c>
      <c r="B19" s="10" t="n">
        <v>0</v>
      </c>
      <c r="C19" s="10" t="n">
        <v>2089279</v>
      </c>
      <c r="D19" s="10" t="n">
        <v>0</v>
      </c>
      <c r="E19" s="10" t="n">
        <v>36294419</v>
      </c>
      <c r="F19" s="10" t="n">
        <v>4352684</v>
      </c>
      <c r="G19" s="10" t="n">
        <v>4352684</v>
      </c>
    </row>
    <row r="20">
      <c r="A20" s="13" t="inlineStr">
        <is>
          <t>(35, 40]</t>
        </is>
      </c>
      <c r="B20" s="10" t="n">
        <v>0</v>
      </c>
      <c r="C20" s="10" t="n">
        <v>3091774</v>
      </c>
      <c r="D20" s="10" t="n">
        <v>0</v>
      </c>
      <c r="E20" s="10" t="n">
        <v>39544654</v>
      </c>
      <c r="F20" s="10" t="n">
        <v>5846792</v>
      </c>
      <c r="G20" s="10" t="n">
        <v>5846792</v>
      </c>
    </row>
    <row r="21">
      <c r="A21" s="13" t="inlineStr">
        <is>
          <t>(40, 45]</t>
        </is>
      </c>
      <c r="B21" s="10" t="n">
        <v>0</v>
      </c>
      <c r="C21" s="10" t="n">
        <v>3597897</v>
      </c>
      <c r="D21" s="10" t="n">
        <v>0</v>
      </c>
      <c r="E21" s="10" t="n">
        <v>33845601</v>
      </c>
      <c r="F21" s="10" t="n">
        <v>7641034</v>
      </c>
      <c r="G21" s="10" t="n">
        <v>7641034</v>
      </c>
    </row>
    <row r="22">
      <c r="A22" s="13" t="inlineStr">
        <is>
          <t>(45, 50]</t>
        </is>
      </c>
      <c r="B22" s="10" t="n">
        <v>0</v>
      </c>
      <c r="C22" s="10" t="n">
        <v>4657727</v>
      </c>
      <c r="D22" s="10" t="n">
        <v>0</v>
      </c>
      <c r="E22" s="10" t="n">
        <v>31872625</v>
      </c>
      <c r="F22" s="10" t="n">
        <v>9857532</v>
      </c>
      <c r="G22" s="10" t="n">
        <v>9857532</v>
      </c>
    </row>
    <row r="23">
      <c r="A23" s="13" t="inlineStr">
        <is>
          <t>(50, 60]</t>
        </is>
      </c>
      <c r="B23" s="10" t="n">
        <v>0</v>
      </c>
      <c r="C23" s="10" t="n">
        <v>17767174</v>
      </c>
      <c r="D23" s="10" t="n">
        <v>0</v>
      </c>
      <c r="E23" s="10" t="n">
        <v>75891239</v>
      </c>
      <c r="F23" s="10" t="n">
        <v>28397923</v>
      </c>
      <c r="G23" s="10" t="n">
        <v>28397923</v>
      </c>
    </row>
    <row r="24">
      <c r="A24" s="13" t="inlineStr">
        <is>
          <t>(60, 70]</t>
        </is>
      </c>
      <c r="B24" s="10" t="n">
        <v>0</v>
      </c>
      <c r="C24" s="10" t="n">
        <v>31716923</v>
      </c>
      <c r="D24" s="10" t="n">
        <v>0</v>
      </c>
      <c r="E24" s="10" t="n">
        <v>73025955</v>
      </c>
      <c r="F24" s="10" t="n">
        <v>44726944</v>
      </c>
      <c r="G24" s="10" t="n">
        <v>44726944</v>
      </c>
    </row>
    <row r="25">
      <c r="A25" s="13" t="inlineStr">
        <is>
          <t>(70, 80]</t>
        </is>
      </c>
      <c r="B25" s="10" t="n">
        <v>0</v>
      </c>
      <c r="C25" s="10" t="n">
        <v>53338083</v>
      </c>
      <c r="D25" s="10" t="n">
        <v>0</v>
      </c>
      <c r="E25" s="10" t="n">
        <v>67078410</v>
      </c>
      <c r="F25" s="10" t="n">
        <v>68800809</v>
      </c>
      <c r="G25" s="10" t="n">
        <v>68800809</v>
      </c>
    </row>
    <row r="26">
      <c r="A26" s="13" t="inlineStr">
        <is>
          <t>(80, 90]</t>
        </is>
      </c>
      <c r="B26" s="10" t="n">
        <v>0</v>
      </c>
      <c r="C26" s="10" t="n">
        <v>85581112</v>
      </c>
      <c r="D26" s="10" t="n">
        <v>0</v>
      </c>
      <c r="E26" s="10" t="n">
        <v>57317958</v>
      </c>
      <c r="F26" s="10" t="n">
        <v>104364313</v>
      </c>
      <c r="G26" s="10" t="n">
        <v>104364313</v>
      </c>
    </row>
    <row r="27">
      <c r="A27" s="13" t="inlineStr">
        <is>
          <t>(90, 100]</t>
        </is>
      </c>
      <c r="B27" s="10" t="n">
        <v>0</v>
      </c>
      <c r="C27" s="10" t="n">
        <v>143176099</v>
      </c>
      <c r="D27" s="10" t="n">
        <v>0</v>
      </c>
      <c r="E27" s="10" t="n">
        <v>51861382</v>
      </c>
      <c r="F27" s="10" t="n">
        <v>156240608</v>
      </c>
      <c r="G27" s="10" t="n">
        <v>156240608</v>
      </c>
    </row>
    <row r="28">
      <c r="A28" s="13" t="inlineStr">
        <is>
          <t>(100, 120]</t>
        </is>
      </c>
      <c r="B28" s="10" t="n">
        <v>0</v>
      </c>
      <c r="C28" s="10" t="n">
        <v>651501639</v>
      </c>
      <c r="D28" s="10" t="n">
        <v>0</v>
      </c>
      <c r="E28" s="10" t="n">
        <v>94348715</v>
      </c>
      <c r="F28" s="10" t="n">
        <v>561622248</v>
      </c>
      <c r="G28" s="10" t="n">
        <v>561622248</v>
      </c>
    </row>
    <row r="29">
      <c r="A29" s="13" t="inlineStr">
        <is>
          <t>(120, 140]</t>
        </is>
      </c>
      <c r="B29" s="10" t="n">
        <v>0</v>
      </c>
      <c r="C29" s="10" t="n">
        <v>0</v>
      </c>
      <c r="D29" s="10" t="n">
        <v>0</v>
      </c>
      <c r="E29" s="10" t="n">
        <v>72874992</v>
      </c>
      <c r="F29" s="10" t="n">
        <v>0</v>
      </c>
      <c r="G29" s="10" t="n">
        <v>0</v>
      </c>
    </row>
    <row r="30">
      <c r="A30" s="13" t="inlineStr">
        <is>
          <t>(140, 160]</t>
        </is>
      </c>
      <c r="B30" s="10" t="n">
        <v>0</v>
      </c>
      <c r="C30" s="10" t="n">
        <v>0</v>
      </c>
      <c r="D30" s="10" t="n">
        <v>0</v>
      </c>
      <c r="E30" s="10" t="n">
        <v>58890411</v>
      </c>
      <c r="F30" s="10" t="n">
        <v>0</v>
      </c>
      <c r="G30" s="10" t="n">
        <v>0</v>
      </c>
    </row>
    <row r="31">
      <c r="A31" s="13" t="inlineStr">
        <is>
          <t>(160, 180]</t>
        </is>
      </c>
      <c r="B31" s="10" t="n">
        <v>0</v>
      </c>
      <c r="C31" s="10" t="n">
        <v>0</v>
      </c>
      <c r="D31" s="10" t="n">
        <v>0</v>
      </c>
      <c r="E31" s="10" t="n">
        <v>39862712</v>
      </c>
      <c r="F31" s="10" t="n">
        <v>0</v>
      </c>
      <c r="G31" s="10" t="n">
        <v>0</v>
      </c>
    </row>
    <row r="32">
      <c r="A32" s="13" t="inlineStr">
        <is>
          <t>(180, 200]</t>
        </is>
      </c>
      <c r="B32" s="10" t="n">
        <v>0</v>
      </c>
      <c r="C32" s="10" t="n">
        <v>0</v>
      </c>
      <c r="D32" s="10" t="n">
        <v>0</v>
      </c>
      <c r="E32" s="10" t="n">
        <v>32205840</v>
      </c>
      <c r="F32" s="10" t="n">
        <v>0</v>
      </c>
      <c r="G32" s="10" t="n">
        <v>0</v>
      </c>
    </row>
    <row r="33">
      <c r="A33" s="13" t="inlineStr">
        <is>
          <t>(200, 250]</t>
        </is>
      </c>
      <c r="B33" s="10" t="n">
        <v>0</v>
      </c>
      <c r="C33" s="10" t="n">
        <v>0</v>
      </c>
      <c r="D33" s="10" t="n">
        <v>0</v>
      </c>
      <c r="E33" s="10" t="n">
        <v>50357847</v>
      </c>
      <c r="F33" s="10" t="n">
        <v>0</v>
      </c>
      <c r="G33" s="10" t="n">
        <v>0</v>
      </c>
    </row>
    <row r="34">
      <c r="A34" s="13" t="inlineStr">
        <is>
          <t>(250, 300]</t>
        </is>
      </c>
      <c r="B34" s="10" t="n">
        <v>0</v>
      </c>
      <c r="C34" s="10" t="n">
        <v>0</v>
      </c>
      <c r="D34" s="10" t="n">
        <v>0</v>
      </c>
      <c r="E34" s="10" t="n">
        <v>24756557</v>
      </c>
      <c r="F34" s="10" t="n">
        <v>0</v>
      </c>
      <c r="G34" s="10" t="n">
        <v>0</v>
      </c>
    </row>
    <row r="35">
      <c r="A35" s="13" t="inlineStr">
        <is>
          <t>(300, 350]</t>
        </is>
      </c>
      <c r="B35" s="10" t="n">
        <v>0</v>
      </c>
      <c r="C35" s="10" t="n">
        <v>0</v>
      </c>
      <c r="D35" s="10" t="n">
        <v>0</v>
      </c>
      <c r="E35" s="10" t="n">
        <v>11826471</v>
      </c>
      <c r="F35" s="10" t="n">
        <v>0</v>
      </c>
      <c r="G35" s="10" t="n">
        <v>0</v>
      </c>
    </row>
    <row r="36">
      <c r="A36" s="13" t="inlineStr">
        <is>
          <t>(350, 400]</t>
        </is>
      </c>
      <c r="B36" s="10" t="n">
        <v>0</v>
      </c>
      <c r="C36" s="10" t="n">
        <v>0</v>
      </c>
      <c r="D36" s="10" t="n">
        <v>0</v>
      </c>
      <c r="E36" s="10" t="n">
        <v>5845440</v>
      </c>
      <c r="F36" s="10" t="n">
        <v>0</v>
      </c>
      <c r="G36" s="10" t="n">
        <v>0</v>
      </c>
    </row>
    <row r="37">
      <c r="A37" s="13" t="inlineStr">
        <is>
          <t>(400, 450]</t>
        </is>
      </c>
      <c r="B37" s="10" t="n">
        <v>0</v>
      </c>
      <c r="C37" s="10" t="n">
        <v>0</v>
      </c>
      <c r="D37" s="10" t="n">
        <v>0</v>
      </c>
      <c r="E37" s="10" t="n">
        <v>2772494</v>
      </c>
      <c r="F37" s="10" t="n">
        <v>0</v>
      </c>
      <c r="G37" s="10" t="n">
        <v>0</v>
      </c>
    </row>
    <row r="38">
      <c r="A38" s="13" t="inlineStr">
        <is>
          <t>(450, 500]</t>
        </is>
      </c>
      <c r="B38" s="10" t="n">
        <v>0</v>
      </c>
      <c r="C38" s="10" t="n">
        <v>0</v>
      </c>
      <c r="D38" s="10" t="n">
        <v>0</v>
      </c>
      <c r="E38" s="10" t="n">
        <v>1321158</v>
      </c>
      <c r="F38" s="10" t="n">
        <v>0</v>
      </c>
      <c r="G38" s="10" t="n">
        <v>0</v>
      </c>
    </row>
    <row r="39">
      <c r="A39" s="13" t="inlineStr">
        <is>
          <t>(500, 550]</t>
        </is>
      </c>
      <c r="B39" s="10" t="n">
        <v>0</v>
      </c>
      <c r="C39" s="10" t="n">
        <v>0</v>
      </c>
      <c r="D39" s="10" t="n">
        <v>0</v>
      </c>
      <c r="E39" s="10" t="n">
        <v>650610</v>
      </c>
      <c r="F39" s="10" t="n">
        <v>0</v>
      </c>
      <c r="G39" s="10" t="n">
        <v>0</v>
      </c>
    </row>
    <row r="40">
      <c r="A40" s="13" t="inlineStr">
        <is>
          <t>(550, 600]</t>
        </is>
      </c>
      <c r="B40" s="10" t="n">
        <v>0</v>
      </c>
      <c r="C40" s="10" t="n">
        <v>0</v>
      </c>
      <c r="D40" s="10" t="n">
        <v>0</v>
      </c>
      <c r="E40" s="10" t="n">
        <v>292176</v>
      </c>
      <c r="F40" s="10" t="n">
        <v>0</v>
      </c>
      <c r="G40" s="10" t="n">
        <v>0</v>
      </c>
    </row>
    <row r="41">
      <c r="A41" s="13" t="inlineStr">
        <is>
          <t>(600, 650]</t>
        </is>
      </c>
      <c r="B41" s="10" t="n">
        <v>0</v>
      </c>
      <c r="C41" s="10" t="n">
        <v>0</v>
      </c>
      <c r="D41" s="10" t="n">
        <v>0</v>
      </c>
      <c r="E41" s="10" t="n">
        <v>133634</v>
      </c>
      <c r="F41" s="10" t="n">
        <v>0</v>
      </c>
      <c r="G41" s="10" t="n">
        <v>0</v>
      </c>
    </row>
    <row r="42">
      <c r="A42" s="13" t="inlineStr">
        <is>
          <t>(650, 700]</t>
        </is>
      </c>
      <c r="B42" s="10" t="n">
        <v>0</v>
      </c>
      <c r="C42" s="10" t="n">
        <v>0</v>
      </c>
      <c r="D42" s="10" t="n">
        <v>0</v>
      </c>
      <c r="E42" s="10" t="n">
        <v>75655</v>
      </c>
      <c r="F42" s="10" t="n">
        <v>0</v>
      </c>
      <c r="G42" s="10" t="n">
        <v>0</v>
      </c>
    </row>
    <row r="43">
      <c r="A43" s="13" t="inlineStr">
        <is>
          <t>(700, 750]</t>
        </is>
      </c>
      <c r="B43" s="10" t="n">
        <v>0</v>
      </c>
      <c r="C43" s="10" t="n">
        <v>0</v>
      </c>
      <c r="D43" s="10" t="n">
        <v>0</v>
      </c>
      <c r="E43" s="10" t="n">
        <v>32682</v>
      </c>
      <c r="F43" s="10" t="n">
        <v>0</v>
      </c>
      <c r="G43" s="10" t="n">
        <v>0</v>
      </c>
    </row>
    <row r="44">
      <c r="A44" s="13" t="inlineStr">
        <is>
          <t>(750, 800]</t>
        </is>
      </c>
      <c r="B44" s="10" t="n">
        <v>0</v>
      </c>
      <c r="C44" s="10" t="n">
        <v>0</v>
      </c>
      <c r="D44" s="10" t="n">
        <v>0</v>
      </c>
      <c r="E44" s="10" t="n">
        <v>16487</v>
      </c>
      <c r="F44" s="10" t="n">
        <v>0</v>
      </c>
      <c r="G44" s="10" t="n">
        <v>0</v>
      </c>
    </row>
    <row r="45">
      <c r="A45" s="13" t="inlineStr">
        <is>
          <t>(800, 850]</t>
        </is>
      </c>
      <c r="B45" s="10" t="n">
        <v>0</v>
      </c>
      <c r="C45" s="10" t="n">
        <v>0</v>
      </c>
      <c r="D45" s="10" t="n">
        <v>0</v>
      </c>
      <c r="E45" s="10" t="n">
        <v>8644</v>
      </c>
      <c r="F45" s="10" t="n">
        <v>0</v>
      </c>
      <c r="G45" s="10" t="n">
        <v>0</v>
      </c>
    </row>
    <row r="46">
      <c r="A46" s="13" t="inlineStr">
        <is>
          <t>(850, 900]</t>
        </is>
      </c>
      <c r="B46" s="10" t="n">
        <v>0</v>
      </c>
      <c r="C46" s="10" t="n">
        <v>0</v>
      </c>
      <c r="D46" s="10" t="n">
        <v>0</v>
      </c>
      <c r="E46" s="10" t="n">
        <v>4043</v>
      </c>
      <c r="F46" s="10" t="n">
        <v>0</v>
      </c>
      <c r="G46" s="10" t="n">
        <v>0</v>
      </c>
    </row>
    <row r="47">
      <c r="A47" s="13" t="inlineStr">
        <is>
          <t>(900, 950]</t>
        </is>
      </c>
      <c r="B47" s="10" t="n">
        <v>0</v>
      </c>
      <c r="C47" s="10" t="n">
        <v>0</v>
      </c>
      <c r="D47" s="10" t="n">
        <v>0</v>
      </c>
      <c r="E47" s="10" t="n">
        <v>1942</v>
      </c>
      <c r="F47" s="10" t="n">
        <v>0</v>
      </c>
      <c r="G47" s="10" t="n">
        <v>0</v>
      </c>
    </row>
    <row r="48">
      <c r="A48" s="13" t="inlineStr">
        <is>
          <t>(950, 1000]</t>
        </is>
      </c>
      <c r="B48" s="10" t="n">
        <v>0</v>
      </c>
      <c r="C48" s="10" t="n">
        <v>0</v>
      </c>
      <c r="D48" s="10" t="n">
        <v>0</v>
      </c>
      <c r="E48" s="10" t="n">
        <v>989</v>
      </c>
      <c r="F48" s="10" t="n">
        <v>0</v>
      </c>
      <c r="G48" s="10" t="n">
        <v>0</v>
      </c>
    </row>
    <row r="49">
      <c r="A49" s="13" t="inlineStr">
        <is>
          <t>(1000, 2000]</t>
        </is>
      </c>
      <c r="B49" s="10" t="n">
        <v>0</v>
      </c>
      <c r="C49" s="10" t="n">
        <v>0</v>
      </c>
      <c r="D49" s="10" t="n">
        <v>0</v>
      </c>
      <c r="E49" s="10" t="n">
        <v>103</v>
      </c>
      <c r="F49" s="10" t="n">
        <v>0</v>
      </c>
      <c r="G49" s="10" t="n">
        <v>0</v>
      </c>
    </row>
    <row r="50">
      <c r="A50" s="13" t="inlineStr">
        <is>
          <t>(2000, 3000]</t>
        </is>
      </c>
      <c r="B50" s="10" t="n">
        <v>0</v>
      </c>
      <c r="C50" s="10" t="n">
        <v>0</v>
      </c>
      <c r="D50" s="10" t="n">
        <v>0</v>
      </c>
      <c r="E50" s="10" t="n">
        <v>0</v>
      </c>
      <c r="F50" s="10" t="n">
        <v>0</v>
      </c>
      <c r="G50" s="10" t="n">
        <v>0</v>
      </c>
    </row>
    <row r="51">
      <c r="A51" s="13" t="inlineStr">
        <is>
          <t>(3000, 4000]</t>
        </is>
      </c>
      <c r="B51" s="10" t="n">
        <v>0</v>
      </c>
      <c r="C51" s="10" t="n">
        <v>0</v>
      </c>
      <c r="D51" s="10" t="n">
        <v>0</v>
      </c>
      <c r="E51" s="10" t="n">
        <v>0</v>
      </c>
      <c r="F51" s="10" t="n">
        <v>0</v>
      </c>
      <c r="G51" s="10" t="n">
        <v>0</v>
      </c>
    </row>
    <row r="52">
      <c r="A52" s="13" t="inlineStr">
        <is>
          <t>(4000, 5000]</t>
        </is>
      </c>
      <c r="B52" s="10" t="n">
        <v>0</v>
      </c>
      <c r="C52" s="10" t="n">
        <v>0</v>
      </c>
      <c r="D52" s="10" t="n">
        <v>0</v>
      </c>
      <c r="E52" s="10" t="n">
        <v>0</v>
      </c>
      <c r="F52" s="10" t="n">
        <v>0</v>
      </c>
      <c r="G52" s="10" t="n">
        <v>0</v>
      </c>
    </row>
    <row r="53">
      <c r="A53" s="13" t="inlineStr">
        <is>
          <t>(5000, 6000]</t>
        </is>
      </c>
      <c r="B53" s="10" t="n">
        <v>0</v>
      </c>
      <c r="C53" s="10" t="n">
        <v>0</v>
      </c>
      <c r="D53" s="10" t="n">
        <v>0</v>
      </c>
      <c r="E53" s="10" t="n">
        <v>0</v>
      </c>
      <c r="F53" s="10" t="n">
        <v>0</v>
      </c>
      <c r="G53" s="10" t="n">
        <v>0</v>
      </c>
    </row>
    <row r="54">
      <c r="A54" s="13" t="inlineStr">
        <is>
          <t>(6000, 7000]</t>
        </is>
      </c>
      <c r="B54" s="10" t="n">
        <v>0</v>
      </c>
      <c r="C54" s="10" t="n">
        <v>0</v>
      </c>
      <c r="D54" s="10" t="n">
        <v>0</v>
      </c>
      <c r="E54" s="10" t="n">
        <v>0</v>
      </c>
      <c r="F54" s="10" t="n">
        <v>0</v>
      </c>
      <c r="G54" s="10" t="n">
        <v>0</v>
      </c>
    </row>
    <row r="55">
      <c r="A55" s="13" t="inlineStr">
        <is>
          <t>(7000, 8000]</t>
        </is>
      </c>
      <c r="B55" s="10" t="n">
        <v>0</v>
      </c>
      <c r="C55" s="10" t="n">
        <v>0</v>
      </c>
      <c r="D55" s="10" t="n">
        <v>0</v>
      </c>
      <c r="E55" s="10" t="n">
        <v>0</v>
      </c>
      <c r="F55" s="10" t="n">
        <v>0</v>
      </c>
      <c r="G55" s="10" t="n">
        <v>0</v>
      </c>
    </row>
    <row r="56">
      <c r="A56" s="13" t="inlineStr">
        <is>
          <t>(8000, 9000]</t>
        </is>
      </c>
      <c r="B56" s="10" t="n">
        <v>0</v>
      </c>
      <c r="C56" s="10" t="n">
        <v>0</v>
      </c>
      <c r="D56" s="10" t="n">
        <v>0</v>
      </c>
      <c r="E56" s="10" t="n">
        <v>0</v>
      </c>
      <c r="F56" s="10" t="n">
        <v>0</v>
      </c>
      <c r="G56" s="10" t="n">
        <v>0</v>
      </c>
    </row>
    <row r="57">
      <c r="A57" s="13" t="inlineStr">
        <is>
          <t>(9000, 10000]</t>
        </is>
      </c>
      <c r="B57" s="10" t="n">
        <v>0</v>
      </c>
      <c r="C57" s="10" t="n">
        <v>0</v>
      </c>
      <c r="D57" s="10" t="n">
        <v>0</v>
      </c>
      <c r="E57" s="10" t="n">
        <v>0</v>
      </c>
      <c r="F57" s="10" t="n">
        <v>0</v>
      </c>
      <c r="G57" s="10" t="n">
        <v>0</v>
      </c>
    </row>
    <row r="58">
      <c r="A58" s="13" t="inlineStr">
        <is>
          <t>(10000, 20000]</t>
        </is>
      </c>
      <c r="B58" s="10" t="n">
        <v>0</v>
      </c>
      <c r="C58" s="10" t="n">
        <v>0</v>
      </c>
      <c r="D58" s="10" t="n">
        <v>0</v>
      </c>
      <c r="E58" s="10" t="n">
        <v>0</v>
      </c>
      <c r="F58" s="10" t="n">
        <v>0</v>
      </c>
      <c r="G58" s="10" t="n">
        <v>0</v>
      </c>
    </row>
    <row r="59">
      <c r="A59" s="13" t="inlineStr">
        <is>
          <t>(20000, 30000]</t>
        </is>
      </c>
      <c r="B59" s="10" t="n">
        <v>0</v>
      </c>
      <c r="C59" s="10" t="n">
        <v>0</v>
      </c>
      <c r="D59" s="10" t="n">
        <v>0</v>
      </c>
      <c r="E59" s="10" t="n">
        <v>0</v>
      </c>
      <c r="F59" s="10" t="n">
        <v>0</v>
      </c>
      <c r="G59" s="10" t="n">
        <v>0</v>
      </c>
    </row>
    <row r="60">
      <c r="A60" s="13" t="inlineStr">
        <is>
          <t>(30000, 40000]</t>
        </is>
      </c>
      <c r="B60" s="10" t="n">
        <v>0</v>
      </c>
      <c r="C60" s="10" t="n">
        <v>0</v>
      </c>
      <c r="D60" s="10" t="n">
        <v>0</v>
      </c>
      <c r="E60" s="10" t="n">
        <v>0</v>
      </c>
      <c r="F60" s="10" t="n">
        <v>0</v>
      </c>
      <c r="G60" s="10" t="n">
        <v>0</v>
      </c>
    </row>
    <row r="61">
      <c r="A61" s="13" t="inlineStr">
        <is>
          <t>(40000, 50000]</t>
        </is>
      </c>
      <c r="B61" s="10" t="n">
        <v>0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</row>
    <row r="62">
      <c r="A62" s="13" t="inlineStr">
        <is>
          <t>(50000, 60000]</t>
        </is>
      </c>
      <c r="B62" s="10" t="n">
        <v>0</v>
      </c>
      <c r="C62" s="10" t="n">
        <v>0</v>
      </c>
      <c r="D62" s="10" t="n">
        <v>0</v>
      </c>
      <c r="E62" s="10" t="n">
        <v>0</v>
      </c>
      <c r="F62" s="10" t="n">
        <v>0</v>
      </c>
      <c r="G62" s="10" t="n">
        <v>0</v>
      </c>
    </row>
    <row r="63">
      <c r="A63" s="13" t="inlineStr">
        <is>
          <t>(60000, 70000]</t>
        </is>
      </c>
      <c r="B63" s="10" t="n">
        <v>0</v>
      </c>
      <c r="C63" s="10" t="n">
        <v>0</v>
      </c>
      <c r="D63" s="10" t="n">
        <v>0</v>
      </c>
      <c r="E63" s="10" t="n">
        <v>0</v>
      </c>
      <c r="F63" s="10" t="n">
        <v>0</v>
      </c>
      <c r="G63" s="10" t="n">
        <v>0</v>
      </c>
    </row>
    <row r="64">
      <c r="A64" s="13" t="inlineStr">
        <is>
          <t>(70000, 80000]</t>
        </is>
      </c>
      <c r="B64" s="10" t="n">
        <v>0</v>
      </c>
      <c r="C64" s="10" t="n">
        <v>0</v>
      </c>
      <c r="D64" s="10" t="n">
        <v>0</v>
      </c>
      <c r="E64" s="10" t="n">
        <v>0</v>
      </c>
      <c r="F64" s="10" t="n">
        <v>0</v>
      </c>
      <c r="G64" s="10" t="n">
        <v>0</v>
      </c>
    </row>
    <row r="65">
      <c r="A65" s="13" t="inlineStr">
        <is>
          <t>(80000, 90000]</t>
        </is>
      </c>
      <c r="B65" s="10" t="n">
        <v>0</v>
      </c>
      <c r="C65" s="10" t="n">
        <v>0</v>
      </c>
      <c r="D65" s="10" t="n">
        <v>0</v>
      </c>
      <c r="E65" s="10" t="n">
        <v>0</v>
      </c>
      <c r="F65" s="10" t="n">
        <v>0</v>
      </c>
      <c r="G65" s="10" t="n">
        <v>0</v>
      </c>
    </row>
    <row r="66">
      <c r="A66" s="13" t="inlineStr">
        <is>
          <t>(90000, 100000]</t>
        </is>
      </c>
      <c r="B66" s="10" t="n">
        <v>0</v>
      </c>
      <c r="C66" s="10" t="n">
        <v>0</v>
      </c>
      <c r="D66" s="10" t="n">
        <v>0</v>
      </c>
      <c r="E66" s="10" t="n">
        <v>0</v>
      </c>
      <c r="F66" s="10" t="n">
        <v>0</v>
      </c>
      <c r="G66" s="10" t="n">
        <v>0</v>
      </c>
    </row>
    <row r="67">
      <c r="A67" s="13" t="inlineStr">
        <is>
          <t>(100000, 9999999]</t>
        </is>
      </c>
      <c r="B67" s="10" t="n">
        <v>0</v>
      </c>
      <c r="C67" s="25" t="n">
        <v>0</v>
      </c>
      <c r="D67" s="24" t="n">
        <v>0</v>
      </c>
      <c r="E67" s="25" t="n">
        <v>0</v>
      </c>
      <c r="F67" s="11" t="n">
        <v>0</v>
      </c>
      <c r="G67" s="11" t="n">
        <v>0</v>
      </c>
    </row>
    <row r="68">
      <c r="D68" s="20" t="n"/>
      <c r="E68" s="20" t="n"/>
      <c r="F68" s="20" t="n"/>
      <c r="G68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98"/>
  <sheetViews>
    <sheetView workbookViewId="0">
      <selection activeCell="X270" sqref="X27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4"/>
    <col width="10.21875" bestFit="1" customWidth="1" style="4" min="25" max="26"/>
    <col width="8.88671875" customWidth="1" style="4" min="27" max="28"/>
    <col width="8.88671875" customWidth="1" style="4" min="29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A8" s="44" t="inlineStr">
        <is>
          <t>Buy Feature</t>
        </is>
      </c>
      <c r="B8" s="44" t="n">
        <v>100</v>
      </c>
      <c r="C8" s="118" t="n">
        <v>0</v>
      </c>
      <c r="D8" s="118">
        <f>SUM(M163:M226)/B8</f>
        <v/>
      </c>
      <c r="E8" s="119">
        <f>SUM(C8:D8)</f>
        <v/>
      </c>
      <c r="F8" s="33">
        <f>D156</f>
        <v/>
      </c>
      <c r="G8" s="31">
        <f>1/F8</f>
        <v/>
      </c>
      <c r="H8" s="32">
        <f>D8*G8*B8</f>
        <v/>
      </c>
      <c r="I8" s="121" t="n"/>
      <c r="J8" s="121">
        <f>IFERROR(LOOKUP(2,1/(K163:K226&lt;&gt;0),P163:P226),0)</f>
        <v/>
      </c>
      <c r="K8" s="45" t="n"/>
      <c r="L8" s="36" t="n"/>
      <c r="M8" s="43" t="n"/>
      <c r="Q8" s="36" t="n"/>
      <c r="R8" s="36" t="n"/>
    </row>
    <row r="9">
      <c r="A9" s="44" t="inlineStr">
        <is>
          <t>Super Buy</t>
        </is>
      </c>
      <c r="B9" s="44" t="n">
        <v>250</v>
      </c>
      <c r="C9" s="118">
        <f>0</f>
        <v/>
      </c>
      <c r="D9" s="118">
        <f>IFERROR(SUM(M234:M297)/B9,0)</f>
        <v/>
      </c>
      <c r="E9" s="119">
        <f>SUM(C9:D9)</f>
        <v/>
      </c>
      <c r="F9" s="33">
        <f>1</f>
        <v/>
      </c>
      <c r="G9" s="31">
        <f>IFERROR(1/F9,0)</f>
        <v/>
      </c>
      <c r="H9" s="32">
        <f>D9*G9*B9</f>
        <v/>
      </c>
      <c r="I9" s="121" t="n"/>
      <c r="J9" s="121">
        <f>IFERROR(LOOKUP(2,1/(K234:K297&lt;&gt;0),P234:P297),0)</f>
        <v/>
      </c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Oldhand Normal Bet BG (94 Game RTP family)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693473066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0.7638734520100334</v>
      </c>
      <c r="T15" s="99" t="n"/>
      <c r="U15" s="49">
        <f>IFERROR(ROUND(T15/L15,2),0)</f>
        <v/>
      </c>
      <c r="Y15" s="45" t="n"/>
      <c r="Z15" s="45" t="n"/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154113757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0.1340002064998876</v>
      </c>
      <c r="T16" s="99" t="n"/>
      <c r="U16" s="49">
        <f>IFERROR(ROUND(T16/L16,2),0)</f>
        <v/>
      </c>
      <c r="Y16" s="45" t="n"/>
      <c r="Z16" s="45" t="n"/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52998656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0.03358052584589035</v>
      </c>
      <c r="T17" s="99" t="n"/>
      <c r="U17" s="49">
        <f>IFERROR(ROUND(T17/L17,2),0)</f>
        <v/>
      </c>
      <c r="Y17" s="45" t="n"/>
      <c r="Z17" s="45" t="n"/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25343868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0.01870646040972007</v>
      </c>
      <c r="T18" s="99" t="n"/>
      <c r="U18" s="49">
        <f>IFERROR(ROUND(T18/L18,2),0)</f>
        <v/>
      </c>
      <c r="Y18" s="45" t="n"/>
      <c r="Z18" s="45" t="n"/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16953005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0.01180693475210903</v>
      </c>
      <c r="T19" s="99" t="n"/>
      <c r="U19" s="49">
        <f>IFERROR(ROUND(T19/L19,2),0)</f>
        <v/>
      </c>
      <c r="Y19" s="45" t="n"/>
      <c r="Z19" s="45" t="n"/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10641538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0.009559730092499802</v>
      </c>
      <c r="T20" s="99" t="n"/>
      <c r="U20" s="49">
        <f>IFERROR(ROUND(T20/L20,2),0)</f>
        <v/>
      </c>
      <c r="Y20" s="45" t="n"/>
      <c r="Z20" s="45" t="n"/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7023229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0.003917424339048521</v>
      </c>
      <c r="T21" s="99" t="n"/>
      <c r="U21" s="49">
        <f>IFERROR(ROUND(T21/L21,2),0)</f>
        <v/>
      </c>
      <c r="Y21" s="45" t="n"/>
      <c r="Z21" s="45" t="n"/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4689260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0.003352586411092688</v>
      </c>
      <c r="T22" s="99" t="n"/>
      <c r="U22" s="49">
        <f>IFERROR(ROUND(T22/L22,2),0)</f>
        <v/>
      </c>
      <c r="Y22" s="45" t="n"/>
      <c r="Z22" s="45" t="n"/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3148673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0.002915292531384946</v>
      </c>
      <c r="T23" s="99" t="n"/>
      <c r="U23" s="49">
        <f>IFERROR(ROUND(T23/L23,2),0)</f>
        <v/>
      </c>
      <c r="Y23" s="45" t="n"/>
      <c r="Z23" s="45" t="n"/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2637421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0.002484072177784256</v>
      </c>
      <c r="T24" s="99" t="n"/>
      <c r="U24" s="49">
        <f>IFERROR(ROUND(T24/L24,2),0)</f>
        <v/>
      </c>
      <c r="Y24" s="45" t="n"/>
      <c r="Z24" s="45" t="n"/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3095317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0.002441557495034892</v>
      </c>
      <c r="T25" s="99" t="n"/>
      <c r="U25" s="49">
        <f>IFERROR(ROUND(T25/L25,2),0)</f>
        <v/>
      </c>
      <c r="Y25" s="45" t="n"/>
      <c r="Z25" s="45" t="n"/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10151360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0.004549071054181926</v>
      </c>
      <c r="T26" s="99" t="n"/>
      <c r="U26" s="49">
        <f>IFERROR(ROUND(T26/L26,2),0)</f>
        <v/>
      </c>
      <c r="Y26" s="45" t="n"/>
      <c r="Z26" s="45" t="n"/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6233172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0.002775601430922751</v>
      </c>
      <c r="T27" s="99" t="n"/>
      <c r="U27" s="49">
        <f>IFERROR(ROUND(T27/L27,2),0)</f>
        <v/>
      </c>
      <c r="Y27" s="45" t="n"/>
      <c r="Z27" s="45" t="n"/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4856237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0.002204689976859866</v>
      </c>
      <c r="T28" s="99" t="n"/>
      <c r="U28" s="49">
        <f>IFERROR(ROUND(T28/L28,2),0)</f>
        <v/>
      </c>
      <c r="Y28" s="45" t="n"/>
      <c r="Z28" s="45" t="n"/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4641441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0.001730954940509812</v>
      </c>
      <c r="T29" s="99" t="n"/>
      <c r="U29" s="49">
        <f>IFERROR(ROUND(T29/L29,2),0)</f>
        <v/>
      </c>
      <c r="Y29" s="45" t="n"/>
      <c r="Z29" s="45" t="n"/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0.0005466173496346774</v>
      </c>
      <c r="T30" s="99" t="n"/>
      <c r="U30" s="49">
        <f>IFERROR(ROUND(T30/L30,2),0)</f>
        <v/>
      </c>
      <c r="Y30" s="45" t="n"/>
      <c r="Z30" s="45" t="n"/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0.00043122035360069</v>
      </c>
      <c r="T31" s="99" t="n"/>
      <c r="U31" s="49">
        <f>IFERROR(ROUND(T31/L31,2),0)</f>
        <v/>
      </c>
      <c r="Y31" s="45" t="n"/>
      <c r="Z31" s="45" t="n"/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0.0003704850925301703</v>
      </c>
      <c r="T32" s="99" t="n"/>
      <c r="U32" s="49">
        <f>IFERROR(ROUND(T32/L32,2),0)</f>
        <v/>
      </c>
      <c r="Y32" s="45" t="n"/>
      <c r="Z32" s="45" t="n"/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0.0003158233575667025</v>
      </c>
      <c r="T33" s="99" t="n"/>
      <c r="U33" s="49">
        <f>IFERROR(ROUND(T33/L33,2),0)</f>
        <v/>
      </c>
      <c r="Y33" s="45" t="n"/>
      <c r="Z33" s="45" t="n"/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0.0001518381526762993</v>
      </c>
      <c r="T34" s="99" t="n"/>
      <c r="U34" s="49">
        <f>IFERROR(ROUND(T34/L34,2),0)</f>
        <v/>
      </c>
      <c r="Y34" s="45" t="n"/>
      <c r="Z34" s="45" t="n"/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0.0001032499438198835</v>
      </c>
      <c r="T35" s="99" t="n"/>
      <c r="U35" s="49">
        <f>IFERROR(ROUND(T35/L35,2),0)</f>
        <v/>
      </c>
      <c r="Y35" s="45" t="n"/>
      <c r="Z35" s="45" t="n"/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5.466173496346774e-05</v>
      </c>
      <c r="T36" s="99" t="n"/>
      <c r="U36" s="49">
        <f>IFERROR(ROUND(T36/L36,2),0)</f>
        <v/>
      </c>
      <c r="Y36" s="45" t="n"/>
      <c r="Z36" s="45" t="n"/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4.858820885641577e-05</v>
      </c>
      <c r="T37" s="99" t="n"/>
      <c r="U37" s="49">
        <f>IFERROR(ROUND(T37/L37,2),0)</f>
        <v/>
      </c>
      <c r="Y37" s="45" t="n"/>
      <c r="Z37" s="45" t="n"/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3.644115664231183e-05</v>
      </c>
      <c r="T38" s="99" t="n"/>
      <c r="U38" s="49">
        <f>IFERROR(ROUND(T38/L38,2),0)</f>
        <v/>
      </c>
      <c r="Y38" s="45" t="n"/>
      <c r="Z38" s="45" t="n"/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1.214705221410394e-05</v>
      </c>
      <c r="T39" s="99" t="n"/>
      <c r="U39" s="49">
        <f>IFERROR(ROUND(T39/L39,2),0)</f>
        <v/>
      </c>
      <c r="Y39" s="45" t="n"/>
      <c r="Z39" s="45" t="n"/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1.822057832115591e-05</v>
      </c>
      <c r="T40" s="99" t="n"/>
      <c r="U40" s="49">
        <f>IFERROR(ROUND(T40/L40,2),0)</f>
        <v/>
      </c>
      <c r="Y40" s="45" t="n"/>
      <c r="Z40" s="45" t="n"/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  <c r="Y41" s="45" t="n"/>
      <c r="Z41" s="45" t="n"/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  <c r="Y42" s="45" t="n"/>
      <c r="Z42" s="45" t="n"/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6.073526107051971e-06</v>
      </c>
      <c r="T43" s="99" t="n"/>
      <c r="U43" s="49">
        <f>IFERROR(ROUND(T43/L43,2),0)</f>
        <v/>
      </c>
      <c r="Y43" s="45" t="n"/>
      <c r="Z43" s="45" t="n"/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6.073526107051971e-06</v>
      </c>
      <c r="T44" s="99" t="n"/>
      <c r="U44" s="49">
        <f>IFERROR(ROUND(T44/L44,2),0)</f>
        <v/>
      </c>
      <c r="Y44" s="45" t="n"/>
      <c r="Z44" s="45" t="n"/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  <c r="Y45" s="45" t="n"/>
      <c r="Z45" s="45" t="n"/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  <c r="Y46" s="45" t="n"/>
      <c r="Z46" s="45" t="n"/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  <c r="Y47" s="45" t="n"/>
      <c r="Z47" s="45" t="n"/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  <c r="Y48" s="45" t="n"/>
      <c r="Z48" s="45" t="n"/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  <c r="Y49" s="45" t="n"/>
      <c r="Z49" s="45" t="n"/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  <c r="Y50" s="45" t="n"/>
      <c r="Z50" s="45" t="n"/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  <c r="Y51" s="45" t="n"/>
      <c r="Z51" s="45" t="n"/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  <c r="Y52" s="45" t="n"/>
      <c r="Z52" s="45" t="n"/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  <c r="Y53" s="45" t="n"/>
      <c r="Z53" s="45" t="n"/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  <c r="Y54" s="45" t="n"/>
      <c r="Z54" s="45" t="n"/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  <c r="Y55" s="45" t="n"/>
      <c r="Z55" s="45" t="n"/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  <c r="Y56" s="45" t="n"/>
      <c r="Z56" s="45" t="n"/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  <c r="Y57" s="45" t="n"/>
      <c r="Z57" s="45" t="n"/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  <c r="Y58" s="45" t="n"/>
      <c r="Z58" s="45" t="n"/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  <c r="Y59" s="45" t="n"/>
      <c r="Z59" s="45" t="n"/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  <c r="Y60" s="45" t="n"/>
      <c r="Z60" s="45" t="n"/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  <c r="Y61" s="45" t="n"/>
      <c r="Z61" s="45" t="n"/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  <c r="Y62" s="45" t="n"/>
      <c r="Z62" s="45" t="n"/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  <c r="Y63" s="45" t="n"/>
      <c r="Z63" s="45" t="n"/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  <c r="Y64" s="45" t="n"/>
      <c r="Z64" s="45" t="n"/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  <c r="Y65" s="45" t="n"/>
      <c r="Z65" s="45" t="n"/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  <c r="Y66" s="45" t="n"/>
      <c r="Z66" s="45" t="n"/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  <c r="Y67" s="45" t="n"/>
      <c r="Z67" s="45" t="n"/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  <c r="Y68" s="45" t="n"/>
      <c r="Z68" s="45" t="n"/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  <c r="Y69" s="45" t="n"/>
      <c r="Z69" s="45" t="n"/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  <c r="Y70" s="45" t="n"/>
      <c r="Z70" s="45" t="n"/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  <c r="Y71" s="45" t="n"/>
      <c r="Z71" s="45" t="n"/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  <c r="Y72" s="45" t="n"/>
      <c r="Z72" s="45" t="n"/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  <c r="Y73" s="45" t="n"/>
      <c r="Z73" s="45" t="n"/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  <c r="Y74" s="45" t="n"/>
      <c r="Z74" s="45" t="n"/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  <c r="Y75" s="45" t="n"/>
      <c r="Z75" s="45" t="n"/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  <c r="Y76" s="45" t="n"/>
      <c r="Z76" s="45" t="n"/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  <c r="Y77" s="45" t="n"/>
      <c r="Z77" s="45" t="n"/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  <c r="Y78" s="45" t="n"/>
      <c r="Z78" s="45" t="n"/>
    </row>
    <row r="79">
      <c r="A79" s="13" t="inlineStr">
        <is>
          <t>Free Game</t>
        </is>
      </c>
      <c r="B79" s="130" t="n">
        <v>8997512</v>
      </c>
      <c r="C79" s="130" t="n">
        <v>2594257240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0.8615646191969514</v>
      </c>
      <c r="I79" s="99">
        <f>D79*H79</f>
        <v/>
      </c>
      <c r="J79" s="99">
        <f>I79</f>
        <v/>
      </c>
      <c r="K79" s="133">
        <f>SUM(K15:K78)</f>
        <v/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Oldhand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2143577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1416535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1051862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1732660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1369763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2372063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0.00356887937187723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3678676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0.03568879371877231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1983117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0.03069236259814418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4898638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0.03283369022127052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2265996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0.03140613847251963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3191785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0.03354746609564597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25620053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0.145610278372591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23274151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0.1020699500356888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28800167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0.09778729478943611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33189112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0.07566024268379729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36294419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0.06566738044254104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39544654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0.06138472519628837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33845601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0.0635260528194147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31872625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0.05281941470378301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75891239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0.03140613847251963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73025955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0.02855103497501784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67078410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0.02212705210563883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57317958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0.01641684511063526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51861382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0.01498929336188437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94348715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0.0185581727337616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72874992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0.01142041399000714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58890411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0.008565310492505354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39862712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0.00356887937187723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32205840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0.002141327623126338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50357847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0.006423982869379015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24756557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0.0007137758743754461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11826471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5845440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0.001427551748750892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2772494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1321158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0.0007137758743754461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650610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292176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133634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75655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32682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16487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0.0007137758743754461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8644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4043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1942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989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103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  <row r="152" collapsed="1" ht="15.6" customFormat="1" customHeight="1" s="56">
      <c r="A152" s="63" t="inlineStr">
        <is>
          <t>Buy Feature</t>
        </is>
      </c>
      <c r="B152" s="63" t="inlineStr">
        <is>
          <t>Base Game</t>
        </is>
      </c>
      <c r="C152" s="63" t="n"/>
      <c r="D152" s="53" t="n"/>
      <c r="E152" s="53" t="n"/>
      <c r="F152" s="54" t="n"/>
      <c r="G152" s="63" t="inlineStr">
        <is>
          <t>Buy Feature</t>
        </is>
      </c>
      <c r="H152" s="63" t="inlineStr">
        <is>
          <t>Base Game</t>
        </is>
      </c>
      <c r="I152" s="55" t="n"/>
      <c r="J152" s="55" t="n"/>
      <c r="K152" s="55" t="n"/>
      <c r="L152" s="55" t="n"/>
      <c r="M152" s="55" t="n"/>
      <c r="N152" s="54" t="n"/>
      <c r="O152" s="63" t="inlineStr">
        <is>
          <t>Buy Feature</t>
        </is>
      </c>
      <c r="P152" s="63" t="inlineStr">
        <is>
          <t>Base Game</t>
        </is>
      </c>
      <c r="Q152" s="55" t="n"/>
      <c r="R152" s="55" t="n"/>
    </row>
    <row r="153">
      <c r="A153" s="28" t="n"/>
      <c r="B153" s="1" t="n"/>
      <c r="C153" s="1" t="n"/>
      <c r="D153" s="1" t="n"/>
      <c r="E153" s="1" t="n"/>
      <c r="G153" s="34" t="n"/>
      <c r="H153" s="28" t="n"/>
      <c r="I153" s="28" t="n"/>
      <c r="J153" s="28" t="n"/>
      <c r="K153" s="28" t="n"/>
      <c r="L153" s="28" t="n"/>
      <c r="M153" s="28" t="n"/>
      <c r="Q153" s="28" t="n"/>
      <c r="R153" s="28" t="n"/>
    </row>
    <row r="154">
      <c r="A154" s="47" t="inlineStr">
        <is>
          <t>Simulate</t>
        </is>
      </c>
      <c r="C154" s="1" t="n"/>
      <c r="D154" s="1" t="n"/>
      <c r="E154" s="1" t="n"/>
      <c r="G154" s="47" t="inlineStr">
        <is>
          <t>Calculate</t>
        </is>
      </c>
      <c r="H154" s="28" t="n"/>
      <c r="I154" s="28" t="n"/>
      <c r="J154" s="28" t="n"/>
      <c r="K154" s="28" t="n"/>
      <c r="L154" s="28" t="n"/>
      <c r="M154" s="28" t="n"/>
      <c r="Q154" s="28" t="n"/>
      <c r="R154" s="28" t="n"/>
    </row>
    <row r="155">
      <c r="A155" s="9" t="inlineStr">
        <is>
          <t>Range</t>
        </is>
      </c>
      <c r="B155" s="9" t="inlineStr">
        <is>
          <t>Cnt</t>
        </is>
      </c>
      <c r="C155" s="9" t="inlineStr">
        <is>
          <t>Pay</t>
        </is>
      </c>
      <c r="D155" s="9" t="inlineStr">
        <is>
          <t>Hit Rate</t>
        </is>
      </c>
      <c r="E155" s="9" t="inlineStr">
        <is>
          <t>Avg. Multi.</t>
        </is>
      </c>
      <c r="G155" s="9" t="inlineStr">
        <is>
          <t>Range</t>
        </is>
      </c>
      <c r="H155" s="9" t="inlineStr">
        <is>
          <t>Fix Num</t>
        </is>
      </c>
      <c r="I155" s="9" t="inlineStr">
        <is>
          <t>Fix Rate</t>
        </is>
      </c>
      <c r="J155" s="9" t="inlineStr">
        <is>
          <t>Final Rate</t>
        </is>
      </c>
      <c r="K155" s="9" t="inlineStr">
        <is>
          <t>Weight</t>
        </is>
      </c>
      <c r="L155" s="9" t="inlineStr">
        <is>
          <t>Hit Rate</t>
        </is>
      </c>
      <c r="M155" s="9" t="inlineStr">
        <is>
          <t>Simulator RTP</t>
        </is>
      </c>
      <c r="Q155" s="9" t="inlineStr">
        <is>
          <t>目前</t>
        </is>
      </c>
      <c r="R155" s="9" t="inlineStr">
        <is>
          <t>競品</t>
        </is>
      </c>
    </row>
    <row r="156">
      <c r="A156" s="13" t="inlineStr">
        <is>
          <t>Buy Feature</t>
        </is>
      </c>
      <c r="B156" s="130" t="n">
        <v>8364049</v>
      </c>
      <c r="C156" s="130" t="n">
        <v>0</v>
      </c>
      <c r="D156" s="52" t="n">
        <v>1</v>
      </c>
      <c r="E156" s="131">
        <f>C156/B156/B3</f>
        <v/>
      </c>
      <c r="F156" s="132" t="n"/>
      <c r="G156" s="13" t="inlineStr">
        <is>
          <t>Buy Feature</t>
        </is>
      </c>
      <c r="H156" s="127" t="n">
        <v>1</v>
      </c>
      <c r="I156" s="99">
        <f>D156*H156</f>
        <v/>
      </c>
      <c r="J156" s="52">
        <f>I156/SUM(I156)</f>
        <v/>
      </c>
      <c r="K156" s="128">
        <f>INT(J156*$B$2)</f>
        <v/>
      </c>
      <c r="L156" s="99">
        <f>IFERROR(K156/SUM(K156),0)</f>
        <v/>
      </c>
      <c r="M156" s="99">
        <f>L156*E156</f>
        <v/>
      </c>
      <c r="Q156" s="99" t="n"/>
      <c r="R156" s="99" t="n"/>
    </row>
    <row r="157">
      <c r="B157" s="1" t="n"/>
      <c r="C157" s="1" t="n"/>
      <c r="D157" s="1" t="n"/>
      <c r="E157" s="1" t="n"/>
      <c r="G157" s="34" t="n"/>
      <c r="H157" s="28" t="n"/>
      <c r="I157" s="28" t="n"/>
      <c r="J157" s="28" t="n"/>
      <c r="K157" s="28" t="n"/>
      <c r="L157" s="28" t="n"/>
      <c r="M157" s="28" t="n"/>
      <c r="Q157" s="28" t="n"/>
      <c r="R157" s="28" t="n"/>
    </row>
    <row r="159" ht="15.6" customFormat="1" customHeight="1" s="56">
      <c r="A159" s="63" t="inlineStr">
        <is>
          <t>Oldhand Buy Feature</t>
        </is>
      </c>
      <c r="B159" s="63" t="inlineStr">
        <is>
          <t>Free Game</t>
        </is>
      </c>
      <c r="C159" s="63" t="n"/>
      <c r="D159" s="53" t="n"/>
      <c r="E159" s="53" t="n"/>
      <c r="F159" s="54" t="n"/>
      <c r="G159" s="63" t="inlineStr">
        <is>
          <t>Buy Feature</t>
        </is>
      </c>
      <c r="H159" s="63" t="inlineStr">
        <is>
          <t>Free Game</t>
        </is>
      </c>
      <c r="I159" s="55" t="n"/>
      <c r="J159" s="55" t="n"/>
      <c r="K159" s="55" t="n"/>
      <c r="L159" s="55" t="n"/>
      <c r="M159" s="55" t="n"/>
      <c r="N159" s="54" t="n"/>
      <c r="O159" s="63" t="inlineStr">
        <is>
          <t>Buy Feature</t>
        </is>
      </c>
      <c r="P159" s="63" t="inlineStr">
        <is>
          <t>Free Game</t>
        </is>
      </c>
      <c r="Q159" s="55" t="n"/>
      <c r="R159" s="55" t="n"/>
    </row>
    <row r="160">
      <c r="A160" s="28" t="n"/>
      <c r="B160" s="1" t="n"/>
      <c r="C160" s="1" t="n"/>
      <c r="D160" s="1" t="n"/>
      <c r="E160" s="1" t="n"/>
      <c r="G160" s="34" t="n"/>
      <c r="H160" s="28" t="n"/>
      <c r="I160" s="28" t="n"/>
      <c r="J160" s="28" t="n"/>
      <c r="K160" s="28" t="n"/>
      <c r="L160" s="28" t="n"/>
      <c r="M160" s="28" t="n"/>
      <c r="Q160" s="28" t="n"/>
      <c r="R160" s="28" t="n"/>
    </row>
    <row r="161">
      <c r="A161" s="47" t="inlineStr">
        <is>
          <t>Simulate</t>
        </is>
      </c>
      <c r="B161" t="n">
        <v>10000000</v>
      </c>
      <c r="C161" s="1" t="n"/>
      <c r="D161" s="1" t="n"/>
      <c r="E161" s="1" t="n"/>
      <c r="G161" s="47" t="inlineStr">
        <is>
          <t>Calculate</t>
        </is>
      </c>
      <c r="H161" s="28" t="n"/>
      <c r="I161" s="28" t="n"/>
      <c r="J161" s="28" t="n"/>
      <c r="L161" s="28" t="n"/>
      <c r="M161" s="28" t="n"/>
      <c r="Q161" s="28" t="n"/>
      <c r="R161" s="28" t="n"/>
    </row>
    <row r="162">
      <c r="A162" s="9" t="inlineStr">
        <is>
          <t>Range</t>
        </is>
      </c>
      <c r="B162" s="9" t="inlineStr">
        <is>
          <t>Cnt</t>
        </is>
      </c>
      <c r="C162" s="9" t="inlineStr">
        <is>
          <t>Pay</t>
        </is>
      </c>
      <c r="D162" s="9" t="inlineStr">
        <is>
          <t>Hit Rate</t>
        </is>
      </c>
      <c r="E162" s="9" t="inlineStr">
        <is>
          <t>Avg. Multi.</t>
        </is>
      </c>
      <c r="G162" s="9" t="inlineStr">
        <is>
          <t>Range</t>
        </is>
      </c>
      <c r="H162" s="9" t="inlineStr">
        <is>
          <t>Fix Num</t>
        </is>
      </c>
      <c r="I162" s="9" t="inlineStr">
        <is>
          <t>Fix Rate</t>
        </is>
      </c>
      <c r="J162" s="9" t="inlineStr">
        <is>
          <t>Final Rate</t>
        </is>
      </c>
      <c r="K162" s="9" t="inlineStr">
        <is>
          <t>Weight</t>
        </is>
      </c>
      <c r="L162" s="9" t="inlineStr">
        <is>
          <t>Hit Rate</t>
        </is>
      </c>
      <c r="M162" s="9" t="inlineStr">
        <is>
          <t>Simulator RTP</t>
        </is>
      </c>
      <c r="O162" s="9" t="inlineStr">
        <is>
          <t>Lower</t>
        </is>
      </c>
      <c r="P162" s="9" t="inlineStr">
        <is>
          <t>Upper</t>
        </is>
      </c>
      <c r="Q162" s="9" t="inlineStr">
        <is>
          <t>目前</t>
        </is>
      </c>
      <c r="R162" s="9" t="inlineStr">
        <is>
          <t>競品</t>
        </is>
      </c>
      <c r="T162" s="12" t="inlineStr">
        <is>
          <t>目前</t>
        </is>
      </c>
      <c r="U162" s="12" t="inlineStr">
        <is>
          <t>差異</t>
        </is>
      </c>
    </row>
    <row r="163">
      <c r="A163" s="13" t="inlineStr">
        <is>
          <t>(-1, 0]</t>
        </is>
      </c>
      <c r="B163" s="136" t="n">
        <v>0</v>
      </c>
      <c r="C163" s="136" t="n">
        <v>0</v>
      </c>
      <c r="D163" s="99">
        <f>IFERROR(B163/$B$161,0)</f>
        <v/>
      </c>
      <c r="E163" s="126">
        <f>IFERROR(C163/B163/500.0,0)</f>
        <v/>
      </c>
      <c r="G163" s="13" t="inlineStr">
        <is>
          <t>(-1, 0]</t>
        </is>
      </c>
      <c r="H163" s="127" t="n">
        <v>1</v>
      </c>
      <c r="I163" s="99">
        <f>IFERROR(B163/$B$161,0)</f>
        <v/>
      </c>
      <c r="J163" s="99">
        <f>IFERROR(K163/$B$2,0)</f>
        <v/>
      </c>
      <c r="K163" s="128" t="n">
        <v>0</v>
      </c>
      <c r="L163" s="99">
        <f>IFERROR(K163/$B$2,0)</f>
        <v/>
      </c>
      <c r="M163" s="99">
        <f>IFERROR(L163*E163,0)</f>
        <v/>
      </c>
      <c r="N163" s="129" t="n"/>
      <c r="O163" s="48" t="n">
        <v>-1</v>
      </c>
      <c r="P163" s="48" t="n">
        <v>0</v>
      </c>
      <c r="Q163" s="99">
        <f>L163</f>
        <v/>
      </c>
      <c r="R163" s="99" t="n">
        <v>0</v>
      </c>
      <c r="T163" s="99" t="n"/>
      <c r="U163" s="49">
        <f>IFERROR(ROUND(T163/L163,2),0)</f>
        <v/>
      </c>
    </row>
    <row r="164">
      <c r="A164" s="13" t="inlineStr">
        <is>
          <t>(0, 1]</t>
        </is>
      </c>
      <c r="B164" s="137" t="n">
        <v>0</v>
      </c>
      <c r="C164" s="137" t="n">
        <v>0</v>
      </c>
      <c r="D164" s="99">
        <f>IFERROR(B164/$B$161,0)</f>
        <v/>
      </c>
      <c r="E164" s="131">
        <f>IFERROR(C164/B164/500.0,0)</f>
        <v/>
      </c>
      <c r="G164" s="13" t="inlineStr">
        <is>
          <t>(0, 1]</t>
        </is>
      </c>
      <c r="H164" s="127" t="n">
        <v>1</v>
      </c>
      <c r="I164" s="99">
        <f>IFERROR(B164/$B$161,0)</f>
        <v/>
      </c>
      <c r="J164" s="99">
        <f>IFERROR(K164/$B$2,0)</f>
        <v/>
      </c>
      <c r="K164" s="128" t="n">
        <v>0</v>
      </c>
      <c r="L164" s="99">
        <f>IFERROR(K164/$B$2,0)</f>
        <v/>
      </c>
      <c r="M164" s="99">
        <f>IFERROR(L164*E164,0)</f>
        <v/>
      </c>
      <c r="N164" s="129" t="n"/>
      <c r="O164" s="44" t="n">
        <v>0</v>
      </c>
      <c r="P164" s="44" t="n">
        <v>1</v>
      </c>
      <c r="Q164" s="99">
        <f>L164</f>
        <v/>
      </c>
      <c r="R164" s="99" t="n">
        <v>0</v>
      </c>
      <c r="T164" s="99" t="n"/>
      <c r="U164" s="49">
        <f>IFERROR(ROUND(T164/L164,2),0)</f>
        <v/>
      </c>
    </row>
    <row r="165">
      <c r="A165" s="13" t="inlineStr">
        <is>
          <t>(1, 2]</t>
        </is>
      </c>
      <c r="B165" s="137" t="n">
        <v>0</v>
      </c>
      <c r="C165" s="137" t="n">
        <v>0</v>
      </c>
      <c r="D165" s="99">
        <f>IFERROR(B165/$B$161,0)</f>
        <v/>
      </c>
      <c r="E165" s="131">
        <f>IFERROR(C165/B165/500.0,0)</f>
        <v/>
      </c>
      <c r="F165" s="50" t="n"/>
      <c r="G165" s="13" t="inlineStr">
        <is>
          <t>(1, 2]</t>
        </is>
      </c>
      <c r="H165" s="127" t="n">
        <v>1</v>
      </c>
      <c r="I165" s="99">
        <f>IFERROR(B165/$B$161,0)</f>
        <v/>
      </c>
      <c r="J165" s="99">
        <f>IFERROR(K165/$B$2,0)</f>
        <v/>
      </c>
      <c r="K165" s="128" t="n">
        <v>0</v>
      </c>
      <c r="L165" s="99">
        <f>IFERROR(K165/$B$2,0)</f>
        <v/>
      </c>
      <c r="M165" s="99">
        <f>IFERROR(L165*E165,0)</f>
        <v/>
      </c>
      <c r="N165" s="129" t="n"/>
      <c r="O165" s="44" t="n">
        <v>1</v>
      </c>
      <c r="P165" s="44" t="n">
        <v>2</v>
      </c>
      <c r="Q165" s="99">
        <f>L165</f>
        <v/>
      </c>
      <c r="R165" s="99" t="n">
        <v>0</v>
      </c>
      <c r="T165" s="99" t="n"/>
      <c r="U165" s="49">
        <f>IFERROR(ROUND(T165/L165,2),0)</f>
        <v/>
      </c>
    </row>
    <row r="166">
      <c r="A166" s="13" t="inlineStr">
        <is>
          <t>(2, 3]</t>
        </is>
      </c>
      <c r="B166" s="137" t="n">
        <v>1148</v>
      </c>
      <c r="C166" s="137" t="n">
        <v>1722000</v>
      </c>
      <c r="D166" s="99">
        <f>IFERROR(B166/$B$161,0)</f>
        <v/>
      </c>
      <c r="E166" s="131">
        <f>IFERROR(C166/B166/500.0,0)</f>
        <v/>
      </c>
      <c r="F166" s="129" t="n"/>
      <c r="G166" s="13" t="inlineStr">
        <is>
          <t>(2, 3]</t>
        </is>
      </c>
      <c r="H166" s="127" t="n">
        <v>1</v>
      </c>
      <c r="I166" s="99">
        <f>IFERROR(B166/$B$161,0)</f>
        <v/>
      </c>
      <c r="J166" s="99">
        <f>IFERROR(K166/$B$2,0)</f>
        <v/>
      </c>
      <c r="K166" s="128" t="n">
        <v>28562</v>
      </c>
      <c r="L166" s="99">
        <f>IFERROR(K166/$B$2,0)</f>
        <v/>
      </c>
      <c r="M166" s="99">
        <f>IFERROR(L166*E166,0)</f>
        <v/>
      </c>
      <c r="N166" s="129" t="n"/>
      <c r="O166" s="44" t="n">
        <v>2</v>
      </c>
      <c r="P166" s="44" t="n">
        <v>3</v>
      </c>
      <c r="Q166" s="99">
        <f>L166</f>
        <v/>
      </c>
      <c r="R166" s="99" t="n">
        <v>0</v>
      </c>
      <c r="T166" s="99" t="n"/>
      <c r="U166" s="49">
        <f>IFERROR(ROUND(T166/L166,2),0)</f>
        <v/>
      </c>
    </row>
    <row r="167">
      <c r="A167" s="13" t="inlineStr">
        <is>
          <t>(3, 4]</t>
        </is>
      </c>
      <c r="B167" s="137" t="n">
        <v>1024</v>
      </c>
      <c r="C167" s="137" t="n">
        <v>1857625</v>
      </c>
      <c r="D167" s="99">
        <f>IFERROR(B167/$B$161,0)</f>
        <v/>
      </c>
      <c r="E167" s="131">
        <f>IFERROR(C167/B167/500.0,0)</f>
        <v/>
      </c>
      <c r="F167" s="129" t="n"/>
      <c r="G167" s="13" t="inlineStr">
        <is>
          <t>(3, 4]</t>
        </is>
      </c>
      <c r="H167" s="127" t="n">
        <v>1</v>
      </c>
      <c r="I167" s="99">
        <f>IFERROR(B167/$B$161,0)</f>
        <v/>
      </c>
      <c r="J167" s="99">
        <f>IFERROR(K167/$B$2,0)</f>
        <v/>
      </c>
      <c r="K167" s="128" t="n">
        <v>26090</v>
      </c>
      <c r="L167" s="99">
        <f>IFERROR(K167/$B$2,0)</f>
        <v/>
      </c>
      <c r="M167" s="99">
        <f>IFERROR(L167*E167,0)</f>
        <v/>
      </c>
      <c r="N167" s="129" t="n"/>
      <c r="O167" s="44" t="n">
        <v>3</v>
      </c>
      <c r="P167" s="44" t="n">
        <v>4</v>
      </c>
      <c r="Q167" s="99">
        <f>L167</f>
        <v/>
      </c>
      <c r="R167" s="99" t="n">
        <v>0</v>
      </c>
      <c r="T167" s="99" t="n"/>
      <c r="U167" s="49">
        <f>IFERROR(ROUND(T167/L167,2),0)</f>
        <v/>
      </c>
    </row>
    <row r="168">
      <c r="A168" s="13" t="inlineStr">
        <is>
          <t>(4, 5]</t>
        </is>
      </c>
      <c r="B168" s="137" t="n">
        <v>1497</v>
      </c>
      <c r="C168" s="137" t="n">
        <v>3489150</v>
      </c>
      <c r="D168" s="99">
        <f>IFERROR(B168/$B$161,0)</f>
        <v/>
      </c>
      <c r="E168" s="131">
        <f>IFERROR(C168/B168/500.0,0)</f>
        <v/>
      </c>
      <c r="F168" s="129" t="n"/>
      <c r="G168" s="13" t="inlineStr">
        <is>
          <t>(4, 5]</t>
        </is>
      </c>
      <c r="H168" s="127" t="n">
        <v>1</v>
      </c>
      <c r="I168" s="99">
        <f>IFERROR(B168/$B$161,0)</f>
        <v/>
      </c>
      <c r="J168" s="99">
        <f>IFERROR(K168/$B$2,0)</f>
        <v/>
      </c>
      <c r="K168" s="128" t="n">
        <v>39665</v>
      </c>
      <c r="L168" s="99">
        <f>IFERROR(K168/$B$2,0)</f>
        <v/>
      </c>
      <c r="M168" s="99">
        <f>IFERROR(L168*E168,0)</f>
        <v/>
      </c>
      <c r="N168" s="129" t="n"/>
      <c r="O168" s="44" t="n">
        <v>4</v>
      </c>
      <c r="P168" s="44" t="n">
        <v>5</v>
      </c>
      <c r="Q168" s="99">
        <f>L168</f>
        <v/>
      </c>
      <c r="R168" s="99" t="n">
        <v>0.00356887937187723</v>
      </c>
      <c r="T168" s="99" t="n"/>
      <c r="U168" s="49">
        <f>IFERROR(ROUND(T168/L168,2),0)</f>
        <v/>
      </c>
    </row>
    <row r="169">
      <c r="A169" s="13" t="inlineStr">
        <is>
          <t>(5, 6]</t>
        </is>
      </c>
      <c r="B169" s="137" t="n">
        <v>1756</v>
      </c>
      <c r="C169" s="137" t="n">
        <v>4914025</v>
      </c>
      <c r="D169" s="99">
        <f>IFERROR(B169/$B$161,0)</f>
        <v/>
      </c>
      <c r="E169" s="131">
        <f>IFERROR(C169/B169/500.0,0)</f>
        <v/>
      </c>
      <c r="F169" s="129" t="n"/>
      <c r="G169" s="13" t="inlineStr">
        <is>
          <t>(5, 6]</t>
        </is>
      </c>
      <c r="H169" s="127" t="n">
        <v>1</v>
      </c>
      <c r="I169" s="99">
        <f>IFERROR(B169/$B$161,0)</f>
        <v/>
      </c>
      <c r="J169" s="99">
        <f>IFERROR(K169/$B$2,0)</f>
        <v/>
      </c>
      <c r="K169" s="128" t="n">
        <v>48205</v>
      </c>
      <c r="L169" s="99">
        <f>IFERROR(K169/$B$2,0)</f>
        <v/>
      </c>
      <c r="M169" s="99">
        <f>IFERROR(L169*E169,0)</f>
        <v/>
      </c>
      <c r="N169" s="129" t="n"/>
      <c r="O169" s="44" t="n">
        <v>5</v>
      </c>
      <c r="P169" s="44" t="n">
        <v>6</v>
      </c>
      <c r="Q169" s="99">
        <f>L169</f>
        <v/>
      </c>
      <c r="R169" s="99" t="n">
        <v>0.03568879371877231</v>
      </c>
      <c r="T169" s="99" t="n"/>
      <c r="U169" s="49">
        <f>IFERROR(ROUND(T169/L169,2),0)</f>
        <v/>
      </c>
    </row>
    <row r="170">
      <c r="A170" s="13" t="inlineStr">
        <is>
          <t>(6, 7]</t>
        </is>
      </c>
      <c r="B170" s="137" t="n">
        <v>2335</v>
      </c>
      <c r="C170" s="137" t="n">
        <v>7708500</v>
      </c>
      <c r="D170" s="99">
        <f>IFERROR(B170/$B$161,0)</f>
        <v/>
      </c>
      <c r="E170" s="131">
        <f>IFERROR(C170/B170/500.0,0)</f>
        <v/>
      </c>
      <c r="F170" s="129" t="n"/>
      <c r="G170" s="13" t="inlineStr">
        <is>
          <t>(6, 7]</t>
        </is>
      </c>
      <c r="H170" s="127" t="n">
        <v>1</v>
      </c>
      <c r="I170" s="99">
        <f>IFERROR(B170/$B$161,0)</f>
        <v/>
      </c>
      <c r="J170" s="99">
        <f>IFERROR(K170/$B$2,0)</f>
        <v/>
      </c>
      <c r="K170" s="128" t="n">
        <v>66589</v>
      </c>
      <c r="L170" s="99">
        <f>IFERROR(K170/$B$2,0)</f>
        <v/>
      </c>
      <c r="M170" s="99">
        <f>IFERROR(L170*E170,0)</f>
        <v/>
      </c>
      <c r="N170" s="129" t="n"/>
      <c r="O170" s="44" t="n">
        <v>6</v>
      </c>
      <c r="P170" s="44" t="n">
        <v>7</v>
      </c>
      <c r="Q170" s="99">
        <f>L170</f>
        <v/>
      </c>
      <c r="R170" s="99" t="n">
        <v>0.03069236259814418</v>
      </c>
      <c r="T170" s="99" t="n"/>
      <c r="U170" s="49">
        <f>IFERROR(ROUND(T170/L170,2),0)</f>
        <v/>
      </c>
    </row>
    <row r="171">
      <c r="A171" s="13" t="inlineStr">
        <is>
          <t>(7, 8]</t>
        </is>
      </c>
      <c r="B171" s="137" t="n">
        <v>2639</v>
      </c>
      <c r="C171" s="137" t="n">
        <v>10012850</v>
      </c>
      <c r="D171" s="99">
        <f>IFERROR(B171/$B$161,0)</f>
        <v/>
      </c>
      <c r="E171" s="131">
        <f>IFERROR(C171/B171/500.0,0)</f>
        <v/>
      </c>
      <c r="F171" s="129" t="n"/>
      <c r="G171" s="13" t="inlineStr">
        <is>
          <t>(7, 8]</t>
        </is>
      </c>
      <c r="H171" s="127" t="n">
        <v>1</v>
      </c>
      <c r="I171" s="99">
        <f>IFERROR(B171/$B$161,0)</f>
        <v/>
      </c>
      <c r="J171" s="99">
        <f>IFERROR(K171/$B$2,0)</f>
        <v/>
      </c>
      <c r="K171" s="128" t="n">
        <v>78123</v>
      </c>
      <c r="L171" s="99">
        <f>IFERROR(K171/$B$2,0)</f>
        <v/>
      </c>
      <c r="M171" s="99">
        <f>IFERROR(L171*E171,0)</f>
        <v/>
      </c>
      <c r="N171" s="129" t="n"/>
      <c r="O171" s="44" t="n">
        <v>7</v>
      </c>
      <c r="P171" s="44" t="n">
        <v>8</v>
      </c>
      <c r="Q171" s="99">
        <f>L171</f>
        <v/>
      </c>
      <c r="R171" s="99" t="n">
        <v>0.03283369022127052</v>
      </c>
      <c r="T171" s="99" t="n"/>
      <c r="U171" s="49">
        <f>IFERROR(ROUND(T171/L171,2),0)</f>
        <v/>
      </c>
    </row>
    <row r="172">
      <c r="A172" s="13" t="inlineStr">
        <is>
          <t>(8, 9]</t>
        </is>
      </c>
      <c r="B172" s="137" t="n">
        <v>3125</v>
      </c>
      <c r="C172" s="137" t="n">
        <v>13407000</v>
      </c>
      <c r="D172" s="99">
        <f>IFERROR(B172/$B$161,0)</f>
        <v/>
      </c>
      <c r="E172" s="131">
        <f>IFERROR(C172/B172/500.0,0)</f>
        <v/>
      </c>
      <c r="F172" s="129" t="n"/>
      <c r="G172" s="13" t="inlineStr">
        <is>
          <t>(8, 9]</t>
        </is>
      </c>
      <c r="H172" s="127" t="n">
        <v>1</v>
      </c>
      <c r="I172" s="99">
        <f>IFERROR(B172/$B$161,0)</f>
        <v/>
      </c>
      <c r="J172" s="99">
        <f>IFERROR(K172/$B$2,0)</f>
        <v/>
      </c>
      <c r="K172" s="128" t="n">
        <v>96053</v>
      </c>
      <c r="L172" s="99">
        <f>IFERROR(K172/$B$2,0)</f>
        <v/>
      </c>
      <c r="M172" s="99">
        <f>IFERROR(L172*E172,0)</f>
        <v/>
      </c>
      <c r="N172" s="129" t="n"/>
      <c r="O172" s="44" t="n">
        <v>8</v>
      </c>
      <c r="P172" s="44" t="n">
        <v>9</v>
      </c>
      <c r="Q172" s="99">
        <f>L172</f>
        <v/>
      </c>
      <c r="R172" s="99" t="n">
        <v>0.03140613847251963</v>
      </c>
      <c r="T172" s="99" t="n"/>
      <c r="U172" s="49">
        <f>IFERROR(ROUND(T172/L172,2),0)</f>
        <v/>
      </c>
    </row>
    <row r="173">
      <c r="A173" s="13" t="inlineStr">
        <is>
          <t>(9, 10]</t>
        </is>
      </c>
      <c r="B173" s="137" t="n">
        <v>3516</v>
      </c>
      <c r="C173" s="137" t="n">
        <v>16826325</v>
      </c>
      <c r="D173" s="99">
        <f>IFERROR(B173/$B$161,0)</f>
        <v/>
      </c>
      <c r="E173" s="131">
        <f>IFERROR(C173/B173/500.0,0)</f>
        <v/>
      </c>
      <c r="F173" s="129" t="n"/>
      <c r="G173" s="13" t="inlineStr">
        <is>
          <t>(9, 10]</t>
        </is>
      </c>
      <c r="H173" s="127" t="n">
        <v>1</v>
      </c>
      <c r="I173" s="99">
        <f>IFERROR(B173/$B$161,0)</f>
        <v/>
      </c>
      <c r="J173" s="99">
        <f>IFERROR(K173/$B$2,0)</f>
        <v/>
      </c>
      <c r="K173" s="128" t="n">
        <v>112205</v>
      </c>
      <c r="L173" s="99">
        <f>IFERROR(K173/$B$2,0)</f>
        <v/>
      </c>
      <c r="M173" s="99">
        <f>IFERROR(L173*E173,0)</f>
        <v/>
      </c>
      <c r="N173" s="129" t="n"/>
      <c r="O173" s="44" t="n">
        <v>9</v>
      </c>
      <c r="P173" s="44" t="n">
        <v>10</v>
      </c>
      <c r="Q173" s="99">
        <f>L173</f>
        <v/>
      </c>
      <c r="R173" s="99" t="n">
        <v>0.03354746609564597</v>
      </c>
      <c r="T173" s="99" t="n"/>
      <c r="U173" s="49">
        <f>IFERROR(ROUND(T173/L173,2),0)</f>
        <v/>
      </c>
    </row>
    <row r="174">
      <c r="A174" s="13" t="inlineStr">
        <is>
          <t>(10, 15]</t>
        </is>
      </c>
      <c r="B174" s="137" t="n">
        <v>23999</v>
      </c>
      <c r="C174" s="137" t="n">
        <v>152876675</v>
      </c>
      <c r="D174" s="99">
        <f>IFERROR(B174/$B$161,0)</f>
        <v/>
      </c>
      <c r="E174" s="131">
        <f>IFERROR(C174/B174/500.0,0)</f>
        <v/>
      </c>
      <c r="F174" s="129" t="n"/>
      <c r="G174" s="13" t="inlineStr">
        <is>
          <t>(10, 15]</t>
        </is>
      </c>
      <c r="H174" s="127" t="n">
        <v>1</v>
      </c>
      <c r="I174" s="99">
        <f>IFERROR(B174/$B$161,0)</f>
        <v/>
      </c>
      <c r="J174" s="99">
        <f>IFERROR(K174/$B$2,0)</f>
        <v/>
      </c>
      <c r="K174" s="128" t="n">
        <v>863568</v>
      </c>
      <c r="L174" s="99">
        <f>IFERROR(K174/$B$2,0)</f>
        <v/>
      </c>
      <c r="M174" s="99">
        <f>IFERROR(L174*E174,0)</f>
        <v/>
      </c>
      <c r="N174" s="129" t="n"/>
      <c r="O174" s="44" t="n">
        <v>10</v>
      </c>
      <c r="P174" s="44" t="n">
        <v>15</v>
      </c>
      <c r="Q174" s="99">
        <f>L174</f>
        <v/>
      </c>
      <c r="R174" s="99" t="n">
        <v>0.145610278372591</v>
      </c>
      <c r="T174" s="99" t="n"/>
      <c r="U174" s="49">
        <f>IFERROR(ROUND(T174/L174,2),0)</f>
        <v/>
      </c>
    </row>
    <row r="175">
      <c r="A175" s="13" t="inlineStr">
        <is>
          <t>(15, 20]</t>
        </is>
      </c>
      <c r="B175" s="137" t="n">
        <v>33435</v>
      </c>
      <c r="C175" s="137" t="n">
        <v>295122000</v>
      </c>
      <c r="D175" s="99">
        <f>IFERROR(B175/$B$161,0)</f>
        <v/>
      </c>
      <c r="E175" s="131">
        <f>IFERROR(C175/B175/500.0,0)</f>
        <v/>
      </c>
      <c r="F175" s="129" t="n"/>
      <c r="G175" s="13" t="inlineStr">
        <is>
          <t>(15, 20]</t>
        </is>
      </c>
      <c r="H175" s="127" t="n">
        <v>1</v>
      </c>
      <c r="I175" s="99">
        <f>IFERROR(B175/$B$161,0)</f>
        <v/>
      </c>
      <c r="J175" s="99">
        <f>IFERROR(K175/$B$2,0)</f>
        <v/>
      </c>
      <c r="K175" s="128" t="n">
        <v>1449251</v>
      </c>
      <c r="L175" s="99">
        <f>IFERROR(K175/$B$2,0)</f>
        <v/>
      </c>
      <c r="M175" s="99">
        <f>IFERROR(L175*E175,0)</f>
        <v/>
      </c>
      <c r="N175" s="129" t="n"/>
      <c r="O175" s="44" t="n">
        <v>15</v>
      </c>
      <c r="P175" s="44" t="n">
        <v>20</v>
      </c>
      <c r="Q175" s="99">
        <f>L175</f>
        <v/>
      </c>
      <c r="R175" s="99" t="n">
        <v>0.1020699500356888</v>
      </c>
      <c r="T175" s="99" t="n"/>
      <c r="U175" s="49">
        <f>IFERROR(ROUND(T175/L175,2),0)</f>
        <v/>
      </c>
    </row>
    <row r="176">
      <c r="A176" s="13" t="inlineStr">
        <is>
          <t>(20, 25]</t>
        </is>
      </c>
      <c r="B176" s="137" t="n">
        <v>42291</v>
      </c>
      <c r="C176" s="137" t="n">
        <v>478270900</v>
      </c>
      <c r="D176" s="99">
        <f>IFERROR(B176/$B$161,0)</f>
        <v/>
      </c>
      <c r="E176" s="131">
        <f>IFERROR(C176/B176/500.0,0)</f>
        <v/>
      </c>
      <c r="F176" s="129" t="n"/>
      <c r="G176" s="13" t="inlineStr">
        <is>
          <t>(20, 25]</t>
        </is>
      </c>
      <c r="H176" s="127" t="n">
        <v>1</v>
      </c>
      <c r="I176" s="99">
        <f>IFERROR(B176/$B$161,0)</f>
        <v/>
      </c>
      <c r="J176" s="99">
        <f>IFERROR(K176/$B$2,0)</f>
        <v/>
      </c>
      <c r="K176" s="128" t="n">
        <v>2212457</v>
      </c>
      <c r="L176" s="99">
        <f>IFERROR(K176/$B$2,0)</f>
        <v/>
      </c>
      <c r="M176" s="99">
        <f>IFERROR(L176*E176,0)</f>
        <v/>
      </c>
      <c r="N176" s="129" t="n"/>
      <c r="O176" s="44" t="n">
        <v>20</v>
      </c>
      <c r="P176" s="44" t="n">
        <v>25</v>
      </c>
      <c r="Q176" s="99">
        <f>L176</f>
        <v/>
      </c>
      <c r="R176" s="99" t="n">
        <v>0.09778729478943611</v>
      </c>
      <c r="T176" s="99" t="n"/>
      <c r="U176" s="49">
        <f>IFERROR(ROUND(T176/L176,2),0)</f>
        <v/>
      </c>
    </row>
    <row r="177">
      <c r="A177" s="13" t="inlineStr">
        <is>
          <t>(25, 30]</t>
        </is>
      </c>
      <c r="B177" s="137" t="n">
        <v>49505</v>
      </c>
      <c r="C177" s="137" t="n">
        <v>683273950</v>
      </c>
      <c r="D177" s="99">
        <f>IFERROR(B177/$B$161,0)</f>
        <v/>
      </c>
      <c r="E177" s="131">
        <f>IFERROR(C177/B177/500.0,0)</f>
        <v/>
      </c>
      <c r="F177" s="129" t="n"/>
      <c r="G177" s="13" t="inlineStr">
        <is>
          <t>(25, 30]</t>
        </is>
      </c>
      <c r="H177" s="127" t="n">
        <v>1</v>
      </c>
      <c r="I177" s="99">
        <f>IFERROR(B177/$B$161,0)</f>
        <v/>
      </c>
      <c r="J177" s="99">
        <f>IFERROR(K177/$B$2,0)</f>
        <v/>
      </c>
      <c r="K177" s="128" t="n">
        <v>3128345</v>
      </c>
      <c r="L177" s="99">
        <f>IFERROR(K177/$B$2,0)</f>
        <v/>
      </c>
      <c r="M177" s="99">
        <f>IFERROR(L177*E177,0)</f>
        <v/>
      </c>
      <c r="N177" s="129" t="n"/>
      <c r="O177" s="44" t="n">
        <v>25</v>
      </c>
      <c r="P177" s="44" t="n">
        <v>30</v>
      </c>
      <c r="Q177" s="99">
        <f>L177</f>
        <v/>
      </c>
      <c r="R177" s="99" t="n">
        <v>0.07566024268379729</v>
      </c>
      <c r="T177" s="99" t="n"/>
      <c r="U177" s="49">
        <f>IFERROR(ROUND(T177/L177,2),0)</f>
        <v/>
      </c>
    </row>
    <row r="178">
      <c r="A178" s="13" t="inlineStr">
        <is>
          <t>(30, 35]</t>
        </is>
      </c>
      <c r="B178" s="137" t="n">
        <v>57026</v>
      </c>
      <c r="C178" s="137" t="n">
        <v>929214975</v>
      </c>
      <c r="D178" s="99">
        <f>IFERROR(B178/$B$161,0)</f>
        <v/>
      </c>
      <c r="E178" s="131">
        <f>IFERROR(C178/B178/500.0,0)</f>
        <v/>
      </c>
      <c r="F178" s="129" t="n"/>
      <c r="G178" s="13" t="inlineStr">
        <is>
          <t>(30, 35]</t>
        </is>
      </c>
      <c r="H178" s="127" t="n">
        <v>1</v>
      </c>
      <c r="I178" s="99">
        <f>IFERROR(B178/$B$161,0)</f>
        <v/>
      </c>
      <c r="J178" s="99">
        <f>IFERROR(K178/$B$2,0)</f>
        <v/>
      </c>
      <c r="K178" s="128" t="n">
        <v>4352684</v>
      </c>
      <c r="L178" s="99">
        <f>IFERROR(K178/$B$2,0)</f>
        <v/>
      </c>
      <c r="M178" s="99">
        <f>IFERROR(L178*E178,0)</f>
        <v/>
      </c>
      <c r="N178" s="129" t="n"/>
      <c r="O178" s="44" t="n">
        <v>30</v>
      </c>
      <c r="P178" s="44" t="n">
        <v>35</v>
      </c>
      <c r="Q178" s="99">
        <f>L178</f>
        <v/>
      </c>
      <c r="R178" s="99" t="n">
        <v>0.06566738044254104</v>
      </c>
      <c r="T178" s="99" t="n"/>
      <c r="U178" s="49">
        <f>IFERROR(ROUND(T178/L178,2),0)</f>
        <v/>
      </c>
    </row>
    <row r="179">
      <c r="A179" s="13" t="inlineStr">
        <is>
          <t>(35, 40]</t>
        </is>
      </c>
      <c r="B179" s="137" t="n">
        <v>63420</v>
      </c>
      <c r="C179" s="137" t="n">
        <v>1191452350</v>
      </c>
      <c r="D179" s="99">
        <f>IFERROR(B179/$B$161,0)</f>
        <v/>
      </c>
      <c r="E179" s="131">
        <f>IFERROR(C179/B179/500.0,0)</f>
        <v/>
      </c>
      <c r="F179" s="129" t="n"/>
      <c r="G179" s="13" t="inlineStr">
        <is>
          <t>(35, 40]</t>
        </is>
      </c>
      <c r="H179" s="127" t="n">
        <v>1</v>
      </c>
      <c r="I179" s="99">
        <f>IFERROR(B179/$B$161,0)</f>
        <v/>
      </c>
      <c r="J179" s="99">
        <f>IFERROR(K179/$B$2,0)</f>
        <v/>
      </c>
      <c r="K179" s="128" t="n">
        <v>5846792</v>
      </c>
      <c r="L179" s="99">
        <f>IFERROR(K179/$B$2,0)</f>
        <v/>
      </c>
      <c r="M179" s="99">
        <f>IFERROR(L179*E179,0)</f>
        <v/>
      </c>
      <c r="N179" s="129" t="n"/>
      <c r="O179" s="44" t="n">
        <v>35</v>
      </c>
      <c r="P179" s="44" t="n">
        <v>40</v>
      </c>
      <c r="Q179" s="99">
        <f>L179</f>
        <v/>
      </c>
      <c r="R179" s="99" t="n">
        <v>0.06138472519628837</v>
      </c>
      <c r="T179" s="99" t="n"/>
      <c r="U179" s="49">
        <f>IFERROR(ROUND(T179/L179,2),0)</f>
        <v/>
      </c>
    </row>
    <row r="180">
      <c r="A180" s="13" t="inlineStr">
        <is>
          <t>(40, 45]</t>
        </is>
      </c>
      <c r="B180" s="137" t="n">
        <v>68592</v>
      </c>
      <c r="C180" s="137" t="n">
        <v>1459931525</v>
      </c>
      <c r="D180" s="99">
        <f>IFERROR(B180/$B$161,0)</f>
        <v/>
      </c>
      <c r="E180" s="131">
        <f>IFERROR(C180/B180/500.0,0)</f>
        <v/>
      </c>
      <c r="F180" s="129" t="n"/>
      <c r="G180" s="13" t="inlineStr">
        <is>
          <t>(40, 45]</t>
        </is>
      </c>
      <c r="H180" s="127" t="n">
        <v>1</v>
      </c>
      <c r="I180" s="99">
        <f>IFERROR(B180/$B$161,0)</f>
        <v/>
      </c>
      <c r="J180" s="99">
        <f>IFERROR(K180/$B$2,0)</f>
        <v/>
      </c>
      <c r="K180" s="128" t="n">
        <v>7641034</v>
      </c>
      <c r="L180" s="99">
        <f>IFERROR(K180/$B$2,0)</f>
        <v/>
      </c>
      <c r="M180" s="99">
        <f>IFERROR(L180*E180,0)</f>
        <v/>
      </c>
      <c r="N180" s="129" t="n"/>
      <c r="O180" s="44" t="n">
        <v>40</v>
      </c>
      <c r="P180" s="44" t="n">
        <v>45</v>
      </c>
      <c r="Q180" s="99">
        <f>L180</f>
        <v/>
      </c>
      <c r="R180" s="99" t="n">
        <v>0.0635260528194147</v>
      </c>
      <c r="T180" s="99" t="n"/>
      <c r="U180" s="49">
        <f>IFERROR(ROUND(T180/L180,2),0)</f>
        <v/>
      </c>
    </row>
    <row r="181">
      <c r="A181" s="13" t="inlineStr">
        <is>
          <t>(45, 50]</t>
        </is>
      </c>
      <c r="B181" s="137" t="n">
        <v>73256</v>
      </c>
      <c r="C181" s="137" t="n">
        <v>1741850925</v>
      </c>
      <c r="D181" s="99">
        <f>IFERROR(B181/$B$161,0)</f>
        <v/>
      </c>
      <c r="E181" s="131">
        <f>IFERROR(C181/B181/500.0,0)</f>
        <v/>
      </c>
      <c r="F181" s="129" t="n"/>
      <c r="G181" s="13" t="inlineStr">
        <is>
          <t>(45, 50]</t>
        </is>
      </c>
      <c r="H181" s="127" t="n">
        <v>1</v>
      </c>
      <c r="I181" s="99">
        <f>IFERROR(B181/$B$161,0)</f>
        <v/>
      </c>
      <c r="J181" s="99">
        <f>IFERROR(K181/$B$2,0)</f>
        <v/>
      </c>
      <c r="K181" s="128" t="n">
        <v>9857532</v>
      </c>
      <c r="L181" s="99">
        <f>IFERROR(K181/$B$2,0)</f>
        <v/>
      </c>
      <c r="M181" s="99">
        <f>IFERROR(L181*E181,0)</f>
        <v/>
      </c>
      <c r="N181" s="129" t="n"/>
      <c r="O181" s="44" t="n">
        <v>45</v>
      </c>
      <c r="P181" s="44" t="n">
        <v>50</v>
      </c>
      <c r="Q181" s="99">
        <f>L181</f>
        <v/>
      </c>
      <c r="R181" s="99" t="n">
        <v>0.05281941470378301</v>
      </c>
      <c r="T181" s="99" t="n"/>
      <c r="U181" s="49">
        <f>IFERROR(ROUND(T181/L181,2),0)</f>
        <v/>
      </c>
    </row>
    <row r="182">
      <c r="A182" s="13" t="inlineStr">
        <is>
          <t>(50, 60]</t>
        </is>
      </c>
      <c r="B182" s="137" t="n">
        <v>158621</v>
      </c>
      <c r="C182" s="137" t="n">
        <v>4369349850</v>
      </c>
      <c r="D182" s="99">
        <f>IFERROR(B182/$B$161,0)</f>
        <v/>
      </c>
      <c r="E182" s="131">
        <f>IFERROR(C182/B182/500.0,0)</f>
        <v/>
      </c>
      <c r="F182" s="129" t="n"/>
      <c r="G182" s="13" t="inlineStr">
        <is>
          <t>(50, 60]</t>
        </is>
      </c>
      <c r="H182" s="127" t="n">
        <v>1</v>
      </c>
      <c r="I182" s="99">
        <f>IFERROR(B182/$B$161,0)</f>
        <v/>
      </c>
      <c r="J182" s="99">
        <f>IFERROR(K182/$B$2,0)</f>
        <v/>
      </c>
      <c r="K182" s="128" t="n">
        <v>28397923</v>
      </c>
      <c r="L182" s="99">
        <f>IFERROR(K182/$B$2,0)</f>
        <v/>
      </c>
      <c r="M182" s="99">
        <f>IFERROR(L182*E182,0)</f>
        <v/>
      </c>
      <c r="N182" s="129" t="n"/>
      <c r="O182" s="44" t="n">
        <v>50</v>
      </c>
      <c r="P182" s="44" t="n">
        <v>60</v>
      </c>
      <c r="Q182" s="99">
        <f>L182</f>
        <v/>
      </c>
      <c r="R182" s="99" t="n">
        <v>0.03140613847251963</v>
      </c>
      <c r="T182" s="99" t="n"/>
      <c r="U182" s="49">
        <f>IFERROR(ROUND(T182/L182,2),0)</f>
        <v/>
      </c>
    </row>
    <row r="183">
      <c r="A183" s="13" t="inlineStr">
        <is>
          <t>(60, 70]</t>
        </is>
      </c>
      <c r="B183" s="137" t="n">
        <v>171110</v>
      </c>
      <c r="C183" s="137" t="n">
        <v>5568059825</v>
      </c>
      <c r="D183" s="99">
        <f>IFERROR(B183/$B$161,0)</f>
        <v/>
      </c>
      <c r="E183" s="131">
        <f>IFERROR(C183/B183/500.0,0)</f>
        <v/>
      </c>
      <c r="F183" s="129" t="n"/>
      <c r="G183" s="13" t="inlineStr">
        <is>
          <t>(60, 70]</t>
        </is>
      </c>
      <c r="H183" s="127" t="n">
        <v>1</v>
      </c>
      <c r="I183" s="99">
        <f>IFERROR(B183/$B$161,0)</f>
        <v/>
      </c>
      <c r="J183" s="99">
        <f>IFERROR(K183/$B$2,0)</f>
        <v/>
      </c>
      <c r="K183" s="128" t="n">
        <v>44726944</v>
      </c>
      <c r="L183" s="99">
        <f>IFERROR(K183/$B$2,0)</f>
        <v/>
      </c>
      <c r="M183" s="99">
        <f>IFERROR(L183*E183,0)</f>
        <v/>
      </c>
      <c r="N183" s="129" t="n"/>
      <c r="O183" s="44" t="n">
        <v>60</v>
      </c>
      <c r="P183" s="44" t="n">
        <v>70</v>
      </c>
      <c r="Q183" s="99">
        <f>L183</f>
        <v/>
      </c>
      <c r="R183" s="99" t="n">
        <v>0.02855103497501784</v>
      </c>
      <c r="T183" s="99" t="n"/>
      <c r="U183" s="49">
        <f>IFERROR(ROUND(T183/L183,2),0)</f>
        <v/>
      </c>
    </row>
    <row r="184">
      <c r="A184" s="13" t="inlineStr">
        <is>
          <t>(70, 80]</t>
        </is>
      </c>
      <c r="B184" s="137" t="n">
        <v>180419</v>
      </c>
      <c r="C184" s="137" t="n">
        <v>6770248675</v>
      </c>
      <c r="D184" s="99">
        <f>IFERROR(B184/$B$161,0)</f>
        <v/>
      </c>
      <c r="E184" s="131">
        <f>IFERROR(C184/B184/500.0,0)</f>
        <v/>
      </c>
      <c r="F184" s="129" t="n"/>
      <c r="G184" s="13" t="inlineStr">
        <is>
          <t>(70, 80]</t>
        </is>
      </c>
      <c r="H184" s="127" t="n">
        <v>1</v>
      </c>
      <c r="I184" s="99">
        <f>IFERROR(B184/$B$161,0)</f>
        <v/>
      </c>
      <c r="J184" s="99">
        <f>IFERROR(K184/$B$2,0)</f>
        <v/>
      </c>
      <c r="K184" s="128" t="n">
        <v>68800809</v>
      </c>
      <c r="L184" s="99">
        <f>IFERROR(K184/$B$2,0)</f>
        <v/>
      </c>
      <c r="M184" s="99">
        <f>IFERROR(L184*E184,0)</f>
        <v/>
      </c>
      <c r="N184" s="129" t="n"/>
      <c r="O184" s="44" t="n">
        <v>70</v>
      </c>
      <c r="P184" s="44" t="n">
        <v>80</v>
      </c>
      <c r="Q184" s="99">
        <f>L184</f>
        <v/>
      </c>
      <c r="R184" s="99" t="n">
        <v>0.02212705210563883</v>
      </c>
      <c r="T184" s="99" t="n"/>
      <c r="U184" s="49">
        <f>IFERROR(ROUND(T184/L184,2),0)</f>
        <v/>
      </c>
    </row>
    <row r="185">
      <c r="A185" s="13" t="inlineStr">
        <is>
          <t>(80, 90]</t>
        </is>
      </c>
      <c r="B185" s="137" t="n">
        <v>187283</v>
      </c>
      <c r="C185" s="137" t="n">
        <v>7965425900</v>
      </c>
      <c r="D185" s="99">
        <f>IFERROR(B185/$B$161,0)</f>
        <v/>
      </c>
      <c r="E185" s="131">
        <f>IFERROR(C185/B185/500.0,0)</f>
        <v/>
      </c>
      <c r="F185" s="129" t="n"/>
      <c r="G185" s="13" t="inlineStr">
        <is>
          <t>(80, 90]</t>
        </is>
      </c>
      <c r="H185" s="127" t="n">
        <v>1</v>
      </c>
      <c r="I185" s="99">
        <f>IFERROR(B185/$B$161,0)</f>
        <v/>
      </c>
      <c r="J185" s="99">
        <f>IFERROR(K185/$B$2,0)</f>
        <v/>
      </c>
      <c r="K185" s="128" t="n">
        <v>104364313</v>
      </c>
      <c r="L185" s="99">
        <f>IFERROR(K185/$B$2,0)</f>
        <v/>
      </c>
      <c r="M185" s="99">
        <f>IFERROR(L185*E185,0)</f>
        <v/>
      </c>
      <c r="N185" s="129" t="n"/>
      <c r="O185" s="44" t="n">
        <v>80</v>
      </c>
      <c r="P185" s="44" t="n">
        <v>90</v>
      </c>
      <c r="Q185" s="99">
        <f>L185</f>
        <v/>
      </c>
      <c r="R185" s="99" t="n">
        <v>0.01641684511063526</v>
      </c>
      <c r="T185" s="99" t="n"/>
      <c r="U185" s="49">
        <f>IFERROR(ROUND(T185/L185,2),0)</f>
        <v/>
      </c>
    </row>
    <row r="186">
      <c r="A186" s="13" t="inlineStr">
        <is>
          <t>(90, 100]</t>
        </is>
      </c>
      <c r="B186" s="137" t="n">
        <v>192071</v>
      </c>
      <c r="C186" s="137" t="n">
        <v>9127933900</v>
      </c>
      <c r="D186" s="99">
        <f>IFERROR(B186/$B$161,0)</f>
        <v/>
      </c>
      <c r="E186" s="131">
        <f>IFERROR(C186/B186/500.0,0)</f>
        <v/>
      </c>
      <c r="F186" s="129" t="n"/>
      <c r="G186" s="13" t="inlineStr">
        <is>
          <t>(90, 100]</t>
        </is>
      </c>
      <c r="H186" s="127" t="n">
        <v>1</v>
      </c>
      <c r="I186" s="99">
        <f>IFERROR(B186/$B$161,0)</f>
        <v/>
      </c>
      <c r="J186" s="99">
        <f>IFERROR(K186/$B$2,0)</f>
        <v/>
      </c>
      <c r="K186" s="128" t="n">
        <v>156240608</v>
      </c>
      <c r="L186" s="99">
        <f>IFERROR(K186/$B$2,0)</f>
        <v/>
      </c>
      <c r="M186" s="99">
        <f>IFERROR(L186*E186,0)</f>
        <v/>
      </c>
      <c r="N186" s="129" t="n"/>
      <c r="O186" s="44" t="n">
        <v>90</v>
      </c>
      <c r="P186" s="44" t="n">
        <v>100</v>
      </c>
      <c r="Q186" s="99">
        <f>L186</f>
        <v/>
      </c>
      <c r="R186" s="99" t="n">
        <v>0.01498929336188437</v>
      </c>
      <c r="T186" s="99" t="n"/>
      <c r="U186" s="49">
        <f>IFERROR(ROUND(T186/L186,2),0)</f>
        <v/>
      </c>
    </row>
    <row r="187">
      <c r="A187" s="13" t="inlineStr">
        <is>
          <t>(100, 120]</t>
        </is>
      </c>
      <c r="B187" s="137" t="n">
        <v>391227</v>
      </c>
      <c r="C187" s="137" t="n">
        <v>21525388900</v>
      </c>
      <c r="D187" s="99">
        <f>IFERROR(B187/$B$161,0)</f>
        <v/>
      </c>
      <c r="E187" s="131">
        <f>IFERROR(C187/B187/500.0,0)</f>
        <v/>
      </c>
      <c r="F187" s="129" t="n"/>
      <c r="G187" s="13" t="inlineStr">
        <is>
          <t>(100, 120]</t>
        </is>
      </c>
      <c r="H187" s="127" t="n">
        <v>1</v>
      </c>
      <c r="I187" s="99">
        <f>IFERROR(B187/$B$161,0)</f>
        <v/>
      </c>
      <c r="J187" s="99">
        <f>IFERROR(K187/$B$2,0)</f>
        <v/>
      </c>
      <c r="K187" s="128" t="n">
        <v>561622248</v>
      </c>
      <c r="L187" s="99">
        <f>IFERROR(K187/$B$2,0)</f>
        <v/>
      </c>
      <c r="M187" s="99">
        <f>IFERROR(L187*E187,0)</f>
        <v/>
      </c>
      <c r="N187" s="129" t="n"/>
      <c r="O187" s="44" t="n">
        <v>100</v>
      </c>
      <c r="P187" s="44" t="n">
        <v>120</v>
      </c>
      <c r="Q187" s="99">
        <f>L187</f>
        <v/>
      </c>
      <c r="R187" s="99" t="n">
        <v>0.0185581727337616</v>
      </c>
      <c r="T187" s="99" t="n"/>
      <c r="U187" s="49">
        <f>IFERROR(ROUND(T187/L187,2),0)</f>
        <v/>
      </c>
    </row>
    <row r="188">
      <c r="A188" s="13" t="inlineStr">
        <is>
          <t>(120, 140]</t>
        </is>
      </c>
      <c r="B188" s="137" t="n">
        <v>391927</v>
      </c>
      <c r="C188" s="137" t="n">
        <v>25481290450</v>
      </c>
      <c r="D188" s="99">
        <f>IFERROR(B188/$B$161,0)</f>
        <v/>
      </c>
      <c r="E188" s="131">
        <f>IFERROR(C188/B188/500.0,0)</f>
        <v/>
      </c>
      <c r="F188" s="129" t="n"/>
      <c r="G188" s="13" t="inlineStr">
        <is>
          <t>(120, 140]</t>
        </is>
      </c>
      <c r="H188" s="127" t="n">
        <v>1</v>
      </c>
      <c r="I188" s="99">
        <f>IFERROR(B188/$B$161,0)</f>
        <v/>
      </c>
      <c r="J188" s="99">
        <f>IFERROR(K188/$B$2,0)</f>
        <v/>
      </c>
      <c r="K188" s="128" t="n">
        <v>0</v>
      </c>
      <c r="L188" s="99">
        <f>IFERROR(K188/$B$2,0)</f>
        <v/>
      </c>
      <c r="M188" s="99">
        <f>IFERROR(L188*E188,0)</f>
        <v/>
      </c>
      <c r="N188" s="129" t="n"/>
      <c r="O188" s="44" t="n">
        <v>120</v>
      </c>
      <c r="P188" s="44" t="n">
        <v>140</v>
      </c>
      <c r="Q188" s="99">
        <f>L188</f>
        <v/>
      </c>
      <c r="R188" s="99" t="n">
        <v>0.01142041399000714</v>
      </c>
      <c r="T188" s="99" t="n"/>
      <c r="U188" s="49">
        <f>IFERROR(ROUND(T188/L188,2),0)</f>
        <v/>
      </c>
    </row>
    <row r="189">
      <c r="A189" s="13" t="inlineStr">
        <is>
          <t>(140, 160]</t>
        </is>
      </c>
      <c r="B189" s="137" t="n">
        <v>386397</v>
      </c>
      <c r="C189" s="137" t="n">
        <v>28979272825</v>
      </c>
      <c r="D189" s="99">
        <f>IFERROR(B189/$B$161,0)</f>
        <v/>
      </c>
      <c r="E189" s="131">
        <f>IFERROR(C189/B189/500.0,0)</f>
        <v/>
      </c>
      <c r="F189" s="129" t="n"/>
      <c r="G189" s="13" t="inlineStr">
        <is>
          <t>(140, 160]</t>
        </is>
      </c>
      <c r="H189" s="127" t="n">
        <v>1</v>
      </c>
      <c r="I189" s="99">
        <f>IFERROR(B189/$B$161,0)</f>
        <v/>
      </c>
      <c r="J189" s="99">
        <f>IFERROR(K189/$B$2,0)</f>
        <v/>
      </c>
      <c r="K189" s="128" t="n">
        <v>0</v>
      </c>
      <c r="L189" s="99">
        <f>IFERROR(K189/$B$2,0)</f>
        <v/>
      </c>
      <c r="M189" s="99">
        <f>IFERROR(L189*E189,0)</f>
        <v/>
      </c>
      <c r="N189" s="129" t="n"/>
      <c r="O189" s="44" t="n">
        <v>140</v>
      </c>
      <c r="P189" s="44" t="n">
        <v>160</v>
      </c>
      <c r="Q189" s="99">
        <f>L189</f>
        <v/>
      </c>
      <c r="R189" s="99" t="n">
        <v>0.008565310492505354</v>
      </c>
      <c r="T189" s="99" t="n"/>
      <c r="U189" s="49">
        <f>IFERROR(ROUND(T189/L189,2),0)</f>
        <v/>
      </c>
    </row>
    <row r="190">
      <c r="A190" s="13" t="inlineStr">
        <is>
          <t>(160, 180]</t>
        </is>
      </c>
      <c r="B190" s="137" t="n">
        <v>375882</v>
      </c>
      <c r="C190" s="137" t="n">
        <v>31944807250</v>
      </c>
      <c r="D190" s="99">
        <f>IFERROR(B190/$B$161,0)</f>
        <v/>
      </c>
      <c r="E190" s="131">
        <f>IFERROR(C190/B190/500.0,0)</f>
        <v/>
      </c>
      <c r="F190" s="129" t="n"/>
      <c r="G190" s="13" t="inlineStr">
        <is>
          <t>(160, 180]</t>
        </is>
      </c>
      <c r="H190" s="127" t="n">
        <v>1</v>
      </c>
      <c r="I190" s="99">
        <f>IFERROR(B190/$B$161,0)</f>
        <v/>
      </c>
      <c r="J190" s="99">
        <f>IFERROR(K190/$B$2,0)</f>
        <v/>
      </c>
      <c r="K190" s="128" t="n">
        <v>0</v>
      </c>
      <c r="L190" s="99">
        <f>IFERROR(K190/$B$2,0)</f>
        <v/>
      </c>
      <c r="M190" s="99">
        <f>IFERROR(L190*E190,0)</f>
        <v/>
      </c>
      <c r="N190" s="129" t="n"/>
      <c r="O190" s="44" t="n">
        <v>160</v>
      </c>
      <c r="P190" s="44" t="n">
        <v>180</v>
      </c>
      <c r="Q190" s="99">
        <f>L190</f>
        <v/>
      </c>
      <c r="R190" s="99" t="n">
        <v>0.00356887937187723</v>
      </c>
      <c r="T190" s="99" t="n"/>
      <c r="U190" s="49">
        <f>IFERROR(ROUND(T190/L190,2),0)</f>
        <v/>
      </c>
    </row>
    <row r="191">
      <c r="A191" s="13" t="inlineStr">
        <is>
          <t>(180, 200]</t>
        </is>
      </c>
      <c r="B191" s="137" t="n">
        <v>362324</v>
      </c>
      <c r="C191" s="137" t="n">
        <v>34412323325</v>
      </c>
      <c r="D191" s="99">
        <f>IFERROR(B191/$B$161,0)</f>
        <v/>
      </c>
      <c r="E191" s="131">
        <f>IFERROR(C191/B191/500.0,0)</f>
        <v/>
      </c>
      <c r="F191" s="129" t="n"/>
      <c r="G191" s="13" t="inlineStr">
        <is>
          <t>(180, 200]</t>
        </is>
      </c>
      <c r="H191" s="127" t="n">
        <v>1</v>
      </c>
      <c r="I191" s="99">
        <f>IFERROR(B191/$B$161,0)</f>
        <v/>
      </c>
      <c r="J191" s="99">
        <f>IFERROR(K191/$B$2,0)</f>
        <v/>
      </c>
      <c r="K191" s="128" t="n">
        <v>0</v>
      </c>
      <c r="L191" s="99">
        <f>IFERROR(K191/$B$2,0)</f>
        <v/>
      </c>
      <c r="M191" s="99">
        <f>IFERROR(L191*E191,0)</f>
        <v/>
      </c>
      <c r="N191" s="129" t="n"/>
      <c r="O191" s="44" t="n">
        <v>180</v>
      </c>
      <c r="P191" s="44" t="n">
        <v>200</v>
      </c>
      <c r="Q191" s="99">
        <f>L191</f>
        <v/>
      </c>
      <c r="R191" s="99" t="n">
        <v>0.002141327623126338</v>
      </c>
      <c r="T191" s="99" t="n"/>
      <c r="U191" s="49">
        <f>IFERROR(ROUND(T191/L191,2),0)</f>
        <v/>
      </c>
    </row>
    <row r="192">
      <c r="A192" s="13" t="inlineStr">
        <is>
          <t>(200, 250]</t>
        </is>
      </c>
      <c r="B192" s="137" t="n">
        <v>834186</v>
      </c>
      <c r="C192" s="137" t="n">
        <v>93638745375</v>
      </c>
      <c r="D192" s="99">
        <f>IFERROR(B192/$B$161,0)</f>
        <v/>
      </c>
      <c r="E192" s="131">
        <f>IFERROR(C192/B192/500.0,0)</f>
        <v/>
      </c>
      <c r="F192" s="129" t="n"/>
      <c r="G192" s="13" t="inlineStr">
        <is>
          <t>(200, 250]</t>
        </is>
      </c>
      <c r="H192" s="127" t="n">
        <v>1</v>
      </c>
      <c r="I192" s="99">
        <f>IFERROR(B192/$B$161,0)</f>
        <v/>
      </c>
      <c r="J192" s="99">
        <f>IFERROR(K192/$B$2,0)</f>
        <v/>
      </c>
      <c r="K192" s="128" t="n">
        <v>0</v>
      </c>
      <c r="L192" s="99">
        <f>IFERROR(K192/$B$2,0)</f>
        <v/>
      </c>
      <c r="M192" s="99">
        <f>IFERROR(L192*E192,0)</f>
        <v/>
      </c>
      <c r="N192" s="129" t="n"/>
      <c r="O192" s="44" t="n">
        <v>200</v>
      </c>
      <c r="P192" s="44" t="n">
        <v>250</v>
      </c>
      <c r="Q192" s="99">
        <f>L192</f>
        <v/>
      </c>
      <c r="R192" s="99" t="n">
        <v>0.006423982869379015</v>
      </c>
      <c r="T192" s="99" t="n"/>
      <c r="U192" s="49">
        <f>IFERROR(ROUND(T192/L192,2),0)</f>
        <v/>
      </c>
    </row>
    <row r="193">
      <c r="A193" s="13" t="inlineStr">
        <is>
          <t>(250, 300]</t>
        </is>
      </c>
      <c r="B193" s="137" t="n">
        <v>732855</v>
      </c>
      <c r="C193" s="137" t="n">
        <v>100574663775</v>
      </c>
      <c r="D193" s="99">
        <f>IFERROR(B193/$B$161,0)</f>
        <v/>
      </c>
      <c r="E193" s="131">
        <f>IFERROR(C193/B193/500.0,0)</f>
        <v/>
      </c>
      <c r="F193" s="129" t="n"/>
      <c r="G193" s="13" t="inlineStr">
        <is>
          <t>(250, 300]</t>
        </is>
      </c>
      <c r="H193" s="127" t="n">
        <v>1</v>
      </c>
      <c r="I193" s="99">
        <f>IFERROR(B193/$B$161,0)</f>
        <v/>
      </c>
      <c r="J193" s="99">
        <f>IFERROR(K193/$B$2,0)</f>
        <v/>
      </c>
      <c r="K193" s="128" t="n">
        <v>0</v>
      </c>
      <c r="L193" s="99">
        <f>IFERROR(K193/$B$2,0)</f>
        <v/>
      </c>
      <c r="M193" s="99">
        <f>IFERROR(L193*E193,0)</f>
        <v/>
      </c>
      <c r="N193" s="129" t="n"/>
      <c r="O193" s="44" t="n">
        <v>250</v>
      </c>
      <c r="P193" s="44" t="n">
        <v>300</v>
      </c>
      <c r="Q193" s="99">
        <f>L193</f>
        <v/>
      </c>
      <c r="R193" s="99" t="n">
        <v>0.0007137758743754461</v>
      </c>
      <c r="T193" s="99" t="n"/>
      <c r="U193" s="49">
        <f>IFERROR(ROUND(T193/L193,2),0)</f>
        <v/>
      </c>
    </row>
    <row r="194">
      <c r="A194" s="13" t="inlineStr">
        <is>
          <t>(300, 350]</t>
        </is>
      </c>
      <c r="B194" s="137" t="n">
        <v>634943</v>
      </c>
      <c r="C194" s="137" t="n">
        <v>102989687025</v>
      </c>
      <c r="D194" s="99">
        <f>IFERROR(B194/$B$161,0)</f>
        <v/>
      </c>
      <c r="E194" s="131">
        <f>IFERROR(C194/B194/500.0,0)</f>
        <v/>
      </c>
      <c r="F194" s="129" t="n"/>
      <c r="G194" s="13" t="inlineStr">
        <is>
          <t>(300, 350]</t>
        </is>
      </c>
      <c r="H194" s="127" t="n">
        <v>1</v>
      </c>
      <c r="I194" s="99">
        <f>IFERROR(B194/$B$161,0)</f>
        <v/>
      </c>
      <c r="J194" s="99">
        <f>IFERROR(K194/$B$2,0)</f>
        <v/>
      </c>
      <c r="K194" s="128" t="n">
        <v>0</v>
      </c>
      <c r="L194" s="99">
        <f>IFERROR(K194/$B$2,0)</f>
        <v/>
      </c>
      <c r="M194" s="99">
        <f>IFERROR(L194*E194,0)</f>
        <v/>
      </c>
      <c r="N194" s="129" t="n"/>
      <c r="O194" s="44" t="n">
        <v>300</v>
      </c>
      <c r="P194" s="44" t="n">
        <v>350</v>
      </c>
      <c r="Q194" s="99">
        <f>L194</f>
        <v/>
      </c>
      <c r="R194" s="99" t="n">
        <v>0</v>
      </c>
      <c r="T194" s="99" t="n"/>
      <c r="U194" s="49">
        <f>IFERROR(ROUND(T194/L194,2),0)</f>
        <v/>
      </c>
    </row>
    <row r="195">
      <c r="A195" s="13" t="inlineStr">
        <is>
          <t>(350, 400]</t>
        </is>
      </c>
      <c r="B195" s="137" t="n">
        <v>549244</v>
      </c>
      <c r="C195" s="137" t="n">
        <v>102817847325</v>
      </c>
      <c r="D195" s="99">
        <f>IFERROR(B195/$B$161,0)</f>
        <v/>
      </c>
      <c r="E195" s="131">
        <f>IFERROR(C195/B195/500.0,0)</f>
        <v/>
      </c>
      <c r="F195" s="129" t="n"/>
      <c r="G195" s="13" t="inlineStr">
        <is>
          <t>(350, 400]</t>
        </is>
      </c>
      <c r="H195" s="127" t="n">
        <v>1</v>
      </c>
      <c r="I195" s="99">
        <f>IFERROR(B195/$B$161,0)</f>
        <v/>
      </c>
      <c r="J195" s="99">
        <f>IFERROR(K195/$B$2,0)</f>
        <v/>
      </c>
      <c r="K195" s="128" t="n">
        <v>0</v>
      </c>
      <c r="L195" s="99">
        <f>IFERROR(K195/$B$2,0)</f>
        <v/>
      </c>
      <c r="M195" s="99">
        <f>IFERROR(L195*E195,0)</f>
        <v/>
      </c>
      <c r="N195" s="129" t="n"/>
      <c r="O195" s="44" t="n">
        <v>350</v>
      </c>
      <c r="P195" s="44" t="n">
        <v>400</v>
      </c>
      <c r="Q195" s="99">
        <f>L195</f>
        <v/>
      </c>
      <c r="R195" s="99" t="n">
        <v>0.001427551748750892</v>
      </c>
      <c r="T195" s="99" t="n"/>
      <c r="U195" s="49">
        <f>IFERROR(ROUND(T195/L195,2),0)</f>
        <v/>
      </c>
    </row>
    <row r="196">
      <c r="A196" s="13" t="inlineStr">
        <is>
          <t>(400, 450]</t>
        </is>
      </c>
      <c r="B196" s="137" t="n">
        <v>474685</v>
      </c>
      <c r="C196" s="137" t="n">
        <v>100736974000</v>
      </c>
      <c r="D196" s="99">
        <f>IFERROR(B196/$B$161,0)</f>
        <v/>
      </c>
      <c r="E196" s="131">
        <f>IFERROR(C196/B196/500.0,0)</f>
        <v/>
      </c>
      <c r="F196" s="129" t="n"/>
      <c r="G196" s="13" t="inlineStr">
        <is>
          <t>(400, 450]</t>
        </is>
      </c>
      <c r="H196" s="127" t="n">
        <v>1</v>
      </c>
      <c r="I196" s="99">
        <f>IFERROR(B196/$B$161,0)</f>
        <v/>
      </c>
      <c r="J196" s="99">
        <f>IFERROR(K196/$B$2,0)</f>
        <v/>
      </c>
      <c r="K196" s="128" t="n">
        <v>0</v>
      </c>
      <c r="L196" s="99">
        <f>IFERROR(K196/$B$2,0)</f>
        <v/>
      </c>
      <c r="M196" s="99">
        <f>IFERROR(L196*E196,0)</f>
        <v/>
      </c>
      <c r="N196" s="129" t="n"/>
      <c r="O196" s="44" t="n">
        <v>400</v>
      </c>
      <c r="P196" s="44" t="n">
        <v>450</v>
      </c>
      <c r="Q196" s="99">
        <f>L196</f>
        <v/>
      </c>
      <c r="R196" s="99" t="n">
        <v>0</v>
      </c>
      <c r="T196" s="99" t="n"/>
      <c r="U196" s="49">
        <f>IFERROR(ROUND(T196/L196,2),0)</f>
        <v/>
      </c>
    </row>
    <row r="197">
      <c r="A197" s="13" t="inlineStr">
        <is>
          <t>(450, 500]</t>
        </is>
      </c>
      <c r="B197" s="137" t="n">
        <v>410001</v>
      </c>
      <c r="C197" s="137" t="n">
        <v>97259284425</v>
      </c>
      <c r="D197" s="99">
        <f>IFERROR(B197/$B$161,0)</f>
        <v/>
      </c>
      <c r="E197" s="131">
        <f>IFERROR(C197/B197/500.0,0)</f>
        <v/>
      </c>
      <c r="F197" s="129" t="n"/>
      <c r="G197" s="13" t="inlineStr">
        <is>
          <t>(450, 500]</t>
        </is>
      </c>
      <c r="H197" s="127" t="n">
        <v>1</v>
      </c>
      <c r="I197" s="99">
        <f>IFERROR(B197/$B$161,0)</f>
        <v/>
      </c>
      <c r="J197" s="99">
        <f>IFERROR(K197/$B$2,0)</f>
        <v/>
      </c>
      <c r="K197" s="128" t="n">
        <v>0</v>
      </c>
      <c r="L197" s="99">
        <f>IFERROR(K197/$B$2,0)</f>
        <v/>
      </c>
      <c r="M197" s="99">
        <f>IFERROR(L197*E197,0)</f>
        <v/>
      </c>
      <c r="N197" s="129" t="n"/>
      <c r="O197" s="44" t="n">
        <v>450</v>
      </c>
      <c r="P197" s="44" t="n">
        <v>500</v>
      </c>
      <c r="Q197" s="99">
        <f>L197</f>
        <v/>
      </c>
      <c r="R197" s="99" t="n">
        <v>0.0007137758743754461</v>
      </c>
      <c r="T197" s="99" t="n"/>
      <c r="U197" s="49">
        <f>IFERROR(ROUND(T197/L197,2),0)</f>
        <v/>
      </c>
    </row>
    <row r="198">
      <c r="A198" s="13" t="inlineStr">
        <is>
          <t>(500, 550]</t>
        </is>
      </c>
      <c r="B198" s="137" t="n">
        <v>357096</v>
      </c>
      <c r="C198" s="137" t="n">
        <v>93642085625</v>
      </c>
      <c r="D198" s="99">
        <f>IFERROR(B198/$B$161,0)</f>
        <v/>
      </c>
      <c r="E198" s="131">
        <f>IFERROR(C198/B198/500.0,0)</f>
        <v/>
      </c>
      <c r="F198" s="129" t="n"/>
      <c r="G198" s="13" t="inlineStr">
        <is>
          <t>(500, 550]</t>
        </is>
      </c>
      <c r="H198" s="127" t="n">
        <v>1</v>
      </c>
      <c r="I198" s="99">
        <f>IFERROR(B198/$B$161,0)</f>
        <v/>
      </c>
      <c r="J198" s="99">
        <f>IFERROR(K198/$B$2,0)</f>
        <v/>
      </c>
      <c r="K198" s="128" t="n">
        <v>0</v>
      </c>
      <c r="L198" s="99">
        <f>IFERROR(K198/$B$2,0)</f>
        <v/>
      </c>
      <c r="M198" s="99">
        <f>IFERROR(L198*E198,0)</f>
        <v/>
      </c>
      <c r="N198" s="129" t="n"/>
      <c r="O198" s="44" t="n">
        <v>500</v>
      </c>
      <c r="P198" s="44" t="n">
        <v>550</v>
      </c>
      <c r="Q198" s="99">
        <f>L198</f>
        <v/>
      </c>
      <c r="R198" s="99" t="n">
        <v>0</v>
      </c>
      <c r="T198" s="99" t="n"/>
      <c r="U198" s="49">
        <f>IFERROR(ROUND(T198/L198,2),0)</f>
        <v/>
      </c>
    </row>
    <row r="199">
      <c r="A199" s="13" t="inlineStr">
        <is>
          <t>(550, 600]</t>
        </is>
      </c>
      <c r="B199" s="137" t="n">
        <v>309666</v>
      </c>
      <c r="C199" s="137" t="n">
        <v>88939242850</v>
      </c>
      <c r="D199" s="99">
        <f>IFERROR(B199/$B$161,0)</f>
        <v/>
      </c>
      <c r="E199" s="131">
        <f>IFERROR(C199/B199/500.0,0)</f>
        <v/>
      </c>
      <c r="F199" s="129" t="n"/>
      <c r="G199" s="13" t="inlineStr">
        <is>
          <t>(550, 600]</t>
        </is>
      </c>
      <c r="H199" s="127" t="n">
        <v>1</v>
      </c>
      <c r="I199" s="99">
        <f>IFERROR(B199/$B$161,0)</f>
        <v/>
      </c>
      <c r="J199" s="99">
        <f>IFERROR(K199/$B$2,0)</f>
        <v/>
      </c>
      <c r="K199" s="128" t="n">
        <v>0</v>
      </c>
      <c r="L199" s="99">
        <f>IFERROR(K199/$B$2,0)</f>
        <v/>
      </c>
      <c r="M199" s="99">
        <f>IFERROR(L199*E199,0)</f>
        <v/>
      </c>
      <c r="N199" s="129" t="n"/>
      <c r="O199" s="44" t="n">
        <v>550</v>
      </c>
      <c r="P199" s="44" t="n">
        <v>600</v>
      </c>
      <c r="Q199" s="99">
        <f>L199</f>
        <v/>
      </c>
      <c r="R199" s="99" t="n">
        <v>0</v>
      </c>
      <c r="T199" s="99" t="n"/>
      <c r="U199" s="49">
        <f>IFERROR(ROUND(T199/L199,2),0)</f>
        <v/>
      </c>
    </row>
    <row r="200">
      <c r="A200" s="13" t="inlineStr">
        <is>
          <t>(600, 650]</t>
        </is>
      </c>
      <c r="B200" s="137" t="n">
        <v>269178</v>
      </c>
      <c r="C200" s="137" t="n">
        <v>84042237925</v>
      </c>
      <c r="D200" s="99">
        <f>IFERROR(B200/$B$161,0)</f>
        <v/>
      </c>
      <c r="E200" s="131">
        <f>IFERROR(C200/B200/500.0,0)</f>
        <v/>
      </c>
      <c r="F200" s="129" t="n"/>
      <c r="G200" s="13" t="inlineStr">
        <is>
          <t>(600, 650]</t>
        </is>
      </c>
      <c r="H200" s="127" t="n">
        <v>1</v>
      </c>
      <c r="I200" s="99">
        <f>IFERROR(B200/$B$161,0)</f>
        <v/>
      </c>
      <c r="J200" s="99">
        <f>IFERROR(K200/$B$2,0)</f>
        <v/>
      </c>
      <c r="K200" s="128" t="n">
        <v>0</v>
      </c>
      <c r="L200" s="99">
        <f>IFERROR(K200/$B$2,0)</f>
        <v/>
      </c>
      <c r="M200" s="99">
        <f>IFERROR(L200*E200,0)</f>
        <v/>
      </c>
      <c r="N200" s="129" t="n"/>
      <c r="O200" s="44" t="n">
        <v>600</v>
      </c>
      <c r="P200" s="44" t="n">
        <v>650</v>
      </c>
      <c r="Q200" s="99">
        <f>L200</f>
        <v/>
      </c>
      <c r="R200" s="99" t="n">
        <v>0</v>
      </c>
      <c r="T200" s="99" t="n"/>
      <c r="U200" s="49">
        <f>IFERROR(ROUND(T200/L200,2),0)</f>
        <v/>
      </c>
    </row>
    <row r="201">
      <c r="A201" s="13" t="inlineStr">
        <is>
          <t>(650, 700]</t>
        </is>
      </c>
      <c r="B201" s="137" t="n">
        <v>234744</v>
      </c>
      <c r="C201" s="137" t="n">
        <v>79155744275</v>
      </c>
      <c r="D201" s="99">
        <f>IFERROR(B201/$B$161,0)</f>
        <v/>
      </c>
      <c r="E201" s="131">
        <f>IFERROR(C201/B201/500.0,0)</f>
        <v/>
      </c>
      <c r="F201" s="129" t="n"/>
      <c r="G201" s="13" t="inlineStr">
        <is>
          <t>(650, 700]</t>
        </is>
      </c>
      <c r="H201" s="127" t="n">
        <v>1</v>
      </c>
      <c r="I201" s="99">
        <f>IFERROR(B201/$B$161,0)</f>
        <v/>
      </c>
      <c r="J201" s="99">
        <f>IFERROR(K201/$B$2,0)</f>
        <v/>
      </c>
      <c r="K201" s="128" t="n">
        <v>0</v>
      </c>
      <c r="L201" s="99">
        <f>IFERROR(K201/$B$2,0)</f>
        <v/>
      </c>
      <c r="M201" s="99">
        <f>IFERROR(L201*E201,0)</f>
        <v/>
      </c>
      <c r="N201" s="129" t="n"/>
      <c r="O201" s="44" t="n">
        <v>650</v>
      </c>
      <c r="P201" s="44" t="n">
        <v>700</v>
      </c>
      <c r="Q201" s="99">
        <f>L201</f>
        <v/>
      </c>
      <c r="R201" s="99" t="n">
        <v>0</v>
      </c>
      <c r="T201" s="99" t="n"/>
      <c r="U201" s="49">
        <f>IFERROR(ROUND(T201/L201,2),0)</f>
        <v/>
      </c>
    </row>
    <row r="202">
      <c r="A202" s="13" t="inlineStr">
        <is>
          <t>(700, 750]</t>
        </is>
      </c>
      <c r="B202" s="137" t="n">
        <v>206008</v>
      </c>
      <c r="C202" s="137" t="n">
        <v>74620456200</v>
      </c>
      <c r="D202" s="99">
        <f>IFERROR(B202/$B$161,0)</f>
        <v/>
      </c>
      <c r="E202" s="131">
        <f>IFERROR(C202/B202/500.0,0)</f>
        <v/>
      </c>
      <c r="F202" s="129" t="n"/>
      <c r="G202" s="13" t="inlineStr">
        <is>
          <t>(700, 750]</t>
        </is>
      </c>
      <c r="H202" s="127" t="n">
        <v>1</v>
      </c>
      <c r="I202" s="99">
        <f>IFERROR(B202/$B$161,0)</f>
        <v/>
      </c>
      <c r="J202" s="99">
        <f>IFERROR(K202/$B$2,0)</f>
        <v/>
      </c>
      <c r="K202" s="128" t="n">
        <v>0</v>
      </c>
      <c r="L202" s="99">
        <f>IFERROR(K202/$B$2,0)</f>
        <v/>
      </c>
      <c r="M202" s="99">
        <f>IFERROR(L202*E202,0)</f>
        <v/>
      </c>
      <c r="N202" s="129" t="n"/>
      <c r="O202" s="44" t="n">
        <v>700</v>
      </c>
      <c r="P202" s="44" t="n">
        <v>750</v>
      </c>
      <c r="Q202" s="99">
        <f>L202</f>
        <v/>
      </c>
      <c r="R202" s="99" t="n">
        <v>0</v>
      </c>
      <c r="T202" s="99" t="n"/>
      <c r="U202" s="49">
        <f>IFERROR(ROUND(T202/L202,2),0)</f>
        <v/>
      </c>
    </row>
    <row r="203">
      <c r="A203" s="13" t="inlineStr">
        <is>
          <t>(750, 800]</t>
        </is>
      </c>
      <c r="B203" s="137" t="n">
        <v>180585</v>
      </c>
      <c r="C203" s="137" t="n">
        <v>69923898425</v>
      </c>
      <c r="D203" s="99">
        <f>IFERROR(B203/$B$161,0)</f>
        <v/>
      </c>
      <c r="E203" s="131">
        <f>IFERROR(C203/B203/500.0,0)</f>
        <v/>
      </c>
      <c r="F203" s="129" t="n"/>
      <c r="G203" s="13" t="inlineStr">
        <is>
          <t>(750, 800]</t>
        </is>
      </c>
      <c r="H203" s="127" t="n">
        <v>1</v>
      </c>
      <c r="I203" s="99">
        <f>IFERROR(B203/$B$161,0)</f>
        <v/>
      </c>
      <c r="J203" s="99">
        <f>IFERROR(K203/$B$2,0)</f>
        <v/>
      </c>
      <c r="K203" s="128" t="n">
        <v>0</v>
      </c>
      <c r="L203" s="99">
        <f>IFERROR(K203/$B$2,0)</f>
        <v/>
      </c>
      <c r="M203" s="99">
        <f>IFERROR(L203*E203,0)</f>
        <v/>
      </c>
      <c r="N203" s="129" t="n"/>
      <c r="O203" s="44" t="n">
        <v>750</v>
      </c>
      <c r="P203" s="44" t="n">
        <v>800</v>
      </c>
      <c r="Q203" s="99">
        <f>L203</f>
        <v/>
      </c>
      <c r="R203" s="99" t="n">
        <v>0.0007137758743754461</v>
      </c>
      <c r="T203" s="99" t="n"/>
      <c r="U203" s="49">
        <f>IFERROR(ROUND(T203/L203,2),0)</f>
        <v/>
      </c>
    </row>
    <row r="204">
      <c r="A204" s="13" t="inlineStr">
        <is>
          <t>(800, 850]</t>
        </is>
      </c>
      <c r="B204" s="137" t="n">
        <v>158461</v>
      </c>
      <c r="C204" s="137" t="n">
        <v>65325578175</v>
      </c>
      <c r="D204" s="99">
        <f>IFERROR(B204/$B$161,0)</f>
        <v/>
      </c>
      <c r="E204" s="131">
        <f>IFERROR(C204/B204/500.0,0)</f>
        <v/>
      </c>
      <c r="F204" s="129" t="n"/>
      <c r="G204" s="13" t="inlineStr">
        <is>
          <t>(800, 850]</t>
        </is>
      </c>
      <c r="H204" s="127" t="n">
        <v>1</v>
      </c>
      <c r="I204" s="99">
        <f>IFERROR(B204/$B$161,0)</f>
        <v/>
      </c>
      <c r="J204" s="99">
        <f>IFERROR(K204/$B$2,0)</f>
        <v/>
      </c>
      <c r="K204" s="128" t="n">
        <v>0</v>
      </c>
      <c r="L204" s="99">
        <f>IFERROR(K204/$B$2,0)</f>
        <v/>
      </c>
      <c r="M204" s="99">
        <f>IFERROR(L204*E204,0)</f>
        <v/>
      </c>
      <c r="N204" s="129" t="n"/>
      <c r="O204" s="44" t="n">
        <v>800</v>
      </c>
      <c r="P204" s="44" t="n">
        <v>850</v>
      </c>
      <c r="Q204" s="99">
        <f>L204</f>
        <v/>
      </c>
      <c r="R204" s="99" t="n">
        <v>0</v>
      </c>
      <c r="T204" s="99" t="n"/>
      <c r="U204" s="49">
        <f>IFERROR(ROUND(T204/L204,2),0)</f>
        <v/>
      </c>
    </row>
    <row r="205">
      <c r="A205" s="13" t="inlineStr">
        <is>
          <t>(850, 900]</t>
        </is>
      </c>
      <c r="B205" s="137" t="n">
        <v>139537</v>
      </c>
      <c r="C205" s="137" t="n">
        <v>61005744150</v>
      </c>
      <c r="D205" s="99">
        <f>IFERROR(B205/$B$161,0)</f>
        <v/>
      </c>
      <c r="E205" s="131">
        <f>IFERROR(C205/B205/500.0,0)</f>
        <v/>
      </c>
      <c r="F205" s="129" t="n"/>
      <c r="G205" s="13" t="inlineStr">
        <is>
          <t>(850, 900]</t>
        </is>
      </c>
      <c r="H205" s="127" t="n">
        <v>1</v>
      </c>
      <c r="I205" s="99">
        <f>IFERROR(B205/$B$161,0)</f>
        <v/>
      </c>
      <c r="J205" s="99">
        <f>IFERROR(K205/$B$2,0)</f>
        <v/>
      </c>
      <c r="K205" s="133" t="n">
        <v>0</v>
      </c>
      <c r="L205" s="99">
        <f>IFERROR(K205/$B$2,0)</f>
        <v/>
      </c>
      <c r="M205" s="99">
        <f>IFERROR(L205*E205,0)</f>
        <v/>
      </c>
      <c r="N205" s="129" t="n"/>
      <c r="O205" s="44" t="n">
        <v>850</v>
      </c>
      <c r="P205" s="44" t="n">
        <v>900</v>
      </c>
      <c r="Q205" s="99">
        <f>L205</f>
        <v/>
      </c>
      <c r="R205" s="99" t="n">
        <v>0</v>
      </c>
      <c r="T205" s="99" t="n"/>
      <c r="U205" s="49">
        <f>IFERROR(ROUND(T205/L205,2),0)</f>
        <v/>
      </c>
    </row>
    <row r="206">
      <c r="A206" s="13" t="inlineStr">
        <is>
          <t>(900, 950]</t>
        </is>
      </c>
      <c r="B206" s="137" t="n">
        <v>123154</v>
      </c>
      <c r="C206" s="137" t="n">
        <v>56926954100</v>
      </c>
      <c r="D206" s="99">
        <f>IFERROR(B206/$B$161,0)</f>
        <v/>
      </c>
      <c r="E206" s="131">
        <f>IFERROR(C206/B206/500.0,0)</f>
        <v/>
      </c>
      <c r="F206" s="129" t="n"/>
      <c r="G206" s="13" t="inlineStr">
        <is>
          <t>(900, 950]</t>
        </is>
      </c>
      <c r="H206" s="127" t="n">
        <v>1</v>
      </c>
      <c r="I206" s="99">
        <f>IFERROR(B206/$B$161,0)</f>
        <v/>
      </c>
      <c r="J206" s="99">
        <f>IFERROR(K206/$B$2,0)</f>
        <v/>
      </c>
      <c r="K206" s="133" t="n">
        <v>0</v>
      </c>
      <c r="L206" s="99">
        <f>IFERROR(K206/$B$2,0)</f>
        <v/>
      </c>
      <c r="M206" s="99">
        <f>IFERROR(L206*E206,0)</f>
        <v/>
      </c>
      <c r="N206" s="129" t="n"/>
      <c r="O206" s="44" t="n">
        <v>900</v>
      </c>
      <c r="P206" s="44" t="n">
        <v>950</v>
      </c>
      <c r="Q206" s="99">
        <f>L206</f>
        <v/>
      </c>
      <c r="R206" s="99" t="n">
        <v>0</v>
      </c>
      <c r="T206" s="99" t="n"/>
      <c r="U206" s="49">
        <f>IFERROR(ROUND(T206/L206,2),0)</f>
        <v/>
      </c>
    </row>
    <row r="207">
      <c r="A207" s="13" t="inlineStr">
        <is>
          <t>(950, 1000]</t>
        </is>
      </c>
      <c r="B207" s="137" t="n">
        <v>108754</v>
      </c>
      <c r="C207" s="137" t="n">
        <v>52991640575</v>
      </c>
      <c r="D207" s="99">
        <f>IFERROR(B207/$B$161,0)</f>
        <v/>
      </c>
      <c r="E207" s="131">
        <f>IFERROR(C207/B207/500.0,0)</f>
        <v/>
      </c>
      <c r="F207" s="129" t="n"/>
      <c r="G207" s="13" t="inlineStr">
        <is>
          <t>(950, 1000]</t>
        </is>
      </c>
      <c r="H207" s="127" t="n">
        <v>1</v>
      </c>
      <c r="I207" s="99">
        <f>IFERROR(B207/$B$161,0)</f>
        <v/>
      </c>
      <c r="J207" s="99">
        <f>IFERROR(K207/$B$2,0)</f>
        <v/>
      </c>
      <c r="K207" s="133" t="n">
        <v>0</v>
      </c>
      <c r="L207" s="99">
        <f>IFERROR(K207/$B$2,0)</f>
        <v/>
      </c>
      <c r="M207" s="99">
        <f>IFERROR(L207*E207,0)</f>
        <v/>
      </c>
      <c r="N207" s="129" t="n"/>
      <c r="O207" s="44" t="n">
        <v>950</v>
      </c>
      <c r="P207" s="44" t="n">
        <v>1000</v>
      </c>
      <c r="Q207" s="99">
        <f>L207</f>
        <v/>
      </c>
      <c r="R207" s="99" t="n">
        <v>0</v>
      </c>
      <c r="T207" s="99" t="n"/>
      <c r="U207" s="49">
        <f>IFERROR(ROUND(T207/L207,2),0)</f>
        <v/>
      </c>
    </row>
    <row r="208">
      <c r="A208" s="13" t="inlineStr">
        <is>
          <t>(1000, 2000]</t>
        </is>
      </c>
      <c r="B208" s="137" t="n">
        <v>812705</v>
      </c>
      <c r="C208" s="137" t="n">
        <v>541922478250</v>
      </c>
      <c r="D208" s="99">
        <f>IFERROR(B208/$B$161,0)</f>
        <v/>
      </c>
      <c r="E208" s="131">
        <f>IFERROR(C208/B208/500.0,0)</f>
        <v/>
      </c>
      <c r="F208" s="129" t="n"/>
      <c r="G208" s="13" t="inlineStr">
        <is>
          <t>(1000, 2000]</t>
        </is>
      </c>
      <c r="H208" s="127" t="n">
        <v>1</v>
      </c>
      <c r="I208" s="99">
        <f>IFERROR(B208/$B$161,0)</f>
        <v/>
      </c>
      <c r="J208" s="99">
        <f>IFERROR(K208/$B$2,0)</f>
        <v/>
      </c>
      <c r="K208" s="133" t="n">
        <v>0</v>
      </c>
      <c r="L208" s="99">
        <f>IFERROR(K208/$B$2,0)</f>
        <v/>
      </c>
      <c r="M208" s="99">
        <f>IFERROR(L208*E208,0)</f>
        <v/>
      </c>
      <c r="N208" s="129" t="n"/>
      <c r="O208" s="44" t="n">
        <v>1000</v>
      </c>
      <c r="P208" s="44" t="n">
        <v>2000</v>
      </c>
      <c r="Q208" s="99">
        <f>L208</f>
        <v/>
      </c>
      <c r="R208" s="99" t="n">
        <v>0</v>
      </c>
      <c r="T208" s="99" t="n"/>
      <c r="U208" s="49">
        <f>IFERROR(ROUND(T208/L208,2),0)</f>
        <v/>
      </c>
    </row>
    <row r="209">
      <c r="A209" s="13" t="inlineStr">
        <is>
          <t>(2000, 3000]</t>
        </is>
      </c>
      <c r="B209" s="137" t="n">
        <v>121995</v>
      </c>
      <c r="C209" s="137" t="n">
        <v>144832714050</v>
      </c>
      <c r="D209" s="99">
        <f>IFERROR(B209/$B$161,0)</f>
        <v/>
      </c>
      <c r="E209" s="131">
        <f>IFERROR(C209/B209/500.0,0)</f>
        <v/>
      </c>
      <c r="F209" s="129" t="n"/>
      <c r="G209" s="13" t="inlineStr">
        <is>
          <t>(2000, 3000]</t>
        </is>
      </c>
      <c r="H209" s="127" t="n">
        <v>1</v>
      </c>
      <c r="I209" s="99">
        <f>IFERROR(B209/$B$161,0)</f>
        <v/>
      </c>
      <c r="J209" s="99">
        <f>IFERROR(K209/$B$2,0)</f>
        <v/>
      </c>
      <c r="K209" s="133" t="n">
        <v>0</v>
      </c>
      <c r="L209" s="99">
        <f>IFERROR(K209/$B$2,0)</f>
        <v/>
      </c>
      <c r="M209" s="99">
        <f>IFERROR(L209*E209,0)</f>
        <v/>
      </c>
      <c r="N209" s="129" t="n"/>
      <c r="O209" s="44" t="n">
        <v>2000</v>
      </c>
      <c r="P209" s="44" t="n">
        <v>3000</v>
      </c>
      <c r="Q209" s="99">
        <f>L209</f>
        <v/>
      </c>
      <c r="R209" s="99" t="n">
        <v>0</v>
      </c>
      <c r="T209" s="99" t="n"/>
      <c r="U209" s="49">
        <f>IFERROR(ROUND(T209/L209,2),0)</f>
        <v/>
      </c>
    </row>
    <row r="210">
      <c r="A210" s="13" t="inlineStr">
        <is>
          <t>(3000, 4000]</t>
        </is>
      </c>
      <c r="B210" s="137" t="n">
        <v>32360</v>
      </c>
      <c r="C210" s="137" t="n">
        <v>55313613875</v>
      </c>
      <c r="D210" s="99">
        <f>IFERROR(B210/$B$161,0)</f>
        <v/>
      </c>
      <c r="E210" s="131">
        <f>IFERROR(C210/B210/500.0,0)</f>
        <v/>
      </c>
      <c r="F210" s="129" t="n"/>
      <c r="G210" s="13" t="inlineStr">
        <is>
          <t>(3000, 4000]</t>
        </is>
      </c>
      <c r="H210" s="127" t="n">
        <v>1</v>
      </c>
      <c r="I210" s="99">
        <f>IFERROR(B210/$B$161,0)</f>
        <v/>
      </c>
      <c r="J210" s="99">
        <f>IFERROR(K210/$B$2,0)</f>
        <v/>
      </c>
      <c r="K210" s="133" t="n">
        <v>0</v>
      </c>
      <c r="L210" s="99">
        <f>IFERROR(K210/$B$2,0)</f>
        <v/>
      </c>
      <c r="M210" s="99">
        <f>IFERROR(L210*E210,0)</f>
        <v/>
      </c>
      <c r="N210" s="129" t="n"/>
      <c r="O210" s="44" t="n">
        <v>3000</v>
      </c>
      <c r="P210" s="44" t="n">
        <v>4000</v>
      </c>
      <c r="Q210" s="99">
        <f>L210</f>
        <v/>
      </c>
      <c r="R210" s="99" t="n">
        <v>0</v>
      </c>
      <c r="T210" s="99" t="n"/>
      <c r="U210" s="49">
        <f>IFERROR(ROUND(T210/L210,2),0)</f>
        <v/>
      </c>
    </row>
    <row r="211">
      <c r="A211" s="13" t="inlineStr">
        <is>
          <t>(4000, 5000]</t>
        </is>
      </c>
      <c r="B211" s="137" t="n">
        <v>13906</v>
      </c>
      <c r="C211" s="137" t="n">
        <v>30929337225</v>
      </c>
      <c r="D211" s="99">
        <f>IFERROR(B211/$B$161,0)</f>
        <v/>
      </c>
      <c r="E211" s="131">
        <f>IFERROR(C211/B211/500.0,0)</f>
        <v/>
      </c>
      <c r="F211" s="129" t="n"/>
      <c r="G211" s="13" t="inlineStr">
        <is>
          <t>(4000, 5000]</t>
        </is>
      </c>
      <c r="H211" s="127" t="n">
        <v>1</v>
      </c>
      <c r="I211" s="99">
        <f>IFERROR(B211/$B$161,0)</f>
        <v/>
      </c>
      <c r="J211" s="99">
        <f>IFERROR(K211/$B$2,0)</f>
        <v/>
      </c>
      <c r="K211" s="133" t="n">
        <v>0</v>
      </c>
      <c r="L211" s="99">
        <f>IFERROR(K211/$B$2,0)</f>
        <v/>
      </c>
      <c r="M211" s="99">
        <f>IFERROR(L211*E211,0)</f>
        <v/>
      </c>
      <c r="N211" s="129" t="n"/>
      <c r="O211" s="44" t="n">
        <v>4000</v>
      </c>
      <c r="P211" s="44" t="n">
        <v>5000</v>
      </c>
      <c r="Q211" s="99">
        <f>L211</f>
        <v/>
      </c>
      <c r="R211" s="99" t="n">
        <v>0</v>
      </c>
      <c r="T211" s="99" t="n"/>
      <c r="U211" s="49">
        <f>IFERROR(ROUND(T211/L211,2),0)</f>
        <v/>
      </c>
    </row>
    <row r="212">
      <c r="A212" s="13" t="inlineStr">
        <is>
          <t>(5000, 6000]</t>
        </is>
      </c>
      <c r="B212" s="137" t="n">
        <v>8328</v>
      </c>
      <c r="C212" s="137" t="n">
        <v>22769281575</v>
      </c>
      <c r="D212" s="99">
        <f>IFERROR(B212/$B$161,0)</f>
        <v/>
      </c>
      <c r="E212" s="131">
        <f>IFERROR(C212/B212/500.0,0)</f>
        <v/>
      </c>
      <c r="F212" s="129" t="n"/>
      <c r="G212" s="13" t="inlineStr">
        <is>
          <t>(5000, 6000]</t>
        </is>
      </c>
      <c r="H212" s="127" t="n">
        <v>1</v>
      </c>
      <c r="I212" s="99">
        <f>IFERROR(B212/$B$161,0)</f>
        <v/>
      </c>
      <c r="J212" s="99">
        <f>IFERROR(K212/$B$2,0)</f>
        <v/>
      </c>
      <c r="K212" s="133" t="n">
        <v>0</v>
      </c>
      <c r="L212" s="99">
        <f>IFERROR(K212/$B$2,0)</f>
        <v/>
      </c>
      <c r="M212" s="99">
        <f>IFERROR(L212*E212,0)</f>
        <v/>
      </c>
      <c r="N212" s="129" t="n"/>
      <c r="O212" s="44" t="n">
        <v>5000</v>
      </c>
      <c r="P212" s="44" t="n">
        <v>6000</v>
      </c>
      <c r="Q212" s="99">
        <f>L212</f>
        <v/>
      </c>
      <c r="R212" s="99" t="n">
        <v>0</v>
      </c>
      <c r="T212" s="99" t="n"/>
      <c r="U212" s="49">
        <f>IFERROR(ROUND(T212/L212,2),0)</f>
        <v/>
      </c>
    </row>
    <row r="213">
      <c r="A213" s="13" t="inlineStr">
        <is>
          <t>(6000, 7000]</t>
        </is>
      </c>
      <c r="B213" s="137" t="n">
        <v>5869</v>
      </c>
      <c r="C213" s="137" t="n">
        <v>19004181700</v>
      </c>
      <c r="D213" s="99">
        <f>IFERROR(B213/$B$161,0)</f>
        <v/>
      </c>
      <c r="E213" s="131">
        <f>IFERROR(C213/B213/500.0,0)</f>
        <v/>
      </c>
      <c r="F213" s="129" t="n"/>
      <c r="G213" s="13" t="inlineStr">
        <is>
          <t>(6000, 7000]</t>
        </is>
      </c>
      <c r="H213" s="127" t="n">
        <v>1</v>
      </c>
      <c r="I213" s="99">
        <f>IFERROR(B213/$B$161,0)</f>
        <v/>
      </c>
      <c r="J213" s="99">
        <f>IFERROR(K213/$B$2,0)</f>
        <v/>
      </c>
      <c r="K213" s="133" t="n">
        <v>0</v>
      </c>
      <c r="L213" s="99">
        <f>IFERROR(K213/$B$2,0)</f>
        <v/>
      </c>
      <c r="M213" s="99">
        <f>IFERROR(L213*E213,0)</f>
        <v/>
      </c>
      <c r="N213" s="129" t="n"/>
      <c r="O213" s="44" t="n">
        <v>6000</v>
      </c>
      <c r="P213" s="44" t="n">
        <v>7000</v>
      </c>
      <c r="Q213" s="99">
        <f>L213</f>
        <v/>
      </c>
      <c r="R213" s="99" t="n">
        <v>0</v>
      </c>
      <c r="T213" s="99" t="n"/>
      <c r="U213" s="49">
        <f>IFERROR(ROUND(T213/L213,2),0)</f>
        <v/>
      </c>
    </row>
    <row r="214">
      <c r="A214" s="13" t="inlineStr">
        <is>
          <t>(7000, 8000]</t>
        </is>
      </c>
      <c r="B214" s="137" t="n">
        <v>4567</v>
      </c>
      <c r="C214" s="137" t="n">
        <v>17073659775</v>
      </c>
      <c r="D214" s="99">
        <f>IFERROR(B214/$B$161,0)</f>
        <v/>
      </c>
      <c r="E214" s="131">
        <f>IFERROR(C214/B214/500.0,0)</f>
        <v/>
      </c>
      <c r="F214" s="129" t="n"/>
      <c r="G214" s="13" t="inlineStr">
        <is>
          <t>(7000, 8000]</t>
        </is>
      </c>
      <c r="H214" s="127" t="n">
        <v>1</v>
      </c>
      <c r="I214" s="99">
        <f>IFERROR(B214/$B$161,0)</f>
        <v/>
      </c>
      <c r="J214" s="99">
        <f>IFERROR(K214/$B$2,0)</f>
        <v/>
      </c>
      <c r="K214" s="133" t="n">
        <v>0</v>
      </c>
      <c r="L214" s="99">
        <f>IFERROR(K214/$B$2,0)</f>
        <v/>
      </c>
      <c r="M214" s="99">
        <f>IFERROR(L214*E214,0)</f>
        <v/>
      </c>
      <c r="N214" s="129" t="n"/>
      <c r="O214" s="44" t="n">
        <v>7000</v>
      </c>
      <c r="P214" s="44" t="n">
        <v>8000</v>
      </c>
      <c r="Q214" s="99">
        <f>L214</f>
        <v/>
      </c>
      <c r="R214" s="99" t="n">
        <v>0</v>
      </c>
      <c r="T214" s="99" t="n"/>
      <c r="U214" s="49">
        <f>IFERROR(ROUND(T214/L214,2),0)</f>
        <v/>
      </c>
    </row>
    <row r="215">
      <c r="A215" s="13" t="inlineStr">
        <is>
          <t>(8000, 9000]</t>
        </is>
      </c>
      <c r="B215" s="137" t="n">
        <v>3824</v>
      </c>
      <c r="C215" s="137" t="n">
        <v>16222030250</v>
      </c>
      <c r="D215" s="99">
        <f>IFERROR(B215/$B$161,0)</f>
        <v/>
      </c>
      <c r="E215" s="131">
        <f>IFERROR(C215/B215/500.0,0)</f>
        <v/>
      </c>
      <c r="F215" s="129" t="n"/>
      <c r="G215" s="13" t="inlineStr">
        <is>
          <t>(8000, 9000]</t>
        </is>
      </c>
      <c r="H215" s="127" t="n">
        <v>1</v>
      </c>
      <c r="I215" s="99">
        <f>IFERROR(B215/$B$161,0)</f>
        <v/>
      </c>
      <c r="J215" s="99">
        <f>IFERROR(K215/$B$2,0)</f>
        <v/>
      </c>
      <c r="K215" s="133" t="n">
        <v>0</v>
      </c>
      <c r="L215" s="99">
        <f>IFERROR(K215/$B$2,0)</f>
        <v/>
      </c>
      <c r="M215" s="99">
        <f>IFERROR(L215*E215,0)</f>
        <v/>
      </c>
      <c r="N215" s="129" t="n"/>
      <c r="O215" s="44" t="n">
        <v>8000</v>
      </c>
      <c r="P215" s="44" t="n">
        <v>9000</v>
      </c>
      <c r="Q215" s="99">
        <f>L215</f>
        <v/>
      </c>
      <c r="R215" s="99" t="n">
        <v>0</v>
      </c>
      <c r="T215" s="99" t="n"/>
      <c r="U215" s="49">
        <f>IFERROR(ROUND(T215/L215,2),0)</f>
        <v/>
      </c>
    </row>
    <row r="216">
      <c r="A216" s="13" t="inlineStr">
        <is>
          <t>(9000, 10000]</t>
        </is>
      </c>
      <c r="B216" s="137" t="n">
        <v>3053</v>
      </c>
      <c r="C216" s="137" t="n">
        <v>14485521400</v>
      </c>
      <c r="D216" s="99">
        <f>IFERROR(B216/$B$161,0)</f>
        <v/>
      </c>
      <c r="E216" s="131">
        <f>IFERROR(C216/B216/500.0,0)</f>
        <v/>
      </c>
      <c r="F216" s="129" t="n"/>
      <c r="G216" s="13" t="inlineStr">
        <is>
          <t>(9000, 10000]</t>
        </is>
      </c>
      <c r="H216" s="127" t="n">
        <v>1</v>
      </c>
      <c r="I216" s="99">
        <f>IFERROR(B216/$B$161,0)</f>
        <v/>
      </c>
      <c r="J216" s="99">
        <f>IFERROR(K216/$B$2,0)</f>
        <v/>
      </c>
      <c r="K216" s="133" t="n">
        <v>0</v>
      </c>
      <c r="L216" s="99">
        <f>IFERROR(K216/$B$2,0)</f>
        <v/>
      </c>
      <c r="M216" s="99">
        <f>IFERROR(L216*E216,0)</f>
        <v/>
      </c>
      <c r="N216" s="129" t="n"/>
      <c r="O216" s="44" t="n">
        <v>9000</v>
      </c>
      <c r="P216" s="44" t="n">
        <v>10000</v>
      </c>
      <c r="Q216" s="99">
        <f>L216</f>
        <v/>
      </c>
      <c r="R216" s="99" t="n">
        <v>0</v>
      </c>
      <c r="T216" s="99" t="n"/>
      <c r="U216" s="49">
        <f>IFERROR(ROUND(T216/L216,2),0)</f>
        <v/>
      </c>
    </row>
    <row r="217">
      <c r="A217" s="13" t="inlineStr">
        <is>
          <t>(10000, 20000]</t>
        </is>
      </c>
      <c r="B217" s="137" t="n">
        <v>15951</v>
      </c>
      <c r="C217" s="137" t="n">
        <v>112077189850</v>
      </c>
      <c r="D217" s="99">
        <f>IFERROR(B217/$B$161,0)</f>
        <v/>
      </c>
      <c r="E217" s="131">
        <f>IFERROR(C217/B217/500.0,0)</f>
        <v/>
      </c>
      <c r="F217" s="129" t="n"/>
      <c r="G217" s="13" t="inlineStr">
        <is>
          <t>(10000, 20000]</t>
        </is>
      </c>
      <c r="H217" s="127" t="n">
        <v>1</v>
      </c>
      <c r="I217" s="99">
        <f>IFERROR(B217/$B$161,0)</f>
        <v/>
      </c>
      <c r="J217" s="99">
        <f>IFERROR(K217/$B$2,0)</f>
        <v/>
      </c>
      <c r="K217" s="133" t="n">
        <v>0</v>
      </c>
      <c r="L217" s="99">
        <f>IFERROR(K217/$B$2,0)</f>
        <v/>
      </c>
      <c r="M217" s="99">
        <f>IFERROR(L217*E217,0)</f>
        <v/>
      </c>
      <c r="N217" s="129" t="n"/>
      <c r="O217" s="44" t="n">
        <v>10000</v>
      </c>
      <c r="P217" s="44" t="n">
        <v>20000</v>
      </c>
      <c r="Q217" s="99">
        <f>L217</f>
        <v/>
      </c>
      <c r="R217" s="99" t="n">
        <v>0</v>
      </c>
      <c r="T217" s="99" t="n"/>
      <c r="U217" s="49">
        <f>IFERROR(ROUND(T217/L217,2),0)</f>
        <v/>
      </c>
    </row>
    <row r="218">
      <c r="A218" s="13" t="inlineStr">
        <is>
          <t>(20000, 30000]</t>
        </is>
      </c>
      <c r="B218" s="137" t="n">
        <v>6932</v>
      </c>
      <c r="C218" s="137" t="n">
        <v>85225544450</v>
      </c>
      <c r="D218" s="99">
        <f>IFERROR(B218/$B$161,0)</f>
        <v/>
      </c>
      <c r="E218" s="131">
        <f>IFERROR(C218/B218/500.0,0)</f>
        <v/>
      </c>
      <c r="F218" s="129" t="n"/>
      <c r="G218" s="13" t="inlineStr">
        <is>
          <t>(20000, 30000]</t>
        </is>
      </c>
      <c r="H218" s="127" t="n">
        <v>1</v>
      </c>
      <c r="I218" s="99">
        <f>IFERROR(B218/$B$161,0)</f>
        <v/>
      </c>
      <c r="J218" s="99">
        <f>IFERROR(K218/$B$2,0)</f>
        <v/>
      </c>
      <c r="K218" s="133" t="n">
        <v>0</v>
      </c>
      <c r="L218" s="99">
        <f>IFERROR(K218/$B$2,0)</f>
        <v/>
      </c>
      <c r="M218" s="99">
        <f>IFERROR(L218*E218,0)</f>
        <v/>
      </c>
      <c r="N218" s="129" t="n"/>
      <c r="O218" s="44" t="n">
        <v>20000</v>
      </c>
      <c r="P218" s="44" t="n">
        <v>30000</v>
      </c>
      <c r="Q218" s="99">
        <f>L218</f>
        <v/>
      </c>
      <c r="R218" s="99" t="n">
        <v>0</v>
      </c>
      <c r="T218" s="99" t="n"/>
      <c r="U218" s="49">
        <f>IFERROR(ROUND(T218/L218,2),0)</f>
        <v/>
      </c>
    </row>
    <row r="219">
      <c r="A219" s="13" t="inlineStr">
        <is>
          <t>(30000, 40000]</t>
        </is>
      </c>
      <c r="B219" s="137" t="n">
        <v>4992</v>
      </c>
      <c r="C219" s="137" t="n">
        <v>86626772875</v>
      </c>
      <c r="D219" s="99">
        <f>IFERROR(B219/$B$161,0)</f>
        <v/>
      </c>
      <c r="E219" s="131">
        <f>IFERROR(C219/B219/500.0,0)</f>
        <v/>
      </c>
      <c r="F219" s="129" t="n"/>
      <c r="G219" s="13" t="inlineStr">
        <is>
          <t>(30000, 40000]</t>
        </is>
      </c>
      <c r="H219" s="127" t="n">
        <v>1</v>
      </c>
      <c r="I219" s="99">
        <f>IFERROR(B219/$B$161,0)</f>
        <v/>
      </c>
      <c r="J219" s="99">
        <f>IFERROR(K219/$B$2,0)</f>
        <v/>
      </c>
      <c r="K219" s="133" t="n">
        <v>0</v>
      </c>
      <c r="L219" s="99">
        <f>IFERROR(K219/$B$2,0)</f>
        <v/>
      </c>
      <c r="M219" s="99">
        <f>IFERROR(L219*E219,0)</f>
        <v/>
      </c>
      <c r="N219" s="129" t="n"/>
      <c r="O219" s="44" t="n">
        <v>30000</v>
      </c>
      <c r="P219" s="44" t="n">
        <v>40000</v>
      </c>
      <c r="Q219" s="99">
        <f>L219</f>
        <v/>
      </c>
      <c r="R219" s="99" t="n">
        <v>0</v>
      </c>
      <c r="T219" s="99" t="n"/>
      <c r="U219" s="49">
        <f>IFERROR(ROUND(T219/L219,2),0)</f>
        <v/>
      </c>
    </row>
    <row r="220">
      <c r="A220" s="13" t="inlineStr">
        <is>
          <t>(40000, 50000]</t>
        </is>
      </c>
      <c r="B220" s="137" t="n">
        <v>3868</v>
      </c>
      <c r="C220" s="137" t="n">
        <v>86822593775</v>
      </c>
      <c r="D220" s="99">
        <f>IFERROR(B220/$B$161,0)</f>
        <v/>
      </c>
      <c r="E220" s="131">
        <f>IFERROR(C220/B220/500.0,0)</f>
        <v/>
      </c>
      <c r="F220" s="129" t="n"/>
      <c r="G220" s="13" t="inlineStr">
        <is>
          <t>(40000, 50000]</t>
        </is>
      </c>
      <c r="H220" s="127" t="n">
        <v>1</v>
      </c>
      <c r="I220" s="99">
        <f>IFERROR(B220/$B$161,0)</f>
        <v/>
      </c>
      <c r="J220" s="99">
        <f>IFERROR(K220/$B$2,0)</f>
        <v/>
      </c>
      <c r="K220" s="133" t="n">
        <v>0</v>
      </c>
      <c r="L220" s="99">
        <f>IFERROR(K220/$B$2,0)</f>
        <v/>
      </c>
      <c r="M220" s="99">
        <f>IFERROR(L220*E220,0)</f>
        <v/>
      </c>
      <c r="N220" s="129" t="n"/>
      <c r="O220" s="44" t="n">
        <v>40000</v>
      </c>
      <c r="P220" s="44" t="n">
        <v>50000</v>
      </c>
      <c r="Q220" s="99">
        <f>L220</f>
        <v/>
      </c>
      <c r="R220" s="99" t="n">
        <v>0</v>
      </c>
      <c r="T220" s="99" t="n"/>
      <c r="U220" s="49">
        <f>IFERROR(ROUND(T220/L220,2),0)</f>
        <v/>
      </c>
    </row>
    <row r="221">
      <c r="A221" s="13" t="inlineStr">
        <is>
          <t>(50000, 60000]</t>
        </is>
      </c>
      <c r="B221" s="137" t="n">
        <v>3159</v>
      </c>
      <c r="C221" s="137" t="n">
        <v>86662390975</v>
      </c>
      <c r="D221" s="99">
        <f>IFERROR(B221/$B$161,0)</f>
        <v/>
      </c>
      <c r="E221" s="131">
        <f>IFERROR(C221/B221/500.0,0)</f>
        <v/>
      </c>
      <c r="F221" s="129" t="n"/>
      <c r="G221" s="13" t="inlineStr">
        <is>
          <t>(50000, 60000]</t>
        </is>
      </c>
      <c r="H221" s="127" t="n">
        <v>1</v>
      </c>
      <c r="I221" s="99">
        <f>IFERROR(B221/$B$161,0)</f>
        <v/>
      </c>
      <c r="J221" s="99">
        <f>IFERROR(K221/$B$2,0)</f>
        <v/>
      </c>
      <c r="K221" s="133" t="n">
        <v>0</v>
      </c>
      <c r="L221" s="99">
        <f>IFERROR(K221/$B$2,0)</f>
        <v/>
      </c>
      <c r="M221" s="99">
        <f>IFERROR(L221*E221,0)</f>
        <v/>
      </c>
      <c r="N221" s="129" t="n"/>
      <c r="O221" s="44" t="n">
        <v>50000</v>
      </c>
      <c r="P221" s="44" t="n">
        <v>60000</v>
      </c>
      <c r="Q221" s="99">
        <f>L221</f>
        <v/>
      </c>
      <c r="R221" s="99" t="n">
        <v>0</v>
      </c>
      <c r="T221" s="99" t="n"/>
      <c r="U221" s="49">
        <f>IFERROR(ROUND(T221/L221,2),0)</f>
        <v/>
      </c>
    </row>
    <row r="222">
      <c r="A222" s="13" t="inlineStr">
        <is>
          <t>(60000, 70000]</t>
        </is>
      </c>
      <c r="B222" s="137" t="n">
        <v>2388</v>
      </c>
      <c r="C222" s="137" t="n">
        <v>77364347050</v>
      </c>
      <c r="D222" s="99">
        <f>IFERROR(B222/$B$161,0)</f>
        <v/>
      </c>
      <c r="E222" s="131">
        <f>IFERROR(C222/B222/500.0,0)</f>
        <v/>
      </c>
      <c r="F222" s="129" t="n"/>
      <c r="G222" s="13" t="inlineStr">
        <is>
          <t>(60000, 70000]</t>
        </is>
      </c>
      <c r="H222" s="127" t="n">
        <v>1</v>
      </c>
      <c r="I222" s="99">
        <f>IFERROR(B222/$B$161,0)</f>
        <v/>
      </c>
      <c r="J222" s="99">
        <f>IFERROR(K222/$B$2,0)</f>
        <v/>
      </c>
      <c r="K222" s="133" t="n">
        <v>0</v>
      </c>
      <c r="L222" s="99">
        <f>IFERROR(K222/$B$2,0)</f>
        <v/>
      </c>
      <c r="M222" s="99">
        <f>IFERROR(L222*E222,0)</f>
        <v/>
      </c>
      <c r="N222" s="129" t="n"/>
      <c r="O222" s="44" t="n">
        <v>60000</v>
      </c>
      <c r="P222" s="44" t="n">
        <v>70000</v>
      </c>
      <c r="Q222" s="99">
        <f>L222</f>
        <v/>
      </c>
      <c r="R222" s="99" t="n">
        <v>0</v>
      </c>
      <c r="T222" s="99" t="n"/>
      <c r="U222" s="49">
        <f>IFERROR(ROUND(T222/L222,2),0)</f>
        <v/>
      </c>
    </row>
    <row r="223">
      <c r="A223" s="13" t="inlineStr">
        <is>
          <t>(70000, 80000]</t>
        </is>
      </c>
      <c r="B223" s="137" t="n">
        <v>1948</v>
      </c>
      <c r="C223" s="137" t="n">
        <v>72787068275</v>
      </c>
      <c r="D223" s="99">
        <f>IFERROR(B223/$B$161,0)</f>
        <v/>
      </c>
      <c r="E223" s="131">
        <f>IFERROR(C223/B223/500.0,0)</f>
        <v/>
      </c>
      <c r="F223" s="129" t="n"/>
      <c r="G223" s="13" t="inlineStr">
        <is>
          <t>(70000, 80000]</t>
        </is>
      </c>
      <c r="H223" s="127" t="n">
        <v>1</v>
      </c>
      <c r="I223" s="99">
        <f>IFERROR(B223/$B$161,0)</f>
        <v/>
      </c>
      <c r="J223" s="99">
        <f>IFERROR(K223/$B$2,0)</f>
        <v/>
      </c>
      <c r="K223" s="133" t="n">
        <v>0</v>
      </c>
      <c r="L223" s="99">
        <f>IFERROR(K223/$B$2,0)</f>
        <v/>
      </c>
      <c r="M223" s="99">
        <f>IFERROR(L223*E223,0)</f>
        <v/>
      </c>
      <c r="N223" s="129" t="n"/>
      <c r="O223" s="44" t="n">
        <v>70000</v>
      </c>
      <c r="P223" s="44" t="n">
        <v>80000</v>
      </c>
      <c r="Q223" s="99">
        <f>L223</f>
        <v/>
      </c>
      <c r="R223" s="99" t="n">
        <v>0</v>
      </c>
      <c r="T223" s="99" t="n"/>
      <c r="U223" s="49">
        <f>IFERROR(ROUND(T223/L223,2),0)</f>
        <v/>
      </c>
    </row>
    <row r="224">
      <c r="A224" s="13" t="inlineStr">
        <is>
          <t>(80000, 90000]</t>
        </is>
      </c>
      <c r="B224" s="137" t="n">
        <v>1413</v>
      </c>
      <c r="C224" s="137" t="n">
        <v>59880956000</v>
      </c>
      <c r="D224" s="99">
        <f>IFERROR(B224/$B$161,0)</f>
        <v/>
      </c>
      <c r="E224" s="131">
        <f>IFERROR(C224/B224/500.0,0)</f>
        <v/>
      </c>
      <c r="F224" s="129" t="n"/>
      <c r="G224" s="13" t="inlineStr">
        <is>
          <t>(80000, 90000]</t>
        </is>
      </c>
      <c r="H224" s="127" t="n">
        <v>1</v>
      </c>
      <c r="I224" s="99">
        <f>IFERROR(B224/$B$161,0)</f>
        <v/>
      </c>
      <c r="J224" s="99">
        <f>IFERROR(K224/$B$2,0)</f>
        <v/>
      </c>
      <c r="K224" s="133" t="n">
        <v>0</v>
      </c>
      <c r="L224" s="99">
        <f>IFERROR(K224/$B$2,0)</f>
        <v/>
      </c>
      <c r="M224" s="99">
        <f>IFERROR(L224*E224,0)</f>
        <v/>
      </c>
      <c r="N224" s="129" t="n"/>
      <c r="O224" s="44" t="n">
        <v>80000</v>
      </c>
      <c r="P224" s="44" t="n">
        <v>90000</v>
      </c>
      <c r="Q224" s="99">
        <f>L224</f>
        <v/>
      </c>
      <c r="R224" s="99" t="n">
        <v>0</v>
      </c>
      <c r="T224" s="99" t="n"/>
      <c r="U224" s="49">
        <f>IFERROR(ROUND(T224/L224,2),0)</f>
        <v/>
      </c>
    </row>
    <row r="225">
      <c r="A225" s="13" t="inlineStr">
        <is>
          <t>(90000, 100000]</t>
        </is>
      </c>
      <c r="B225" s="137" t="n">
        <v>1056</v>
      </c>
      <c r="C225" s="137" t="n">
        <v>49988540825</v>
      </c>
      <c r="D225" s="99">
        <f>IFERROR(B225/$B$161,0)</f>
        <v/>
      </c>
      <c r="E225" s="131">
        <f>IFERROR(C225/B225/500.0,0)</f>
        <v/>
      </c>
      <c r="F225" s="129" t="n"/>
      <c r="G225" s="13" t="inlineStr">
        <is>
          <t>(90000, 100000]</t>
        </is>
      </c>
      <c r="H225" s="127" t="n">
        <v>1</v>
      </c>
      <c r="I225" s="99">
        <f>IFERROR(B225/$B$161,0)</f>
        <v/>
      </c>
      <c r="J225" s="99">
        <f>IFERROR(K225/$B$2,0)</f>
        <v/>
      </c>
      <c r="K225" s="133" t="n">
        <v>0</v>
      </c>
      <c r="L225" s="99">
        <f>IFERROR(K225/$B$2,0)</f>
        <v/>
      </c>
      <c r="M225" s="99">
        <f>IFERROR(L225*E225,0)</f>
        <v/>
      </c>
      <c r="N225" s="129" t="n"/>
      <c r="O225" s="44" t="n">
        <v>90000</v>
      </c>
      <c r="P225" s="44" t="n">
        <v>100000</v>
      </c>
      <c r="Q225" s="99">
        <f>L225</f>
        <v/>
      </c>
      <c r="R225" s="99" t="n">
        <v>0</v>
      </c>
      <c r="T225" s="99" t="n"/>
      <c r="U225" s="49">
        <f>IFERROR(ROUND(T225/L225,2),0)</f>
        <v/>
      </c>
    </row>
    <row r="226">
      <c r="A226" s="13" t="inlineStr">
        <is>
          <t>(100000, 9999999]</t>
        </is>
      </c>
      <c r="B226" s="137" t="n">
        <v>2764</v>
      </c>
      <c r="C226" s="137" t="n">
        <v>177494407625</v>
      </c>
      <c r="D226" s="99">
        <f>IFERROR(B226/$B$161,0)</f>
        <v/>
      </c>
      <c r="E226" s="131">
        <f>IFERROR(C226/B226/500.0,0)</f>
        <v/>
      </c>
      <c r="F226" s="129" t="n"/>
      <c r="G226" s="13" t="inlineStr">
        <is>
          <t>(100000, 9999999]</t>
        </is>
      </c>
      <c r="H226" s="127" t="n">
        <v>1</v>
      </c>
      <c r="I226" s="99">
        <f>IFERROR(B226/$B$161,0)</f>
        <v/>
      </c>
      <c r="J226" s="99">
        <f>IFERROR(K226/$B$2,0)</f>
        <v/>
      </c>
      <c r="K226" s="133" t="n">
        <v>0</v>
      </c>
      <c r="L226" s="99">
        <f>IFERROR(K226/$B$2,0)</f>
        <v/>
      </c>
      <c r="M226" s="99">
        <f>IFERROR(L226*E226,0)</f>
        <v/>
      </c>
      <c r="N226" s="129" t="n"/>
      <c r="O226" s="44" t="n">
        <v>100000</v>
      </c>
      <c r="P226" s="44" t="n">
        <v>9999999</v>
      </c>
      <c r="Q226" s="99">
        <f>L226</f>
        <v/>
      </c>
      <c r="R226" s="99" t="n">
        <v>0</v>
      </c>
      <c r="T226" s="99" t="n"/>
      <c r="U226" s="49">
        <f>IFERROR(ROUND(T226/L226,2),0)</f>
        <v/>
      </c>
    </row>
    <row r="227">
      <c r="F227" s="4" t="n"/>
      <c r="K227">
        <f>SUM(K163:K226)</f>
        <v/>
      </c>
      <c r="M227">
        <f>SUM(M163:M226)</f>
        <v/>
      </c>
      <c r="N227" s="4" t="n"/>
      <c r="O227" s="4" t="n"/>
      <c r="P227" s="4" t="n"/>
    </row>
    <row r="230" collapsed="1" ht="15.6" customFormat="1" customHeight="1" s="56">
      <c r="A230" s="63" t="inlineStr">
        <is>
          <t>Oldhand Buy Feature Big Bet (independent weights)</t>
        </is>
      </c>
      <c r="B230" s="63" t="inlineStr">
        <is>
          <t>Free Game</t>
        </is>
      </c>
      <c r="C230" s="63" t="n"/>
      <c r="D230" s="53" t="n"/>
      <c r="E230" s="53" t="n"/>
      <c r="F230" s="54" t="n"/>
      <c r="G230" s="63" t="inlineStr">
        <is>
          <t>Super Buy</t>
        </is>
      </c>
      <c r="H230" s="63" t="inlineStr">
        <is>
          <t>Free Game</t>
        </is>
      </c>
      <c r="I230" s="55" t="n"/>
      <c r="J230" s="55" t="n"/>
      <c r="K230" s="55" t="n"/>
      <c r="L230" s="55" t="n"/>
      <c r="M230" s="55" t="n"/>
      <c r="N230" s="54" t="n"/>
      <c r="O230" s="63" t="inlineStr">
        <is>
          <t>Super Buy</t>
        </is>
      </c>
      <c r="P230" s="63" t="inlineStr">
        <is>
          <t>Free Game</t>
        </is>
      </c>
      <c r="Q230" s="55" t="n"/>
      <c r="R230" s="55" t="n"/>
    </row>
    <row r="231">
      <c r="A231" s="28" t="n"/>
      <c r="B231" s="1" t="n"/>
      <c r="C231" s="1" t="n"/>
      <c r="D231" s="1" t="n"/>
      <c r="E231" s="1" t="n"/>
      <c r="G231" s="34" t="n"/>
      <c r="H231" s="28" t="n"/>
      <c r="I231" s="28" t="n"/>
      <c r="J231" s="28" t="n"/>
      <c r="K231" s="28" t="n"/>
      <c r="L231" s="28" t="n"/>
      <c r="M231" s="28" t="n"/>
      <c r="Q231" s="28" t="n"/>
      <c r="R231" s="28" t="n"/>
    </row>
    <row r="232">
      <c r="A232" s="47" t="inlineStr">
        <is>
          <t>Simulate</t>
        </is>
      </c>
      <c r="B232" t="n">
        <v>10000000</v>
      </c>
      <c r="C232" s="1" t="n"/>
      <c r="D232" s="1" t="n"/>
      <c r="E232" s="1" t="n"/>
      <c r="G232" s="47" t="inlineStr">
        <is>
          <t>Calculate</t>
        </is>
      </c>
      <c r="H232" s="28" t="n"/>
      <c r="I232" s="28" t="n"/>
      <c r="J232" s="28" t="n"/>
      <c r="L232" s="28" t="n"/>
      <c r="M232" s="28" t="n"/>
      <c r="Q232" s="28" t="n"/>
      <c r="R232" s="28" t="n"/>
    </row>
    <row r="233">
      <c r="A233" s="9" t="inlineStr">
        <is>
          <t>Range</t>
        </is>
      </c>
      <c r="B233" s="9" t="inlineStr">
        <is>
          <t>Cnt</t>
        </is>
      </c>
      <c r="C233" s="9" t="inlineStr">
        <is>
          <t>Pay</t>
        </is>
      </c>
      <c r="D233" s="9" t="inlineStr">
        <is>
          <t>Hit Rate</t>
        </is>
      </c>
      <c r="E233" s="9" t="inlineStr">
        <is>
          <t>Avg. Multi.</t>
        </is>
      </c>
      <c r="G233" s="9" t="inlineStr">
        <is>
          <t>Range</t>
        </is>
      </c>
      <c r="H233" s="9" t="inlineStr">
        <is>
          <t>Fix Num</t>
        </is>
      </c>
      <c r="I233" s="9" t="inlineStr">
        <is>
          <t>Fix Rate</t>
        </is>
      </c>
      <c r="J233" s="9" t="inlineStr">
        <is>
          <t>Final Rate</t>
        </is>
      </c>
      <c r="K233" s="9" t="inlineStr">
        <is>
          <t>Weight</t>
        </is>
      </c>
      <c r="L233" s="9" t="inlineStr">
        <is>
          <t>Hit Rate</t>
        </is>
      </c>
      <c r="M233" s="9" t="inlineStr">
        <is>
          <t>Simulator RTP</t>
        </is>
      </c>
      <c r="O233" s="9" t="inlineStr">
        <is>
          <t>Lower</t>
        </is>
      </c>
      <c r="P233" s="9" t="inlineStr">
        <is>
          <t>Upper</t>
        </is>
      </c>
      <c r="Q233" s="9" t="inlineStr">
        <is>
          <t>目前</t>
        </is>
      </c>
      <c r="R233" s="9" t="inlineStr">
        <is>
          <t>競品</t>
        </is>
      </c>
      <c r="T233" s="12" t="inlineStr">
        <is>
          <t>目前</t>
        </is>
      </c>
      <c r="U233" s="12" t="inlineStr">
        <is>
          <t>差異</t>
        </is>
      </c>
    </row>
    <row r="234">
      <c r="A234" s="13" t="inlineStr">
        <is>
          <t>(-1, 0]</t>
        </is>
      </c>
      <c r="B234" s="125" t="n">
        <v>0</v>
      </c>
      <c r="C234" s="125" t="n">
        <v>0</v>
      </c>
      <c r="D234" s="99">
        <f>IFERROR(B234/$B$232,0)</f>
        <v/>
      </c>
      <c r="E234" s="126">
        <f>IFERROR(C234/B234/500.0,0)</f>
        <v/>
      </c>
      <c r="G234" s="13" t="inlineStr">
        <is>
          <t>(-1, 0]</t>
        </is>
      </c>
      <c r="H234" s="127" t="n">
        <v>1</v>
      </c>
      <c r="I234" s="99">
        <f>IFERROR(B234/$B$232,0)</f>
        <v/>
      </c>
      <c r="J234" s="99">
        <f>IFERROR(K234/$B$2,0)</f>
        <v/>
      </c>
      <c r="K234" s="128" t="n">
        <v>0</v>
      </c>
      <c r="L234" s="99">
        <f>IFERROR(K234/$B$2,0)</f>
        <v/>
      </c>
      <c r="M234" s="99">
        <f>IFERROR(L234*E234,0)</f>
        <v/>
      </c>
      <c r="N234" s="129" t="n"/>
      <c r="O234" s="48" t="n">
        <v>-1</v>
      </c>
      <c r="P234" s="48" t="n">
        <v>0</v>
      </c>
      <c r="Q234" s="99">
        <f>L234</f>
        <v/>
      </c>
      <c r="R234" s="99" t="n">
        <v>0</v>
      </c>
      <c r="T234" s="99" t="n"/>
      <c r="U234" s="49">
        <f>IFERROR(ROUND(T234/L234,2),0)</f>
        <v/>
      </c>
    </row>
    <row r="235">
      <c r="A235" s="13" t="inlineStr">
        <is>
          <t>(0, 1]</t>
        </is>
      </c>
      <c r="B235" s="130" t="n">
        <v>0</v>
      </c>
      <c r="C235" s="130" t="n">
        <v>0</v>
      </c>
      <c r="D235" s="99">
        <f>IFERROR(B235/$B$232,0)</f>
        <v/>
      </c>
      <c r="E235" s="131">
        <f>IFERROR(C235/B235/500.0,0)</f>
        <v/>
      </c>
      <c r="G235" s="13" t="inlineStr">
        <is>
          <t>(0, 1]</t>
        </is>
      </c>
      <c r="H235" s="127" t="n">
        <v>1</v>
      </c>
      <c r="I235" s="99">
        <f>IFERROR(B235/$B$232,0)</f>
        <v/>
      </c>
      <c r="J235" s="99">
        <f>IFERROR(K235/$B$2,0)</f>
        <v/>
      </c>
      <c r="K235" s="128" t="n">
        <v>0</v>
      </c>
      <c r="L235" s="99">
        <f>IFERROR(K235/$B$2,0)</f>
        <v/>
      </c>
      <c r="M235" s="99">
        <f>IFERROR(L235*E235,0)</f>
        <v/>
      </c>
      <c r="N235" s="129" t="n"/>
      <c r="O235" s="44" t="n">
        <v>0</v>
      </c>
      <c r="P235" s="44" t="n">
        <v>1</v>
      </c>
      <c r="Q235" s="99">
        <f>L235</f>
        <v/>
      </c>
      <c r="R235" s="99" t="n">
        <v>0</v>
      </c>
      <c r="T235" s="99" t="n"/>
      <c r="U235" s="49">
        <f>IFERROR(ROUND(T235/L235,2),0)</f>
        <v/>
      </c>
    </row>
    <row r="236">
      <c r="A236" s="13" t="inlineStr">
        <is>
          <t>(1, 2]</t>
        </is>
      </c>
      <c r="B236" s="130" t="n">
        <v>0</v>
      </c>
      <c r="C236" s="130" t="n">
        <v>0</v>
      </c>
      <c r="D236" s="99">
        <f>IFERROR(B236/$B$232,0)</f>
        <v/>
      </c>
      <c r="E236" s="131">
        <f>IFERROR(C236/B236/500.0,0)</f>
        <v/>
      </c>
      <c r="F236" s="50" t="n"/>
      <c r="G236" s="13" t="inlineStr">
        <is>
          <t>(1, 2]</t>
        </is>
      </c>
      <c r="H236" s="127" t="n">
        <v>1</v>
      </c>
      <c r="I236" s="99">
        <f>IFERROR(B236/$B$232,0)</f>
        <v/>
      </c>
      <c r="J236" s="99">
        <f>IFERROR(K236/$B$2,0)</f>
        <v/>
      </c>
      <c r="K236" s="128" t="n">
        <v>0</v>
      </c>
      <c r="L236" s="99">
        <f>IFERROR(K236/$B$2,0)</f>
        <v/>
      </c>
      <c r="M236" s="99">
        <f>IFERROR(L236*E236,0)</f>
        <v/>
      </c>
      <c r="N236" s="129" t="n"/>
      <c r="O236" s="44" t="n">
        <v>1</v>
      </c>
      <c r="P236" s="44" t="n">
        <v>2</v>
      </c>
      <c r="Q236" s="99">
        <f>L236</f>
        <v/>
      </c>
      <c r="R236" s="99" t="n">
        <v>0</v>
      </c>
      <c r="T236" s="99" t="n"/>
      <c r="U236" s="49">
        <f>IFERROR(ROUND(T236/L236,2),0)</f>
        <v/>
      </c>
    </row>
    <row r="237">
      <c r="A237" s="13" t="inlineStr">
        <is>
          <t>(2, 3]</t>
        </is>
      </c>
      <c r="B237" s="130" t="n">
        <v>1148</v>
      </c>
      <c r="C237" s="130" t="n">
        <v>1722000</v>
      </c>
      <c r="D237" s="99">
        <f>IFERROR(B237/$B$232,0)</f>
        <v/>
      </c>
      <c r="E237" s="131">
        <f>IFERROR(C237/B237/500.0,0)</f>
        <v/>
      </c>
      <c r="F237" s="129" t="n"/>
      <c r="G237" s="13" t="inlineStr">
        <is>
          <t>(2, 3]</t>
        </is>
      </c>
      <c r="H237" s="127" t="n">
        <v>1</v>
      </c>
      <c r="I237" s="99">
        <f>IFERROR(B237/$B$232,0)</f>
        <v/>
      </c>
      <c r="J237" s="99">
        <f>IFERROR(K237/$B$2,0)</f>
        <v/>
      </c>
      <c r="K237" s="128" t="n">
        <v>28562</v>
      </c>
      <c r="L237" s="99">
        <f>IFERROR(K237/$B$2,0)</f>
        <v/>
      </c>
      <c r="M237" s="99">
        <f>IFERROR(L237*E237,0)</f>
        <v/>
      </c>
      <c r="N237" s="129" t="n"/>
      <c r="O237" s="44" t="n">
        <v>2</v>
      </c>
      <c r="P237" s="44" t="n">
        <v>3</v>
      </c>
      <c r="Q237" s="99">
        <f>L237</f>
        <v/>
      </c>
      <c r="R237" s="99" t="n">
        <v>0</v>
      </c>
      <c r="T237" s="99" t="n"/>
      <c r="U237" s="49">
        <f>IFERROR(ROUND(T237/L237,2),0)</f>
        <v/>
      </c>
    </row>
    <row r="238">
      <c r="A238" s="13" t="inlineStr">
        <is>
          <t>(3, 4]</t>
        </is>
      </c>
      <c r="B238" s="130" t="n">
        <v>1024</v>
      </c>
      <c r="C238" s="130" t="n">
        <v>1857625</v>
      </c>
      <c r="D238" s="99">
        <f>IFERROR(B238/$B$232,0)</f>
        <v/>
      </c>
      <c r="E238" s="131">
        <f>IFERROR(C238/B238/500.0,0)</f>
        <v/>
      </c>
      <c r="F238" s="129" t="n"/>
      <c r="G238" s="13" t="inlineStr">
        <is>
          <t>(3, 4]</t>
        </is>
      </c>
      <c r="H238" s="127" t="n">
        <v>1</v>
      </c>
      <c r="I238" s="99">
        <f>IFERROR(B238/$B$232,0)</f>
        <v/>
      </c>
      <c r="J238" s="99">
        <f>IFERROR(K238/$B$2,0)</f>
        <v/>
      </c>
      <c r="K238" s="128" t="n">
        <v>26090</v>
      </c>
      <c r="L238" s="99">
        <f>IFERROR(K238/$B$2,0)</f>
        <v/>
      </c>
      <c r="M238" s="99">
        <f>IFERROR(L238*E238,0)</f>
        <v/>
      </c>
      <c r="N238" s="129" t="n"/>
      <c r="O238" s="44" t="n">
        <v>3</v>
      </c>
      <c r="P238" s="44" t="n">
        <v>4</v>
      </c>
      <c r="Q238" s="99">
        <f>L238</f>
        <v/>
      </c>
      <c r="R238" s="99" t="n">
        <v>0</v>
      </c>
      <c r="T238" s="99" t="n"/>
      <c r="U238" s="49">
        <f>IFERROR(ROUND(T238/L238,2),0)</f>
        <v/>
      </c>
    </row>
    <row r="239">
      <c r="A239" s="13" t="inlineStr">
        <is>
          <t>(4, 5]</t>
        </is>
      </c>
      <c r="B239" s="130" t="n">
        <v>1497</v>
      </c>
      <c r="C239" s="130" t="n">
        <v>3489150</v>
      </c>
      <c r="D239" s="99">
        <f>IFERROR(B239/$B$232,0)</f>
        <v/>
      </c>
      <c r="E239" s="131">
        <f>IFERROR(C239/B239/500.0,0)</f>
        <v/>
      </c>
      <c r="F239" s="129" t="n"/>
      <c r="G239" s="13" t="inlineStr">
        <is>
          <t>(4, 5]</t>
        </is>
      </c>
      <c r="H239" s="127" t="n">
        <v>1</v>
      </c>
      <c r="I239" s="99">
        <f>IFERROR(B239/$B$232,0)</f>
        <v/>
      </c>
      <c r="J239" s="99">
        <f>IFERROR(K239/$B$2,0)</f>
        <v/>
      </c>
      <c r="K239" s="128" t="n">
        <v>39665</v>
      </c>
      <c r="L239" s="99">
        <f>IFERROR(K239/$B$2,0)</f>
        <v/>
      </c>
      <c r="M239" s="99">
        <f>IFERROR(L239*E239,0)</f>
        <v/>
      </c>
      <c r="N239" s="129" t="n"/>
      <c r="O239" s="44" t="n">
        <v>4</v>
      </c>
      <c r="P239" s="44" t="n">
        <v>5</v>
      </c>
      <c r="Q239" s="99">
        <f>L239</f>
        <v/>
      </c>
      <c r="R239" s="99" t="n">
        <v>0</v>
      </c>
      <c r="T239" s="99" t="n"/>
      <c r="U239" s="49">
        <f>IFERROR(ROUND(T239/L239,2),0)</f>
        <v/>
      </c>
    </row>
    <row r="240">
      <c r="A240" s="13" t="inlineStr">
        <is>
          <t>(5, 6]</t>
        </is>
      </c>
      <c r="B240" s="130" t="n">
        <v>1756</v>
      </c>
      <c r="C240" s="130" t="n">
        <v>4914025</v>
      </c>
      <c r="D240" s="99">
        <f>IFERROR(B240/$B$232,0)</f>
        <v/>
      </c>
      <c r="E240" s="131">
        <f>IFERROR(C240/B240/500.0,0)</f>
        <v/>
      </c>
      <c r="F240" s="129" t="n"/>
      <c r="G240" s="13" t="inlineStr">
        <is>
          <t>(5, 6]</t>
        </is>
      </c>
      <c r="H240" s="127" t="n">
        <v>1</v>
      </c>
      <c r="I240" s="99">
        <f>IFERROR(B240/$B$232,0)</f>
        <v/>
      </c>
      <c r="J240" s="99">
        <f>IFERROR(K240/$B$2,0)</f>
        <v/>
      </c>
      <c r="K240" s="128" t="n">
        <v>48205</v>
      </c>
      <c r="L240" s="99">
        <f>IFERROR(K240/$B$2,0)</f>
        <v/>
      </c>
      <c r="M240" s="99">
        <f>IFERROR(L240*E240,0)</f>
        <v/>
      </c>
      <c r="N240" s="129" t="n"/>
      <c r="O240" s="44" t="n">
        <v>5</v>
      </c>
      <c r="P240" s="44" t="n">
        <v>6</v>
      </c>
      <c r="Q240" s="99">
        <f>L240</f>
        <v/>
      </c>
      <c r="R240" s="99" t="n">
        <v>0</v>
      </c>
      <c r="T240" s="99" t="n"/>
      <c r="U240" s="49">
        <f>IFERROR(ROUND(T240/L240,2),0)</f>
        <v/>
      </c>
    </row>
    <row r="241">
      <c r="A241" s="13" t="inlineStr">
        <is>
          <t>(6, 7]</t>
        </is>
      </c>
      <c r="B241" s="130" t="n">
        <v>2335</v>
      </c>
      <c r="C241" s="130" t="n">
        <v>7708500</v>
      </c>
      <c r="D241" s="99">
        <f>IFERROR(B241/$B$232,0)</f>
        <v/>
      </c>
      <c r="E241" s="131">
        <f>IFERROR(C241/B241/500.0,0)</f>
        <v/>
      </c>
      <c r="F241" s="129" t="n"/>
      <c r="G241" s="13" t="inlineStr">
        <is>
          <t>(6, 7]</t>
        </is>
      </c>
      <c r="H241" s="127" t="n">
        <v>1</v>
      </c>
      <c r="I241" s="99">
        <f>IFERROR(B241/$B$232,0)</f>
        <v/>
      </c>
      <c r="J241" s="99">
        <f>IFERROR(K241/$B$2,0)</f>
        <v/>
      </c>
      <c r="K241" s="128" t="n">
        <v>66589</v>
      </c>
      <c r="L241" s="99">
        <f>IFERROR(K241/$B$2,0)</f>
        <v/>
      </c>
      <c r="M241" s="99">
        <f>IFERROR(L241*E241,0)</f>
        <v/>
      </c>
      <c r="N241" s="129" t="n"/>
      <c r="O241" s="44" t="n">
        <v>6</v>
      </c>
      <c r="P241" s="44" t="n">
        <v>7</v>
      </c>
      <c r="Q241" s="99">
        <f>L241</f>
        <v/>
      </c>
      <c r="R241" s="99" t="n">
        <v>0</v>
      </c>
      <c r="T241" s="99" t="n"/>
      <c r="U241" s="49">
        <f>IFERROR(ROUND(T241/L241,2),0)</f>
        <v/>
      </c>
    </row>
    <row r="242">
      <c r="A242" s="13" t="inlineStr">
        <is>
          <t>(7, 8]</t>
        </is>
      </c>
      <c r="B242" s="130" t="n">
        <v>2639</v>
      </c>
      <c r="C242" s="130" t="n">
        <v>10012850</v>
      </c>
      <c r="D242" s="99">
        <f>IFERROR(B242/$B$232,0)</f>
        <v/>
      </c>
      <c r="E242" s="131">
        <f>IFERROR(C242/B242/500.0,0)</f>
        <v/>
      </c>
      <c r="F242" s="129" t="n"/>
      <c r="G242" s="13" t="inlineStr">
        <is>
          <t>(7, 8]</t>
        </is>
      </c>
      <c r="H242" s="127" t="n">
        <v>1</v>
      </c>
      <c r="I242" s="99">
        <f>IFERROR(B242/$B$232,0)</f>
        <v/>
      </c>
      <c r="J242" s="99">
        <f>IFERROR(K242/$B$2,0)</f>
        <v/>
      </c>
      <c r="K242" s="128" t="n">
        <v>78123</v>
      </c>
      <c r="L242" s="99">
        <f>IFERROR(K242/$B$2,0)</f>
        <v/>
      </c>
      <c r="M242" s="99">
        <f>IFERROR(L242*E242,0)</f>
        <v/>
      </c>
      <c r="N242" s="129" t="n"/>
      <c r="O242" s="44" t="n">
        <v>7</v>
      </c>
      <c r="P242" s="44" t="n">
        <v>8</v>
      </c>
      <c r="Q242" s="99">
        <f>L242</f>
        <v/>
      </c>
      <c r="R242" s="99" t="n">
        <v>0</v>
      </c>
      <c r="T242" s="99" t="n"/>
      <c r="U242" s="49">
        <f>IFERROR(ROUND(T242/L242,2),0)</f>
        <v/>
      </c>
    </row>
    <row r="243">
      <c r="A243" s="13" t="inlineStr">
        <is>
          <t>(8, 9]</t>
        </is>
      </c>
      <c r="B243" s="130" t="n">
        <v>3125</v>
      </c>
      <c r="C243" s="130" t="n">
        <v>13407000</v>
      </c>
      <c r="D243" s="99">
        <f>IFERROR(B243/$B$232,0)</f>
        <v/>
      </c>
      <c r="E243" s="131">
        <f>IFERROR(C243/B243/500.0,0)</f>
        <v/>
      </c>
      <c r="F243" s="129" t="n"/>
      <c r="G243" s="13" t="inlineStr">
        <is>
          <t>(8, 9]</t>
        </is>
      </c>
      <c r="H243" s="127" t="n">
        <v>1</v>
      </c>
      <c r="I243" s="99">
        <f>IFERROR(B243/$B$232,0)</f>
        <v/>
      </c>
      <c r="J243" s="99">
        <f>IFERROR(K243/$B$2,0)</f>
        <v/>
      </c>
      <c r="K243" s="128" t="n">
        <v>96053</v>
      </c>
      <c r="L243" s="99">
        <f>IFERROR(K243/$B$2,0)</f>
        <v/>
      </c>
      <c r="M243" s="99">
        <f>IFERROR(L243*E243,0)</f>
        <v/>
      </c>
      <c r="N243" s="129" t="n"/>
      <c r="O243" s="44" t="n">
        <v>8</v>
      </c>
      <c r="P243" s="44" t="n">
        <v>9</v>
      </c>
      <c r="Q243" s="99">
        <f>L243</f>
        <v/>
      </c>
      <c r="R243" s="99" t="n">
        <v>0</v>
      </c>
      <c r="T243" s="99" t="n"/>
      <c r="U243" s="49">
        <f>IFERROR(ROUND(T243/L243,2),0)</f>
        <v/>
      </c>
    </row>
    <row r="244">
      <c r="A244" s="13" t="inlineStr">
        <is>
          <t>(9, 10]</t>
        </is>
      </c>
      <c r="B244" s="130" t="n">
        <v>3516</v>
      </c>
      <c r="C244" s="130" t="n">
        <v>16826325</v>
      </c>
      <c r="D244" s="99">
        <f>IFERROR(B244/$B$232,0)</f>
        <v/>
      </c>
      <c r="E244" s="131">
        <f>IFERROR(C244/B244/500.0,0)</f>
        <v/>
      </c>
      <c r="F244" s="129" t="n"/>
      <c r="G244" s="13" t="inlineStr">
        <is>
          <t>(9, 10]</t>
        </is>
      </c>
      <c r="H244" s="127" t="n">
        <v>1</v>
      </c>
      <c r="I244" s="99">
        <f>IFERROR(B244/$B$232,0)</f>
        <v/>
      </c>
      <c r="J244" s="99">
        <f>IFERROR(K244/$B$2,0)</f>
        <v/>
      </c>
      <c r="K244" s="128" t="n">
        <v>112205</v>
      </c>
      <c r="L244" s="99">
        <f>IFERROR(K244/$B$2,0)</f>
        <v/>
      </c>
      <c r="M244" s="99">
        <f>IFERROR(L244*E244,0)</f>
        <v/>
      </c>
      <c r="N244" s="129" t="n"/>
      <c r="O244" s="44" t="n">
        <v>9</v>
      </c>
      <c r="P244" s="44" t="n">
        <v>10</v>
      </c>
      <c r="Q244" s="99">
        <f>L244</f>
        <v/>
      </c>
      <c r="R244" s="99" t="n">
        <v>0</v>
      </c>
      <c r="T244" s="99" t="n"/>
      <c r="U244" s="49">
        <f>IFERROR(ROUND(T244/L244,2),0)</f>
        <v/>
      </c>
    </row>
    <row r="245">
      <c r="A245" s="13" t="inlineStr">
        <is>
          <t>(10, 15]</t>
        </is>
      </c>
      <c r="B245" s="130" t="n">
        <v>23999</v>
      </c>
      <c r="C245" s="130" t="n">
        <v>152876675</v>
      </c>
      <c r="D245" s="99">
        <f>IFERROR(B245/$B$232,0)</f>
        <v/>
      </c>
      <c r="E245" s="131">
        <f>IFERROR(C245/B245/500.0,0)</f>
        <v/>
      </c>
      <c r="F245" s="129" t="n"/>
      <c r="G245" s="13" t="inlineStr">
        <is>
          <t>(10, 15]</t>
        </is>
      </c>
      <c r="H245" s="127" t="n">
        <v>1</v>
      </c>
      <c r="I245" s="99">
        <f>IFERROR(B245/$B$232,0)</f>
        <v/>
      </c>
      <c r="J245" s="99">
        <f>IFERROR(K245/$B$2,0)</f>
        <v/>
      </c>
      <c r="K245" s="128" t="n">
        <v>863568</v>
      </c>
      <c r="L245" s="99">
        <f>IFERROR(K245/$B$2,0)</f>
        <v/>
      </c>
      <c r="M245" s="99">
        <f>IFERROR(L245*E245,0)</f>
        <v/>
      </c>
      <c r="N245" s="129" t="n"/>
      <c r="O245" s="44" t="n">
        <v>10</v>
      </c>
      <c r="P245" s="44" t="n">
        <v>15</v>
      </c>
      <c r="Q245" s="99">
        <f>L245</f>
        <v/>
      </c>
      <c r="R245" s="99" t="n">
        <v>0</v>
      </c>
      <c r="T245" s="99" t="n"/>
      <c r="U245" s="49">
        <f>IFERROR(ROUND(T245/L245,2),0)</f>
        <v/>
      </c>
    </row>
    <row r="246">
      <c r="A246" s="13" t="inlineStr">
        <is>
          <t>(15, 20]</t>
        </is>
      </c>
      <c r="B246" s="130" t="n">
        <v>33435</v>
      </c>
      <c r="C246" s="130" t="n">
        <v>295122000</v>
      </c>
      <c r="D246" s="99">
        <f>IFERROR(B246/$B$232,0)</f>
        <v/>
      </c>
      <c r="E246" s="131">
        <f>IFERROR(C246/B246/500.0,0)</f>
        <v/>
      </c>
      <c r="F246" s="129" t="n"/>
      <c r="G246" s="13" t="inlineStr">
        <is>
          <t>(15, 20]</t>
        </is>
      </c>
      <c r="H246" s="127" t="n">
        <v>1</v>
      </c>
      <c r="I246" s="99">
        <f>IFERROR(B246/$B$232,0)</f>
        <v/>
      </c>
      <c r="J246" s="99">
        <f>IFERROR(K246/$B$2,0)</f>
        <v/>
      </c>
      <c r="K246" s="128" t="n">
        <v>1449251</v>
      </c>
      <c r="L246" s="99">
        <f>IFERROR(K246/$B$2,0)</f>
        <v/>
      </c>
      <c r="M246" s="99">
        <f>IFERROR(L246*E246,0)</f>
        <v/>
      </c>
      <c r="N246" s="129" t="n"/>
      <c r="O246" s="44" t="n">
        <v>15</v>
      </c>
      <c r="P246" s="44" t="n">
        <v>20</v>
      </c>
      <c r="Q246" s="99">
        <f>L246</f>
        <v/>
      </c>
      <c r="R246" s="99" t="n">
        <v>0</v>
      </c>
      <c r="T246" s="99" t="n"/>
      <c r="U246" s="49">
        <f>IFERROR(ROUND(T246/L246,2),0)</f>
        <v/>
      </c>
    </row>
    <row r="247">
      <c r="A247" s="13" t="inlineStr">
        <is>
          <t>(20, 25]</t>
        </is>
      </c>
      <c r="B247" s="130" t="n">
        <v>42291</v>
      </c>
      <c r="C247" s="130" t="n">
        <v>478270900</v>
      </c>
      <c r="D247" s="99">
        <f>IFERROR(B247/$B$232,0)</f>
        <v/>
      </c>
      <c r="E247" s="131">
        <f>IFERROR(C247/B247/500.0,0)</f>
        <v/>
      </c>
      <c r="F247" s="129" t="n"/>
      <c r="G247" s="13" t="inlineStr">
        <is>
          <t>(20, 25]</t>
        </is>
      </c>
      <c r="H247" s="127" t="n">
        <v>1</v>
      </c>
      <c r="I247" s="99">
        <f>IFERROR(B247/$B$232,0)</f>
        <v/>
      </c>
      <c r="J247" s="99">
        <f>IFERROR(K247/$B$2,0)</f>
        <v/>
      </c>
      <c r="K247" s="128" t="n">
        <v>2212457</v>
      </c>
      <c r="L247" s="99">
        <f>IFERROR(K247/$B$2,0)</f>
        <v/>
      </c>
      <c r="M247" s="99">
        <f>IFERROR(L247*E247,0)</f>
        <v/>
      </c>
      <c r="N247" s="129" t="n"/>
      <c r="O247" s="44" t="n">
        <v>20</v>
      </c>
      <c r="P247" s="44" t="n">
        <v>25</v>
      </c>
      <c r="Q247" s="99">
        <f>L247</f>
        <v/>
      </c>
      <c r="R247" s="99" t="n">
        <v>0</v>
      </c>
      <c r="T247" s="99" t="n"/>
      <c r="U247" s="49">
        <f>IFERROR(ROUND(T247/L247,2),0)</f>
        <v/>
      </c>
    </row>
    <row r="248">
      <c r="A248" s="13" t="inlineStr">
        <is>
          <t>(25, 30]</t>
        </is>
      </c>
      <c r="B248" s="130" t="n">
        <v>49505</v>
      </c>
      <c r="C248" s="130" t="n">
        <v>683273950</v>
      </c>
      <c r="D248" s="99">
        <f>IFERROR(B248/$B$232,0)</f>
        <v/>
      </c>
      <c r="E248" s="131">
        <f>IFERROR(C248/B248/500.0,0)</f>
        <v/>
      </c>
      <c r="F248" s="129" t="n"/>
      <c r="G248" s="13" t="inlineStr">
        <is>
          <t>(25, 30]</t>
        </is>
      </c>
      <c r="H248" s="127" t="n">
        <v>1</v>
      </c>
      <c r="I248" s="99">
        <f>IFERROR(B248/$B$232,0)</f>
        <v/>
      </c>
      <c r="J248" s="99">
        <f>IFERROR(K248/$B$2,0)</f>
        <v/>
      </c>
      <c r="K248" s="128" t="n">
        <v>3128345</v>
      </c>
      <c r="L248" s="99">
        <f>IFERROR(K248/$B$2,0)</f>
        <v/>
      </c>
      <c r="M248" s="99">
        <f>IFERROR(L248*E248,0)</f>
        <v/>
      </c>
      <c r="N248" s="129" t="n"/>
      <c r="O248" s="44" t="n">
        <v>25</v>
      </c>
      <c r="P248" s="44" t="n">
        <v>30</v>
      </c>
      <c r="Q248" s="99">
        <f>L248</f>
        <v/>
      </c>
      <c r="R248" s="99" t="n">
        <v>0</v>
      </c>
      <c r="T248" s="99" t="n"/>
      <c r="U248" s="49">
        <f>IFERROR(ROUND(T248/L248,2),0)</f>
        <v/>
      </c>
    </row>
    <row r="249">
      <c r="A249" s="13" t="inlineStr">
        <is>
          <t>(30, 35]</t>
        </is>
      </c>
      <c r="B249" s="130" t="n">
        <v>57026</v>
      </c>
      <c r="C249" s="130" t="n">
        <v>929214975</v>
      </c>
      <c r="D249" s="99">
        <f>IFERROR(B249/$B$232,0)</f>
        <v/>
      </c>
      <c r="E249" s="131">
        <f>IFERROR(C249/B249/500.0,0)</f>
        <v/>
      </c>
      <c r="F249" s="129" t="n"/>
      <c r="G249" s="13" t="inlineStr">
        <is>
          <t>(30, 35]</t>
        </is>
      </c>
      <c r="H249" s="127" t="n">
        <v>1</v>
      </c>
      <c r="I249" s="99">
        <f>IFERROR(B249/$B$232,0)</f>
        <v/>
      </c>
      <c r="J249" s="99">
        <f>IFERROR(K249/$B$2,0)</f>
        <v/>
      </c>
      <c r="K249" s="128" t="n">
        <v>4352684</v>
      </c>
      <c r="L249" s="99">
        <f>IFERROR(K249/$B$2,0)</f>
        <v/>
      </c>
      <c r="M249" s="99">
        <f>IFERROR(L249*E249,0)</f>
        <v/>
      </c>
      <c r="N249" s="129" t="n"/>
      <c r="O249" s="44" t="n">
        <v>30</v>
      </c>
      <c r="P249" s="44" t="n">
        <v>35</v>
      </c>
      <c r="Q249" s="99">
        <f>L249</f>
        <v/>
      </c>
      <c r="R249" s="99" t="n">
        <v>0</v>
      </c>
      <c r="T249" s="99" t="n"/>
      <c r="U249" s="49">
        <f>IFERROR(ROUND(T249/L249,2),0)</f>
        <v/>
      </c>
    </row>
    <row r="250">
      <c r="A250" s="13" t="inlineStr">
        <is>
          <t>(35, 40]</t>
        </is>
      </c>
      <c r="B250" s="130" t="n">
        <v>63420</v>
      </c>
      <c r="C250" s="130" t="n">
        <v>1191452350</v>
      </c>
      <c r="D250" s="99">
        <f>IFERROR(B250/$B$232,0)</f>
        <v/>
      </c>
      <c r="E250" s="131">
        <f>IFERROR(C250/B250/500.0,0)</f>
        <v/>
      </c>
      <c r="F250" s="129" t="n"/>
      <c r="G250" s="13" t="inlineStr">
        <is>
          <t>(35, 40]</t>
        </is>
      </c>
      <c r="H250" s="127" t="n">
        <v>1</v>
      </c>
      <c r="I250" s="99">
        <f>IFERROR(B250/$B$232,0)</f>
        <v/>
      </c>
      <c r="J250" s="99">
        <f>IFERROR(K250/$B$2,0)</f>
        <v/>
      </c>
      <c r="K250" s="128" t="n">
        <v>5846792</v>
      </c>
      <c r="L250" s="99">
        <f>IFERROR(K250/$B$2,0)</f>
        <v/>
      </c>
      <c r="M250" s="99">
        <f>IFERROR(L250*E250,0)</f>
        <v/>
      </c>
      <c r="N250" s="129" t="n"/>
      <c r="O250" s="44" t="n">
        <v>35</v>
      </c>
      <c r="P250" s="44" t="n">
        <v>40</v>
      </c>
      <c r="Q250" s="99">
        <f>L250</f>
        <v/>
      </c>
      <c r="R250" s="99" t="n">
        <v>0</v>
      </c>
      <c r="T250" s="99" t="n"/>
      <c r="U250" s="49">
        <f>IFERROR(ROUND(T250/L250,2),0)</f>
        <v/>
      </c>
    </row>
    <row r="251">
      <c r="A251" s="13" t="inlineStr">
        <is>
          <t>(40, 45]</t>
        </is>
      </c>
      <c r="B251" s="130" t="n">
        <v>68592</v>
      </c>
      <c r="C251" s="130" t="n">
        <v>1459931525</v>
      </c>
      <c r="D251" s="99">
        <f>IFERROR(B251/$B$232,0)</f>
        <v/>
      </c>
      <c r="E251" s="131">
        <f>IFERROR(C251/B251/500.0,0)</f>
        <v/>
      </c>
      <c r="F251" s="129" t="n"/>
      <c r="G251" s="13" t="inlineStr">
        <is>
          <t>(40, 45]</t>
        </is>
      </c>
      <c r="H251" s="127" t="n">
        <v>1</v>
      </c>
      <c r="I251" s="99">
        <f>IFERROR(B251/$B$232,0)</f>
        <v/>
      </c>
      <c r="J251" s="99">
        <f>IFERROR(K251/$B$2,0)</f>
        <v/>
      </c>
      <c r="K251" s="128" t="n">
        <v>7641034</v>
      </c>
      <c r="L251" s="99">
        <f>IFERROR(K251/$B$2,0)</f>
        <v/>
      </c>
      <c r="M251" s="99">
        <f>IFERROR(L251*E251,0)</f>
        <v/>
      </c>
      <c r="N251" s="129" t="n"/>
      <c r="O251" s="44" t="n">
        <v>40</v>
      </c>
      <c r="P251" s="44" t="n">
        <v>45</v>
      </c>
      <c r="Q251" s="99">
        <f>L251</f>
        <v/>
      </c>
      <c r="R251" s="99" t="n">
        <v>0</v>
      </c>
      <c r="T251" s="99" t="n"/>
      <c r="U251" s="49">
        <f>IFERROR(ROUND(T251/L251,2),0)</f>
        <v/>
      </c>
    </row>
    <row r="252">
      <c r="A252" s="13" t="inlineStr">
        <is>
          <t>(45, 50]</t>
        </is>
      </c>
      <c r="B252" s="130" t="n">
        <v>73256</v>
      </c>
      <c r="C252" s="130" t="n">
        <v>1741850925</v>
      </c>
      <c r="D252" s="99">
        <f>IFERROR(B252/$B$232,0)</f>
        <v/>
      </c>
      <c r="E252" s="131">
        <f>IFERROR(C252/B252/500.0,0)</f>
        <v/>
      </c>
      <c r="F252" s="129" t="n"/>
      <c r="G252" s="13" t="inlineStr">
        <is>
          <t>(45, 50]</t>
        </is>
      </c>
      <c r="H252" s="127" t="n">
        <v>1</v>
      </c>
      <c r="I252" s="99">
        <f>IFERROR(B252/$B$232,0)</f>
        <v/>
      </c>
      <c r="J252" s="99">
        <f>IFERROR(K252/$B$2,0)</f>
        <v/>
      </c>
      <c r="K252" s="128" t="n">
        <v>9857532</v>
      </c>
      <c r="L252" s="99">
        <f>IFERROR(K252/$B$2,0)</f>
        <v/>
      </c>
      <c r="M252" s="99">
        <f>IFERROR(L252*E252,0)</f>
        <v/>
      </c>
      <c r="N252" s="129" t="n"/>
      <c r="O252" s="44" t="n">
        <v>45</v>
      </c>
      <c r="P252" s="44" t="n">
        <v>50</v>
      </c>
      <c r="Q252" s="99">
        <f>L252</f>
        <v/>
      </c>
      <c r="R252" s="99" t="n">
        <v>0</v>
      </c>
      <c r="T252" s="99" t="n"/>
      <c r="U252" s="49">
        <f>IFERROR(ROUND(T252/L252,2),0)</f>
        <v/>
      </c>
    </row>
    <row r="253">
      <c r="A253" s="13" t="inlineStr">
        <is>
          <t>(50, 60]</t>
        </is>
      </c>
      <c r="B253" s="130" t="n">
        <v>158621</v>
      </c>
      <c r="C253" s="130" t="n">
        <v>4369349850</v>
      </c>
      <c r="D253" s="99">
        <f>IFERROR(B253/$B$232,0)</f>
        <v/>
      </c>
      <c r="E253" s="131">
        <f>IFERROR(C253/B253/500.0,0)</f>
        <v/>
      </c>
      <c r="F253" s="129" t="n"/>
      <c r="G253" s="13" t="inlineStr">
        <is>
          <t>(50, 60]</t>
        </is>
      </c>
      <c r="H253" s="127" t="n">
        <v>1</v>
      </c>
      <c r="I253" s="99">
        <f>IFERROR(B253/$B$232,0)</f>
        <v/>
      </c>
      <c r="J253" s="99">
        <f>IFERROR(K253/$B$2,0)</f>
        <v/>
      </c>
      <c r="K253" s="128" t="n">
        <v>28397923</v>
      </c>
      <c r="L253" s="99">
        <f>IFERROR(K253/$B$2,0)</f>
        <v/>
      </c>
      <c r="M253" s="99">
        <f>IFERROR(L253*E253,0)</f>
        <v/>
      </c>
      <c r="N253" s="129" t="n"/>
      <c r="O253" s="44" t="n">
        <v>50</v>
      </c>
      <c r="P253" s="44" t="n">
        <v>60</v>
      </c>
      <c r="Q253" s="99">
        <f>L253</f>
        <v/>
      </c>
      <c r="R253" s="99" t="n">
        <v>0</v>
      </c>
      <c r="T253" s="99" t="n"/>
      <c r="U253" s="49">
        <f>IFERROR(ROUND(T253/L253,2),0)</f>
        <v/>
      </c>
    </row>
    <row r="254">
      <c r="A254" s="13" t="inlineStr">
        <is>
          <t>(60, 70]</t>
        </is>
      </c>
      <c r="B254" s="130" t="n">
        <v>171110</v>
      </c>
      <c r="C254" s="130" t="n">
        <v>5568059825</v>
      </c>
      <c r="D254" s="99">
        <f>IFERROR(B254/$B$232,0)</f>
        <v/>
      </c>
      <c r="E254" s="131">
        <f>IFERROR(C254/B254/500.0,0)</f>
        <v/>
      </c>
      <c r="F254" s="129" t="n"/>
      <c r="G254" s="13" t="inlineStr">
        <is>
          <t>(60, 70]</t>
        </is>
      </c>
      <c r="H254" s="127" t="n">
        <v>1</v>
      </c>
      <c r="I254" s="99">
        <f>IFERROR(B254/$B$232,0)</f>
        <v/>
      </c>
      <c r="J254" s="99">
        <f>IFERROR(K254/$B$2,0)</f>
        <v/>
      </c>
      <c r="K254" s="128" t="n">
        <v>44726944</v>
      </c>
      <c r="L254" s="99">
        <f>IFERROR(K254/$B$2,0)</f>
        <v/>
      </c>
      <c r="M254" s="99">
        <f>IFERROR(L254*E254,0)</f>
        <v/>
      </c>
      <c r="N254" s="129" t="n"/>
      <c r="O254" s="44" t="n">
        <v>60</v>
      </c>
      <c r="P254" s="44" t="n">
        <v>70</v>
      </c>
      <c r="Q254" s="99">
        <f>L254</f>
        <v/>
      </c>
      <c r="R254" s="99" t="n">
        <v>0</v>
      </c>
      <c r="T254" s="99" t="n"/>
      <c r="U254" s="49">
        <f>IFERROR(ROUND(T254/L254,2),0)</f>
        <v/>
      </c>
    </row>
    <row r="255">
      <c r="A255" s="13" t="inlineStr">
        <is>
          <t>(70, 80]</t>
        </is>
      </c>
      <c r="B255" s="130" t="n">
        <v>180419</v>
      </c>
      <c r="C255" s="130" t="n">
        <v>6770248675</v>
      </c>
      <c r="D255" s="99">
        <f>IFERROR(B255/$B$232,0)</f>
        <v/>
      </c>
      <c r="E255" s="131">
        <f>IFERROR(C255/B255/500.0,0)</f>
        <v/>
      </c>
      <c r="F255" s="129" t="n"/>
      <c r="G255" s="13" t="inlineStr">
        <is>
          <t>(70, 80]</t>
        </is>
      </c>
      <c r="H255" s="127" t="n">
        <v>1</v>
      </c>
      <c r="I255" s="99">
        <f>IFERROR(B255/$B$232,0)</f>
        <v/>
      </c>
      <c r="J255" s="99">
        <f>IFERROR(K255/$B$2,0)</f>
        <v/>
      </c>
      <c r="K255" s="128" t="n">
        <v>68800809</v>
      </c>
      <c r="L255" s="99">
        <f>IFERROR(K255/$B$2,0)</f>
        <v/>
      </c>
      <c r="M255" s="99">
        <f>IFERROR(L255*E255,0)</f>
        <v/>
      </c>
      <c r="N255" s="129" t="n"/>
      <c r="O255" s="44" t="n">
        <v>70</v>
      </c>
      <c r="P255" s="44" t="n">
        <v>80</v>
      </c>
      <c r="Q255" s="99">
        <f>L255</f>
        <v/>
      </c>
      <c r="R255" s="99" t="n">
        <v>0</v>
      </c>
      <c r="T255" s="99" t="n"/>
      <c r="U255" s="49">
        <f>IFERROR(ROUND(T255/L255,2),0)</f>
        <v/>
      </c>
    </row>
    <row r="256">
      <c r="A256" s="13" t="inlineStr">
        <is>
          <t>(80, 90]</t>
        </is>
      </c>
      <c r="B256" s="130" t="n">
        <v>187283</v>
      </c>
      <c r="C256" s="130" t="n">
        <v>7965425900</v>
      </c>
      <c r="D256" s="99">
        <f>IFERROR(B256/$B$232,0)</f>
        <v/>
      </c>
      <c r="E256" s="131">
        <f>IFERROR(C256/B256/500.0,0)</f>
        <v/>
      </c>
      <c r="F256" s="129" t="n"/>
      <c r="G256" s="13" t="inlineStr">
        <is>
          <t>(80, 90]</t>
        </is>
      </c>
      <c r="H256" s="127" t="n">
        <v>1</v>
      </c>
      <c r="I256" s="99">
        <f>IFERROR(B256/$B$232,0)</f>
        <v/>
      </c>
      <c r="J256" s="99">
        <f>IFERROR(K256/$B$2,0)</f>
        <v/>
      </c>
      <c r="K256" s="128" t="n">
        <v>104364313</v>
      </c>
      <c r="L256" s="99">
        <f>IFERROR(K256/$B$2,0)</f>
        <v/>
      </c>
      <c r="M256" s="99">
        <f>IFERROR(L256*E256,0)</f>
        <v/>
      </c>
      <c r="N256" s="129" t="n"/>
      <c r="O256" s="44" t="n">
        <v>80</v>
      </c>
      <c r="P256" s="44" t="n">
        <v>90</v>
      </c>
      <c r="Q256" s="99">
        <f>L256</f>
        <v/>
      </c>
      <c r="R256" s="99" t="n">
        <v>0</v>
      </c>
      <c r="T256" s="99" t="n"/>
      <c r="U256" s="49">
        <f>IFERROR(ROUND(T256/L256,2),0)</f>
        <v/>
      </c>
    </row>
    <row r="257">
      <c r="A257" s="13" t="inlineStr">
        <is>
          <t>(90, 100]</t>
        </is>
      </c>
      <c r="B257" s="130" t="n">
        <v>192071</v>
      </c>
      <c r="C257" s="130" t="n">
        <v>9127933900</v>
      </c>
      <c r="D257" s="99">
        <f>IFERROR(B257/$B$232,0)</f>
        <v/>
      </c>
      <c r="E257" s="131">
        <f>IFERROR(C257/B257/500.0,0)</f>
        <v/>
      </c>
      <c r="F257" s="129" t="n"/>
      <c r="G257" s="13" t="inlineStr">
        <is>
          <t>(90, 100]</t>
        </is>
      </c>
      <c r="H257" s="127" t="n">
        <v>1</v>
      </c>
      <c r="I257" s="99">
        <f>IFERROR(B257/$B$232,0)</f>
        <v/>
      </c>
      <c r="J257" s="99">
        <f>IFERROR(K257/$B$2,0)</f>
        <v/>
      </c>
      <c r="K257" s="128" t="n">
        <v>156240608</v>
      </c>
      <c r="L257" s="99">
        <f>IFERROR(K257/$B$2,0)</f>
        <v/>
      </c>
      <c r="M257" s="99">
        <f>IFERROR(L257*E257,0)</f>
        <v/>
      </c>
      <c r="N257" s="129" t="n"/>
      <c r="O257" s="44" t="n">
        <v>90</v>
      </c>
      <c r="P257" s="44" t="n">
        <v>100</v>
      </c>
      <c r="Q257" s="99">
        <f>L257</f>
        <v/>
      </c>
      <c r="R257" s="99" t="n">
        <v>0</v>
      </c>
      <c r="T257" s="99" t="n"/>
      <c r="U257" s="49">
        <f>IFERROR(ROUND(T257/L257,2),0)</f>
        <v/>
      </c>
    </row>
    <row r="258">
      <c r="A258" s="13" t="inlineStr">
        <is>
          <t>(100, 120]</t>
        </is>
      </c>
      <c r="B258" s="130" t="n">
        <v>391227</v>
      </c>
      <c r="C258" s="130" t="n">
        <v>21525388900</v>
      </c>
      <c r="D258" s="99">
        <f>IFERROR(B258/$B$232,0)</f>
        <v/>
      </c>
      <c r="E258" s="131">
        <f>IFERROR(C258/B258/500.0,0)</f>
        <v/>
      </c>
      <c r="F258" s="129" t="n"/>
      <c r="G258" s="13" t="inlineStr">
        <is>
          <t>(100, 120]</t>
        </is>
      </c>
      <c r="H258" s="127" t="n">
        <v>1</v>
      </c>
      <c r="I258" s="99">
        <f>IFERROR(B258/$B$232,0)</f>
        <v/>
      </c>
      <c r="J258" s="99">
        <f>IFERROR(K258/$B$2,0)</f>
        <v/>
      </c>
      <c r="K258" s="128" t="n">
        <v>561622248</v>
      </c>
      <c r="L258" s="99">
        <f>IFERROR(K258/$B$2,0)</f>
        <v/>
      </c>
      <c r="M258" s="99">
        <f>IFERROR(L258*E258,0)</f>
        <v/>
      </c>
      <c r="N258" s="129" t="n"/>
      <c r="O258" s="44" t="n">
        <v>100</v>
      </c>
      <c r="P258" s="44" t="n">
        <v>120</v>
      </c>
      <c r="Q258" s="99">
        <f>L258</f>
        <v/>
      </c>
      <c r="R258" s="99" t="n">
        <v>0.1903851212846215</v>
      </c>
      <c r="T258" s="99" t="n"/>
      <c r="U258" s="49">
        <f>IFERROR(ROUND(T258/L258,2),0)</f>
        <v/>
      </c>
    </row>
    <row r="259">
      <c r="A259" s="13" t="inlineStr">
        <is>
          <t>(120, 140]</t>
        </is>
      </c>
      <c r="B259" s="130" t="n">
        <v>391927</v>
      </c>
      <c r="C259" s="130" t="n">
        <v>25481290450</v>
      </c>
      <c r="D259" s="99">
        <f>IFERROR(B259/$B$232,0)</f>
        <v/>
      </c>
      <c r="E259" s="131">
        <f>IFERROR(C259/B259/500.0,0)</f>
        <v/>
      </c>
      <c r="F259" s="129" t="n"/>
      <c r="G259" s="13" t="inlineStr">
        <is>
          <t>(120, 140]</t>
        </is>
      </c>
      <c r="H259" s="127" t="n">
        <v>1</v>
      </c>
      <c r="I259" s="99">
        <f>IFERROR(B259/$B$232,0)</f>
        <v/>
      </c>
      <c r="J259" s="99">
        <f>IFERROR(K259/$B$2,0)</f>
        <v/>
      </c>
      <c r="K259" s="128" t="n">
        <v>0</v>
      </c>
      <c r="L259" s="99">
        <f>IFERROR(K259/$B$2,0)</f>
        <v/>
      </c>
      <c r="M259" s="99">
        <f>IFERROR(L259*E259,0)</f>
        <v/>
      </c>
      <c r="N259" s="129" t="n"/>
      <c r="O259" s="44" t="n">
        <v>120</v>
      </c>
      <c r="P259" s="44" t="n">
        <v>140</v>
      </c>
      <c r="Q259" s="99">
        <f>L259</f>
        <v/>
      </c>
      <c r="R259" s="99" t="n">
        <v>0.1655955739871469</v>
      </c>
      <c r="T259" s="99" t="n"/>
      <c r="U259" s="49">
        <f>IFERROR(ROUND(T259/L259,2),0)</f>
        <v/>
      </c>
    </row>
    <row r="260">
      <c r="A260" s="13" t="inlineStr">
        <is>
          <t>(140, 160]</t>
        </is>
      </c>
      <c r="B260" s="130" t="n">
        <v>386397</v>
      </c>
      <c r="C260" s="130" t="n">
        <v>28979272825</v>
      </c>
      <c r="D260" s="99">
        <f>IFERROR(B260/$B$232,0)</f>
        <v/>
      </c>
      <c r="E260" s="131">
        <f>IFERROR(C260/B260/500.0,0)</f>
        <v/>
      </c>
      <c r="F260" s="129" t="n"/>
      <c r="G260" s="13" t="inlineStr">
        <is>
          <t>(140, 160]</t>
        </is>
      </c>
      <c r="H260" s="127" t="n">
        <v>1</v>
      </c>
      <c r="I260" s="99">
        <f>IFERROR(B260/$B$232,0)</f>
        <v/>
      </c>
      <c r="J260" s="99">
        <f>IFERROR(K260/$B$2,0)</f>
        <v/>
      </c>
      <c r="K260" s="128" t="n">
        <v>0</v>
      </c>
      <c r="L260" s="99">
        <f>IFERROR(K260/$B$2,0)</f>
        <v/>
      </c>
      <c r="M260" s="99">
        <f>IFERROR(L260*E260,0)</f>
        <v/>
      </c>
      <c r="N260" s="129" t="n"/>
      <c r="O260" s="44" t="n">
        <v>140</v>
      </c>
      <c r="P260" s="44" t="n">
        <v>160</v>
      </c>
      <c r="Q260" s="99">
        <f>L260</f>
        <v/>
      </c>
      <c r="R260" s="99" t="n">
        <v>0.131740082580881</v>
      </c>
      <c r="T260" s="99" t="n"/>
      <c r="U260" s="49">
        <f>IFERROR(ROUND(T260/L260,2),0)</f>
        <v/>
      </c>
    </row>
    <row r="261">
      <c r="A261" s="13" t="inlineStr">
        <is>
          <t>(160, 180]</t>
        </is>
      </c>
      <c r="B261" s="130" t="n">
        <v>375882</v>
      </c>
      <c r="C261" s="130" t="n">
        <v>31944807250</v>
      </c>
      <c r="D261" s="99">
        <f>IFERROR(B261/$B$232,0)</f>
        <v/>
      </c>
      <c r="E261" s="131">
        <f>IFERROR(C261/B261/500.0,0)</f>
        <v/>
      </c>
      <c r="F261" s="129" t="n"/>
      <c r="G261" s="13" t="inlineStr">
        <is>
          <t>(160, 180]</t>
        </is>
      </c>
      <c r="H261" s="127" t="n">
        <v>1</v>
      </c>
      <c r="I261" s="99">
        <f>IFERROR(B261/$B$232,0)</f>
        <v/>
      </c>
      <c r="J261" s="99">
        <f>IFERROR(K261/$B$2,0)</f>
        <v/>
      </c>
      <c r="K261" s="128" t="n">
        <v>0</v>
      </c>
      <c r="L261" s="99">
        <f>IFERROR(K261/$B$2,0)</f>
        <v/>
      </c>
      <c r="M261" s="99">
        <f>IFERROR(L261*E261,0)</f>
        <v/>
      </c>
      <c r="N261" s="129" t="n"/>
      <c r="O261" s="44" t="n">
        <v>160</v>
      </c>
      <c r="P261" s="44" t="n">
        <v>180</v>
      </c>
      <c r="Q261" s="99">
        <f>L261</f>
        <v/>
      </c>
      <c r="R261" s="99" t="n">
        <v>0.09286819311441832</v>
      </c>
      <c r="T261" s="99" t="n"/>
      <c r="U261" s="49">
        <f>IFERROR(ROUND(T261/L261,2),0)</f>
        <v/>
      </c>
    </row>
    <row r="262">
      <c r="A262" s="13" t="inlineStr">
        <is>
          <t>(180, 200]</t>
        </is>
      </c>
      <c r="B262" s="130" t="n">
        <v>362324</v>
      </c>
      <c r="C262" s="130" t="n">
        <v>34412323325</v>
      </c>
      <c r="D262" s="99">
        <f>IFERROR(B262/$B$232,0)</f>
        <v/>
      </c>
      <c r="E262" s="131">
        <f>IFERROR(C262/B262/500.0,0)</f>
        <v/>
      </c>
      <c r="F262" s="129" t="n"/>
      <c r="G262" s="13" t="inlineStr">
        <is>
          <t>(180, 200]</t>
        </is>
      </c>
      <c r="H262" s="127" t="n">
        <v>1</v>
      </c>
      <c r="I262" s="99">
        <f>IFERROR(B262/$B$232,0)</f>
        <v/>
      </c>
      <c r="J262" s="99">
        <f>IFERROR(K262/$B$2,0)</f>
        <v/>
      </c>
      <c r="K262" s="128" t="n">
        <v>0</v>
      </c>
      <c r="L262" s="99">
        <f>IFERROR(K262/$B$2,0)</f>
        <v/>
      </c>
      <c r="M262" s="99">
        <f>IFERROR(L262*E262,0)</f>
        <v/>
      </c>
      <c r="N262" s="129" t="n"/>
      <c r="O262" s="44" t="n">
        <v>180</v>
      </c>
      <c r="P262" s="44" t="n">
        <v>200</v>
      </c>
      <c r="Q262" s="99">
        <f>L262</f>
        <v/>
      </c>
      <c r="R262" s="99" t="n">
        <v>0.07766185393194225</v>
      </c>
      <c r="T262" s="99" t="n"/>
      <c r="U262" s="49">
        <f>IFERROR(ROUND(T262/L262,2),0)</f>
        <v/>
      </c>
    </row>
    <row r="263">
      <c r="A263" s="13" t="inlineStr">
        <is>
          <t>(200, 250]</t>
        </is>
      </c>
      <c r="B263" s="130" t="n">
        <v>834186</v>
      </c>
      <c r="C263" s="130" t="n">
        <v>93638745375</v>
      </c>
      <c r="D263" s="99">
        <f>IFERROR(B263/$B$232,0)</f>
        <v/>
      </c>
      <c r="E263" s="131">
        <f>IFERROR(C263/B263/500.0,0)</f>
        <v/>
      </c>
      <c r="F263" s="129" t="n"/>
      <c r="G263" s="13" t="inlineStr">
        <is>
          <t>(200, 250]</t>
        </is>
      </c>
      <c r="H263" s="127" t="n">
        <v>1</v>
      </c>
      <c r="I263" s="99">
        <f>IFERROR(B263/$B$232,0)</f>
        <v/>
      </c>
      <c r="J263" s="99">
        <f>IFERROR(K263/$B$2,0)</f>
        <v/>
      </c>
      <c r="K263" s="128" t="n">
        <v>0</v>
      </c>
      <c r="L263" s="99">
        <f>IFERROR(K263/$B$2,0)</f>
        <v/>
      </c>
      <c r="M263" s="99">
        <f>IFERROR(L263*E263,0)</f>
        <v/>
      </c>
      <c r="N263" s="129" t="n"/>
      <c r="O263" s="44" t="n">
        <v>200</v>
      </c>
      <c r="P263" s="44" t="n">
        <v>250</v>
      </c>
      <c r="Q263" s="99">
        <f>L263</f>
        <v/>
      </c>
      <c r="R263" s="99" t="n">
        <v>0.07810601193727214</v>
      </c>
      <c r="T263" s="99" t="n"/>
      <c r="U263" s="49">
        <f>IFERROR(ROUND(T263/L263,2),0)</f>
        <v/>
      </c>
    </row>
    <row r="264">
      <c r="A264" s="13" t="inlineStr">
        <is>
          <t>(250, 300]</t>
        </is>
      </c>
      <c r="B264" s="130" t="n">
        <v>732855</v>
      </c>
      <c r="C264" s="130" t="n">
        <v>100574663775</v>
      </c>
      <c r="D264" s="99">
        <f>IFERROR(B264/$B$232,0)</f>
        <v/>
      </c>
      <c r="E264" s="131">
        <f>IFERROR(C264/B264/500.0,0)</f>
        <v/>
      </c>
      <c r="F264" s="129" t="n"/>
      <c r="G264" s="13" t="inlineStr">
        <is>
          <t>(250, 300]</t>
        </is>
      </c>
      <c r="H264" s="127" t="n">
        <v>1</v>
      </c>
      <c r="I264" s="99">
        <f>IFERROR(B264/$B$232,0)</f>
        <v/>
      </c>
      <c r="J264" s="99">
        <f>IFERROR(K264/$B$2,0)</f>
        <v/>
      </c>
      <c r="K264" s="128" t="n">
        <v>0</v>
      </c>
      <c r="L264" s="99">
        <f>IFERROR(K264/$B$2,0)</f>
        <v/>
      </c>
      <c r="M264" s="99">
        <f>IFERROR(L264*E264,0)</f>
        <v/>
      </c>
      <c r="N264" s="129" t="n"/>
      <c r="O264" s="44" t="n">
        <v>250</v>
      </c>
      <c r="P264" s="44" t="n">
        <v>300</v>
      </c>
      <c r="Q264" s="99">
        <f>L264</f>
        <v/>
      </c>
      <c r="R264" s="99" t="n">
        <v>0.06221846474662158</v>
      </c>
      <c r="T264" s="99" t="n"/>
      <c r="U264" s="49">
        <f>IFERROR(ROUND(T264/L264,2),0)</f>
        <v/>
      </c>
    </row>
    <row r="265">
      <c r="A265" s="13" t="inlineStr">
        <is>
          <t>(300, 350]</t>
        </is>
      </c>
      <c r="B265" s="130" t="n">
        <v>634943</v>
      </c>
      <c r="C265" s="130" t="n">
        <v>102989687025</v>
      </c>
      <c r="D265" s="99">
        <f>IFERROR(B265/$B$232,0)</f>
        <v/>
      </c>
      <c r="E265" s="131">
        <f>IFERROR(C265/B265/500.0,0)</f>
        <v/>
      </c>
      <c r="F265" s="129" t="n"/>
      <c r="G265" s="13" t="inlineStr">
        <is>
          <t>(300, 350]</t>
        </is>
      </c>
      <c r="H265" s="127" t="n">
        <v>1</v>
      </c>
      <c r="I265" s="99">
        <f>IFERROR(B265/$B$232,0)</f>
        <v/>
      </c>
      <c r="J265" s="99">
        <f>IFERROR(K265/$B$2,0)</f>
        <v/>
      </c>
      <c r="K265" s="128" t="n">
        <v>0</v>
      </c>
      <c r="L265" s="99">
        <f>IFERROR(K265/$B$2,0)</f>
        <v/>
      </c>
      <c r="M265" s="99">
        <f>IFERROR(L265*E265,0)</f>
        <v/>
      </c>
      <c r="N265" s="129" t="n"/>
      <c r="O265" s="44" t="n">
        <v>300</v>
      </c>
      <c r="P265" s="44" t="n">
        <v>350</v>
      </c>
      <c r="Q265" s="99">
        <f>L265</f>
        <v/>
      </c>
      <c r="R265" s="99" t="n">
        <v>0.05423847365086169</v>
      </c>
      <c r="T265" s="99" t="n"/>
      <c r="U265" s="49">
        <f>IFERROR(ROUND(T265/L265,2),0)</f>
        <v/>
      </c>
    </row>
    <row r="266">
      <c r="A266" s="13" t="inlineStr">
        <is>
          <t>(350, 400]</t>
        </is>
      </c>
      <c r="B266" s="130" t="n">
        <v>549244</v>
      </c>
      <c r="C266" s="130" t="n">
        <v>102817847325</v>
      </c>
      <c r="D266" s="99">
        <f>IFERROR(B266/$B$232,0)</f>
        <v/>
      </c>
      <c r="E266" s="131">
        <f>IFERROR(C266/B266/500.0,0)</f>
        <v/>
      </c>
      <c r="F266" s="129" t="n"/>
      <c r="G266" s="13" t="inlineStr">
        <is>
          <t>(350, 400]</t>
        </is>
      </c>
      <c r="H266" s="127" t="n">
        <v>1</v>
      </c>
      <c r="I266" s="99">
        <f>IFERROR(B266/$B$232,0)</f>
        <v/>
      </c>
      <c r="J266" s="99">
        <f>IFERROR(K266/$B$2,0)</f>
        <v/>
      </c>
      <c r="K266" s="128" t="n">
        <v>0</v>
      </c>
      <c r="L266" s="99">
        <f>IFERROR(K266/$B$2,0)</f>
        <v/>
      </c>
      <c r="M266" s="99">
        <f>IFERROR(L266*E266,0)</f>
        <v/>
      </c>
      <c r="N266" s="129" t="n"/>
      <c r="O266" s="44" t="n">
        <v>350</v>
      </c>
      <c r="P266" s="44" t="n">
        <v>400</v>
      </c>
      <c r="Q266" s="99">
        <f>L266</f>
        <v/>
      </c>
      <c r="R266" s="99" t="n">
        <v>0.03196710338360524</v>
      </c>
      <c r="T266" s="99" t="n"/>
      <c r="U266" s="49">
        <f>IFERROR(ROUND(T266/L266,2),0)</f>
        <v/>
      </c>
    </row>
    <row r="267">
      <c r="A267" s="13" t="inlineStr">
        <is>
          <t>(400, 450]</t>
        </is>
      </c>
      <c r="B267" s="130" t="n">
        <v>474685</v>
      </c>
      <c r="C267" s="130" t="n">
        <v>100736974000</v>
      </c>
      <c r="D267" s="99">
        <f>IFERROR(B267/$B$232,0)</f>
        <v/>
      </c>
      <c r="E267" s="131">
        <f>IFERROR(C267/B267/500.0,0)</f>
        <v/>
      </c>
      <c r="F267" s="129" t="n"/>
      <c r="G267" s="13" t="inlineStr">
        <is>
          <t>(400, 450]</t>
        </is>
      </c>
      <c r="H267" s="127" t="n">
        <v>1</v>
      </c>
      <c r="I267" s="99">
        <f>IFERROR(B267/$B$232,0)</f>
        <v/>
      </c>
      <c r="J267" s="99">
        <f>IFERROR(K267/$B$2,0)</f>
        <v/>
      </c>
      <c r="K267" s="128" t="n">
        <v>0</v>
      </c>
      <c r="L267" s="99">
        <f>IFERROR(K267/$B$2,0)</f>
        <v/>
      </c>
      <c r="M267" s="99">
        <f>IFERROR(L267*E267,0)</f>
        <v/>
      </c>
      <c r="N267" s="129" t="n"/>
      <c r="O267" s="44" t="n">
        <v>400</v>
      </c>
      <c r="P267" s="44" t="n">
        <v>450</v>
      </c>
      <c r="Q267" s="99">
        <f>L267</f>
        <v/>
      </c>
      <c r="R267" s="99" t="n">
        <v>0.02673084232077011</v>
      </c>
      <c r="T267" s="99" t="n"/>
      <c r="U267" s="49">
        <f>IFERROR(ROUND(T267/L267,2),0)</f>
        <v/>
      </c>
    </row>
    <row r="268">
      <c r="A268" s="13" t="inlineStr">
        <is>
          <t>(450, 500]</t>
        </is>
      </c>
      <c r="B268" s="130" t="n">
        <v>410001</v>
      </c>
      <c r="C268" s="130" t="n">
        <v>97259284425</v>
      </c>
      <c r="D268" s="99">
        <f>IFERROR(B268/$B$232,0)</f>
        <v/>
      </c>
      <c r="E268" s="131">
        <f>IFERROR(C268/B268/500.0,0)</f>
        <v/>
      </c>
      <c r="F268" s="129" t="n"/>
      <c r="G268" s="13" t="inlineStr">
        <is>
          <t>(450, 500]</t>
        </is>
      </c>
      <c r="H268" s="127" t="n">
        <v>1</v>
      </c>
      <c r="I268" s="99">
        <f>IFERROR(B268/$B$232,0)</f>
        <v/>
      </c>
      <c r="J268" s="99">
        <f>IFERROR(K268/$B$2,0)</f>
        <v/>
      </c>
      <c r="K268" s="128" t="n">
        <v>0</v>
      </c>
      <c r="L268" s="99">
        <f>IFERROR(K268/$B$2,0)</f>
        <v/>
      </c>
      <c r="M268" s="99">
        <f>IFERROR(L268*E268,0)</f>
        <v/>
      </c>
      <c r="N268" s="129" t="n"/>
      <c r="O268" s="44" t="n">
        <v>450</v>
      </c>
      <c r="P268" s="44" t="n">
        <v>500</v>
      </c>
      <c r="Q268" s="99">
        <f>L268</f>
        <v/>
      </c>
      <c r="R268" s="99" t="n">
        <v>0.02432781729193381</v>
      </c>
      <c r="T268" s="99" t="n"/>
      <c r="U268" s="49">
        <f>IFERROR(ROUND(T268/L268,2),0)</f>
        <v/>
      </c>
    </row>
    <row r="269">
      <c r="A269" s="13" t="inlineStr">
        <is>
          <t>(500, 550]</t>
        </is>
      </c>
      <c r="B269" s="130" t="n">
        <v>357096</v>
      </c>
      <c r="C269" s="130" t="n">
        <v>93642085625</v>
      </c>
      <c r="D269" s="99">
        <f>IFERROR(B269/$B$232,0)</f>
        <v/>
      </c>
      <c r="E269" s="131">
        <f>IFERROR(C269/B269/500.0,0)</f>
        <v/>
      </c>
      <c r="F269" s="129" t="n"/>
      <c r="G269" s="13" t="inlineStr">
        <is>
          <t>(500, 550]</t>
        </is>
      </c>
      <c r="H269" s="127" t="n">
        <v>1</v>
      </c>
      <c r="I269" s="99">
        <f>IFERROR(B269/$B$232,0)</f>
        <v/>
      </c>
      <c r="J269" s="99">
        <f>IFERROR(K269/$B$2,0)</f>
        <v/>
      </c>
      <c r="K269" s="128" t="n">
        <v>0</v>
      </c>
      <c r="L269" s="99">
        <f>IFERROR(K269/$B$2,0)</f>
        <v/>
      </c>
      <c r="M269" s="99">
        <f>IFERROR(L269*E269,0)</f>
        <v/>
      </c>
      <c r="N269" s="129" t="n"/>
      <c r="O269" s="44" t="n">
        <v>500</v>
      </c>
      <c r="P269" s="44" t="n">
        <v>550</v>
      </c>
      <c r="Q269" s="99">
        <f>L269</f>
        <v/>
      </c>
      <c r="R269" s="99" t="n">
        <v>0.02844508634134104</v>
      </c>
      <c r="T269" s="99" t="n"/>
      <c r="U269" s="49">
        <f>IFERROR(ROUND(T269/L269,2),0)</f>
        <v/>
      </c>
    </row>
    <row r="270">
      <c r="A270" s="13" t="inlineStr">
        <is>
          <t>(550, 600]</t>
        </is>
      </c>
      <c r="B270" s="130" t="n">
        <v>309666</v>
      </c>
      <c r="C270" s="130" t="n">
        <v>88939242850</v>
      </c>
      <c r="D270" s="99">
        <f>IFERROR(B270/$B$232,0)</f>
        <v/>
      </c>
      <c r="E270" s="131">
        <f>IFERROR(C270/B270/500.0,0)</f>
        <v/>
      </c>
      <c r="F270" s="129" t="n"/>
      <c r="G270" s="13" t="inlineStr">
        <is>
          <t>(550, 600]</t>
        </is>
      </c>
      <c r="H270" s="127" t="n">
        <v>1</v>
      </c>
      <c r="I270" s="99">
        <f>IFERROR(B270/$B$232,0)</f>
        <v/>
      </c>
      <c r="J270" s="99">
        <f>IFERROR(K270/$B$2,0)</f>
        <v/>
      </c>
      <c r="K270" s="128" t="n">
        <v>0</v>
      </c>
      <c r="L270" s="99">
        <f>IFERROR(K270/$B$2,0)</f>
        <v/>
      </c>
      <c r="M270" s="99">
        <f>IFERROR(L270*E270,0)</f>
        <v/>
      </c>
      <c r="N270" s="129" t="n"/>
      <c r="O270" s="44" t="n">
        <v>550</v>
      </c>
      <c r="P270" s="44" t="n">
        <v>600</v>
      </c>
      <c r="Q270" s="99">
        <f>L270</f>
        <v/>
      </c>
      <c r="R270" s="99" t="n">
        <v>0.0120146501441758</v>
      </c>
      <c r="T270" s="99" t="n"/>
      <c r="U270" s="49">
        <f>IFERROR(ROUND(T270/L270,2),0)</f>
        <v/>
      </c>
    </row>
    <row r="271">
      <c r="A271" s="13" t="inlineStr">
        <is>
          <t>(600, 650]</t>
        </is>
      </c>
      <c r="B271" s="130" t="n">
        <v>269178</v>
      </c>
      <c r="C271" s="130" t="n">
        <v>84042237925</v>
      </c>
      <c r="D271" s="99">
        <f>IFERROR(B271/$B$232,0)</f>
        <v/>
      </c>
      <c r="E271" s="131">
        <f>IFERROR(C271/B271/500.0,0)</f>
        <v/>
      </c>
      <c r="F271" s="129" t="n"/>
      <c r="G271" s="13" t="inlineStr">
        <is>
          <t>(600, 650]</t>
        </is>
      </c>
      <c r="H271" s="127" t="n">
        <v>1</v>
      </c>
      <c r="I271" s="99">
        <f>IFERROR(B271/$B$232,0)</f>
        <v/>
      </c>
      <c r="J271" s="99">
        <f>IFERROR(K271/$B$2,0)</f>
        <v/>
      </c>
      <c r="K271" s="128" t="n">
        <v>0</v>
      </c>
      <c r="L271" s="99">
        <f>IFERROR(K271/$B$2,0)</f>
        <v/>
      </c>
      <c r="M271" s="99">
        <f>IFERROR(L271*E271,0)</f>
        <v/>
      </c>
      <c r="N271" s="129" t="n"/>
      <c r="O271" s="44" t="n">
        <v>600</v>
      </c>
      <c r="P271" s="44" t="n">
        <v>650</v>
      </c>
      <c r="Q271" s="99">
        <f>L271</f>
        <v/>
      </c>
      <c r="R271" s="99" t="n">
        <v>0.003722601044671212</v>
      </c>
      <c r="T271" s="99" t="n"/>
      <c r="U271" s="49">
        <f>IFERROR(ROUND(T271/L271,2),0)</f>
        <v/>
      </c>
    </row>
    <row r="272">
      <c r="A272" s="13" t="inlineStr">
        <is>
          <t>(650, 700]</t>
        </is>
      </c>
      <c r="B272" s="130" t="n">
        <v>234744</v>
      </c>
      <c r="C272" s="130" t="n">
        <v>79155744275</v>
      </c>
      <c r="D272" s="99">
        <f>IFERROR(B272/$B$232,0)</f>
        <v/>
      </c>
      <c r="E272" s="131">
        <f>IFERROR(C272/B272/500.0,0)</f>
        <v/>
      </c>
      <c r="F272" s="129" t="n"/>
      <c r="G272" s="13" t="inlineStr">
        <is>
          <t>(650, 700]</t>
        </is>
      </c>
      <c r="H272" s="127" t="n">
        <v>1</v>
      </c>
      <c r="I272" s="99">
        <f>IFERROR(B272/$B$232,0)</f>
        <v/>
      </c>
      <c r="J272" s="99">
        <f>IFERROR(K272/$B$2,0)</f>
        <v/>
      </c>
      <c r="K272" s="128" t="n">
        <v>0</v>
      </c>
      <c r="L272" s="99">
        <f>IFERROR(K272/$B$2,0)</f>
        <v/>
      </c>
      <c r="M272" s="99">
        <f>IFERROR(L272*E272,0)</f>
        <v/>
      </c>
      <c r="N272" s="129" t="n"/>
      <c r="O272" s="44" t="n">
        <v>650</v>
      </c>
      <c r="P272" s="44" t="n">
        <v>700</v>
      </c>
      <c r="Q272" s="99">
        <f>L272</f>
        <v/>
      </c>
      <c r="R272" s="99" t="n">
        <v>0.002252666027031992</v>
      </c>
      <c r="T272" s="99" t="n"/>
      <c r="U272" s="49">
        <f>IFERROR(ROUND(T272/L272,2),0)</f>
        <v/>
      </c>
    </row>
    <row r="273">
      <c r="A273" s="13" t="inlineStr">
        <is>
          <t>(700, 750]</t>
        </is>
      </c>
      <c r="B273" s="130" t="n">
        <v>206008</v>
      </c>
      <c r="C273" s="130" t="n">
        <v>74620456200</v>
      </c>
      <c r="D273" s="99">
        <f>IFERROR(B273/$B$232,0)</f>
        <v/>
      </c>
      <c r="E273" s="131">
        <f>IFERROR(C273/B273/500.0,0)</f>
        <v/>
      </c>
      <c r="F273" s="129" t="n"/>
      <c r="G273" s="13" t="inlineStr">
        <is>
          <t>(700, 750]</t>
        </is>
      </c>
      <c r="H273" s="127" t="n">
        <v>1</v>
      </c>
      <c r="I273" s="99">
        <f>IFERROR(B273/$B$232,0)</f>
        <v/>
      </c>
      <c r="J273" s="99">
        <f>IFERROR(K273/$B$2,0)</f>
        <v/>
      </c>
      <c r="K273" s="128" t="n">
        <v>0</v>
      </c>
      <c r="L273" s="99">
        <f>IFERROR(K273/$B$2,0)</f>
        <v/>
      </c>
      <c r="M273" s="99">
        <f>IFERROR(L273*E273,0)</f>
        <v/>
      </c>
      <c r="N273" s="129" t="n"/>
      <c r="O273" s="44" t="n">
        <v>700</v>
      </c>
      <c r="P273" s="44" t="n">
        <v>750</v>
      </c>
      <c r="Q273" s="99">
        <f>L273</f>
        <v/>
      </c>
      <c r="R273" s="99" t="n">
        <v>0.002274157027289885</v>
      </c>
      <c r="T273" s="99" t="n"/>
      <c r="U273" s="49">
        <f>IFERROR(ROUND(T273/L273,2),0)</f>
        <v/>
      </c>
    </row>
    <row r="274">
      <c r="A274" s="13" t="inlineStr">
        <is>
          <t>(750, 800]</t>
        </is>
      </c>
      <c r="B274" s="130" t="n">
        <v>180585</v>
      </c>
      <c r="C274" s="130" t="n">
        <v>69923898425</v>
      </c>
      <c r="D274" s="99">
        <f>IFERROR(B274/$B$232,0)</f>
        <v/>
      </c>
      <c r="E274" s="131">
        <f>IFERROR(C274/B274/500.0,0)</f>
        <v/>
      </c>
      <c r="F274" s="129" t="n"/>
      <c r="G274" s="13" t="inlineStr">
        <is>
          <t>(750, 800]</t>
        </is>
      </c>
      <c r="H274" s="127" t="n">
        <v>1</v>
      </c>
      <c r="I274" s="99">
        <f>IFERROR(B274/$B$232,0)</f>
        <v/>
      </c>
      <c r="J274" s="99">
        <f>IFERROR(K274/$B$2,0)</f>
        <v/>
      </c>
      <c r="K274" s="128" t="n">
        <v>0</v>
      </c>
      <c r="L274" s="99">
        <f>IFERROR(K274/$B$2,0)</f>
        <v/>
      </c>
      <c r="M274" s="99">
        <f>IFERROR(L274*E274,0)</f>
        <v/>
      </c>
      <c r="N274" s="129" t="n"/>
      <c r="O274" s="44" t="n">
        <v>750</v>
      </c>
      <c r="P274" s="44" t="n">
        <v>800</v>
      </c>
      <c r="Q274" s="99">
        <f>L274</f>
        <v/>
      </c>
      <c r="R274" s="99" t="n">
        <v>0.0022816250273795</v>
      </c>
      <c r="T274" s="99" t="n"/>
      <c r="U274" s="49">
        <f>IFERROR(ROUND(T274/L274,2),0)</f>
        <v/>
      </c>
    </row>
    <row r="275">
      <c r="A275" s="13" t="inlineStr">
        <is>
          <t>(800, 850]</t>
        </is>
      </c>
      <c r="B275" s="130" t="n">
        <v>158461</v>
      </c>
      <c r="C275" s="130" t="n">
        <v>65325578175</v>
      </c>
      <c r="D275" s="99">
        <f>IFERROR(B275/$B$232,0)</f>
        <v/>
      </c>
      <c r="E275" s="131">
        <f>IFERROR(C275/B275/500.0,0)</f>
        <v/>
      </c>
      <c r="F275" s="129" t="n"/>
      <c r="G275" s="13" t="inlineStr">
        <is>
          <t>(800, 850]</t>
        </is>
      </c>
      <c r="H275" s="127" t="n">
        <v>1</v>
      </c>
      <c r="I275" s="99">
        <f>IFERROR(B275/$B$232,0)</f>
        <v/>
      </c>
      <c r="J275" s="99">
        <f>IFERROR(K275/$B$2,0)</f>
        <v/>
      </c>
      <c r="K275" s="128" t="n">
        <v>0</v>
      </c>
      <c r="L275" s="99">
        <f>IFERROR(K275/$B$2,0)</f>
        <v/>
      </c>
      <c r="M275" s="99">
        <f>IFERROR(L275*E275,0)</f>
        <v/>
      </c>
      <c r="N275" s="129" t="n"/>
      <c r="O275" s="44" t="n">
        <v>800</v>
      </c>
      <c r="P275" s="44" t="n">
        <v>850</v>
      </c>
      <c r="Q275" s="99">
        <f>L275</f>
        <v/>
      </c>
      <c r="R275" s="99" t="n">
        <v>0.001529192018350304</v>
      </c>
      <c r="T275" s="99" t="n"/>
      <c r="U275" s="49">
        <f>IFERROR(ROUND(T275/L275,2),0)</f>
        <v/>
      </c>
    </row>
    <row r="276">
      <c r="A276" s="13" t="inlineStr">
        <is>
          <t>(850, 900]</t>
        </is>
      </c>
      <c r="B276" s="130" t="n">
        <v>139537</v>
      </c>
      <c r="C276" s="130" t="n">
        <v>61005744150</v>
      </c>
      <c r="D276" s="99">
        <f>IFERROR(B276/$B$232,0)</f>
        <v/>
      </c>
      <c r="E276" s="131">
        <f>IFERROR(C276/B276/500.0,0)</f>
        <v/>
      </c>
      <c r="F276" s="129" t="n"/>
      <c r="G276" s="13" t="inlineStr">
        <is>
          <t>(850, 900]</t>
        </is>
      </c>
      <c r="H276" s="127" t="n">
        <v>1</v>
      </c>
      <c r="I276" s="99">
        <f>IFERROR(B276/$B$232,0)</f>
        <v/>
      </c>
      <c r="J276" s="99">
        <f>IFERROR(K276/$B$2,0)</f>
        <v/>
      </c>
      <c r="K276" s="133" t="n">
        <v>0</v>
      </c>
      <c r="L276" s="99">
        <f>IFERROR(K276/$B$2,0)</f>
        <v/>
      </c>
      <c r="M276" s="99">
        <f>IFERROR(L276*E276,0)</f>
        <v/>
      </c>
      <c r="N276" s="129" t="n"/>
      <c r="O276" s="44" t="n">
        <v>850</v>
      </c>
      <c r="P276" s="44" t="n">
        <v>900</v>
      </c>
      <c r="Q276" s="99">
        <f>L276</f>
        <v/>
      </c>
      <c r="R276" s="99" t="n">
        <v>0.001527822018333864</v>
      </c>
      <c r="T276" s="99" t="n"/>
      <c r="U276" s="49">
        <f>IFERROR(ROUND(T276/L276,2),0)</f>
        <v/>
      </c>
    </row>
    <row r="277">
      <c r="A277" s="13" t="inlineStr">
        <is>
          <t>(900, 950]</t>
        </is>
      </c>
      <c r="B277" s="130" t="n">
        <v>123154</v>
      </c>
      <c r="C277" s="130" t="n">
        <v>56926954100</v>
      </c>
      <c r="D277" s="99">
        <f>IFERROR(B277/$B$232,0)</f>
        <v/>
      </c>
      <c r="E277" s="131">
        <f>IFERROR(C277/B277/500.0,0)</f>
        <v/>
      </c>
      <c r="F277" s="129" t="n"/>
      <c r="G277" s="13" t="inlineStr">
        <is>
          <t>(900, 950]</t>
        </is>
      </c>
      <c r="H277" s="127" t="n">
        <v>1</v>
      </c>
      <c r="I277" s="99">
        <f>IFERROR(B277/$B$232,0)</f>
        <v/>
      </c>
      <c r="J277" s="99">
        <f>IFERROR(K277/$B$2,0)</f>
        <v/>
      </c>
      <c r="K277" s="133" t="n">
        <v>0</v>
      </c>
      <c r="L277" s="99">
        <f>IFERROR(K277/$B$2,0)</f>
        <v/>
      </c>
      <c r="M277" s="99">
        <f>IFERROR(L277*E277,0)</f>
        <v/>
      </c>
      <c r="N277" s="129" t="n"/>
      <c r="O277" s="44" t="n">
        <v>900</v>
      </c>
      <c r="P277" s="44" t="n">
        <v>950</v>
      </c>
      <c r="Q277" s="99">
        <f>L277</f>
        <v/>
      </c>
      <c r="R277" s="99" t="n">
        <v>0.00151256501815078</v>
      </c>
      <c r="T277" s="99" t="n"/>
      <c r="U277" s="49">
        <f>IFERROR(ROUND(T277/L277,2),0)</f>
        <v/>
      </c>
    </row>
    <row r="278">
      <c r="A278" s="13" t="inlineStr">
        <is>
          <t>(950, 1000]</t>
        </is>
      </c>
      <c r="B278" s="130" t="n">
        <v>108754</v>
      </c>
      <c r="C278" s="130" t="n">
        <v>52991640575</v>
      </c>
      <c r="D278" s="99">
        <f>IFERROR(B278/$B$232,0)</f>
        <v/>
      </c>
      <c r="E278" s="131">
        <f>IFERROR(C278/B278/500.0,0)</f>
        <v/>
      </c>
      <c r="F278" s="129" t="n"/>
      <c r="G278" s="13" t="inlineStr">
        <is>
          <t>(950, 1000]</t>
        </is>
      </c>
      <c r="H278" s="127" t="n">
        <v>1</v>
      </c>
      <c r="I278" s="99">
        <f>IFERROR(B278/$B$232,0)</f>
        <v/>
      </c>
      <c r="J278" s="99">
        <f>IFERROR(K278/$B$2,0)</f>
        <v/>
      </c>
      <c r="K278" s="133" t="n">
        <v>0</v>
      </c>
      <c r="L278" s="99">
        <f>IFERROR(K278/$B$2,0)</f>
        <v/>
      </c>
      <c r="M278" s="99">
        <f>IFERROR(L278*E278,0)</f>
        <v/>
      </c>
      <c r="N278" s="129" t="n"/>
      <c r="O278" s="44" t="n">
        <v>950</v>
      </c>
      <c r="P278" s="44" t="n">
        <v>1000</v>
      </c>
      <c r="Q278" s="99">
        <f>L278</f>
        <v/>
      </c>
      <c r="R278" s="99" t="n">
        <v>0.001499668017996016</v>
      </c>
      <c r="T278" s="99" t="n"/>
      <c r="U278" s="49">
        <f>IFERROR(ROUND(T278/L278,2),0)</f>
        <v/>
      </c>
    </row>
    <row r="279">
      <c r="A279" s="13" t="inlineStr">
        <is>
          <t>(1000, 2000]</t>
        </is>
      </c>
      <c r="B279" s="130" t="n">
        <v>812705</v>
      </c>
      <c r="C279" s="130" t="n">
        <v>541922478250</v>
      </c>
      <c r="D279" s="99">
        <f>IFERROR(B279/$B$232,0)</f>
        <v/>
      </c>
      <c r="E279" s="131">
        <f>IFERROR(C279/B279/500.0,0)</f>
        <v/>
      </c>
      <c r="F279" s="129" t="n"/>
      <c r="G279" s="13" t="inlineStr">
        <is>
          <t>(1000, 2000]</t>
        </is>
      </c>
      <c r="H279" s="127" t="n">
        <v>1</v>
      </c>
      <c r="I279" s="99">
        <f>IFERROR(B279/$B$232,0)</f>
        <v/>
      </c>
      <c r="J279" s="99">
        <f>IFERROR(K279/$B$2,0)</f>
        <v/>
      </c>
      <c r="K279" s="133" t="n">
        <v>0</v>
      </c>
      <c r="L279" s="99">
        <f>IFERROR(K279/$B$2,0)</f>
        <v/>
      </c>
      <c r="M279" s="99">
        <f>IFERROR(L279*E279,0)</f>
        <v/>
      </c>
      <c r="N279" s="129" t="n"/>
      <c r="O279" s="44" t="n">
        <v>1000</v>
      </c>
      <c r="P279" s="44" t="n">
        <v>2000</v>
      </c>
      <c r="Q279" s="99">
        <f>L279</f>
        <v/>
      </c>
      <c r="R279" s="99" t="n">
        <v>0.003862547046350564</v>
      </c>
      <c r="T279" s="99" t="n"/>
      <c r="U279" s="49">
        <f>IFERROR(ROUND(T279/L279,2),0)</f>
        <v/>
      </c>
    </row>
    <row r="280">
      <c r="A280" s="13" t="inlineStr">
        <is>
          <t>(2000, 3000]</t>
        </is>
      </c>
      <c r="B280" s="130" t="n">
        <v>121995</v>
      </c>
      <c r="C280" s="130" t="n">
        <v>144832714050</v>
      </c>
      <c r="D280" s="99">
        <f>IFERROR(B280/$B$232,0)</f>
        <v/>
      </c>
      <c r="E280" s="131">
        <f>IFERROR(C280/B280/500.0,0)</f>
        <v/>
      </c>
      <c r="F280" s="129" t="n"/>
      <c r="G280" s="13" t="inlineStr">
        <is>
          <t>(2000, 3000]</t>
        </is>
      </c>
      <c r="H280" s="127" t="n">
        <v>1</v>
      </c>
      <c r="I280" s="99">
        <f>IFERROR(B280/$B$232,0)</f>
        <v/>
      </c>
      <c r="J280" s="99">
        <f>IFERROR(K280/$B$2,0)</f>
        <v/>
      </c>
      <c r="K280" s="133" t="n">
        <v>0</v>
      </c>
      <c r="L280" s="99">
        <f>IFERROR(K280/$B$2,0)</f>
        <v/>
      </c>
      <c r="M280" s="99">
        <f>IFERROR(L280*E280,0)</f>
        <v/>
      </c>
      <c r="N280" s="129" t="n"/>
      <c r="O280" s="44" t="n">
        <v>2000</v>
      </c>
      <c r="P280" s="44" t="n">
        <v>3000</v>
      </c>
      <c r="Q280" s="99">
        <f>L280</f>
        <v/>
      </c>
      <c r="R280" s="99" t="n">
        <v>0.001746226020954712</v>
      </c>
      <c r="T280" s="99" t="n"/>
      <c r="U280" s="49">
        <f>IFERROR(ROUND(T280/L280,2),0)</f>
        <v/>
      </c>
    </row>
    <row r="281">
      <c r="A281" s="13" t="inlineStr">
        <is>
          <t>(3000, 4000]</t>
        </is>
      </c>
      <c r="B281" s="130" t="n">
        <v>32360</v>
      </c>
      <c r="C281" s="130" t="n">
        <v>55313613875</v>
      </c>
      <c r="D281" s="99">
        <f>IFERROR(B281/$B$232,0)</f>
        <v/>
      </c>
      <c r="E281" s="131">
        <f>IFERROR(C281/B281/500.0,0)</f>
        <v/>
      </c>
      <c r="F281" s="129" t="n"/>
      <c r="G281" s="13" t="inlineStr">
        <is>
          <t>(3000, 4000]</t>
        </is>
      </c>
      <c r="H281" s="127" t="n">
        <v>1</v>
      </c>
      <c r="I281" s="99">
        <f>IFERROR(B281/$B$232,0)</f>
        <v/>
      </c>
      <c r="J281" s="99">
        <f>IFERROR(K281/$B$2,0)</f>
        <v/>
      </c>
      <c r="K281" s="133" t="n">
        <v>0</v>
      </c>
      <c r="L281" s="99">
        <f>IFERROR(K281/$B$2,0)</f>
        <v/>
      </c>
      <c r="M281" s="99">
        <f>IFERROR(L281*E281,0)</f>
        <v/>
      </c>
      <c r="N281" s="129" t="n"/>
      <c r="O281" s="44" t="n">
        <v>3000</v>
      </c>
      <c r="P281" s="44" t="n">
        <v>4000</v>
      </c>
      <c r="Q281" s="99">
        <f>L281</f>
        <v/>
      </c>
      <c r="R281" s="99" t="n">
        <v>0.0006393770076725241</v>
      </c>
      <c r="T281" s="99" t="n"/>
      <c r="U281" s="49">
        <f>IFERROR(ROUND(T281/L281,2),0)</f>
        <v/>
      </c>
    </row>
    <row r="282">
      <c r="A282" s="13" t="inlineStr">
        <is>
          <t>(4000, 5000]</t>
        </is>
      </c>
      <c r="B282" s="130" t="n">
        <v>13906</v>
      </c>
      <c r="C282" s="130" t="n">
        <v>30929337225</v>
      </c>
      <c r="D282" s="99">
        <f>IFERROR(B282/$B$232,0)</f>
        <v/>
      </c>
      <c r="E282" s="131">
        <f>IFERROR(C282/B282/500.0,0)</f>
        <v/>
      </c>
      <c r="F282" s="129" t="n"/>
      <c r="G282" s="13" t="inlineStr">
        <is>
          <t>(4000, 5000]</t>
        </is>
      </c>
      <c r="H282" s="127" t="n">
        <v>1</v>
      </c>
      <c r="I282" s="99">
        <f>IFERROR(B282/$B$232,0)</f>
        <v/>
      </c>
      <c r="J282" s="99">
        <f>IFERROR(K282/$B$2,0)</f>
        <v/>
      </c>
      <c r="K282" s="133" t="n">
        <v>0</v>
      </c>
      <c r="L282" s="99">
        <f>IFERROR(K282/$B$2,0)</f>
        <v/>
      </c>
      <c r="M282" s="99">
        <f>IFERROR(L282*E282,0)</f>
        <v/>
      </c>
      <c r="N282" s="129" t="n"/>
      <c r="O282" s="44" t="n">
        <v>4000</v>
      </c>
      <c r="P282" s="44" t="n">
        <v>5000</v>
      </c>
      <c r="Q282" s="99">
        <f>L282</f>
        <v/>
      </c>
      <c r="R282" s="99" t="n">
        <v>0.000338507004062084</v>
      </c>
      <c r="T282" s="99" t="n"/>
      <c r="U282" s="49">
        <f>IFERROR(ROUND(T282/L282,2),0)</f>
        <v/>
      </c>
    </row>
    <row r="283">
      <c r="A283" s="13" t="inlineStr">
        <is>
          <t>(5000, 6000]</t>
        </is>
      </c>
      <c r="B283" s="130" t="n">
        <v>8328</v>
      </c>
      <c r="C283" s="130" t="n">
        <v>22769281575</v>
      </c>
      <c r="D283" s="99">
        <f>IFERROR(B283/$B$232,0)</f>
        <v/>
      </c>
      <c r="E283" s="131">
        <f>IFERROR(C283/B283/500.0,0)</f>
        <v/>
      </c>
      <c r="F283" s="129" t="n"/>
      <c r="G283" s="13" t="inlineStr">
        <is>
          <t>(5000, 6000]</t>
        </is>
      </c>
      <c r="H283" s="127" t="n">
        <v>1</v>
      </c>
      <c r="I283" s="99">
        <f>IFERROR(B283/$B$232,0)</f>
        <v/>
      </c>
      <c r="J283" s="99">
        <f>IFERROR(K283/$B$2,0)</f>
        <v/>
      </c>
      <c r="K283" s="133" t="n">
        <v>0</v>
      </c>
      <c r="L283" s="99">
        <f>IFERROR(K283/$B$2,0)</f>
        <v/>
      </c>
      <c r="M283" s="99">
        <f>IFERROR(L283*E283,0)</f>
        <v/>
      </c>
      <c r="N283" s="129" t="n"/>
      <c r="O283" s="44" t="n">
        <v>5000</v>
      </c>
      <c r="P283" s="44" t="n">
        <v>6000</v>
      </c>
      <c r="Q283" s="99">
        <f>L283</f>
        <v/>
      </c>
      <c r="R283" s="99" t="n">
        <v>0.000296398003556776</v>
      </c>
      <c r="T283" s="99" t="n"/>
      <c r="U283" s="49">
        <f>IFERROR(ROUND(T283/L283,2),0)</f>
        <v/>
      </c>
    </row>
    <row r="284">
      <c r="A284" s="13" t="inlineStr">
        <is>
          <t>(6000, 7000]</t>
        </is>
      </c>
      <c r="B284" s="130" t="n">
        <v>5869</v>
      </c>
      <c r="C284" s="130" t="n">
        <v>19004181700</v>
      </c>
      <c r="D284" s="99">
        <f>IFERROR(B284/$B$232,0)</f>
        <v/>
      </c>
      <c r="E284" s="131">
        <f>IFERROR(C284/B284/500.0,0)</f>
        <v/>
      </c>
      <c r="F284" s="129" t="n"/>
      <c r="G284" s="13" t="inlineStr">
        <is>
          <t>(6000, 7000]</t>
        </is>
      </c>
      <c r="H284" s="127" t="n">
        <v>1</v>
      </c>
      <c r="I284" s="99">
        <f>IFERROR(B284/$B$232,0)</f>
        <v/>
      </c>
      <c r="J284" s="99">
        <f>IFERROR(K284/$B$2,0)</f>
        <v/>
      </c>
      <c r="K284" s="133" t="n">
        <v>0</v>
      </c>
      <c r="L284" s="99">
        <f>IFERROR(K284/$B$2,0)</f>
        <v/>
      </c>
      <c r="M284" s="99">
        <f>IFERROR(L284*E284,0)</f>
        <v/>
      </c>
      <c r="N284" s="129" t="n"/>
      <c r="O284" s="44" t="n">
        <v>6000</v>
      </c>
      <c r="P284" s="44" t="n">
        <v>7000</v>
      </c>
      <c r="Q284" s="99">
        <f>L284</f>
        <v/>
      </c>
      <c r="R284" s="99" t="n">
        <v>0.000217374002608488</v>
      </c>
      <c r="T284" s="99" t="n"/>
      <c r="U284" s="49">
        <f>IFERROR(ROUND(T284/L284,2),0)</f>
        <v/>
      </c>
    </row>
    <row r="285">
      <c r="A285" s="13" t="inlineStr">
        <is>
          <t>(7000, 8000]</t>
        </is>
      </c>
      <c r="B285" s="130" t="n">
        <v>4567</v>
      </c>
      <c r="C285" s="130" t="n">
        <v>17073659775</v>
      </c>
      <c r="D285" s="99">
        <f>IFERROR(B285/$B$232,0)</f>
        <v/>
      </c>
      <c r="E285" s="131">
        <f>IFERROR(C285/B285/500.0,0)</f>
        <v/>
      </c>
      <c r="F285" s="129" t="n"/>
      <c r="G285" s="13" t="inlineStr">
        <is>
          <t>(7000, 8000]</t>
        </is>
      </c>
      <c r="H285" s="127" t="n">
        <v>1</v>
      </c>
      <c r="I285" s="99">
        <f>IFERROR(B285/$B$232,0)</f>
        <v/>
      </c>
      <c r="J285" s="99">
        <f>IFERROR(K285/$B$2,0)</f>
        <v/>
      </c>
      <c r="K285" s="133" t="n">
        <v>0</v>
      </c>
      <c r="L285" s="99">
        <f>IFERROR(K285/$B$2,0)</f>
        <v/>
      </c>
      <c r="M285" s="99">
        <f>IFERROR(L285*E285,0)</f>
        <v/>
      </c>
      <c r="N285" s="129" t="n"/>
      <c r="O285" s="44" t="n">
        <v>7000</v>
      </c>
      <c r="P285" s="44" t="n">
        <v>8000</v>
      </c>
      <c r="Q285" s="99">
        <f>L285</f>
        <v/>
      </c>
      <c r="R285" s="99" t="n">
        <v>0</v>
      </c>
      <c r="T285" s="99" t="n"/>
      <c r="U285" s="49">
        <f>IFERROR(ROUND(T285/L285,2),0)</f>
        <v/>
      </c>
    </row>
    <row r="286">
      <c r="A286" s="13" t="inlineStr">
        <is>
          <t>(8000, 9000]</t>
        </is>
      </c>
      <c r="B286" s="130" t="n">
        <v>3824</v>
      </c>
      <c r="C286" s="130" t="n">
        <v>16222030250</v>
      </c>
      <c r="D286" s="99">
        <f>IFERROR(B286/$B$232,0)</f>
        <v/>
      </c>
      <c r="E286" s="131">
        <f>IFERROR(C286/B286/500.0,0)</f>
        <v/>
      </c>
      <c r="F286" s="129" t="n"/>
      <c r="G286" s="13" t="inlineStr">
        <is>
          <t>(8000, 9000]</t>
        </is>
      </c>
      <c r="H286" s="127" t="n">
        <v>1</v>
      </c>
      <c r="I286" s="99">
        <f>IFERROR(B286/$B$232,0)</f>
        <v/>
      </c>
      <c r="J286" s="99">
        <f>IFERROR(K286/$B$2,0)</f>
        <v/>
      </c>
      <c r="K286" s="133" t="n">
        <v>0</v>
      </c>
      <c r="L286" s="99">
        <f>IFERROR(K286/$B$2,0)</f>
        <v/>
      </c>
      <c r="M286" s="99">
        <f>IFERROR(L286*E286,0)</f>
        <v/>
      </c>
      <c r="N286" s="129" t="n"/>
      <c r="O286" s="44" t="n">
        <v>8000</v>
      </c>
      <c r="P286" s="44" t="n">
        <v>9000</v>
      </c>
      <c r="Q286" s="99">
        <f>L286</f>
        <v/>
      </c>
      <c r="R286" s="99" t="n">
        <v>0</v>
      </c>
      <c r="T286" s="99" t="n"/>
      <c r="U286" s="49">
        <f>IFERROR(ROUND(T286/L286,2),0)</f>
        <v/>
      </c>
    </row>
    <row r="287">
      <c r="A287" s="13" t="inlineStr">
        <is>
          <t>(9000, 10000]</t>
        </is>
      </c>
      <c r="B287" s="130" t="n">
        <v>3053</v>
      </c>
      <c r="C287" s="130" t="n">
        <v>14485521400</v>
      </c>
      <c r="D287" s="99">
        <f>IFERROR(B287/$B$232,0)</f>
        <v/>
      </c>
      <c r="E287" s="131">
        <f>IFERROR(C287/B287/500.0,0)</f>
        <v/>
      </c>
      <c r="F287" s="129" t="n"/>
      <c r="G287" s="13" t="inlineStr">
        <is>
          <t>(9000, 10000]</t>
        </is>
      </c>
      <c r="H287" s="127" t="n">
        <v>1</v>
      </c>
      <c r="I287" s="99">
        <f>IFERROR(B287/$B$232,0)</f>
        <v/>
      </c>
      <c r="J287" s="99">
        <f>IFERROR(K287/$B$2,0)</f>
        <v/>
      </c>
      <c r="K287" s="133" t="n">
        <v>0</v>
      </c>
      <c r="L287" s="99">
        <f>IFERROR(K287/$B$2,0)</f>
        <v/>
      </c>
      <c r="M287" s="99">
        <f>IFERROR(L287*E287,0)</f>
        <v/>
      </c>
      <c r="N287" s="129" t="n"/>
      <c r="O287" s="44" t="n">
        <v>9000</v>
      </c>
      <c r="P287" s="44" t="n">
        <v>10000</v>
      </c>
      <c r="Q287" s="99">
        <f>L287</f>
        <v/>
      </c>
      <c r="R287" s="99" t="n">
        <v>0</v>
      </c>
      <c r="T287" s="99" t="n"/>
      <c r="U287" s="49">
        <f>IFERROR(ROUND(T287/L287,2),0)</f>
        <v/>
      </c>
    </row>
    <row r="288">
      <c r="A288" s="13" t="inlineStr">
        <is>
          <t>(10000, 20000]</t>
        </is>
      </c>
      <c r="B288" s="130" t="n">
        <v>15951</v>
      </c>
      <c r="C288" s="130" t="n">
        <v>112077189850</v>
      </c>
      <c r="D288" s="99">
        <f>IFERROR(B288/$B$232,0)</f>
        <v/>
      </c>
      <c r="E288" s="131">
        <f>IFERROR(C288/B288/500.0,0)</f>
        <v/>
      </c>
      <c r="F288" s="129" t="n"/>
      <c r="G288" s="13" t="inlineStr">
        <is>
          <t>(10000, 20000]</t>
        </is>
      </c>
      <c r="H288" s="127" t="n">
        <v>1</v>
      </c>
      <c r="I288" s="99">
        <f>IFERROR(B288/$B$232,0)</f>
        <v/>
      </c>
      <c r="J288" s="99">
        <f>IFERROR(K288/$B$2,0)</f>
        <v/>
      </c>
      <c r="K288" s="133" t="n">
        <v>0</v>
      </c>
      <c r="L288" s="99">
        <f>IFERROR(K288/$B$2,0)</f>
        <v/>
      </c>
      <c r="M288" s="99">
        <f>IFERROR(L288*E288,0)</f>
        <v/>
      </c>
      <c r="N288" s="129" t="n"/>
      <c r="O288" s="44" t="n">
        <v>10000</v>
      </c>
      <c r="P288" s="44" t="n">
        <v>20000</v>
      </c>
      <c r="Q288" s="99">
        <f>L288</f>
        <v/>
      </c>
      <c r="R288" s="99" t="n">
        <v>0</v>
      </c>
      <c r="T288" s="99" t="n"/>
      <c r="U288" s="49">
        <f>IFERROR(ROUND(T288/L288,2),0)</f>
        <v/>
      </c>
    </row>
    <row r="289">
      <c r="A289" s="13" t="inlineStr">
        <is>
          <t>(20000, 30000]</t>
        </is>
      </c>
      <c r="B289" s="130" t="n">
        <v>6932</v>
      </c>
      <c r="C289" s="130" t="n">
        <v>85225544450</v>
      </c>
      <c r="D289" s="99">
        <f>IFERROR(B289/$B$232,0)</f>
        <v/>
      </c>
      <c r="E289" s="131">
        <f>IFERROR(C289/B289/500.0,0)</f>
        <v/>
      </c>
      <c r="F289" s="129" t="n"/>
      <c r="G289" s="13" t="inlineStr">
        <is>
          <t>(20000, 30000]</t>
        </is>
      </c>
      <c r="H289" s="127" t="n">
        <v>1</v>
      </c>
      <c r="I289" s="99">
        <f>IFERROR(B289/$B$232,0)</f>
        <v/>
      </c>
      <c r="J289" s="99">
        <f>IFERROR(K289/$B$2,0)</f>
        <v/>
      </c>
      <c r="K289" s="133" t="n">
        <v>0</v>
      </c>
      <c r="L289" s="99">
        <f>IFERROR(K289/$B$2,0)</f>
        <v/>
      </c>
      <c r="M289" s="99">
        <f>IFERROR(L289*E289,0)</f>
        <v/>
      </c>
      <c r="N289" s="129" t="n"/>
      <c r="O289" s="44" t="n">
        <v>20000</v>
      </c>
      <c r="P289" s="44" t="n">
        <v>30000</v>
      </c>
      <c r="Q289" s="99">
        <f>L289</f>
        <v/>
      </c>
      <c r="R289" s="99" t="n">
        <v>0</v>
      </c>
      <c r="T289" s="99" t="n"/>
      <c r="U289" s="49">
        <f>IFERROR(ROUND(T289/L289,2),0)</f>
        <v/>
      </c>
    </row>
    <row r="290">
      <c r="A290" s="13" t="inlineStr">
        <is>
          <t>(30000, 40000]</t>
        </is>
      </c>
      <c r="B290" s="130" t="n">
        <v>4992</v>
      </c>
      <c r="C290" s="130" t="n">
        <v>86626772875</v>
      </c>
      <c r="D290" s="99">
        <f>IFERROR(B290/$B$232,0)</f>
        <v/>
      </c>
      <c r="E290" s="131">
        <f>IFERROR(C290/B290/500.0,0)</f>
        <v/>
      </c>
      <c r="F290" s="129" t="n"/>
      <c r="G290" s="13" t="inlineStr">
        <is>
          <t>(30000, 40000]</t>
        </is>
      </c>
      <c r="H290" s="127" t="n">
        <v>1</v>
      </c>
      <c r="I290" s="99">
        <f>IFERROR(B290/$B$232,0)</f>
        <v/>
      </c>
      <c r="J290" s="99">
        <f>IFERROR(K290/$B$2,0)</f>
        <v/>
      </c>
      <c r="K290" s="133" t="n">
        <v>0</v>
      </c>
      <c r="L290" s="99">
        <f>IFERROR(K290/$B$2,0)</f>
        <v/>
      </c>
      <c r="M290" s="99">
        <f>IFERROR(L290*E290,0)</f>
        <v/>
      </c>
      <c r="N290" s="129" t="n"/>
      <c r="O290" s="44" t="n">
        <v>30000</v>
      </c>
      <c r="P290" s="44" t="n">
        <v>40000</v>
      </c>
      <c r="Q290" s="99">
        <f>L290</f>
        <v/>
      </c>
      <c r="R290" s="99" t="n">
        <v>0</v>
      </c>
      <c r="T290" s="99" t="n"/>
      <c r="U290" s="49">
        <f>IFERROR(ROUND(T290/L290,2),0)</f>
        <v/>
      </c>
    </row>
    <row r="291">
      <c r="A291" s="13" t="inlineStr">
        <is>
          <t>(40000, 50000]</t>
        </is>
      </c>
      <c r="B291" s="130" t="n">
        <v>3868</v>
      </c>
      <c r="C291" s="130" t="n">
        <v>86822593775</v>
      </c>
      <c r="D291" s="99">
        <f>IFERROR(B291/$B$232,0)</f>
        <v/>
      </c>
      <c r="E291" s="131">
        <f>IFERROR(C291/B291/500.0,0)</f>
        <v/>
      </c>
      <c r="F291" s="129" t="n"/>
      <c r="G291" s="13" t="inlineStr">
        <is>
          <t>(40000, 50000]</t>
        </is>
      </c>
      <c r="H291" s="127" t="n">
        <v>1</v>
      </c>
      <c r="I291" s="99">
        <f>IFERROR(B291/$B$232,0)</f>
        <v/>
      </c>
      <c r="J291" s="99">
        <f>IFERROR(K291/$B$2,0)</f>
        <v/>
      </c>
      <c r="K291" s="133" t="n">
        <v>0</v>
      </c>
      <c r="L291" s="99">
        <f>IFERROR(K291/$B$2,0)</f>
        <v/>
      </c>
      <c r="M291" s="99">
        <f>IFERROR(L291*E291,0)</f>
        <v/>
      </c>
      <c r="N291" s="129" t="n"/>
      <c r="O291" s="44" t="n">
        <v>40000</v>
      </c>
      <c r="P291" s="44" t="n">
        <v>50000</v>
      </c>
      <c r="Q291" s="99">
        <f>L291</f>
        <v/>
      </c>
      <c r="R291" s="99" t="n">
        <v>0</v>
      </c>
      <c r="T291" s="99" t="n"/>
      <c r="U291" s="49">
        <f>IFERROR(ROUND(T291/L291,2),0)</f>
        <v/>
      </c>
    </row>
    <row r="292">
      <c r="A292" s="13" t="inlineStr">
        <is>
          <t>(50000, 60000]</t>
        </is>
      </c>
      <c r="B292" s="130" t="n">
        <v>3159</v>
      </c>
      <c r="C292" s="130" t="n">
        <v>86662390975</v>
      </c>
      <c r="D292" s="99">
        <f>IFERROR(B292/$B$232,0)</f>
        <v/>
      </c>
      <c r="E292" s="131">
        <f>IFERROR(C292/B292/500.0,0)</f>
        <v/>
      </c>
      <c r="F292" s="129" t="n"/>
      <c r="G292" s="13" t="inlineStr">
        <is>
          <t>(50000, 60000]</t>
        </is>
      </c>
      <c r="H292" s="127" t="n">
        <v>1</v>
      </c>
      <c r="I292" s="99">
        <f>IFERROR(B292/$B$232,0)</f>
        <v/>
      </c>
      <c r="J292" s="99">
        <f>IFERROR(K292/$B$2,0)</f>
        <v/>
      </c>
      <c r="K292" s="133" t="n">
        <v>0</v>
      </c>
      <c r="L292" s="99">
        <f>IFERROR(K292/$B$2,0)</f>
        <v/>
      </c>
      <c r="M292" s="99">
        <f>IFERROR(L292*E292,0)</f>
        <v/>
      </c>
      <c r="N292" s="129" t="n"/>
      <c r="O292" s="44" t="n">
        <v>50000</v>
      </c>
      <c r="P292" s="44" t="n">
        <v>60000</v>
      </c>
      <c r="Q292" s="99">
        <f>L292</f>
        <v/>
      </c>
      <c r="R292" s="99" t="n">
        <v>0</v>
      </c>
      <c r="T292" s="99" t="n"/>
      <c r="U292" s="49">
        <f>IFERROR(ROUND(T292/L292,2),0)</f>
        <v/>
      </c>
    </row>
    <row r="293">
      <c r="A293" s="13" t="inlineStr">
        <is>
          <t>(60000, 70000]</t>
        </is>
      </c>
      <c r="B293" s="130" t="n">
        <v>2388</v>
      </c>
      <c r="C293" s="130" t="n">
        <v>77364347050</v>
      </c>
      <c r="D293" s="99">
        <f>IFERROR(B293/$B$232,0)</f>
        <v/>
      </c>
      <c r="E293" s="131">
        <f>IFERROR(C293/B293/500.0,0)</f>
        <v/>
      </c>
      <c r="F293" s="129" t="n"/>
      <c r="G293" s="13" t="inlineStr">
        <is>
          <t>(60000, 70000]</t>
        </is>
      </c>
      <c r="H293" s="127" t="n">
        <v>1</v>
      </c>
      <c r="I293" s="99">
        <f>IFERROR(B293/$B$232,0)</f>
        <v/>
      </c>
      <c r="J293" s="99">
        <f>IFERROR(K293/$B$2,0)</f>
        <v/>
      </c>
      <c r="K293" s="133" t="n">
        <v>0</v>
      </c>
      <c r="L293" s="99">
        <f>IFERROR(K293/$B$2,0)</f>
        <v/>
      </c>
      <c r="M293" s="99">
        <f>IFERROR(L293*E293,0)</f>
        <v/>
      </c>
      <c r="N293" s="129" t="n"/>
      <c r="O293" s="44" t="n">
        <v>60000</v>
      </c>
      <c r="P293" s="44" t="n">
        <v>70000</v>
      </c>
      <c r="Q293" s="99">
        <f>L293</f>
        <v/>
      </c>
      <c r="R293" s="99" t="n">
        <v>0</v>
      </c>
      <c r="T293" s="99" t="n"/>
      <c r="U293" s="49">
        <f>IFERROR(ROUND(T293/L293,2),0)</f>
        <v/>
      </c>
    </row>
    <row r="294">
      <c r="A294" s="13" t="inlineStr">
        <is>
          <t>(70000, 80000]</t>
        </is>
      </c>
      <c r="B294" s="130" t="n">
        <v>1948</v>
      </c>
      <c r="C294" s="130" t="n">
        <v>72787068275</v>
      </c>
      <c r="D294" s="99">
        <f>IFERROR(B294/$B$232,0)</f>
        <v/>
      </c>
      <c r="E294" s="131">
        <f>IFERROR(C294/B294/500.0,0)</f>
        <v/>
      </c>
      <c r="F294" s="129" t="n"/>
      <c r="G294" s="13" t="inlineStr">
        <is>
          <t>(70000, 80000]</t>
        </is>
      </c>
      <c r="H294" s="127" t="n">
        <v>1</v>
      </c>
      <c r="I294" s="99">
        <f>IFERROR(B294/$B$232,0)</f>
        <v/>
      </c>
      <c r="J294" s="99">
        <f>IFERROR(K294/$B$2,0)</f>
        <v/>
      </c>
      <c r="K294" s="133" t="n">
        <v>0</v>
      </c>
      <c r="L294" s="99">
        <f>IFERROR(K294/$B$2,0)</f>
        <v/>
      </c>
      <c r="M294" s="99">
        <f>IFERROR(L294*E294,0)</f>
        <v/>
      </c>
      <c r="N294" s="129" t="n"/>
      <c r="O294" s="44" t="n">
        <v>70000</v>
      </c>
      <c r="P294" s="44" t="n">
        <v>80000</v>
      </c>
      <c r="Q294" s="99">
        <f>L294</f>
        <v/>
      </c>
      <c r="R294" s="99" t="n">
        <v>0</v>
      </c>
      <c r="T294" s="99" t="n"/>
      <c r="U294" s="49">
        <f>IFERROR(ROUND(T294/L294,2),0)</f>
        <v/>
      </c>
    </row>
    <row r="295">
      <c r="A295" s="13" t="inlineStr">
        <is>
          <t>(80000, 90000]</t>
        </is>
      </c>
      <c r="B295" s="130" t="n">
        <v>1413</v>
      </c>
      <c r="C295" s="130" t="n">
        <v>59880956000</v>
      </c>
      <c r="D295" s="99">
        <f>IFERROR(B295/$B$232,0)</f>
        <v/>
      </c>
      <c r="E295" s="131">
        <f>IFERROR(C295/B295/500.0,0)</f>
        <v/>
      </c>
      <c r="F295" s="129" t="n"/>
      <c r="G295" s="13" t="inlineStr">
        <is>
          <t>(80000, 90000]</t>
        </is>
      </c>
      <c r="H295" s="127" t="n">
        <v>1</v>
      </c>
      <c r="I295" s="99">
        <f>IFERROR(B295/$B$232,0)</f>
        <v/>
      </c>
      <c r="J295" s="99">
        <f>IFERROR(K295/$B$2,0)</f>
        <v/>
      </c>
      <c r="K295" s="133" t="n">
        <v>0</v>
      </c>
      <c r="L295" s="99">
        <f>IFERROR(K295/$B$2,0)</f>
        <v/>
      </c>
      <c r="M295" s="99">
        <f>IFERROR(L295*E295,0)</f>
        <v/>
      </c>
      <c r="N295" s="129" t="n"/>
      <c r="O295" s="44" t="n">
        <v>80000</v>
      </c>
      <c r="P295" s="44" t="n">
        <v>90000</v>
      </c>
      <c r="Q295" s="99">
        <f>L295</f>
        <v/>
      </c>
      <c r="R295" s="99" t="n">
        <v>0</v>
      </c>
      <c r="T295" s="99" t="n"/>
      <c r="U295" s="49">
        <f>IFERROR(ROUND(T295/L295,2),0)</f>
        <v/>
      </c>
    </row>
    <row r="296">
      <c r="A296" s="13" t="inlineStr">
        <is>
          <t>(90000, 100000]</t>
        </is>
      </c>
      <c r="B296" s="130" t="n">
        <v>1056</v>
      </c>
      <c r="C296" s="130" t="n">
        <v>49988540825</v>
      </c>
      <c r="D296" s="99">
        <f>IFERROR(B296/$B$232,0)</f>
        <v/>
      </c>
      <c r="E296" s="131">
        <f>IFERROR(C296/B296/500.0,0)</f>
        <v/>
      </c>
      <c r="F296" s="129" t="n"/>
      <c r="G296" s="13" t="inlineStr">
        <is>
          <t>(90000, 100000]</t>
        </is>
      </c>
      <c r="H296" s="127" t="n">
        <v>1</v>
      </c>
      <c r="I296" s="99">
        <f>IFERROR(B296/$B$232,0)</f>
        <v/>
      </c>
      <c r="J296" s="99">
        <f>IFERROR(K296/$B$2,0)</f>
        <v/>
      </c>
      <c r="K296" s="133" t="n">
        <v>0</v>
      </c>
      <c r="L296" s="99">
        <f>IFERROR(K296/$B$2,0)</f>
        <v/>
      </c>
      <c r="M296" s="99">
        <f>IFERROR(L296*E296,0)</f>
        <v/>
      </c>
      <c r="N296" s="129" t="n"/>
      <c r="O296" s="44" t="n">
        <v>90000</v>
      </c>
      <c r="P296" s="44" t="n">
        <v>100000</v>
      </c>
      <c r="Q296" s="99">
        <f>L296</f>
        <v/>
      </c>
      <c r="R296" s="99" t="n">
        <v>0</v>
      </c>
      <c r="T296" s="99" t="n"/>
      <c r="U296" s="49">
        <f>IFERROR(ROUND(T296/L296,2),0)</f>
        <v/>
      </c>
    </row>
    <row r="297">
      <c r="A297" s="13" t="inlineStr">
        <is>
          <t>(100000, 9999999]</t>
        </is>
      </c>
      <c r="B297" s="130" t="n">
        <v>2764</v>
      </c>
      <c r="C297" s="130" t="n">
        <v>177494407625</v>
      </c>
      <c r="D297" s="99">
        <f>IFERROR(B297/$B$232,0)</f>
        <v/>
      </c>
      <c r="E297" s="131">
        <f>IFERROR(C297/B297/500.0,0)</f>
        <v/>
      </c>
      <c r="F297" s="129" t="n"/>
      <c r="G297" s="13" t="inlineStr">
        <is>
          <t>(100000, 9999999]</t>
        </is>
      </c>
      <c r="H297" s="127" t="n">
        <v>1</v>
      </c>
      <c r="I297" s="99">
        <f>IFERROR(B297/$B$232,0)</f>
        <v/>
      </c>
      <c r="J297" s="99">
        <f>IFERROR(K297/$B$2,0)</f>
        <v/>
      </c>
      <c r="K297" s="133" t="n">
        <v>0</v>
      </c>
      <c r="L297" s="99">
        <f>IFERROR(K297/$B$2,0)</f>
        <v/>
      </c>
      <c r="M297" s="99">
        <f>IFERROR(L297*E297,0)</f>
        <v/>
      </c>
      <c r="N297" s="129" t="n"/>
      <c r="O297" s="44" t="n">
        <v>100000</v>
      </c>
      <c r="P297" s="44" t="n">
        <v>9999999</v>
      </c>
      <c r="Q297" s="99">
        <f>L297</f>
        <v/>
      </c>
      <c r="R297" s="99" t="n">
        <v>0</v>
      </c>
      <c r="T297" s="99" t="n"/>
      <c r="U297" s="49">
        <f>IFERROR(ROUND(T297/L297,2),0)</f>
        <v/>
      </c>
    </row>
    <row r="298">
      <c r="K298">
        <f>SUM(K234:K297)</f>
        <v/>
      </c>
      <c r="M298">
        <f>SUM(M234:M297)</f>
        <v/>
      </c>
    </row>
  </sheetData>
  <conditionalFormatting sqref="D79">
    <cfRule type="cellIs" priority="40" operator="lessThan" dxfId="0">
      <formula>0.001</formula>
    </cfRule>
  </conditionalFormatting>
  <conditionalFormatting sqref="D86:D149">
    <cfRule type="cellIs" priority="54" operator="lessThan" dxfId="0">
      <formula>0.001</formula>
    </cfRule>
  </conditionalFormatting>
  <conditionalFormatting sqref="D15:D78">
    <cfRule type="cellIs" priority="55" operator="lessThan" dxfId="0">
      <formula>0.001</formula>
    </cfRule>
  </conditionalFormatting>
  <conditionalFormatting sqref="D163:D226">
    <cfRule type="cellIs" priority="50" operator="lessThan" dxfId="0">
      <formula>0.001</formula>
    </cfRule>
  </conditionalFormatting>
  <conditionalFormatting sqref="D156">
    <cfRule type="cellIs" priority="39" operator="lessThan" dxfId="0">
      <formula>0.001</formula>
    </cfRule>
  </conditionalFormatting>
  <conditionalFormatting sqref="D234:D297">
    <cfRule type="cellIs" priority="34" operator="lessThan" dxfId="0">
      <formula>0.001</formula>
    </cfRule>
  </conditionalFormatting>
  <conditionalFormatting sqref="Y15:Z78">
    <cfRule type="cellIs" priority="25" operator="equal" dxfId="3">
      <formula>0</formula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L163:L226">
    <cfRule type="dataBar" priority="8">
      <dataBar>
        <cfvo type="min"/>
        <cfvo type="max"/>
        <color rgb="FF008AEF"/>
      </dataBar>
    </cfRule>
  </conditionalFormatting>
  <conditionalFormatting sqref="M163:M226">
    <cfRule type="dataBar" priority="7">
      <dataBar>
        <cfvo type="min"/>
        <cfvo type="max"/>
        <color rgb="FFFF555A"/>
      </dataBar>
    </cfRule>
  </conditionalFormatting>
  <conditionalFormatting sqref="L234:L297">
    <cfRule type="dataBar" priority="6">
      <dataBar>
        <cfvo type="min"/>
        <cfvo type="max"/>
        <color rgb="FF008AEF"/>
      </dataBar>
    </cfRule>
  </conditionalFormatting>
  <conditionalFormatting sqref="M234:M297">
    <cfRule type="dataBar" priority="5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conditionalFormatting sqref="Q163:R226">
    <cfRule type="dataBar" priority="2">
      <dataBar>
        <cfvo type="min"/>
        <cfvo type="max"/>
        <color rgb="FF008AEF"/>
      </dataBar>
    </cfRule>
  </conditionalFormatting>
  <conditionalFormatting sqref="Q234:R297">
    <cfRule type="dataBar" priority="1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0"/>
  <sheetViews>
    <sheetView topLeftCell="A18" workbookViewId="0">
      <selection activeCell="M110" sqref="G90:M110"/>
    </sheetView>
  </sheetViews>
  <sheetFormatPr baseColWidth="8" defaultRowHeight="16.2"/>
  <cols>
    <col width="27.109375" bestFit="1" customWidth="1" style="4" min="1" max="1"/>
    <col width="24" bestFit="1" customWidth="1" style="4" min="2" max="2"/>
    <col width="27.109375" bestFit="1" customWidth="1" style="4" min="3" max="3"/>
    <col width="16.21875" bestFit="1" customWidth="1" style="4" min="4" max="4"/>
    <col width="17.88671875" bestFit="1" customWidth="1" style="4" min="5" max="5"/>
    <col width="13.21875" bestFit="1" customWidth="1" style="29" min="6" max="6"/>
    <col width="27.109375" bestFit="1" customWidth="1" style="4" min="7" max="7"/>
    <col width="14.6640625" bestFit="1" customWidth="1" style="4" min="8" max="8"/>
    <col width="13.21875" bestFit="1" customWidth="1" style="4" min="9" max="9"/>
    <col width="16.21875" bestFit="1" customWidth="1" style="4" min="10" max="10"/>
    <col width="17.88671875" bestFit="1" customWidth="1" style="4" min="11" max="11"/>
    <col width="13.21875" bestFit="1" customWidth="1" style="4" min="12" max="12"/>
    <col width="21" bestFit="1" customWidth="1" style="4" min="13" max="13"/>
    <col width="12.21875" customWidth="1" style="29" min="14" max="14"/>
    <col width="17.88671875" bestFit="1" customWidth="1" style="29" min="15" max="15"/>
    <col width="14.6640625" bestFit="1" customWidth="1" style="29" min="16" max="16"/>
    <col width="13.21875" bestFit="1" customWidth="1" style="4" min="17" max="18"/>
    <col width="9.6640625" customWidth="1" style="4" min="20" max="20"/>
    <col width="8.88671875" customWidth="1" style="4" min="21" max="22"/>
    <col width="8.88671875" customWidth="1" style="4" min="23" max="16384"/>
  </cols>
  <sheetData>
    <row r="1">
      <c r="A1" s="28" t="n"/>
      <c r="B1" s="1" t="n"/>
      <c r="E1" s="1" t="n"/>
      <c r="G1" s="34" t="n"/>
      <c r="H1" s="28" t="n"/>
      <c r="I1" s="28" t="n"/>
      <c r="J1" s="28" t="n"/>
      <c r="K1" s="28" t="n"/>
      <c r="L1" s="28" t="n"/>
      <c r="M1" s="28" t="n"/>
      <c r="Q1" s="28" t="n"/>
      <c r="R1" s="28" t="n"/>
    </row>
    <row r="2">
      <c r="A2" s="44" t="inlineStr">
        <is>
          <t>Threshold</t>
        </is>
      </c>
      <c r="B2" s="115" t="n">
        <v>1000000000</v>
      </c>
      <c r="C2" s="1" t="n"/>
      <c r="F2" s="97" t="n"/>
      <c r="G2" s="97" t="n"/>
      <c r="K2" s="28" t="n"/>
      <c r="L2" s="28" t="n"/>
      <c r="M2" s="28" t="n"/>
      <c r="Q2" s="28" t="n"/>
      <c r="R2" s="28" t="n"/>
    </row>
    <row r="3">
      <c r="A3" s="44" t="inlineStr">
        <is>
          <t>Coin in</t>
        </is>
      </c>
      <c r="B3" s="115" t="n">
        <v>100</v>
      </c>
      <c r="C3" s="1" t="n"/>
      <c r="F3" s="97" t="n"/>
      <c r="G3" s="36" t="n"/>
    </row>
    <row r="4">
      <c r="F4" s="97" t="n"/>
      <c r="G4" s="97" t="n"/>
      <c r="I4" s="1" t="n"/>
      <c r="K4" s="37" t="n"/>
      <c r="L4" s="38" t="n"/>
      <c r="M4" s="116" t="n"/>
      <c r="N4" s="117" t="n"/>
      <c r="O4" s="117" t="n"/>
      <c r="P4" s="117" t="n"/>
      <c r="Q4" s="38" t="n"/>
      <c r="R4" s="38" t="n"/>
    </row>
    <row r="5">
      <c r="A5" s="28" t="n"/>
      <c r="B5" s="28" t="n"/>
      <c r="C5" s="1" t="inlineStr">
        <is>
          <t>RTP</t>
        </is>
      </c>
      <c r="F5" s="4" t="n"/>
      <c r="G5" s="29" t="n"/>
      <c r="I5" s="97" t="n"/>
      <c r="K5" s="39" t="n"/>
      <c r="L5" s="38" t="n"/>
      <c r="M5" s="116" t="n"/>
      <c r="N5" s="117" t="n"/>
      <c r="O5" s="117" t="n"/>
      <c r="P5" s="117" t="n"/>
      <c r="Q5" s="38" t="n"/>
      <c r="R5" s="38" t="n"/>
    </row>
    <row r="6">
      <c r="A6" s="40" t="n"/>
      <c r="B6" s="12" t="inlineStr">
        <is>
          <t>Bet</t>
        </is>
      </c>
      <c r="C6" s="12" t="inlineStr">
        <is>
          <t>Base Game</t>
        </is>
      </c>
      <c r="D6" s="12" t="inlineStr">
        <is>
          <t>Free Game</t>
        </is>
      </c>
      <c r="E6" s="12" t="inlineStr">
        <is>
          <t>Total</t>
        </is>
      </c>
      <c r="F6" s="12" t="inlineStr">
        <is>
          <t>Hit Rate</t>
        </is>
      </c>
      <c r="G6" s="12" t="inlineStr">
        <is>
          <t>FG Period</t>
        </is>
      </c>
      <c r="H6" s="12" t="inlineStr">
        <is>
          <t>Avg Multi</t>
        </is>
      </c>
      <c r="I6" s="41" t="inlineStr">
        <is>
          <t>BG</t>
        </is>
      </c>
      <c r="J6" s="42" t="inlineStr">
        <is>
          <t>FG</t>
        </is>
      </c>
      <c r="K6" s="36" t="n"/>
      <c r="L6" s="36" t="n"/>
      <c r="M6" s="43" t="n"/>
      <c r="Q6" s="36" t="n"/>
      <c r="R6" s="36" t="n"/>
    </row>
    <row r="7">
      <c r="A7" s="44" t="inlineStr">
        <is>
          <t>Normal Bet</t>
        </is>
      </c>
      <c r="B7" s="44" t="n">
        <v>1</v>
      </c>
      <c r="C7" s="118">
        <f>SUM(M15:M78)</f>
        <v/>
      </c>
      <c r="D7" s="118">
        <f>SUM(M86:M149)*0.000200000000000</f>
        <v/>
      </c>
      <c r="E7" s="119">
        <f>SUM(C7:D7)</f>
        <v/>
      </c>
      <c r="F7" s="30" t="n">
        <v>0.0002</v>
      </c>
      <c r="G7" s="31">
        <f>1/F7</f>
        <v/>
      </c>
      <c r="H7" s="32">
        <f>D7*G7</f>
        <v/>
      </c>
      <c r="I7" s="120">
        <f>IFERROR(LOOKUP(2,1/(K15:K78&lt;&gt;0),P15:P78),0)</f>
        <v/>
      </c>
      <c r="J7" s="120">
        <f>IFERROR(LOOKUP(2,1/(K86:K149&lt;&gt;0),P86:P149),0)</f>
        <v/>
      </c>
      <c r="K7" s="97" t="n"/>
      <c r="L7" s="36" t="n"/>
      <c r="M7" s="43" t="n"/>
      <c r="Q7" s="36" t="n"/>
      <c r="R7" s="36" t="n"/>
    </row>
    <row r="8">
      <c r="L8" s="36" t="n"/>
      <c r="M8" s="43" t="n"/>
      <c r="Q8" s="36" t="n"/>
      <c r="R8" s="36" t="n"/>
    </row>
    <row r="9">
      <c r="A9" s="28" t="n"/>
      <c r="B9" s="1" t="n"/>
      <c r="C9" s="122" t="n"/>
      <c r="D9" s="28" t="n"/>
      <c r="E9" s="1" t="n"/>
      <c r="G9" s="34" t="n"/>
      <c r="H9" s="28" t="n"/>
      <c r="I9" s="28" t="n"/>
      <c r="J9" s="28" t="n"/>
      <c r="K9" s="46" t="n"/>
      <c r="L9" s="97" t="n"/>
      <c r="M9" s="97" t="n"/>
      <c r="Q9" s="97" t="n"/>
      <c r="R9" s="97" t="n"/>
    </row>
    <row r="10">
      <c r="A10" s="28" t="n"/>
      <c r="B10" s="1" t="n"/>
      <c r="C10" s="1" t="n"/>
      <c r="D10" s="122" t="n"/>
      <c r="E10" s="1" t="n"/>
      <c r="G10" s="34" t="n"/>
      <c r="H10" s="28" t="n"/>
      <c r="I10" s="28" t="n"/>
      <c r="J10" s="28" t="n"/>
      <c r="K10" s="46" t="n"/>
      <c r="L10" s="97" t="n"/>
      <c r="M10" s="97" t="n"/>
      <c r="Q10" s="97" t="n"/>
      <c r="R10" s="97" t="n"/>
    </row>
    <row r="11" ht="15.6" customFormat="1" customHeight="1" s="61">
      <c r="A11" s="62" t="inlineStr">
        <is>
          <t>Newbie Normal Bet BG</t>
        </is>
      </c>
      <c r="B11" s="62" t="inlineStr">
        <is>
          <t>Base Game</t>
        </is>
      </c>
      <c r="C11" s="62" t="n"/>
      <c r="D11" s="123" t="n"/>
      <c r="E11" s="58" t="n"/>
      <c r="F11" s="59" t="n"/>
      <c r="G11" s="62" t="inlineStr">
        <is>
          <t>Normal Bet</t>
        </is>
      </c>
      <c r="H11" s="62" t="inlineStr">
        <is>
          <t>Base Game</t>
        </is>
      </c>
      <c r="I11" s="57" t="n"/>
      <c r="J11" s="57" t="n"/>
      <c r="K11" s="60" t="n"/>
      <c r="L11" s="98" t="n"/>
      <c r="M11" s="98" t="n"/>
      <c r="N11" s="59" t="n"/>
      <c r="O11" s="62" t="inlineStr">
        <is>
          <t>Normal Bet</t>
        </is>
      </c>
      <c r="P11" s="62" t="inlineStr">
        <is>
          <t>Base Game</t>
        </is>
      </c>
      <c r="Q11" s="98" t="n"/>
      <c r="R11" s="98" t="n"/>
    </row>
    <row r="12">
      <c r="A12" s="28" t="n"/>
      <c r="B12" s="1" t="n"/>
      <c r="C12" s="1" t="n"/>
      <c r="D12" s="122" t="n"/>
      <c r="E12" s="1" t="n"/>
      <c r="G12" s="34" t="n"/>
      <c r="H12" s="28" t="n"/>
      <c r="I12" s="28" t="n"/>
      <c r="J12" s="28" t="n"/>
      <c r="K12" s="46" t="n"/>
      <c r="L12" s="97" t="n"/>
      <c r="M12" s="97" t="n"/>
      <c r="Q12" s="97" t="n"/>
      <c r="R12" s="97" t="n"/>
    </row>
    <row r="13">
      <c r="A13" s="47" t="inlineStr">
        <is>
          <t>Simulate</t>
        </is>
      </c>
      <c r="B13" s="124" t="n">
        <v>9976351</v>
      </c>
      <c r="C13" s="1" t="n"/>
      <c r="D13" s="1" t="n"/>
      <c r="E13" s="1" t="n"/>
      <c r="G13" s="47" t="inlineStr">
        <is>
          <t>Calculate</t>
        </is>
      </c>
      <c r="H13" s="28" t="n"/>
      <c r="I13" s="28" t="n"/>
      <c r="J13" s="28" t="n"/>
      <c r="K13" s="28" t="n"/>
      <c r="L13" s="28" t="n"/>
      <c r="M13" s="28" t="n"/>
      <c r="Q13" s="28" t="n"/>
      <c r="R13" s="28" t="n"/>
    </row>
    <row r="14">
      <c r="A14" s="9" t="inlineStr">
        <is>
          <t>Range</t>
        </is>
      </c>
      <c r="B14" s="9" t="inlineStr">
        <is>
          <t>Cnt</t>
        </is>
      </c>
      <c r="C14" s="9" t="inlineStr">
        <is>
          <t>Pay</t>
        </is>
      </c>
      <c r="D14" s="9" t="inlineStr">
        <is>
          <t>Hit Rate</t>
        </is>
      </c>
      <c r="E14" s="9" t="inlineStr">
        <is>
          <t>Avg. Multi.</t>
        </is>
      </c>
      <c r="G14" s="9" t="inlineStr">
        <is>
          <t>Range</t>
        </is>
      </c>
      <c r="H14" s="9" t="inlineStr">
        <is>
          <t>Fix Num</t>
        </is>
      </c>
      <c r="I14" s="9" t="inlineStr">
        <is>
          <t>Fix Rate</t>
        </is>
      </c>
      <c r="J14" s="9" t="inlineStr">
        <is>
          <t>Final Rate</t>
        </is>
      </c>
      <c r="K14" s="9" t="inlineStr">
        <is>
          <t>Weight</t>
        </is>
      </c>
      <c r="L14" s="9" t="inlineStr">
        <is>
          <t>Hit Rate</t>
        </is>
      </c>
      <c r="M14" s="9" t="inlineStr">
        <is>
          <t>Simulator RTP</t>
        </is>
      </c>
      <c r="O14" s="9" t="inlineStr">
        <is>
          <t>Lower</t>
        </is>
      </c>
      <c r="P14" s="9" t="inlineStr">
        <is>
          <t>Upper</t>
        </is>
      </c>
      <c r="Q14" s="9" t="inlineStr">
        <is>
          <t>目前</t>
        </is>
      </c>
      <c r="R14" s="9" t="inlineStr">
        <is>
          <t>競品</t>
        </is>
      </c>
      <c r="T14" s="12" t="inlineStr">
        <is>
          <t>目前</t>
        </is>
      </c>
      <c r="U14" s="12" t="inlineStr">
        <is>
          <t>差異</t>
        </is>
      </c>
    </row>
    <row r="15">
      <c r="A15" s="13" t="inlineStr">
        <is>
          <t>(-1, 0]</t>
        </is>
      </c>
      <c r="B15" s="125" t="n">
        <v>7243291</v>
      </c>
      <c r="C15" s="125" t="n">
        <v>0</v>
      </c>
      <c r="D15" s="27">
        <f>IFERROR(B15/$B$13,0)</f>
        <v/>
      </c>
      <c r="E15" s="126">
        <f>IFERROR(C15/B15/500.0,0)</f>
        <v/>
      </c>
      <c r="G15" s="13" t="inlineStr">
        <is>
          <t>(-1, 0]</t>
        </is>
      </c>
      <c r="H15" s="127" t="n">
        <v>1</v>
      </c>
      <c r="I15" s="99">
        <f>IFERROR(B15/$B$13,0)</f>
        <v/>
      </c>
      <c r="J15" s="99">
        <f>IFERROR(K15/$B$2,0)</f>
        <v/>
      </c>
      <c r="K15" s="128" t="n">
        <v>694112196</v>
      </c>
      <c r="L15" s="99">
        <f>IFERROR(K15/$B$2,0)</f>
        <v/>
      </c>
      <c r="M15" s="99">
        <f>IFERROR(L15*E15,0)</f>
        <v/>
      </c>
      <c r="N15" s="129" t="n"/>
      <c r="O15" s="48" t="n">
        <v>-1</v>
      </c>
      <c r="P15" s="48" t="n">
        <v>0</v>
      </c>
      <c r="Q15" s="99">
        <f>L15</f>
        <v/>
      </c>
      <c r="R15" s="99" t="n">
        <v>0.723799</v>
      </c>
      <c r="T15" s="99" t="n"/>
      <c r="U15" s="49">
        <f>IFERROR(ROUND(T15/L15,2),0)</f>
        <v/>
      </c>
    </row>
    <row r="16">
      <c r="A16" s="13" t="inlineStr">
        <is>
          <t>(0, 1]</t>
        </is>
      </c>
      <c r="B16" s="130" t="n">
        <v>1553911</v>
      </c>
      <c r="C16" s="130" t="n">
        <v>387871000</v>
      </c>
      <c r="D16" s="99">
        <f>IFERROR(B16/$B$13,0)</f>
        <v/>
      </c>
      <c r="E16" s="131">
        <f>IFERROR(C16/B16/500.0,0)</f>
        <v/>
      </c>
      <c r="G16" s="13" t="inlineStr">
        <is>
          <t>(0, 1]</t>
        </is>
      </c>
      <c r="H16" s="127" t="n">
        <v>1</v>
      </c>
      <c r="I16" s="99">
        <f>IFERROR(B16/$B$13,0)</f>
        <v/>
      </c>
      <c r="J16" s="99">
        <f>IFERROR(K16/$B$2,0)</f>
        <v/>
      </c>
      <c r="K16" s="128" t="n">
        <v>154179940</v>
      </c>
      <c r="L16" s="99">
        <f>IFERROR(K16/$B$2,0)</f>
        <v/>
      </c>
      <c r="M16" s="99">
        <f>IFERROR(L16*E16,0)</f>
        <v/>
      </c>
      <c r="N16" s="129" t="n"/>
      <c r="O16" s="44" t="n">
        <v>0</v>
      </c>
      <c r="P16" s="44" t="n">
        <v>1</v>
      </c>
      <c r="Q16" s="99">
        <f>L16</f>
        <v/>
      </c>
      <c r="R16" s="99" t="n">
        <v>0.154266</v>
      </c>
      <c r="T16" s="99" t="n"/>
      <c r="U16" s="49">
        <f>IFERROR(ROUND(T16/L16,2),0)</f>
        <v/>
      </c>
    </row>
    <row r="17">
      <c r="A17" s="13" t="inlineStr">
        <is>
          <t>(1, 2]</t>
        </is>
      </c>
      <c r="B17" s="130" t="n">
        <v>497991</v>
      </c>
      <c r="C17" s="130" t="n">
        <v>372787300</v>
      </c>
      <c r="D17" s="99">
        <f>IFERROR(B17/$B$13,0)</f>
        <v/>
      </c>
      <c r="E17" s="131">
        <f>IFERROR(C17/B17/500.0,0)</f>
        <v/>
      </c>
      <c r="F17" s="50" t="n"/>
      <c r="G17" s="13" t="inlineStr">
        <is>
          <t>(1, 2]</t>
        </is>
      </c>
      <c r="H17" s="127" t="n">
        <v>1</v>
      </c>
      <c r="I17" s="99">
        <f>IFERROR(B17/$B$13,0)</f>
        <v/>
      </c>
      <c r="J17" s="99">
        <f>IFERROR(K17/$B$2,0)</f>
        <v/>
      </c>
      <c r="K17" s="128" t="n">
        <v>52969308</v>
      </c>
      <c r="L17" s="99">
        <f>IFERROR(K17/$B$2,0)</f>
        <v/>
      </c>
      <c r="M17" s="99">
        <f>IFERROR(L17*E17,0)</f>
        <v/>
      </c>
      <c r="N17" s="129" t="n"/>
      <c r="O17" s="44" t="n">
        <v>1</v>
      </c>
      <c r="P17" s="44" t="n">
        <v>2</v>
      </c>
      <c r="Q17" s="99">
        <f>L17</f>
        <v/>
      </c>
      <c r="R17" s="99" t="n">
        <v>0.045428</v>
      </c>
      <c r="T17" s="99" t="n"/>
      <c r="U17" s="49">
        <f>IFERROR(ROUND(T17/L17,2),0)</f>
        <v/>
      </c>
    </row>
    <row r="18">
      <c r="A18" s="13" t="inlineStr">
        <is>
          <t>(2, 3]</t>
        </is>
      </c>
      <c r="B18" s="130" t="n">
        <v>221368</v>
      </c>
      <c r="C18" s="130" t="n">
        <v>280087525</v>
      </c>
      <c r="D18" s="99">
        <f>IFERROR(B18/$B$13,0)</f>
        <v/>
      </c>
      <c r="E18" s="131">
        <f>IFERROR(C18/B18/500.0,0)</f>
        <v/>
      </c>
      <c r="F18" s="50" t="n"/>
      <c r="G18" s="13" t="inlineStr">
        <is>
          <t>(2, 3]</t>
        </is>
      </c>
      <c r="H18" s="127" t="n">
        <v>1</v>
      </c>
      <c r="I18" s="99">
        <f>IFERROR(B18/$B$13,0)</f>
        <v/>
      </c>
      <c r="J18" s="99">
        <f>IFERROR(K18/$B$2,0)</f>
        <v/>
      </c>
      <c r="K18" s="128" t="n">
        <v>25304058</v>
      </c>
      <c r="L18" s="99">
        <f>IFERROR(K18/$B$2,0)</f>
        <v/>
      </c>
      <c r="M18" s="99">
        <f>IFERROR(L18*E18,0)</f>
        <v/>
      </c>
      <c r="N18" s="129" t="n"/>
      <c r="O18" s="44" t="n">
        <v>2</v>
      </c>
      <c r="P18" s="44" t="n">
        <v>3</v>
      </c>
      <c r="Q18" s="99">
        <f>L18</f>
        <v/>
      </c>
      <c r="R18" s="99" t="n">
        <v>0.02091</v>
      </c>
      <c r="T18" s="99" t="n"/>
      <c r="U18" s="49">
        <f>IFERROR(ROUND(T18/L18,2),0)</f>
        <v/>
      </c>
    </row>
    <row r="19">
      <c r="A19" s="13" t="inlineStr">
        <is>
          <t>(3, 4]</t>
        </is>
      </c>
      <c r="B19" s="130" t="n">
        <v>138122</v>
      </c>
      <c r="C19" s="130" t="n">
        <v>242773750</v>
      </c>
      <c r="D19" s="99">
        <f>IFERROR(B19/$B$13,0)</f>
        <v/>
      </c>
      <c r="E19" s="131">
        <f>IFERROR(C19/B19/500.0,0)</f>
        <v/>
      </c>
      <c r="F19" s="132" t="n"/>
      <c r="G19" s="13" t="inlineStr">
        <is>
          <t>(3, 4]</t>
        </is>
      </c>
      <c r="H19" s="127" t="n">
        <v>1</v>
      </c>
      <c r="I19" s="99">
        <f>IFERROR(B19/$B$13,0)</f>
        <v/>
      </c>
      <c r="J19" s="99">
        <f>IFERROR(K19/$B$2,0)</f>
        <v/>
      </c>
      <c r="K19" s="128" t="n">
        <v>16909959</v>
      </c>
      <c r="L19" s="99">
        <f>IFERROR(K19/$B$2,0)</f>
        <v/>
      </c>
      <c r="M19" s="99">
        <f>IFERROR(L19*E19,0)</f>
        <v/>
      </c>
      <c r="N19" s="129" t="n"/>
      <c r="O19" s="44" t="n">
        <v>3</v>
      </c>
      <c r="P19" s="44" t="n">
        <v>4</v>
      </c>
      <c r="Q19" s="99">
        <f>L19</f>
        <v/>
      </c>
      <c r="R19" s="99" t="n">
        <v>0.012886</v>
      </c>
      <c r="T19" s="99" t="n"/>
      <c r="U19" s="49">
        <f>IFERROR(ROUND(T19/L19,2),0)</f>
        <v/>
      </c>
    </row>
    <row r="20">
      <c r="A20" s="13" t="inlineStr">
        <is>
          <t>(4, 5]</t>
        </is>
      </c>
      <c r="B20" s="130" t="n">
        <v>80830</v>
      </c>
      <c r="C20" s="130" t="n">
        <v>182167750</v>
      </c>
      <c r="D20" s="99">
        <f>IFERROR(B20/$B$13,0)</f>
        <v/>
      </c>
      <c r="E20" s="131">
        <f>IFERROR(C20/B20/500.0,0)</f>
        <v/>
      </c>
      <c r="F20" s="132" t="n"/>
      <c r="G20" s="13" t="inlineStr">
        <is>
          <t>(4, 5]</t>
        </is>
      </c>
      <c r="H20" s="127" t="n">
        <v>1</v>
      </c>
      <c r="I20" s="99">
        <f>IFERROR(B20/$B$13,0)</f>
        <v/>
      </c>
      <c r="J20" s="99">
        <f>IFERROR(K20/$B$2,0)</f>
        <v/>
      </c>
      <c r="K20" s="128" t="n">
        <v>10604147</v>
      </c>
      <c r="L20" s="99">
        <f>IFERROR(K20/$B$2,0)</f>
        <v/>
      </c>
      <c r="M20" s="99">
        <f>IFERROR(L20*E20,0)</f>
        <v/>
      </c>
      <c r="N20" s="129" t="n"/>
      <c r="O20" s="44" t="n">
        <v>4</v>
      </c>
      <c r="P20" s="44" t="n">
        <v>5</v>
      </c>
      <c r="Q20" s="99">
        <f>L20</f>
        <v/>
      </c>
      <c r="R20" s="99" t="n">
        <v>0.008406</v>
      </c>
      <c r="T20" s="99" t="n"/>
      <c r="U20" s="49">
        <f>IFERROR(ROUND(T20/L20,2),0)</f>
        <v/>
      </c>
    </row>
    <row r="21">
      <c r="A21" s="13" t="inlineStr">
        <is>
          <t>(5, 6]</t>
        </is>
      </c>
      <c r="B21" s="130" t="n">
        <v>49771</v>
      </c>
      <c r="C21" s="130" t="n">
        <v>136599025</v>
      </c>
      <c r="D21" s="99">
        <f>IFERROR(B21/$B$13,0)</f>
        <v/>
      </c>
      <c r="E21" s="131">
        <f>IFERROR(C21/B21/500.0,0)</f>
        <v/>
      </c>
      <c r="F21" s="132" t="n"/>
      <c r="G21" s="13" t="inlineStr">
        <is>
          <t>(5, 6]</t>
        </is>
      </c>
      <c r="H21" s="127" t="n">
        <v>1</v>
      </c>
      <c r="I21" s="99">
        <f>IFERROR(B21/$B$13,0)</f>
        <v/>
      </c>
      <c r="J21" s="99">
        <f>IFERROR(K21/$B$2,0)</f>
        <v/>
      </c>
      <c r="K21" s="128" t="n">
        <v>6991786</v>
      </c>
      <c r="L21" s="99">
        <f>IFERROR(K21/$B$2,0)</f>
        <v/>
      </c>
      <c r="M21" s="99">
        <f>IFERROR(L21*E21,0)</f>
        <v/>
      </c>
      <c r="N21" s="129" t="n"/>
      <c r="O21" s="44" t="n">
        <v>5</v>
      </c>
      <c r="P21" s="44" t="n">
        <v>6</v>
      </c>
      <c r="Q21" s="99">
        <f>L21</f>
        <v/>
      </c>
      <c r="R21" s="99" t="n">
        <v>0.006517</v>
      </c>
      <c r="T21" s="99" t="n"/>
      <c r="U21" s="49">
        <f>IFERROR(ROUND(T21/L21,2),0)</f>
        <v/>
      </c>
    </row>
    <row r="22">
      <c r="A22" s="13" t="inlineStr">
        <is>
          <t>(6, 7]</t>
        </is>
      </c>
      <c r="B22" s="130" t="n">
        <v>31111</v>
      </c>
      <c r="C22" s="130" t="n">
        <v>99896500</v>
      </c>
      <c r="D22" s="99">
        <f>IFERROR(B22/$B$13,0)</f>
        <v/>
      </c>
      <c r="E22" s="131">
        <f>IFERROR(C22/B22/500.0,0)</f>
        <v/>
      </c>
      <c r="F22" s="132" t="n"/>
      <c r="G22" s="13" t="inlineStr">
        <is>
          <t>(6, 7]</t>
        </is>
      </c>
      <c r="H22" s="127" t="n">
        <v>1</v>
      </c>
      <c r="I22" s="99">
        <f>IFERROR(B22/$B$13,0)</f>
        <v/>
      </c>
      <c r="J22" s="99">
        <f>IFERROR(K22/$B$2,0)</f>
        <v/>
      </c>
      <c r="K22" s="128" t="n">
        <v>4663978</v>
      </c>
      <c r="L22" s="99">
        <f>IFERROR(K22/$B$2,0)</f>
        <v/>
      </c>
      <c r="M22" s="99">
        <f>IFERROR(L22*E22,0)</f>
        <v/>
      </c>
      <c r="N22" s="129" t="n"/>
      <c r="O22" s="44" t="n">
        <v>6</v>
      </c>
      <c r="P22" s="44" t="n">
        <v>7</v>
      </c>
      <c r="Q22" s="99">
        <f>L22</f>
        <v/>
      </c>
      <c r="R22" s="99" t="n">
        <v>0.003524</v>
      </c>
      <c r="T22" s="99" t="n"/>
      <c r="U22" s="49">
        <f>IFERROR(ROUND(T22/L22,2),0)</f>
        <v/>
      </c>
    </row>
    <row r="23">
      <c r="A23" s="13" t="inlineStr">
        <is>
          <t>(7, 8]</t>
        </is>
      </c>
      <c r="B23" s="130" t="n">
        <v>19350</v>
      </c>
      <c r="C23" s="130" t="n">
        <v>72615875</v>
      </c>
      <c r="D23" s="99">
        <f>IFERROR(B23/$B$13,0)</f>
        <v/>
      </c>
      <c r="E23" s="131">
        <f>IFERROR(C23/B23/500.0,0)</f>
        <v/>
      </c>
      <c r="F23" s="132" t="n"/>
      <c r="G23" s="13" t="inlineStr">
        <is>
          <t>(7, 8]</t>
        </is>
      </c>
      <c r="H23" s="127" t="n">
        <v>1</v>
      </c>
      <c r="I23" s="99">
        <f>IFERROR(B23/$B$13,0)</f>
        <v/>
      </c>
      <c r="J23" s="99">
        <f>IFERROR(K23/$B$2,0)</f>
        <v/>
      </c>
      <c r="K23" s="128" t="n">
        <v>3128355</v>
      </c>
      <c r="L23" s="99">
        <f>IFERROR(K23/$B$2,0)</f>
        <v/>
      </c>
      <c r="M23" s="99">
        <f>IFERROR(L23*E23,0)</f>
        <v/>
      </c>
      <c r="N23" s="129" t="n"/>
      <c r="O23" s="44" t="n">
        <v>7</v>
      </c>
      <c r="P23" s="44" t="n">
        <v>8</v>
      </c>
      <c r="Q23" s="99">
        <f>L23</f>
        <v/>
      </c>
      <c r="R23" s="99" t="n">
        <v>0.00397</v>
      </c>
      <c r="T23" s="99" t="n"/>
      <c r="U23" s="49">
        <f>IFERROR(ROUND(T23/L23,2),0)</f>
        <v/>
      </c>
    </row>
    <row r="24">
      <c r="A24" s="13" t="inlineStr">
        <is>
          <t>(8, 9]</t>
        </is>
      </c>
      <c r="B24" s="130" t="n">
        <v>15060</v>
      </c>
      <c r="C24" s="130" t="n">
        <v>64345075</v>
      </c>
      <c r="D24" s="99">
        <f>IFERROR(B24/$B$13,0)</f>
        <v/>
      </c>
      <c r="E24" s="131">
        <f>IFERROR(C24/B24/500.0,0)</f>
        <v/>
      </c>
      <c r="F24" s="132" t="n"/>
      <c r="G24" s="13" t="inlineStr">
        <is>
          <t>(8, 9]</t>
        </is>
      </c>
      <c r="H24" s="127" t="n">
        <v>1</v>
      </c>
      <c r="I24" s="99">
        <f>IFERROR(B24/$B$13,0)</f>
        <v/>
      </c>
      <c r="J24" s="99">
        <f>IFERROR(K24/$B$2,0)</f>
        <v/>
      </c>
      <c r="K24" s="128" t="n">
        <v>2617719</v>
      </c>
      <c r="L24" s="99">
        <f>IFERROR(K24/$B$2,0)</f>
        <v/>
      </c>
      <c r="M24" s="99">
        <f>IFERROR(L24*E24,0)</f>
        <v/>
      </c>
      <c r="N24" s="129" t="n"/>
      <c r="O24" s="44" t="n">
        <v>8</v>
      </c>
      <c r="P24" s="44" t="n">
        <v>9</v>
      </c>
      <c r="Q24" s="99">
        <f>L24</f>
        <v/>
      </c>
      <c r="R24" s="99" t="n">
        <v>0.003227</v>
      </c>
      <c r="T24" s="99" t="n"/>
      <c r="U24" s="49">
        <f>IFERROR(ROUND(T24/L24,2),0)</f>
        <v/>
      </c>
    </row>
    <row r="25">
      <c r="A25" s="13" t="inlineStr">
        <is>
          <t>(9, 10]</t>
        </is>
      </c>
      <c r="B25" s="130" t="n">
        <v>16294</v>
      </c>
      <c r="C25" s="130" t="n">
        <v>78993950</v>
      </c>
      <c r="D25" s="99">
        <f>IFERROR(B25/$B$13,0)</f>
        <v/>
      </c>
      <c r="E25" s="131">
        <f>IFERROR(C25/B25/500.0,0)</f>
        <v/>
      </c>
      <c r="F25" s="132" t="n"/>
      <c r="G25" s="13" t="inlineStr">
        <is>
          <t>(9, 10]</t>
        </is>
      </c>
      <c r="H25" s="127" t="n">
        <v>1</v>
      </c>
      <c r="I25" s="99">
        <f>IFERROR(B25/$B$13,0)</f>
        <v/>
      </c>
      <c r="J25" s="99">
        <f>IFERROR(K25/$B$2,0)</f>
        <v/>
      </c>
      <c r="K25" s="128" t="n">
        <v>3068713</v>
      </c>
      <c r="L25" s="99">
        <f>IFERROR(K25/$B$2,0)</f>
        <v/>
      </c>
      <c r="M25" s="99">
        <f>IFERROR(L25*E25,0)</f>
        <v/>
      </c>
      <c r="N25" s="129" t="n"/>
      <c r="O25" s="44" t="n">
        <v>9</v>
      </c>
      <c r="P25" s="44" t="n">
        <v>10</v>
      </c>
      <c r="Q25" s="99">
        <f>L25</f>
        <v/>
      </c>
      <c r="R25" s="99" t="n">
        <v>0.002102</v>
      </c>
      <c r="T25" s="99" t="n"/>
      <c r="U25" s="49">
        <f>IFERROR(ROUND(T25/L25,2),0)</f>
        <v/>
      </c>
    </row>
    <row r="26">
      <c r="A26" s="13" t="inlineStr">
        <is>
          <t>(10, 15]</t>
        </is>
      </c>
      <c r="B26" s="130" t="n">
        <v>45158</v>
      </c>
      <c r="C26" s="130" t="n">
        <v>272715250</v>
      </c>
      <c r="D26" s="99">
        <f>IFERROR(B26/$B$13,0)</f>
        <v/>
      </c>
      <c r="E26" s="131">
        <f>IFERROR(C26/B26/500.0,0)</f>
        <v/>
      </c>
      <c r="F26" s="132" t="n"/>
      <c r="G26" s="13" t="inlineStr">
        <is>
          <t>(10, 15]</t>
        </is>
      </c>
      <c r="H26" s="127" t="n">
        <v>1</v>
      </c>
      <c r="I26" s="99">
        <f>IFERROR(B26/$B$13,0)</f>
        <v/>
      </c>
      <c r="J26" s="99">
        <f>IFERROR(K26/$B$2,0)</f>
        <v/>
      </c>
      <c r="K26" s="128" t="n">
        <v>10040517</v>
      </c>
      <c r="L26" s="99">
        <f>IFERROR(K26/$B$2,0)</f>
        <v/>
      </c>
      <c r="M26" s="99">
        <f>IFERROR(L26*E26,0)</f>
        <v/>
      </c>
      <c r="N26" s="129" t="n"/>
      <c r="O26" s="44" t="n">
        <v>10</v>
      </c>
      <c r="P26" s="44" t="n">
        <v>15</v>
      </c>
      <c r="Q26" s="99">
        <f>L26</f>
        <v/>
      </c>
      <c r="R26" s="99" t="n">
        <v>0.006432</v>
      </c>
      <c r="T26" s="99" t="n"/>
      <c r="U26" s="49">
        <f>IFERROR(ROUND(T26/L26,2),0)</f>
        <v/>
      </c>
    </row>
    <row r="27">
      <c r="A27" s="13" t="inlineStr">
        <is>
          <t>(15, 20]</t>
        </is>
      </c>
      <c r="B27" s="130" t="n">
        <v>19269</v>
      </c>
      <c r="C27" s="130" t="n">
        <v>165986075</v>
      </c>
      <c r="D27" s="99">
        <f>IFERROR(B27/$B$13,0)</f>
        <v/>
      </c>
      <c r="E27" s="131">
        <f>IFERROR(C27/B27/500.0,0)</f>
        <v/>
      </c>
      <c r="F27" s="132" t="n"/>
      <c r="G27" s="13" t="inlineStr">
        <is>
          <t>(15, 20]</t>
        </is>
      </c>
      <c r="H27" s="127" t="n">
        <v>1</v>
      </c>
      <c r="I27" s="99">
        <f>IFERROR(B27/$B$13,0)</f>
        <v/>
      </c>
      <c r="J27" s="99">
        <f>IFERROR(K27/$B$2,0)</f>
        <v/>
      </c>
      <c r="K27" s="128" t="n">
        <v>6133908</v>
      </c>
      <c r="L27" s="99">
        <f>IFERROR(K27/$B$2,0)</f>
        <v/>
      </c>
      <c r="M27" s="99">
        <f>IFERROR(L27*E27,0)</f>
        <v/>
      </c>
      <c r="N27" s="129" t="n"/>
      <c r="O27" s="44" t="n">
        <v>15</v>
      </c>
      <c r="P27" s="44" t="n">
        <v>20</v>
      </c>
      <c r="Q27" s="99">
        <f>L27</f>
        <v/>
      </c>
      <c r="R27" s="99" t="n">
        <v>0.002823</v>
      </c>
      <c r="T27" s="99" t="n"/>
      <c r="U27" s="49">
        <f>IFERROR(ROUND(T27/L27,2),0)</f>
        <v/>
      </c>
    </row>
    <row r="28">
      <c r="A28" s="13" t="inlineStr">
        <is>
          <t>(20, 25]</t>
        </is>
      </c>
      <c r="B28" s="130" t="n">
        <v>10297</v>
      </c>
      <c r="C28" s="130" t="n">
        <v>116167500</v>
      </c>
      <c r="D28" s="99">
        <f>IFERROR(B28/$B$13,0)</f>
        <v/>
      </c>
      <c r="E28" s="131">
        <f>IFERROR(C28/B28/500.0,0)</f>
        <v/>
      </c>
      <c r="F28" s="132" t="n"/>
      <c r="G28" s="13" t="inlineStr">
        <is>
          <t>(20, 25]</t>
        </is>
      </c>
      <c r="H28" s="127" t="n">
        <v>1</v>
      </c>
      <c r="I28" s="99">
        <f>IFERROR(B28/$B$13,0)</f>
        <v/>
      </c>
      <c r="J28" s="99">
        <f>IFERROR(K28/$B$2,0)</f>
        <v/>
      </c>
      <c r="K28" s="128" t="n">
        <v>4753847</v>
      </c>
      <c r="L28" s="99">
        <f>IFERROR(K28/$B$2,0)</f>
        <v/>
      </c>
      <c r="M28" s="99">
        <f>IFERROR(L28*E28,0)</f>
        <v/>
      </c>
      <c r="N28" s="129" t="n"/>
      <c r="O28" s="44" t="n">
        <v>20</v>
      </c>
      <c r="P28" s="44" t="n">
        <v>25</v>
      </c>
      <c r="Q28" s="99">
        <f>L28</f>
        <v/>
      </c>
      <c r="R28" s="99" t="n">
        <v>0.001613</v>
      </c>
      <c r="T28" s="99" t="n"/>
      <c r="U28" s="49">
        <f>IFERROR(ROUND(T28/L28,2),0)</f>
        <v/>
      </c>
    </row>
    <row r="29">
      <c r="A29" s="13" t="inlineStr">
        <is>
          <t>(25, 30]</t>
        </is>
      </c>
      <c r="B29" s="130" t="n">
        <v>6947</v>
      </c>
      <c r="C29" s="130" t="n">
        <v>95493575</v>
      </c>
      <c r="D29" s="99">
        <f>IFERROR(B29/$B$13,0)</f>
        <v/>
      </c>
      <c r="E29" s="131">
        <f>IFERROR(C29/B29/500.0,0)</f>
        <v/>
      </c>
      <c r="F29" s="132" t="n"/>
      <c r="G29" s="13" t="inlineStr">
        <is>
          <t>(25, 30]</t>
        </is>
      </c>
      <c r="H29" s="127" t="n">
        <v>1</v>
      </c>
      <c r="I29" s="99">
        <f>IFERROR(B29/$B$13,0)</f>
        <v/>
      </c>
      <c r="J29" s="99">
        <f>IFERROR(K29/$B$2,0)</f>
        <v/>
      </c>
      <c r="K29" s="128" t="n">
        <v>4521569</v>
      </c>
      <c r="L29" s="99">
        <f>IFERROR(K29/$B$2,0)</f>
        <v/>
      </c>
      <c r="M29" s="99">
        <f>IFERROR(L29*E29,0)</f>
        <v/>
      </c>
      <c r="N29" s="129" t="n"/>
      <c r="O29" s="44" t="n">
        <v>25</v>
      </c>
      <c r="P29" s="44" t="n">
        <v>30</v>
      </c>
      <c r="Q29" s="99">
        <f>L29</f>
        <v/>
      </c>
      <c r="R29" s="99" t="n">
        <v>0.001316</v>
      </c>
      <c r="T29" s="99" t="n"/>
      <c r="U29" s="49">
        <f>IFERROR(ROUND(T29/L29,2),0)</f>
        <v/>
      </c>
    </row>
    <row r="30">
      <c r="A30" s="13" t="inlineStr">
        <is>
          <t>(30, 35]</t>
        </is>
      </c>
      <c r="B30" s="130" t="n">
        <v>4454</v>
      </c>
      <c r="C30" s="130" t="n">
        <v>72200875</v>
      </c>
      <c r="D30" s="99">
        <f>IFERROR(B30/$B$13,0)</f>
        <v/>
      </c>
      <c r="E30" s="131">
        <f>IFERROR(C30/B30/500.0,0)</f>
        <v/>
      </c>
      <c r="F30" s="132" t="n"/>
      <c r="G30" s="13" t="inlineStr">
        <is>
          <t>(30, 35]</t>
        </is>
      </c>
      <c r="H30" s="127" t="n">
        <v>1</v>
      </c>
      <c r="I30" s="99">
        <f>IFERROR(B30/$B$13,0)</f>
        <v/>
      </c>
      <c r="J30" s="99">
        <f>IFERROR(K30/$B$2,0)</f>
        <v/>
      </c>
      <c r="K30" s="128" t="n">
        <v>0</v>
      </c>
      <c r="L30" s="99">
        <f>IFERROR(K30/$B$2,0)</f>
        <v/>
      </c>
      <c r="M30" s="99">
        <f>IFERROR(L30*E30,0)</f>
        <v/>
      </c>
      <c r="N30" s="129" t="n"/>
      <c r="O30" s="44" t="n">
        <v>30</v>
      </c>
      <c r="P30" s="44" t="n">
        <v>35</v>
      </c>
      <c r="Q30" s="99">
        <f>L30</f>
        <v/>
      </c>
      <c r="R30" s="99" t="n">
        <v>0.000637</v>
      </c>
      <c r="T30" s="99" t="n"/>
      <c r="U30" s="49">
        <f>IFERROR(ROUND(T30/L30,2),0)</f>
        <v/>
      </c>
    </row>
    <row r="31">
      <c r="A31" s="13" t="inlineStr">
        <is>
          <t>(35, 40]</t>
        </is>
      </c>
      <c r="B31" s="130" t="n">
        <v>3348</v>
      </c>
      <c r="C31" s="130" t="n">
        <v>62882525</v>
      </c>
      <c r="D31" s="99">
        <f>IFERROR(B31/$B$13,0)</f>
        <v/>
      </c>
      <c r="E31" s="131">
        <f>IFERROR(C31/B31/500.0,0)</f>
        <v/>
      </c>
      <c r="F31" s="132" t="n"/>
      <c r="G31" s="13" t="inlineStr">
        <is>
          <t>(35, 40]</t>
        </is>
      </c>
      <c r="H31" s="127" t="n">
        <v>1</v>
      </c>
      <c r="I31" s="99">
        <f>IFERROR(B31/$B$13,0)</f>
        <v/>
      </c>
      <c r="J31" s="99">
        <f>IFERROR(K31/$B$2,0)</f>
        <v/>
      </c>
      <c r="K31" s="128" t="n">
        <v>0</v>
      </c>
      <c r="L31" s="99">
        <f>IFERROR(K31/$B$2,0)</f>
        <v/>
      </c>
      <c r="M31" s="99">
        <f>IFERROR(L31*E31,0)</f>
        <v/>
      </c>
      <c r="N31" s="129" t="n"/>
      <c r="O31" s="44" t="n">
        <v>35</v>
      </c>
      <c r="P31" s="44" t="n">
        <v>40</v>
      </c>
      <c r="Q31" s="99">
        <f>L31</f>
        <v/>
      </c>
      <c r="R31" s="99" t="n">
        <v>0.000446</v>
      </c>
      <c r="T31" s="99" t="n"/>
      <c r="U31" s="49">
        <f>IFERROR(ROUND(T31/L31,2),0)</f>
        <v/>
      </c>
    </row>
    <row r="32">
      <c r="A32" s="13" t="inlineStr">
        <is>
          <t>(40, 45]</t>
        </is>
      </c>
      <c r="B32" s="130" t="n">
        <v>2424</v>
      </c>
      <c r="C32" s="130" t="n">
        <v>51466050</v>
      </c>
      <c r="D32" s="99">
        <f>IFERROR(B32/$B$13,0)</f>
        <v/>
      </c>
      <c r="E32" s="131">
        <f>IFERROR(C32/B32/500.0,0)</f>
        <v/>
      </c>
      <c r="F32" s="132" t="n"/>
      <c r="G32" s="13" t="inlineStr">
        <is>
          <t>(40, 45]</t>
        </is>
      </c>
      <c r="H32" s="127" t="n">
        <v>1</v>
      </c>
      <c r="I32" s="99">
        <f>IFERROR(B32/$B$13,0)</f>
        <v/>
      </c>
      <c r="J32" s="99">
        <f>IFERROR(K32/$B$2,0)</f>
        <v/>
      </c>
      <c r="K32" s="128" t="n">
        <v>0</v>
      </c>
      <c r="L32" s="99">
        <f>IFERROR(K32/$B$2,0)</f>
        <v/>
      </c>
      <c r="M32" s="99">
        <f>IFERROR(L32*E32,0)</f>
        <v/>
      </c>
      <c r="N32" s="129" t="n"/>
      <c r="O32" s="44" t="n">
        <v>40</v>
      </c>
      <c r="P32" s="44" t="n">
        <v>45</v>
      </c>
      <c r="Q32" s="99">
        <f>L32</f>
        <v/>
      </c>
      <c r="R32" s="99" t="n">
        <v>0.000276</v>
      </c>
      <c r="T32" s="99" t="n"/>
      <c r="U32" s="49">
        <f>IFERROR(ROUND(T32/L32,2),0)</f>
        <v/>
      </c>
    </row>
    <row r="33">
      <c r="A33" s="13" t="inlineStr">
        <is>
          <t>(45, 50]</t>
        </is>
      </c>
      <c r="B33" s="130" t="n">
        <v>1985</v>
      </c>
      <c r="C33" s="130" t="n">
        <v>47494075</v>
      </c>
      <c r="D33" s="99">
        <f>IFERROR(B33/$B$13,0)</f>
        <v/>
      </c>
      <c r="E33" s="131">
        <f>IFERROR(C33/B33/500.0,0)</f>
        <v/>
      </c>
      <c r="F33" s="132" t="n"/>
      <c r="G33" s="13" t="inlineStr">
        <is>
          <t>(45, 50]</t>
        </is>
      </c>
      <c r="H33" s="127" t="n">
        <v>1</v>
      </c>
      <c r="I33" s="99">
        <f>IFERROR(B33/$B$13,0)</f>
        <v/>
      </c>
      <c r="J33" s="99">
        <f>IFERROR(K33/$B$2,0)</f>
        <v/>
      </c>
      <c r="K33" s="128" t="n">
        <v>0</v>
      </c>
      <c r="L33" s="99">
        <f>IFERROR(K33/$B$2,0)</f>
        <v/>
      </c>
      <c r="M33" s="99">
        <f>IFERROR(L33*E33,0)</f>
        <v/>
      </c>
      <c r="N33" s="129" t="n"/>
      <c r="O33" s="44" t="n">
        <v>45</v>
      </c>
      <c r="P33" s="44" t="n">
        <v>50</v>
      </c>
      <c r="Q33" s="99">
        <f>L33</f>
        <v/>
      </c>
      <c r="R33" s="99" t="n">
        <v>0.000234</v>
      </c>
      <c r="T33" s="99" t="n"/>
      <c r="U33" s="49">
        <f>IFERROR(ROUND(T33/L33,2),0)</f>
        <v/>
      </c>
    </row>
    <row r="34">
      <c r="A34" s="13" t="inlineStr">
        <is>
          <t>(50, 60]</t>
        </is>
      </c>
      <c r="B34" s="130" t="n">
        <v>3111</v>
      </c>
      <c r="C34" s="130" t="n">
        <v>85020900</v>
      </c>
      <c r="D34" s="99">
        <f>IFERROR(B34/$B$13,0)</f>
        <v/>
      </c>
      <c r="E34" s="131">
        <f>IFERROR(C34/B34/500.0,0)</f>
        <v/>
      </c>
      <c r="F34" s="132" t="n"/>
      <c r="G34" s="13" t="inlineStr">
        <is>
          <t>(50, 60]</t>
        </is>
      </c>
      <c r="H34" s="127" t="n">
        <v>1</v>
      </c>
      <c r="I34" s="99">
        <f>IFERROR(B34/$B$13,0)</f>
        <v/>
      </c>
      <c r="J34" s="99">
        <f>IFERROR(K34/$B$2,0)</f>
        <v/>
      </c>
      <c r="K34" s="128" t="n">
        <v>0</v>
      </c>
      <c r="L34" s="99">
        <f>IFERROR(K34/$B$2,0)</f>
        <v/>
      </c>
      <c r="M34" s="99">
        <f>IFERROR(L34*E34,0)</f>
        <v/>
      </c>
      <c r="N34" s="129" t="n"/>
      <c r="O34" s="44" t="n">
        <v>50</v>
      </c>
      <c r="P34" s="44" t="n">
        <v>60</v>
      </c>
      <c r="Q34" s="99">
        <f>L34</f>
        <v/>
      </c>
      <c r="R34" s="99" t="n">
        <v>0.000509</v>
      </c>
      <c r="T34" s="99" t="n"/>
      <c r="U34" s="49">
        <f>IFERROR(ROUND(T34/L34,2),0)</f>
        <v/>
      </c>
    </row>
    <row r="35">
      <c r="A35" s="13" t="inlineStr">
        <is>
          <t>(60, 70]</t>
        </is>
      </c>
      <c r="B35" s="130" t="n">
        <v>2369</v>
      </c>
      <c r="C35" s="130" t="n">
        <v>76548200</v>
      </c>
      <c r="D35" s="99">
        <f>IFERROR(B35/$B$13,0)</f>
        <v/>
      </c>
      <c r="E35" s="131">
        <f>IFERROR(C35/B35/500.0,0)</f>
        <v/>
      </c>
      <c r="F35" s="132" t="n"/>
      <c r="G35" s="13" t="inlineStr">
        <is>
          <t>(60, 70]</t>
        </is>
      </c>
      <c r="H35" s="127" t="n">
        <v>1</v>
      </c>
      <c r="I35" s="99">
        <f>IFERROR(B35/$B$13,0)</f>
        <v/>
      </c>
      <c r="J35" s="99">
        <f>IFERROR(K35/$B$2,0)</f>
        <v/>
      </c>
      <c r="K35" s="128" t="n">
        <v>0</v>
      </c>
      <c r="L35" s="99">
        <f>IFERROR(K35/$B$2,0)</f>
        <v/>
      </c>
      <c r="M35" s="99">
        <f>IFERROR(L35*E35,0)</f>
        <v/>
      </c>
      <c r="N35" s="129" t="n"/>
      <c r="O35" s="44" t="n">
        <v>60</v>
      </c>
      <c r="P35" s="44" t="n">
        <v>70</v>
      </c>
      <c r="Q35" s="99">
        <f>L35</f>
        <v/>
      </c>
      <c r="R35" s="99" t="n">
        <v>0.000297</v>
      </c>
      <c r="T35" s="99" t="n"/>
      <c r="U35" s="49">
        <f>IFERROR(ROUND(T35/L35,2),0)</f>
        <v/>
      </c>
    </row>
    <row r="36">
      <c r="A36" s="13" t="inlineStr">
        <is>
          <t>(70, 80]</t>
        </is>
      </c>
      <c r="B36" s="130" t="n">
        <v>1579</v>
      </c>
      <c r="C36" s="130" t="n">
        <v>59376800</v>
      </c>
      <c r="D36" s="99">
        <f>IFERROR(B36/$B$13,0)</f>
        <v/>
      </c>
      <c r="E36" s="131">
        <f>IFERROR(C36/B36/500.0,0)</f>
        <v/>
      </c>
      <c r="F36" s="132" t="n"/>
      <c r="G36" s="13" t="inlineStr">
        <is>
          <t>(70, 80]</t>
        </is>
      </c>
      <c r="H36" s="127" t="n">
        <v>1</v>
      </c>
      <c r="I36" s="99">
        <f>IFERROR(B36/$B$13,0)</f>
        <v/>
      </c>
      <c r="J36" s="99">
        <f>IFERROR(K36/$B$2,0)</f>
        <v/>
      </c>
      <c r="K36" s="128" t="n">
        <v>0</v>
      </c>
      <c r="L36" s="99">
        <f>IFERROR(K36/$B$2,0)</f>
        <v/>
      </c>
      <c r="M36" s="99">
        <f>IFERROR(L36*E36,0)</f>
        <v/>
      </c>
      <c r="N36" s="129" t="n"/>
      <c r="O36" s="44" t="n">
        <v>70</v>
      </c>
      <c r="P36" s="44" t="n">
        <v>80</v>
      </c>
      <c r="Q36" s="99">
        <f>L36</f>
        <v/>
      </c>
      <c r="R36" s="99" t="n">
        <v>0.000106</v>
      </c>
      <c r="T36" s="99" t="n"/>
      <c r="U36" s="49">
        <f>IFERROR(ROUND(T36/L36,2),0)</f>
        <v/>
      </c>
    </row>
    <row r="37">
      <c r="A37" s="13" t="inlineStr">
        <is>
          <t>(80, 90]</t>
        </is>
      </c>
      <c r="B37" s="130" t="n">
        <v>1132</v>
      </c>
      <c r="C37" s="130" t="n">
        <v>48128850</v>
      </c>
      <c r="D37" s="99">
        <f>IFERROR(B37/$B$13,0)</f>
        <v/>
      </c>
      <c r="E37" s="131">
        <f>IFERROR(C37/B37/500.0,0)</f>
        <v/>
      </c>
      <c r="F37" s="132" t="n"/>
      <c r="G37" s="13" t="inlineStr">
        <is>
          <t>(80, 90]</t>
        </is>
      </c>
      <c r="H37" s="127" t="n">
        <v>1</v>
      </c>
      <c r="I37" s="99">
        <f>IFERROR(B37/$B$13,0)</f>
        <v/>
      </c>
      <c r="J37" s="99">
        <f>IFERROR(K37/$B$2,0)</f>
        <v/>
      </c>
      <c r="K37" s="128" t="n">
        <v>0</v>
      </c>
      <c r="L37" s="99">
        <f>IFERROR(K37/$B$2,0)</f>
        <v/>
      </c>
      <c r="M37" s="99">
        <f>IFERROR(L37*E37,0)</f>
        <v/>
      </c>
      <c r="N37" s="129" t="n"/>
      <c r="O37" s="44" t="n">
        <v>80</v>
      </c>
      <c r="P37" s="44" t="n">
        <v>90</v>
      </c>
      <c r="Q37" s="99">
        <f>L37</f>
        <v/>
      </c>
      <c r="R37" s="99" t="n">
        <v>6.4e-05</v>
      </c>
      <c r="T37" s="99" t="n"/>
      <c r="U37" s="49">
        <f>IFERROR(ROUND(T37/L37,2),0)</f>
        <v/>
      </c>
    </row>
    <row r="38">
      <c r="A38" s="13" t="inlineStr">
        <is>
          <t>(90, 100]</t>
        </is>
      </c>
      <c r="B38" s="130" t="n">
        <v>860</v>
      </c>
      <c r="C38" s="130" t="n">
        <v>41114275</v>
      </c>
      <c r="D38" s="99">
        <f>IFERROR(B38/$B$13,0)</f>
        <v/>
      </c>
      <c r="E38" s="131">
        <f>IFERROR(C38/B38/500.0,0)</f>
        <v/>
      </c>
      <c r="F38" s="132" t="n"/>
      <c r="G38" s="13" t="inlineStr">
        <is>
          <t>(90, 100]</t>
        </is>
      </c>
      <c r="H38" s="127" t="n">
        <v>1</v>
      </c>
      <c r="I38" s="99">
        <f>IFERROR(B38/$B$13,0)</f>
        <v/>
      </c>
      <c r="J38" s="99">
        <f>IFERROR(K38/$B$2,0)</f>
        <v/>
      </c>
      <c r="K38" s="128" t="n">
        <v>0</v>
      </c>
      <c r="L38" s="99">
        <f>IFERROR(K38/$B$2,0)</f>
        <v/>
      </c>
      <c r="M38" s="99">
        <f>IFERROR(L38*E38,0)</f>
        <v/>
      </c>
      <c r="N38" s="129" t="n"/>
      <c r="O38" s="44" t="n">
        <v>90</v>
      </c>
      <c r="P38" s="44" t="n">
        <v>100</v>
      </c>
      <c r="Q38" s="99">
        <f>L38</f>
        <v/>
      </c>
      <c r="R38" s="99" t="n">
        <v>0.000106</v>
      </c>
      <c r="T38" s="99" t="n"/>
      <c r="U38" s="49">
        <f>IFERROR(ROUND(T38/L38,2),0)</f>
        <v/>
      </c>
    </row>
    <row r="39">
      <c r="A39" s="13" t="inlineStr">
        <is>
          <t>(100, 120]</t>
        </is>
      </c>
      <c r="B39" s="130" t="n">
        <v>1115</v>
      </c>
      <c r="C39" s="130" t="n">
        <v>61192800</v>
      </c>
      <c r="D39" s="99">
        <f>IFERROR(B39/$B$13,0)</f>
        <v/>
      </c>
      <c r="E39" s="131">
        <f>IFERROR(C39/B39/500.0,0)</f>
        <v/>
      </c>
      <c r="F39" s="132" t="n"/>
      <c r="G39" s="13" t="inlineStr">
        <is>
          <t>(100, 120]</t>
        </is>
      </c>
      <c r="H39" s="127" t="n">
        <v>1</v>
      </c>
      <c r="I39" s="99">
        <f>IFERROR(B39/$B$13,0)</f>
        <v/>
      </c>
      <c r="J39" s="99">
        <f>IFERROR(K39/$B$2,0)</f>
        <v/>
      </c>
      <c r="K39" s="128" t="n">
        <v>0</v>
      </c>
      <c r="L39" s="99">
        <f>IFERROR(K39/$B$2,0)</f>
        <v/>
      </c>
      <c r="M39" s="99">
        <f>IFERROR(L39*E39,0)</f>
        <v/>
      </c>
      <c r="N39" s="129" t="n"/>
      <c r="O39" s="44" t="n">
        <v>100</v>
      </c>
      <c r="P39" s="44" t="n">
        <v>120</v>
      </c>
      <c r="Q39" s="99">
        <f>L39</f>
        <v/>
      </c>
      <c r="R39" s="99" t="n">
        <v>6.4e-05</v>
      </c>
      <c r="T39" s="99" t="n"/>
      <c r="U39" s="49">
        <f>IFERROR(ROUND(T39/L39,2),0)</f>
        <v/>
      </c>
    </row>
    <row r="40">
      <c r="A40" s="13" t="inlineStr">
        <is>
          <t>(120, 140]</t>
        </is>
      </c>
      <c r="B40" s="130" t="n">
        <v>753</v>
      </c>
      <c r="C40" s="130" t="n">
        <v>48898425</v>
      </c>
      <c r="D40" s="99">
        <f>IFERROR(B40/$B$13,0)</f>
        <v/>
      </c>
      <c r="E40" s="131">
        <f>IFERROR(C40/B40/500.0,0)</f>
        <v/>
      </c>
      <c r="F40" s="132" t="n"/>
      <c r="G40" s="13" t="inlineStr">
        <is>
          <t>(120, 140]</t>
        </is>
      </c>
      <c r="H40" s="127" t="n">
        <v>1</v>
      </c>
      <c r="I40" s="99">
        <f>IFERROR(B40/$B$13,0)</f>
        <v/>
      </c>
      <c r="J40" s="99">
        <f>IFERROR(K40/$B$2,0)</f>
        <v/>
      </c>
      <c r="K40" s="128" t="n">
        <v>0</v>
      </c>
      <c r="L40" s="99">
        <f>IFERROR(K40/$B$2,0)</f>
        <v/>
      </c>
      <c r="M40" s="99">
        <f>IFERROR(L40*E40,0)</f>
        <v/>
      </c>
      <c r="N40" s="129" t="n"/>
      <c r="O40" s="44" t="n">
        <v>120</v>
      </c>
      <c r="P40" s="44" t="n">
        <v>140</v>
      </c>
      <c r="Q40" s="99">
        <f>L40</f>
        <v/>
      </c>
      <c r="R40" s="99" t="n">
        <v>2.1e-05</v>
      </c>
      <c r="T40" s="99" t="n"/>
      <c r="U40" s="49">
        <f>IFERROR(ROUND(T40/L40,2),0)</f>
        <v/>
      </c>
    </row>
    <row r="41">
      <c r="A41" s="13" t="inlineStr">
        <is>
          <t>(140, 160]</t>
        </is>
      </c>
      <c r="B41" s="130" t="n">
        <v>577</v>
      </c>
      <c r="C41" s="130" t="n">
        <v>43441100</v>
      </c>
      <c r="D41" s="99">
        <f>IFERROR(B41/$B$13,0)</f>
        <v/>
      </c>
      <c r="E41" s="131">
        <f>IFERROR(C41/B41/500.0,0)</f>
        <v/>
      </c>
      <c r="F41" s="132" t="n"/>
      <c r="G41" s="13" t="inlineStr">
        <is>
          <t>(140, 160]</t>
        </is>
      </c>
      <c r="H41" s="127" t="n">
        <v>1</v>
      </c>
      <c r="I41" s="99">
        <f>IFERROR(B41/$B$13,0)</f>
        <v/>
      </c>
      <c r="J41" s="99">
        <f>IFERROR(K41/$B$2,0)</f>
        <v/>
      </c>
      <c r="K41" s="128" t="n">
        <v>0</v>
      </c>
      <c r="L41" s="99">
        <f>IFERROR(K41/$B$2,0)</f>
        <v/>
      </c>
      <c r="M41" s="99">
        <f>IFERROR(L41*E41,0)</f>
        <v/>
      </c>
      <c r="N41" s="129" t="n"/>
      <c r="O41" s="44" t="n">
        <v>140</v>
      </c>
      <c r="P41" s="44" t="n">
        <v>160</v>
      </c>
      <c r="Q41" s="99">
        <f>L41</f>
        <v/>
      </c>
      <c r="R41" s="99" t="n">
        <v>0</v>
      </c>
      <c r="T41" s="99" t="n"/>
      <c r="U41" s="49">
        <f>IFERROR(ROUND(T41/L41,2),0)</f>
        <v/>
      </c>
    </row>
    <row r="42">
      <c r="A42" s="13" t="inlineStr">
        <is>
          <t>(160, 180]</t>
        </is>
      </c>
      <c r="B42" s="130" t="n">
        <v>361</v>
      </c>
      <c r="C42" s="130" t="n">
        <v>30592125</v>
      </c>
      <c r="D42" s="99">
        <f>IFERROR(B42/$B$13,0)</f>
        <v/>
      </c>
      <c r="E42" s="131">
        <f>IFERROR(C42/B42/500.0,0)</f>
        <v/>
      </c>
      <c r="F42" s="132" t="n"/>
      <c r="G42" s="13" t="inlineStr">
        <is>
          <t>(160, 180]</t>
        </is>
      </c>
      <c r="H42" s="127" t="n">
        <v>1</v>
      </c>
      <c r="I42" s="99">
        <f>IFERROR(B42/$B$13,0)</f>
        <v/>
      </c>
      <c r="J42" s="99">
        <f>IFERROR(K42/$B$2,0)</f>
        <v/>
      </c>
      <c r="K42" s="128" t="n">
        <v>0</v>
      </c>
      <c r="L42" s="99">
        <f>IFERROR(K42/$B$2,0)</f>
        <v/>
      </c>
      <c r="M42" s="99">
        <f>IFERROR(L42*E42,0)</f>
        <v/>
      </c>
      <c r="N42" s="129" t="n"/>
      <c r="O42" s="44" t="n">
        <v>160</v>
      </c>
      <c r="P42" s="44" t="n">
        <v>180</v>
      </c>
      <c r="Q42" s="99">
        <f>L42</f>
        <v/>
      </c>
      <c r="R42" s="99" t="n">
        <v>0</v>
      </c>
      <c r="T42" s="99" t="n"/>
      <c r="U42" s="49">
        <f>IFERROR(ROUND(T42/L42,2),0)</f>
        <v/>
      </c>
    </row>
    <row r="43">
      <c r="A43" s="13" t="inlineStr">
        <is>
          <t>(180, 200]</t>
        </is>
      </c>
      <c r="B43" s="130" t="n">
        <v>334</v>
      </c>
      <c r="C43" s="130" t="n">
        <v>32167875</v>
      </c>
      <c r="D43" s="99">
        <f>IFERROR(B43/$B$13,0)</f>
        <v/>
      </c>
      <c r="E43" s="131">
        <f>IFERROR(C43/B43/500.0,0)</f>
        <v/>
      </c>
      <c r="F43" s="132" t="n"/>
      <c r="G43" s="13" t="inlineStr">
        <is>
          <t>(180, 200]</t>
        </is>
      </c>
      <c r="H43" s="127" t="n">
        <v>1</v>
      </c>
      <c r="I43" s="99">
        <f>IFERROR(B43/$B$13,0)</f>
        <v/>
      </c>
      <c r="J43" s="99">
        <f>IFERROR(K43/$B$2,0)</f>
        <v/>
      </c>
      <c r="K43" s="128" t="n">
        <v>0</v>
      </c>
      <c r="L43" s="99">
        <f>IFERROR(K43/$B$2,0)</f>
        <v/>
      </c>
      <c r="M43" s="99">
        <f>IFERROR(L43*E43,0)</f>
        <v/>
      </c>
      <c r="N43" s="129" t="n"/>
      <c r="O43" s="44" t="n">
        <v>180</v>
      </c>
      <c r="P43" s="44" t="n">
        <v>200</v>
      </c>
      <c r="Q43" s="99">
        <f>L43</f>
        <v/>
      </c>
      <c r="R43" s="99" t="n">
        <v>2.1e-05</v>
      </c>
      <c r="T43" s="99" t="n"/>
      <c r="U43" s="49">
        <f>IFERROR(ROUND(T43/L43,2),0)</f>
        <v/>
      </c>
    </row>
    <row r="44">
      <c r="A44" s="13" t="inlineStr">
        <is>
          <t>(200, 250]</t>
        </is>
      </c>
      <c r="B44" s="130" t="n">
        <v>580</v>
      </c>
      <c r="C44" s="130" t="n">
        <v>65422800</v>
      </c>
      <c r="D44" s="99">
        <f>IFERROR(B44/$B$13,0)</f>
        <v/>
      </c>
      <c r="E44" s="131">
        <f>IFERROR(C44/B44/500.0,0)</f>
        <v/>
      </c>
      <c r="F44" s="132" t="n"/>
      <c r="G44" s="13" t="inlineStr">
        <is>
          <t>(200, 250]</t>
        </is>
      </c>
      <c r="H44" s="127" t="n">
        <v>1</v>
      </c>
      <c r="I44" s="99">
        <f>IFERROR(B44/$B$13,0)</f>
        <v/>
      </c>
      <c r="J44" s="99">
        <f>IFERROR(K44/$B$2,0)</f>
        <v/>
      </c>
      <c r="K44" s="128" t="n">
        <v>0</v>
      </c>
      <c r="L44" s="99">
        <f>IFERROR(K44/$B$2,0)</f>
        <v/>
      </c>
      <c r="M44" s="99">
        <f>IFERROR(L44*E44,0)</f>
        <v/>
      </c>
      <c r="N44" s="129" t="n"/>
      <c r="O44" s="44" t="n">
        <v>200</v>
      </c>
      <c r="P44" s="44" t="n">
        <v>250</v>
      </c>
      <c r="Q44" s="99">
        <f>L44</f>
        <v/>
      </c>
      <c r="R44" s="99" t="n">
        <v>0</v>
      </c>
      <c r="T44" s="99" t="n"/>
      <c r="U44" s="49">
        <f>IFERROR(ROUND(T44/L44,2),0)</f>
        <v/>
      </c>
    </row>
    <row r="45">
      <c r="A45" s="13" t="inlineStr">
        <is>
          <t>(250, 300]</t>
        </is>
      </c>
      <c r="B45" s="130" t="n">
        <v>370</v>
      </c>
      <c r="C45" s="130" t="n">
        <v>50308625</v>
      </c>
      <c r="D45" s="99">
        <f>IFERROR(B45/$B$13,0)</f>
        <v/>
      </c>
      <c r="E45" s="131">
        <f>IFERROR(C45/B45/500.0,0)</f>
        <v/>
      </c>
      <c r="F45" s="132" t="n"/>
      <c r="G45" s="13" t="inlineStr">
        <is>
          <t>(250, 300]</t>
        </is>
      </c>
      <c r="H45" s="127" t="n">
        <v>1</v>
      </c>
      <c r="I45" s="99">
        <f>IFERROR(B45/$B$13,0)</f>
        <v/>
      </c>
      <c r="J45" s="99">
        <f>IFERROR(K45/$B$2,0)</f>
        <v/>
      </c>
      <c r="K45" s="128" t="n">
        <v>0</v>
      </c>
      <c r="L45" s="99">
        <f>IFERROR(K45/$B$2,0)</f>
        <v/>
      </c>
      <c r="M45" s="99">
        <f>IFERROR(L45*E45,0)</f>
        <v/>
      </c>
      <c r="N45" s="129" t="n"/>
      <c r="O45" s="44" t="n">
        <v>250</v>
      </c>
      <c r="P45" s="44" t="n">
        <v>300</v>
      </c>
      <c r="Q45" s="99">
        <f>L45</f>
        <v/>
      </c>
      <c r="R45" s="99" t="n">
        <v>0</v>
      </c>
      <c r="T45" s="99" t="n"/>
      <c r="U45" s="49">
        <f>IFERROR(ROUND(T45/L45,2),0)</f>
        <v/>
      </c>
    </row>
    <row r="46">
      <c r="A46" s="13" t="inlineStr">
        <is>
          <t>(300, 350]</t>
        </is>
      </c>
      <c r="B46" s="130" t="n">
        <v>257</v>
      </c>
      <c r="C46" s="130" t="n">
        <v>41582975</v>
      </c>
      <c r="D46" s="99">
        <f>IFERROR(B46/$B$13,0)</f>
        <v/>
      </c>
      <c r="E46" s="131">
        <f>IFERROR(C46/B46/500.0,0)</f>
        <v/>
      </c>
      <c r="F46" s="132" t="n"/>
      <c r="G46" s="13" t="inlineStr">
        <is>
          <t>(300, 350]</t>
        </is>
      </c>
      <c r="H46" s="127" t="n">
        <v>1</v>
      </c>
      <c r="I46" s="99">
        <f>IFERROR(B46/$B$13,0)</f>
        <v/>
      </c>
      <c r="J46" s="99">
        <f>IFERROR(K46/$B$2,0)</f>
        <v/>
      </c>
      <c r="K46" s="128" t="n">
        <v>0</v>
      </c>
      <c r="L46" s="99">
        <f>IFERROR(K46/$B$2,0)</f>
        <v/>
      </c>
      <c r="M46" s="99">
        <f>IFERROR(L46*E46,0)</f>
        <v/>
      </c>
      <c r="N46" s="129" t="n"/>
      <c r="O46" s="44" t="n">
        <v>300</v>
      </c>
      <c r="P46" s="44" t="n">
        <v>350</v>
      </c>
      <c r="Q46" s="99">
        <f>L46</f>
        <v/>
      </c>
      <c r="R46" s="99" t="n">
        <v>0</v>
      </c>
      <c r="T46" s="99" t="n"/>
      <c r="U46" s="49">
        <f>IFERROR(ROUND(T46/L46,2),0)</f>
        <v/>
      </c>
    </row>
    <row r="47">
      <c r="A47" s="13" t="inlineStr">
        <is>
          <t>(350, 400]</t>
        </is>
      </c>
      <c r="B47" s="130" t="n">
        <v>224</v>
      </c>
      <c r="C47" s="130" t="n">
        <v>41962750</v>
      </c>
      <c r="D47" s="99">
        <f>IFERROR(B47/$B$13,0)</f>
        <v/>
      </c>
      <c r="E47" s="131">
        <f>IFERROR(C47/B47/500.0,0)</f>
        <v/>
      </c>
      <c r="F47" s="132" t="n"/>
      <c r="G47" s="13" t="inlineStr">
        <is>
          <t>(350, 400]</t>
        </is>
      </c>
      <c r="H47" s="127" t="n">
        <v>1</v>
      </c>
      <c r="I47" s="99">
        <f>IFERROR(B47/$B$13,0)</f>
        <v/>
      </c>
      <c r="J47" s="99">
        <f>IFERROR(K47/$B$2,0)</f>
        <v/>
      </c>
      <c r="K47" s="128" t="n">
        <v>0</v>
      </c>
      <c r="L47" s="99">
        <f>IFERROR(K47/$B$2,0)</f>
        <v/>
      </c>
      <c r="M47" s="99">
        <f>IFERROR(L47*E47,0)</f>
        <v/>
      </c>
      <c r="N47" s="129" t="n"/>
      <c r="O47" s="44" t="n">
        <v>350</v>
      </c>
      <c r="P47" s="44" t="n">
        <v>400</v>
      </c>
      <c r="Q47" s="99">
        <f>L47</f>
        <v/>
      </c>
      <c r="R47" s="99" t="n">
        <v>0</v>
      </c>
      <c r="T47" s="99" t="n"/>
      <c r="U47" s="49">
        <f>IFERROR(ROUND(T47/L47,2),0)</f>
        <v/>
      </c>
    </row>
    <row r="48">
      <c r="A48" s="13" t="inlineStr">
        <is>
          <t>(400, 450]</t>
        </is>
      </c>
      <c r="B48" s="130" t="n">
        <v>121</v>
      </c>
      <c r="C48" s="130" t="n">
        <v>25634950</v>
      </c>
      <c r="D48" s="99">
        <f>IFERROR(B48/$B$13,0)</f>
        <v/>
      </c>
      <c r="E48" s="131">
        <f>IFERROR(C48/B48/500.0,0)</f>
        <v/>
      </c>
      <c r="F48" s="132" t="n"/>
      <c r="G48" s="13" t="inlineStr">
        <is>
          <t>(400, 450]</t>
        </is>
      </c>
      <c r="H48" s="127" t="n">
        <v>1</v>
      </c>
      <c r="I48" s="99">
        <f>IFERROR(B48/$B$13,0)</f>
        <v/>
      </c>
      <c r="J48" s="99">
        <f>IFERROR(K48/$B$2,0)</f>
        <v/>
      </c>
      <c r="K48" s="128" t="n">
        <v>0</v>
      </c>
      <c r="L48" s="99">
        <f>IFERROR(K48/$B$2,0)</f>
        <v/>
      </c>
      <c r="M48" s="99">
        <f>IFERROR(L48*E48,0)</f>
        <v/>
      </c>
      <c r="N48" s="129" t="n"/>
      <c r="O48" s="44" t="n">
        <v>400</v>
      </c>
      <c r="P48" s="44" t="n">
        <v>450</v>
      </c>
      <c r="Q48" s="99">
        <f>L48</f>
        <v/>
      </c>
      <c r="R48" s="99" t="n">
        <v>0</v>
      </c>
      <c r="T48" s="99" t="n"/>
      <c r="U48" s="49">
        <f>IFERROR(ROUND(T48/L48,2),0)</f>
        <v/>
      </c>
    </row>
    <row r="49">
      <c r="A49" s="13" t="inlineStr">
        <is>
          <t>(450, 500]</t>
        </is>
      </c>
      <c r="B49" s="130" t="n">
        <v>116</v>
      </c>
      <c r="C49" s="130" t="n">
        <v>27773600</v>
      </c>
      <c r="D49" s="99">
        <f>IFERROR(B49/$B$13,0)</f>
        <v/>
      </c>
      <c r="E49" s="131">
        <f>IFERROR(C49/B49/500.0,0)</f>
        <v/>
      </c>
      <c r="F49" s="132" t="n"/>
      <c r="G49" s="13" t="inlineStr">
        <is>
          <t>(450, 500]</t>
        </is>
      </c>
      <c r="H49" s="127" t="n">
        <v>1</v>
      </c>
      <c r="I49" s="99">
        <f>IFERROR(B49/$B$13,0)</f>
        <v/>
      </c>
      <c r="J49" s="99">
        <f>IFERROR(K49/$B$2,0)</f>
        <v/>
      </c>
      <c r="K49" s="128" t="n">
        <v>0</v>
      </c>
      <c r="L49" s="99">
        <f>IFERROR(K49/$B$2,0)</f>
        <v/>
      </c>
      <c r="M49" s="99">
        <f>IFERROR(L49*E49,0)</f>
        <v/>
      </c>
      <c r="N49" s="129" t="n"/>
      <c r="O49" s="44" t="n">
        <v>450</v>
      </c>
      <c r="P49" s="44" t="n">
        <v>500</v>
      </c>
      <c r="Q49" s="99">
        <f>L49</f>
        <v/>
      </c>
      <c r="R49" s="99" t="n">
        <v>0</v>
      </c>
      <c r="T49" s="99" t="n"/>
      <c r="U49" s="49">
        <f>IFERROR(ROUND(T49/L49,2),0)</f>
        <v/>
      </c>
    </row>
    <row r="50">
      <c r="A50" s="13" t="inlineStr">
        <is>
          <t>(500, 550]</t>
        </is>
      </c>
      <c r="B50" s="130" t="n">
        <v>144</v>
      </c>
      <c r="C50" s="130" t="n">
        <v>37729800</v>
      </c>
      <c r="D50" s="99">
        <f>IFERROR(B50/$B$13,0)</f>
        <v/>
      </c>
      <c r="E50" s="131">
        <f>IFERROR(C50/B50/500.0,0)</f>
        <v/>
      </c>
      <c r="F50" s="132" t="n"/>
      <c r="G50" s="13" t="inlineStr">
        <is>
          <t>(500, 550]</t>
        </is>
      </c>
      <c r="H50" s="127" t="n">
        <v>1</v>
      </c>
      <c r="I50" s="99">
        <f>IFERROR(B50/$B$13,0)</f>
        <v/>
      </c>
      <c r="J50" s="99">
        <f>IFERROR(K50/$B$2,0)</f>
        <v/>
      </c>
      <c r="K50" s="128" t="n">
        <v>0</v>
      </c>
      <c r="L50" s="99">
        <f>IFERROR(K50/$B$2,0)</f>
        <v/>
      </c>
      <c r="M50" s="99">
        <f>IFERROR(L50*E50,0)</f>
        <v/>
      </c>
      <c r="N50" s="129" t="n"/>
      <c r="O50" s="44" t="n">
        <v>500</v>
      </c>
      <c r="P50" s="44" t="n">
        <v>550</v>
      </c>
      <c r="Q50" s="99">
        <f>L50</f>
        <v/>
      </c>
      <c r="R50" s="99" t="n">
        <v>0</v>
      </c>
      <c r="T50" s="99" t="n"/>
      <c r="U50" s="49">
        <f>IFERROR(ROUND(T50/L50,2),0)</f>
        <v/>
      </c>
    </row>
    <row r="51">
      <c r="A51" s="13" t="inlineStr">
        <is>
          <t>(550, 600]</t>
        </is>
      </c>
      <c r="B51" s="130" t="n">
        <v>95</v>
      </c>
      <c r="C51" s="130" t="n">
        <v>27349300</v>
      </c>
      <c r="D51" s="99">
        <f>IFERROR(B51/$B$13,0)</f>
        <v/>
      </c>
      <c r="E51" s="131">
        <f>IFERROR(C51/B51/500.0,0)</f>
        <v/>
      </c>
      <c r="F51" s="132" t="n"/>
      <c r="G51" s="13" t="inlineStr">
        <is>
          <t>(550, 600]</t>
        </is>
      </c>
      <c r="H51" s="127" t="n">
        <v>1</v>
      </c>
      <c r="I51" s="99">
        <f>IFERROR(B51/$B$13,0)</f>
        <v/>
      </c>
      <c r="J51" s="99">
        <f>IFERROR(K51/$B$2,0)</f>
        <v/>
      </c>
      <c r="K51" s="128" t="n">
        <v>0</v>
      </c>
      <c r="L51" s="99">
        <f>IFERROR(K51/$B$2,0)</f>
        <v/>
      </c>
      <c r="M51" s="99">
        <f>IFERROR(L51*E51,0)</f>
        <v/>
      </c>
      <c r="N51" s="129" t="n"/>
      <c r="O51" s="44" t="n">
        <v>550</v>
      </c>
      <c r="P51" s="44" t="n">
        <v>600</v>
      </c>
      <c r="Q51" s="99">
        <f>L51</f>
        <v/>
      </c>
      <c r="R51" s="99" t="n">
        <v>0</v>
      </c>
      <c r="T51" s="99" t="n"/>
      <c r="U51" s="49">
        <f>IFERROR(ROUND(T51/L51,2),0)</f>
        <v/>
      </c>
    </row>
    <row r="52">
      <c r="A52" s="13" t="inlineStr">
        <is>
          <t>(600, 650]</t>
        </is>
      </c>
      <c r="B52" s="130" t="n">
        <v>57</v>
      </c>
      <c r="C52" s="130" t="n">
        <v>17811325</v>
      </c>
      <c r="D52" s="99">
        <f>IFERROR(B52/$B$13,0)</f>
        <v/>
      </c>
      <c r="E52" s="131">
        <f>IFERROR(C52/B52/500.0,0)</f>
        <v/>
      </c>
      <c r="F52" s="132" t="n"/>
      <c r="G52" s="13" t="inlineStr">
        <is>
          <t>(600, 650]</t>
        </is>
      </c>
      <c r="H52" s="127" t="n">
        <v>1</v>
      </c>
      <c r="I52" s="99">
        <f>IFERROR(B52/$B$13,0)</f>
        <v/>
      </c>
      <c r="J52" s="99">
        <f>IFERROR(K52/$B$2,0)</f>
        <v/>
      </c>
      <c r="K52" s="128" t="n">
        <v>0</v>
      </c>
      <c r="L52" s="99">
        <f>IFERROR(K52/$B$2,0)</f>
        <v/>
      </c>
      <c r="M52" s="99">
        <f>IFERROR(L52*E52,0)</f>
        <v/>
      </c>
      <c r="N52" s="129" t="n"/>
      <c r="O52" s="44" t="n">
        <v>600</v>
      </c>
      <c r="P52" s="44" t="n">
        <v>650</v>
      </c>
      <c r="Q52" s="99">
        <f>L52</f>
        <v/>
      </c>
      <c r="R52" s="99" t="n">
        <v>0</v>
      </c>
      <c r="T52" s="99" t="n"/>
      <c r="U52" s="49">
        <f>IFERROR(ROUND(T52/L52,2),0)</f>
        <v/>
      </c>
    </row>
    <row r="53">
      <c r="A53" s="13" t="inlineStr">
        <is>
          <t>(650, 700]</t>
        </is>
      </c>
      <c r="B53" s="130" t="n">
        <v>77</v>
      </c>
      <c r="C53" s="130" t="n">
        <v>26136700</v>
      </c>
      <c r="D53" s="99">
        <f>IFERROR(B53/$B$13,0)</f>
        <v/>
      </c>
      <c r="E53" s="131">
        <f>IFERROR(C53/B53/500.0,0)</f>
        <v/>
      </c>
      <c r="F53" s="132" t="n"/>
      <c r="G53" s="13" t="inlineStr">
        <is>
          <t>(650, 700]</t>
        </is>
      </c>
      <c r="H53" s="127" t="n">
        <v>1</v>
      </c>
      <c r="I53" s="99">
        <f>IFERROR(B53/$B$13,0)</f>
        <v/>
      </c>
      <c r="J53" s="99">
        <f>IFERROR(K53/$B$2,0)</f>
        <v/>
      </c>
      <c r="K53" s="128" t="n">
        <v>0</v>
      </c>
      <c r="L53" s="99">
        <f>IFERROR(K53/$B$2,0)</f>
        <v/>
      </c>
      <c r="M53" s="99">
        <f>IFERROR(L53*E53,0)</f>
        <v/>
      </c>
      <c r="N53" s="129" t="n"/>
      <c r="O53" s="44" t="n">
        <v>650</v>
      </c>
      <c r="P53" s="44" t="n">
        <v>700</v>
      </c>
      <c r="Q53" s="99">
        <f>L53</f>
        <v/>
      </c>
      <c r="R53" s="99" t="n">
        <v>0</v>
      </c>
      <c r="T53" s="99" t="n"/>
      <c r="U53" s="49">
        <f>IFERROR(ROUND(T53/L53,2),0)</f>
        <v/>
      </c>
    </row>
    <row r="54">
      <c r="A54" s="13" t="inlineStr">
        <is>
          <t>(700, 750]</t>
        </is>
      </c>
      <c r="B54" s="130" t="n">
        <v>67</v>
      </c>
      <c r="C54" s="130" t="n">
        <v>24320875</v>
      </c>
      <c r="D54" s="99">
        <f>IFERROR(B54/$B$13,0)</f>
        <v/>
      </c>
      <c r="E54" s="131">
        <f>IFERROR(C54/B54/500.0,0)</f>
        <v/>
      </c>
      <c r="F54" s="132" t="n"/>
      <c r="G54" s="13" t="inlineStr">
        <is>
          <t>(700, 750]</t>
        </is>
      </c>
      <c r="H54" s="127" t="n">
        <v>1</v>
      </c>
      <c r="I54" s="99">
        <f>IFERROR(B54/$B$13,0)</f>
        <v/>
      </c>
      <c r="J54" s="99">
        <f>IFERROR(K54/$B$2,0)</f>
        <v/>
      </c>
      <c r="K54" s="128" t="n">
        <v>0</v>
      </c>
      <c r="L54" s="99">
        <f>IFERROR(K54/$B$2,0)</f>
        <v/>
      </c>
      <c r="M54" s="99">
        <f>IFERROR(L54*E54,0)</f>
        <v/>
      </c>
      <c r="N54" s="129" t="n"/>
      <c r="O54" s="44" t="n">
        <v>700</v>
      </c>
      <c r="P54" s="44" t="n">
        <v>750</v>
      </c>
      <c r="Q54" s="99">
        <f>L54</f>
        <v/>
      </c>
      <c r="R54" s="99" t="n">
        <v>0</v>
      </c>
      <c r="T54" s="99" t="n"/>
      <c r="U54" s="49">
        <f>IFERROR(ROUND(T54/L54,2),0)</f>
        <v/>
      </c>
    </row>
    <row r="55">
      <c r="A55" s="13" t="inlineStr">
        <is>
          <t>(750, 800]</t>
        </is>
      </c>
      <c r="B55" s="130" t="n">
        <v>71</v>
      </c>
      <c r="C55" s="130" t="n">
        <v>27691150</v>
      </c>
      <c r="D55" s="99">
        <f>IFERROR(B55/$B$13,0)</f>
        <v/>
      </c>
      <c r="E55" s="131">
        <f>IFERROR(C55/B55/500.0,0)</f>
        <v/>
      </c>
      <c r="F55" s="132" t="n"/>
      <c r="G55" s="13" t="inlineStr">
        <is>
          <t>(750, 800]</t>
        </is>
      </c>
      <c r="H55" s="127" t="n">
        <v>1</v>
      </c>
      <c r="I55" s="99">
        <f>IFERROR(B55/$B$13,0)</f>
        <v/>
      </c>
      <c r="J55" s="99">
        <f>IFERROR(K55/$B$2,0)</f>
        <v/>
      </c>
      <c r="K55" s="128" t="n">
        <v>0</v>
      </c>
      <c r="L55" s="99">
        <f>IFERROR(K55/$B$2,0)</f>
        <v/>
      </c>
      <c r="M55" s="99">
        <f>IFERROR(L55*E55,0)</f>
        <v/>
      </c>
      <c r="N55" s="129" t="n"/>
      <c r="O55" s="44" t="n">
        <v>750</v>
      </c>
      <c r="P55" s="44" t="n">
        <v>800</v>
      </c>
      <c r="Q55" s="99">
        <f>L55</f>
        <v/>
      </c>
      <c r="R55" s="99" t="n">
        <v>0</v>
      </c>
      <c r="T55" s="99" t="n"/>
      <c r="U55" s="49">
        <f>IFERROR(ROUND(T55/L55,2),0)</f>
        <v/>
      </c>
    </row>
    <row r="56">
      <c r="A56" s="13" t="inlineStr">
        <is>
          <t>(800, 850]</t>
        </is>
      </c>
      <c r="B56" s="130" t="n">
        <v>19</v>
      </c>
      <c r="C56" s="130" t="n">
        <v>7896575</v>
      </c>
      <c r="D56" s="99">
        <f>IFERROR(B56/$B$13,0)</f>
        <v/>
      </c>
      <c r="E56" s="131">
        <f>IFERROR(C56/B56/500.0,0)</f>
        <v/>
      </c>
      <c r="F56" s="132" t="n"/>
      <c r="G56" s="13" t="inlineStr">
        <is>
          <t>(800, 850]</t>
        </is>
      </c>
      <c r="H56" s="127" t="n">
        <v>1</v>
      </c>
      <c r="I56" s="99">
        <f>IFERROR(B56/$B$13,0)</f>
        <v/>
      </c>
      <c r="J56" s="99">
        <f>IFERROR(K56/$B$2,0)</f>
        <v/>
      </c>
      <c r="K56" s="128" t="n">
        <v>0</v>
      </c>
      <c r="L56" s="99">
        <f>IFERROR(K56/$B$2,0)</f>
        <v/>
      </c>
      <c r="M56" s="99">
        <f>IFERROR(L56*E56,0)</f>
        <v/>
      </c>
      <c r="N56" s="129" t="n"/>
      <c r="O56" s="44" t="n">
        <v>800</v>
      </c>
      <c r="P56" s="44" t="n">
        <v>850</v>
      </c>
      <c r="Q56" s="99">
        <f>L56</f>
        <v/>
      </c>
      <c r="R56" s="99" t="n">
        <v>0</v>
      </c>
      <c r="T56" s="99" t="n"/>
      <c r="U56" s="49">
        <f>IFERROR(ROUND(T56/L56,2),0)</f>
        <v/>
      </c>
    </row>
    <row r="57">
      <c r="A57" s="13" t="inlineStr">
        <is>
          <t>(850, 900]</t>
        </is>
      </c>
      <c r="B57" s="130" t="n">
        <v>34</v>
      </c>
      <c r="C57" s="130" t="n">
        <v>14928800</v>
      </c>
      <c r="D57" s="99">
        <f>IFERROR(B57/$B$13,0)</f>
        <v/>
      </c>
      <c r="E57" s="131">
        <f>IFERROR(C57/B57/500.0,0)</f>
        <v/>
      </c>
      <c r="F57" s="132" t="n"/>
      <c r="G57" s="13" t="inlineStr">
        <is>
          <t>(850, 900]</t>
        </is>
      </c>
      <c r="H57" s="127" t="n">
        <v>1</v>
      </c>
      <c r="I57" s="99">
        <f>IFERROR(B57/$B$13,0)</f>
        <v/>
      </c>
      <c r="J57" s="99">
        <f>IFERROR(K57/$B$2,0)</f>
        <v/>
      </c>
      <c r="K57" s="133" t="n">
        <v>0</v>
      </c>
      <c r="L57" s="99">
        <f>IFERROR(K57/$B$2,0)</f>
        <v/>
      </c>
      <c r="M57" s="99">
        <f>IFERROR(L57*E57,0)</f>
        <v/>
      </c>
      <c r="N57" s="129" t="n"/>
      <c r="O57" s="44" t="n">
        <v>850</v>
      </c>
      <c r="P57" s="44" t="n">
        <v>900</v>
      </c>
      <c r="Q57" s="99">
        <f>L57</f>
        <v/>
      </c>
      <c r="R57" s="99" t="n">
        <v>0</v>
      </c>
      <c r="T57" s="99" t="n"/>
      <c r="U57" s="49">
        <f>IFERROR(ROUND(T57/L57,2),0)</f>
        <v/>
      </c>
    </row>
    <row r="58">
      <c r="A58" s="13" t="inlineStr">
        <is>
          <t>(900, 950]</t>
        </is>
      </c>
      <c r="B58" s="130" t="n">
        <v>22</v>
      </c>
      <c r="C58" s="130" t="n">
        <v>10258450</v>
      </c>
      <c r="D58" s="99">
        <f>IFERROR(B58/$B$13,0)</f>
        <v/>
      </c>
      <c r="E58" s="131">
        <f>IFERROR(C58/B58/500.0,0)</f>
        <v/>
      </c>
      <c r="F58" s="132" t="n"/>
      <c r="G58" s="13" t="inlineStr">
        <is>
          <t>(900, 950]</t>
        </is>
      </c>
      <c r="H58" s="127" t="n">
        <v>1</v>
      </c>
      <c r="I58" s="99">
        <f>IFERROR(B58/$B$13,0)</f>
        <v/>
      </c>
      <c r="J58" s="99">
        <f>IFERROR(K58/$B$2,0)</f>
        <v/>
      </c>
      <c r="K58" s="133" t="n">
        <v>0</v>
      </c>
      <c r="L58" s="99">
        <f>IFERROR(K58/$B$2,0)</f>
        <v/>
      </c>
      <c r="M58" s="99">
        <f>IFERROR(L58*E58,0)</f>
        <v/>
      </c>
      <c r="N58" s="129" t="n"/>
      <c r="O58" s="44" t="n">
        <v>900</v>
      </c>
      <c r="P58" s="44" t="n">
        <v>950</v>
      </c>
      <c r="Q58" s="99">
        <f>L58</f>
        <v/>
      </c>
      <c r="R58" s="99" t="n">
        <v>0</v>
      </c>
      <c r="T58" s="99" t="n"/>
      <c r="U58" s="49">
        <f>IFERROR(ROUND(T58/L58,2),0)</f>
        <v/>
      </c>
    </row>
    <row r="59">
      <c r="A59" s="13" t="inlineStr">
        <is>
          <t>(950, 1000]</t>
        </is>
      </c>
      <c r="B59" s="130" t="n">
        <v>40</v>
      </c>
      <c r="C59" s="130" t="n">
        <v>19620825</v>
      </c>
      <c r="D59" s="99">
        <f>IFERROR(B59/$B$13,0)</f>
        <v/>
      </c>
      <c r="E59" s="131">
        <f>IFERROR(C59/B59/500.0,0)</f>
        <v/>
      </c>
      <c r="F59" s="132" t="n"/>
      <c r="G59" s="13" t="inlineStr">
        <is>
          <t>(950, 1000]</t>
        </is>
      </c>
      <c r="H59" s="127" t="n">
        <v>1</v>
      </c>
      <c r="I59" s="99">
        <f>IFERROR(B59/$B$13,0)</f>
        <v/>
      </c>
      <c r="J59" s="99">
        <f>IFERROR(K59/$B$2,0)</f>
        <v/>
      </c>
      <c r="K59" s="133" t="n">
        <v>0</v>
      </c>
      <c r="L59" s="99">
        <f>IFERROR(K59/$B$2,0)</f>
        <v/>
      </c>
      <c r="M59" s="99">
        <f>IFERROR(L59*E59,0)</f>
        <v/>
      </c>
      <c r="N59" s="129" t="n"/>
      <c r="O59" s="44" t="n">
        <v>950</v>
      </c>
      <c r="P59" s="44" t="n">
        <v>1000</v>
      </c>
      <c r="Q59" s="99">
        <f>L59</f>
        <v/>
      </c>
      <c r="R59" s="99" t="n">
        <v>0</v>
      </c>
      <c r="T59" s="99" t="n"/>
      <c r="U59" s="49">
        <f>IFERROR(ROUND(T59/L59,2),0)</f>
        <v/>
      </c>
    </row>
    <row r="60">
      <c r="A60" s="13" t="inlineStr">
        <is>
          <t>(1000, 2000]</t>
        </is>
      </c>
      <c r="B60" s="130" t="n">
        <v>392</v>
      </c>
      <c r="C60" s="130" t="n">
        <v>280343375</v>
      </c>
      <c r="D60" s="99">
        <f>IFERROR(B60/$B$13,0)</f>
        <v/>
      </c>
      <c r="E60" s="131">
        <f>IFERROR(C60/B60/500.0,0)</f>
        <v/>
      </c>
      <c r="F60" s="132" t="n"/>
      <c r="G60" s="13" t="inlineStr">
        <is>
          <t>(1000, 2000]</t>
        </is>
      </c>
      <c r="H60" s="127" t="n">
        <v>1</v>
      </c>
      <c r="I60" s="99">
        <f>IFERROR(B60/$B$13,0)</f>
        <v/>
      </c>
      <c r="J60" s="99">
        <f>IFERROR(K60/$B$2,0)</f>
        <v/>
      </c>
      <c r="K60" s="133" t="n">
        <v>0</v>
      </c>
      <c r="L60" s="99">
        <f>IFERROR(K60/$B$2,0)</f>
        <v/>
      </c>
      <c r="M60" s="99">
        <f>IFERROR(L60*E60,0)</f>
        <v/>
      </c>
      <c r="N60" s="129" t="n"/>
      <c r="O60" s="44" t="n">
        <v>1000</v>
      </c>
      <c r="P60" s="44" t="n">
        <v>2000</v>
      </c>
      <c r="Q60" s="99">
        <f>L60</f>
        <v/>
      </c>
      <c r="R60" s="99" t="n">
        <v>0</v>
      </c>
      <c r="T60" s="99" t="n"/>
      <c r="U60" s="49">
        <f>IFERROR(ROUND(T60/L60,2),0)</f>
        <v/>
      </c>
    </row>
    <row r="61">
      <c r="A61" s="13" t="inlineStr">
        <is>
          <t>(2000, 3000]</t>
        </is>
      </c>
      <c r="B61" s="130" t="n">
        <v>137</v>
      </c>
      <c r="C61" s="130" t="n">
        <v>168130850</v>
      </c>
      <c r="D61" s="99">
        <f>IFERROR(B61/$B$13,0)</f>
        <v/>
      </c>
      <c r="E61" s="131">
        <f>IFERROR(C61/B61/500.0,0)</f>
        <v/>
      </c>
      <c r="F61" s="132" t="n"/>
      <c r="G61" s="13" t="inlineStr">
        <is>
          <t>(2000, 3000]</t>
        </is>
      </c>
      <c r="H61" s="127" t="n">
        <v>1</v>
      </c>
      <c r="I61" s="99">
        <f>IFERROR(B61/$B$13,0)</f>
        <v/>
      </c>
      <c r="J61" s="99">
        <f>IFERROR(K61/$B$2,0)</f>
        <v/>
      </c>
      <c r="K61" s="133" t="n">
        <v>0</v>
      </c>
      <c r="L61" s="99">
        <f>IFERROR(K61/$B$2,0)</f>
        <v/>
      </c>
      <c r="M61" s="99">
        <f>IFERROR(L61*E61,0)</f>
        <v/>
      </c>
      <c r="N61" s="129" t="n"/>
      <c r="O61" s="44" t="n">
        <v>2000</v>
      </c>
      <c r="P61" s="44" t="n">
        <v>3000</v>
      </c>
      <c r="Q61" s="99">
        <f>L61</f>
        <v/>
      </c>
      <c r="R61" s="99" t="n">
        <v>0</v>
      </c>
      <c r="T61" s="99" t="n"/>
      <c r="U61" s="49">
        <f>IFERROR(ROUND(T61/L61,2),0)</f>
        <v/>
      </c>
    </row>
    <row r="62">
      <c r="A62" s="13" t="inlineStr">
        <is>
          <t>(3000, 4000]</t>
        </is>
      </c>
      <c r="B62" s="130" t="n">
        <v>96</v>
      </c>
      <c r="C62" s="130" t="n">
        <v>165593350</v>
      </c>
      <c r="D62" s="99">
        <f>IFERROR(B62/$B$13,0)</f>
        <v/>
      </c>
      <c r="E62" s="131">
        <f>IFERROR(C62/B62/500.0,0)</f>
        <v/>
      </c>
      <c r="F62" s="132" t="n"/>
      <c r="G62" s="13" t="inlineStr">
        <is>
          <t>(3000, 4000]</t>
        </is>
      </c>
      <c r="H62" s="127" t="n">
        <v>1</v>
      </c>
      <c r="I62" s="99">
        <f>IFERROR(B62/$B$13,0)</f>
        <v/>
      </c>
      <c r="J62" s="99">
        <f>IFERROR(K62/$B$2,0)</f>
        <v/>
      </c>
      <c r="K62" s="133" t="n">
        <v>0</v>
      </c>
      <c r="L62" s="99">
        <f>IFERROR(K62/$B$2,0)</f>
        <v/>
      </c>
      <c r="M62" s="99">
        <f>IFERROR(L62*E62,0)</f>
        <v/>
      </c>
      <c r="N62" s="129" t="n"/>
      <c r="O62" s="44" t="n">
        <v>3000</v>
      </c>
      <c r="P62" s="44" t="n">
        <v>4000</v>
      </c>
      <c r="Q62" s="99">
        <f>L62</f>
        <v/>
      </c>
      <c r="R62" s="99" t="n">
        <v>0</v>
      </c>
      <c r="T62" s="99" t="n"/>
      <c r="U62" s="49">
        <f>IFERROR(ROUND(T62/L62,2),0)</f>
        <v/>
      </c>
    </row>
    <row r="63">
      <c r="A63" s="13" t="inlineStr">
        <is>
          <t>(4000, 5000]</t>
        </is>
      </c>
      <c r="B63" s="130" t="n">
        <v>49</v>
      </c>
      <c r="C63" s="130" t="n">
        <v>110282225</v>
      </c>
      <c r="D63" s="99">
        <f>IFERROR(B63/$B$13,0)</f>
        <v/>
      </c>
      <c r="E63" s="131">
        <f>IFERROR(C63/B63/500.0,0)</f>
        <v/>
      </c>
      <c r="F63" s="132" t="n"/>
      <c r="G63" s="13" t="inlineStr">
        <is>
          <t>(4000, 5000]</t>
        </is>
      </c>
      <c r="H63" s="127" t="n">
        <v>1</v>
      </c>
      <c r="I63" s="99">
        <f>IFERROR(B63/$B$13,0)</f>
        <v/>
      </c>
      <c r="J63" s="99">
        <f>IFERROR(K63/$B$2,0)</f>
        <v/>
      </c>
      <c r="K63" s="133" t="n">
        <v>0</v>
      </c>
      <c r="L63" s="99">
        <f>IFERROR(K63/$B$2,0)</f>
        <v/>
      </c>
      <c r="M63" s="99">
        <f>IFERROR(L63*E63,0)</f>
        <v/>
      </c>
      <c r="N63" s="129" t="n"/>
      <c r="O63" s="44" t="n">
        <v>4000</v>
      </c>
      <c r="P63" s="44" t="n">
        <v>5000</v>
      </c>
      <c r="Q63" s="99">
        <f>L63</f>
        <v/>
      </c>
      <c r="R63" s="99" t="n">
        <v>0</v>
      </c>
      <c r="T63" s="99" t="n"/>
      <c r="U63" s="49">
        <f>IFERROR(ROUND(T63/L63,2),0)</f>
        <v/>
      </c>
    </row>
    <row r="64">
      <c r="A64" s="13" t="inlineStr">
        <is>
          <t>(5000, 6000]</t>
        </is>
      </c>
      <c r="B64" s="130" t="n">
        <v>34</v>
      </c>
      <c r="C64" s="130" t="n">
        <v>92676450</v>
      </c>
      <c r="D64" s="99">
        <f>IFERROR(B64/$B$13,0)</f>
        <v/>
      </c>
      <c r="E64" s="131">
        <f>IFERROR(C64/B64/500.0,0)</f>
        <v/>
      </c>
      <c r="F64" s="132" t="n"/>
      <c r="G64" s="13" t="inlineStr">
        <is>
          <t>(5000, 6000]</t>
        </is>
      </c>
      <c r="H64" s="127" t="n">
        <v>1</v>
      </c>
      <c r="I64" s="99">
        <f>IFERROR(B64/$B$13,0)</f>
        <v/>
      </c>
      <c r="J64" s="99">
        <f>IFERROR(K64/$B$2,0)</f>
        <v/>
      </c>
      <c r="K64" s="133" t="n">
        <v>0</v>
      </c>
      <c r="L64" s="99">
        <f>IFERROR(K64/$B$2,0)</f>
        <v/>
      </c>
      <c r="M64" s="99">
        <f>IFERROR(L64*E64,0)</f>
        <v/>
      </c>
      <c r="N64" s="129" t="n"/>
      <c r="O64" s="44" t="n">
        <v>5000</v>
      </c>
      <c r="P64" s="44" t="n">
        <v>6000</v>
      </c>
      <c r="Q64" s="99">
        <f>L64</f>
        <v/>
      </c>
      <c r="R64" s="99" t="n">
        <v>0</v>
      </c>
      <c r="T64" s="99" t="n"/>
      <c r="U64" s="49">
        <f>IFERROR(ROUND(T64/L64,2),0)</f>
        <v/>
      </c>
    </row>
    <row r="65">
      <c r="A65" s="13" t="inlineStr">
        <is>
          <t>(6000, 7000]</t>
        </is>
      </c>
      <c r="B65" s="130" t="n">
        <v>28</v>
      </c>
      <c r="C65" s="130" t="n">
        <v>90712725</v>
      </c>
      <c r="D65" s="99">
        <f>IFERROR(B65/$B$13,0)</f>
        <v/>
      </c>
      <c r="E65" s="131">
        <f>IFERROR(C65/B65/500.0,0)</f>
        <v/>
      </c>
      <c r="F65" s="132" t="n"/>
      <c r="G65" s="13" t="inlineStr">
        <is>
          <t>(6000, 7000]</t>
        </is>
      </c>
      <c r="H65" s="127" t="n">
        <v>1</v>
      </c>
      <c r="I65" s="99">
        <f>IFERROR(B65/$B$13,0)</f>
        <v/>
      </c>
      <c r="J65" s="99">
        <f>IFERROR(K65/$B$2,0)</f>
        <v/>
      </c>
      <c r="K65" s="133" t="n">
        <v>0</v>
      </c>
      <c r="L65" s="99">
        <f>IFERROR(K65/$B$2,0)</f>
        <v/>
      </c>
      <c r="M65" s="99">
        <f>IFERROR(L65*E65,0)</f>
        <v/>
      </c>
      <c r="N65" s="129" t="n"/>
      <c r="O65" s="44" t="n">
        <v>6000</v>
      </c>
      <c r="P65" s="44" t="n">
        <v>7000</v>
      </c>
      <c r="Q65" s="99">
        <f>L65</f>
        <v/>
      </c>
      <c r="R65" s="99" t="n">
        <v>0</v>
      </c>
      <c r="T65" s="99" t="n"/>
      <c r="U65" s="49">
        <f>IFERROR(ROUND(T65/L65,2),0)</f>
        <v/>
      </c>
    </row>
    <row r="66">
      <c r="A66" s="13" t="inlineStr">
        <is>
          <t>(7000, 8000]</t>
        </is>
      </c>
      <c r="B66" s="130" t="n">
        <v>14</v>
      </c>
      <c r="C66" s="130" t="n">
        <v>51799925</v>
      </c>
      <c r="D66" s="99">
        <f>IFERROR(B66/$B$13,0)</f>
        <v/>
      </c>
      <c r="E66" s="131">
        <f>IFERROR(C66/B66/500.0,0)</f>
        <v/>
      </c>
      <c r="F66" s="132" t="n"/>
      <c r="G66" s="13" t="inlineStr">
        <is>
          <t>(7000, 8000]</t>
        </is>
      </c>
      <c r="H66" s="127" t="n">
        <v>1</v>
      </c>
      <c r="I66" s="99">
        <f>IFERROR(B66/$B$13,0)</f>
        <v/>
      </c>
      <c r="J66" s="99">
        <f>IFERROR(K66/$B$2,0)</f>
        <v/>
      </c>
      <c r="K66" s="133" t="n">
        <v>0</v>
      </c>
      <c r="L66" s="99">
        <f>IFERROR(K66/$B$2,0)</f>
        <v/>
      </c>
      <c r="M66" s="99">
        <f>IFERROR(L66*E66,0)</f>
        <v/>
      </c>
      <c r="N66" s="129" t="n"/>
      <c r="O66" s="44" t="n">
        <v>7000</v>
      </c>
      <c r="P66" s="44" t="n">
        <v>8000</v>
      </c>
      <c r="Q66" s="99">
        <f>L66</f>
        <v/>
      </c>
      <c r="R66" s="99" t="n">
        <v>0</v>
      </c>
      <c r="T66" s="99" t="n"/>
      <c r="U66" s="49">
        <f>IFERROR(ROUND(T66/L66,2),0)</f>
        <v/>
      </c>
    </row>
    <row r="67">
      <c r="A67" s="13" t="inlineStr">
        <is>
          <t>(8000, 9000]</t>
        </is>
      </c>
      <c r="B67" s="130" t="n">
        <v>18</v>
      </c>
      <c r="C67" s="130" t="n">
        <v>76645075</v>
      </c>
      <c r="D67" s="99">
        <f>IFERROR(B67/$B$13,0)</f>
        <v/>
      </c>
      <c r="E67" s="131">
        <f>IFERROR(C67/B67/500.0,0)</f>
        <v/>
      </c>
      <c r="F67" s="132" t="n"/>
      <c r="G67" s="13" t="inlineStr">
        <is>
          <t>(8000, 9000]</t>
        </is>
      </c>
      <c r="H67" s="127" t="n">
        <v>1</v>
      </c>
      <c r="I67" s="99">
        <f>IFERROR(B67/$B$13,0)</f>
        <v/>
      </c>
      <c r="J67" s="99">
        <f>IFERROR(K67/$B$2,0)</f>
        <v/>
      </c>
      <c r="K67" s="133" t="n">
        <v>0</v>
      </c>
      <c r="L67" s="99">
        <f>IFERROR(K67/$B$2,0)</f>
        <v/>
      </c>
      <c r="M67" s="99">
        <f>IFERROR(L67*E67,0)</f>
        <v/>
      </c>
      <c r="N67" s="129" t="n"/>
      <c r="O67" s="44" t="n">
        <v>8000</v>
      </c>
      <c r="P67" s="44" t="n">
        <v>9000</v>
      </c>
      <c r="Q67" s="99">
        <f>L67</f>
        <v/>
      </c>
      <c r="R67" s="99" t="n">
        <v>0</v>
      </c>
      <c r="T67" s="99" t="n"/>
      <c r="U67" s="49">
        <f>IFERROR(ROUND(T67/L67,2),0)</f>
        <v/>
      </c>
    </row>
    <row r="68">
      <c r="A68" s="13" t="inlineStr">
        <is>
          <t>(9000, 10000]</t>
        </is>
      </c>
      <c r="B68" s="130" t="n">
        <v>6</v>
      </c>
      <c r="C68" s="130" t="n">
        <v>28239650</v>
      </c>
      <c r="D68" s="99">
        <f>IFERROR(B68/$B$13,0)</f>
        <v/>
      </c>
      <c r="E68" s="131">
        <f>IFERROR(C68/B68/500.0,0)</f>
        <v/>
      </c>
      <c r="F68" s="132" t="n"/>
      <c r="G68" s="13" t="inlineStr">
        <is>
          <t>(9000, 10000]</t>
        </is>
      </c>
      <c r="H68" s="127" t="n">
        <v>1</v>
      </c>
      <c r="I68" s="99">
        <f>IFERROR(B68/$B$13,0)</f>
        <v/>
      </c>
      <c r="J68" s="99">
        <f>IFERROR(K68/$B$2,0)</f>
        <v/>
      </c>
      <c r="K68" s="133" t="n">
        <v>0</v>
      </c>
      <c r="L68" s="99">
        <f>IFERROR(K68/$B$2,0)</f>
        <v/>
      </c>
      <c r="M68" s="99">
        <f>IFERROR(L68*E68,0)</f>
        <v/>
      </c>
      <c r="N68" s="129" t="n"/>
      <c r="O68" s="44" t="n">
        <v>9000</v>
      </c>
      <c r="P68" s="44" t="n">
        <v>10000</v>
      </c>
      <c r="Q68" s="99">
        <f>L68</f>
        <v/>
      </c>
      <c r="R68" s="99" t="n">
        <v>0</v>
      </c>
      <c r="T68" s="99" t="n"/>
      <c r="U68" s="49">
        <f>IFERROR(ROUND(T68/L68,2),0)</f>
        <v/>
      </c>
    </row>
    <row r="69">
      <c r="A69" s="13" t="inlineStr">
        <is>
          <t>(10000, 20000]</t>
        </is>
      </c>
      <c r="B69" s="130" t="n">
        <v>69</v>
      </c>
      <c r="C69" s="130" t="n">
        <v>511505975</v>
      </c>
      <c r="D69" s="99">
        <f>IFERROR(B69/$B$13,0)</f>
        <v/>
      </c>
      <c r="E69" s="131">
        <f>IFERROR(C69/B69/500.0,0)</f>
        <v/>
      </c>
      <c r="F69" s="132" t="n"/>
      <c r="G69" s="13" t="inlineStr">
        <is>
          <t>(10000, 20000]</t>
        </is>
      </c>
      <c r="H69" s="127" t="n">
        <v>1</v>
      </c>
      <c r="I69" s="99">
        <f>IFERROR(B69/$B$13,0)</f>
        <v/>
      </c>
      <c r="J69" s="99">
        <f>IFERROR(K69/$B$2,0)</f>
        <v/>
      </c>
      <c r="K69" s="133" t="n">
        <v>0</v>
      </c>
      <c r="L69" s="99">
        <f>IFERROR(K69/$B$2,0)</f>
        <v/>
      </c>
      <c r="M69" s="99">
        <f>IFERROR(L69*E69,0)</f>
        <v/>
      </c>
      <c r="N69" s="129" t="n"/>
      <c r="O69" s="44" t="n">
        <v>10000</v>
      </c>
      <c r="P69" s="44" t="n">
        <v>20000</v>
      </c>
      <c r="Q69" s="99">
        <f>L69</f>
        <v/>
      </c>
      <c r="R69" s="99" t="n">
        <v>0</v>
      </c>
      <c r="T69" s="99" t="n"/>
      <c r="U69" s="49">
        <f>IFERROR(ROUND(T69/L69,2),0)</f>
        <v/>
      </c>
    </row>
    <row r="70">
      <c r="A70" s="13" t="inlineStr">
        <is>
          <t>(20000, 30000]</t>
        </is>
      </c>
      <c r="B70" s="130" t="n">
        <v>18</v>
      </c>
      <c r="C70" s="130" t="n">
        <v>217247925</v>
      </c>
      <c r="D70" s="99">
        <f>IFERROR(B70/$B$13,0)</f>
        <v/>
      </c>
      <c r="E70" s="131">
        <f>IFERROR(C70/B70/500.0,0)</f>
        <v/>
      </c>
      <c r="F70" s="132" t="n"/>
      <c r="G70" s="13" t="inlineStr">
        <is>
          <t>(20000, 30000]</t>
        </is>
      </c>
      <c r="H70" s="127" t="n">
        <v>1</v>
      </c>
      <c r="I70" s="99">
        <f>IFERROR(B70/$B$13,0)</f>
        <v/>
      </c>
      <c r="J70" s="99">
        <f>IFERROR(K70/$B$2,0)</f>
        <v/>
      </c>
      <c r="K70" s="133" t="n">
        <v>0</v>
      </c>
      <c r="L70" s="99">
        <f>IFERROR(K70/$B$2,0)</f>
        <v/>
      </c>
      <c r="M70" s="99">
        <f>IFERROR(L70*E70,0)</f>
        <v/>
      </c>
      <c r="N70" s="129" t="n"/>
      <c r="O70" s="44" t="n">
        <v>20000</v>
      </c>
      <c r="P70" s="44" t="n">
        <v>30000</v>
      </c>
      <c r="Q70" s="99">
        <f>L70</f>
        <v/>
      </c>
      <c r="R70" s="99" t="n">
        <v>0</v>
      </c>
      <c r="T70" s="99" t="n"/>
      <c r="U70" s="49">
        <f>IFERROR(ROUND(T70/L70,2),0)</f>
        <v/>
      </c>
    </row>
    <row r="71">
      <c r="A71" s="13" t="inlineStr">
        <is>
          <t>(30000, 40000]</t>
        </is>
      </c>
      <c r="B71" s="130" t="n">
        <v>13</v>
      </c>
      <c r="C71" s="130" t="n">
        <v>223041800</v>
      </c>
      <c r="D71" s="99">
        <f>IFERROR(B71/$B$13,0)</f>
        <v/>
      </c>
      <c r="E71" s="131">
        <f>IFERROR(C71/B71/500.0,0)</f>
        <v/>
      </c>
      <c r="F71" s="132" t="n"/>
      <c r="G71" s="13" t="inlineStr">
        <is>
          <t>(30000, 40000]</t>
        </is>
      </c>
      <c r="H71" s="127" t="n">
        <v>1</v>
      </c>
      <c r="I71" s="99">
        <f>IFERROR(B71/$B$13,0)</f>
        <v/>
      </c>
      <c r="J71" s="99">
        <f>IFERROR(K71/$B$2,0)</f>
        <v/>
      </c>
      <c r="K71" s="133" t="n">
        <v>0</v>
      </c>
      <c r="L71" s="99">
        <f>IFERROR(K71/$B$2,0)</f>
        <v/>
      </c>
      <c r="M71" s="99">
        <f>IFERROR(L71*E71,0)</f>
        <v/>
      </c>
      <c r="N71" s="129" t="n"/>
      <c r="O71" s="44" t="n">
        <v>30000</v>
      </c>
      <c r="P71" s="44" t="n">
        <v>40000</v>
      </c>
      <c r="Q71" s="99">
        <f>L71</f>
        <v/>
      </c>
      <c r="R71" s="99" t="n">
        <v>0</v>
      </c>
      <c r="T71" s="99" t="n"/>
      <c r="U71" s="49">
        <f>IFERROR(ROUND(T71/L71,2),0)</f>
        <v/>
      </c>
    </row>
    <row r="72">
      <c r="A72" s="13" t="inlineStr">
        <is>
          <t>(40000, 50000]</t>
        </is>
      </c>
      <c r="B72" s="130" t="n">
        <v>3</v>
      </c>
      <c r="C72" s="130" t="n">
        <v>61437500</v>
      </c>
      <c r="D72" s="99">
        <f>IFERROR(B72/$B$13,0)</f>
        <v/>
      </c>
      <c r="E72" s="131">
        <f>IFERROR(C72/B72/500.0,0)</f>
        <v/>
      </c>
      <c r="F72" s="132" t="n"/>
      <c r="G72" s="13" t="inlineStr">
        <is>
          <t>(40000, 50000]</t>
        </is>
      </c>
      <c r="H72" s="127" t="n">
        <v>1</v>
      </c>
      <c r="I72" s="99">
        <f>IFERROR(B72/$B$13,0)</f>
        <v/>
      </c>
      <c r="J72" s="99">
        <f>IFERROR(K72/$B$2,0)</f>
        <v/>
      </c>
      <c r="K72" s="133" t="n">
        <v>0</v>
      </c>
      <c r="L72" s="99">
        <f>IFERROR(K72/$B$2,0)</f>
        <v/>
      </c>
      <c r="M72" s="99">
        <f>IFERROR(L72*E72,0)</f>
        <v/>
      </c>
      <c r="N72" s="129" t="n"/>
      <c r="O72" s="44" t="n">
        <v>40000</v>
      </c>
      <c r="P72" s="44" t="n">
        <v>50000</v>
      </c>
      <c r="Q72" s="99">
        <f>L72</f>
        <v/>
      </c>
      <c r="R72" s="99" t="n">
        <v>0</v>
      </c>
      <c r="T72" s="99" t="n"/>
      <c r="U72" s="49">
        <f>IFERROR(ROUND(T72/L72,2),0)</f>
        <v/>
      </c>
    </row>
    <row r="73">
      <c r="A73" s="13" t="inlineStr">
        <is>
          <t>(50000, 60000]</t>
        </is>
      </c>
      <c r="B73" s="130" t="n">
        <v>4</v>
      </c>
      <c r="C73" s="130" t="n">
        <v>103375000</v>
      </c>
      <c r="D73" s="99">
        <f>IFERROR(B73/$B$13,0)</f>
        <v/>
      </c>
      <c r="E73" s="131">
        <f>IFERROR(C73/B73/500.0,0)</f>
        <v/>
      </c>
      <c r="F73" s="132" t="n"/>
      <c r="G73" s="13" t="inlineStr">
        <is>
          <t>(50000, 60000]</t>
        </is>
      </c>
      <c r="H73" s="127" t="n">
        <v>1</v>
      </c>
      <c r="I73" s="99">
        <f>IFERROR(B73/$B$13,0)</f>
        <v/>
      </c>
      <c r="J73" s="99">
        <f>IFERROR(K73/$B$2,0)</f>
        <v/>
      </c>
      <c r="K73" s="133" t="n">
        <v>0</v>
      </c>
      <c r="L73" s="99">
        <f>IFERROR(K73/$B$2,0)</f>
        <v/>
      </c>
      <c r="M73" s="99">
        <f>IFERROR(L73*E73,0)</f>
        <v/>
      </c>
      <c r="N73" s="129" t="n"/>
      <c r="O73" s="44" t="n">
        <v>50000</v>
      </c>
      <c r="P73" s="44" t="n">
        <v>60000</v>
      </c>
      <c r="Q73" s="99">
        <f>L73</f>
        <v/>
      </c>
      <c r="R73" s="99" t="n">
        <v>0</v>
      </c>
      <c r="T73" s="99" t="n"/>
      <c r="U73" s="49">
        <f>IFERROR(ROUND(T73/L73,2),0)</f>
        <v/>
      </c>
    </row>
    <row r="74">
      <c r="A74" s="13" t="inlineStr">
        <is>
          <t>(60000, 70000]</t>
        </is>
      </c>
      <c r="B74" s="130" t="n">
        <v>3</v>
      </c>
      <c r="C74" s="130" t="n">
        <v>98005625</v>
      </c>
      <c r="D74" s="99">
        <f>IFERROR(B74/$B$13,0)</f>
        <v/>
      </c>
      <c r="E74" s="131">
        <f>IFERROR(C74/B74/500.0,0)</f>
        <v/>
      </c>
      <c r="F74" s="132" t="n"/>
      <c r="G74" s="13" t="inlineStr">
        <is>
          <t>(60000, 70000]</t>
        </is>
      </c>
      <c r="H74" s="127" t="n">
        <v>1</v>
      </c>
      <c r="I74" s="99">
        <f>IFERROR(B74/$B$13,0)</f>
        <v/>
      </c>
      <c r="J74" s="99">
        <f>IFERROR(K74/$B$2,0)</f>
        <v/>
      </c>
      <c r="K74" s="133" t="n">
        <v>0</v>
      </c>
      <c r="L74" s="99">
        <f>IFERROR(K74/$B$2,0)</f>
        <v/>
      </c>
      <c r="M74" s="99">
        <f>IFERROR(L74*E74,0)</f>
        <v/>
      </c>
      <c r="N74" s="129" t="n"/>
      <c r="O74" s="44" t="n">
        <v>60000</v>
      </c>
      <c r="P74" s="44" t="n">
        <v>70000</v>
      </c>
      <c r="Q74" s="99">
        <f>L74</f>
        <v/>
      </c>
      <c r="R74" s="99" t="n">
        <v>0</v>
      </c>
      <c r="T74" s="99" t="n"/>
      <c r="U74" s="49">
        <f>IFERROR(ROUND(T74/L74,2),0)</f>
        <v/>
      </c>
    </row>
    <row r="75">
      <c r="A75" s="13" t="inlineStr">
        <is>
          <t>(70000, 80000]</t>
        </is>
      </c>
      <c r="B75" s="130" t="n">
        <v>1</v>
      </c>
      <c r="C75" s="130" t="n">
        <v>37937500</v>
      </c>
      <c r="D75" s="99">
        <f>IFERROR(B75/$B$13,0)</f>
        <v/>
      </c>
      <c r="E75" s="131">
        <f>IFERROR(C75/B75/500.0,0)</f>
        <v/>
      </c>
      <c r="F75" s="132" t="n"/>
      <c r="G75" s="13" t="inlineStr">
        <is>
          <t>(70000, 80000]</t>
        </is>
      </c>
      <c r="H75" s="127" t="n">
        <v>1</v>
      </c>
      <c r="I75" s="99">
        <f>IFERROR(B75/$B$13,0)</f>
        <v/>
      </c>
      <c r="J75" s="99">
        <f>IFERROR(K75/$B$2,0)</f>
        <v/>
      </c>
      <c r="K75" s="133" t="n">
        <v>0</v>
      </c>
      <c r="L75" s="99">
        <f>IFERROR(K75/$B$2,0)</f>
        <v/>
      </c>
      <c r="M75" s="99">
        <f>IFERROR(L75*E75,0)</f>
        <v/>
      </c>
      <c r="N75" s="129" t="n"/>
      <c r="O75" s="44" t="n">
        <v>70000</v>
      </c>
      <c r="P75" s="44" t="n">
        <v>80000</v>
      </c>
      <c r="Q75" s="99">
        <f>L75</f>
        <v/>
      </c>
      <c r="R75" s="99" t="n">
        <v>0</v>
      </c>
      <c r="T75" s="99" t="n"/>
      <c r="U75" s="49">
        <f>IFERROR(ROUND(T75/L75,2),0)</f>
        <v/>
      </c>
    </row>
    <row r="76">
      <c r="A76" s="13" t="inlineStr">
        <is>
          <t>(80000, 90000]</t>
        </is>
      </c>
      <c r="B76" s="130" t="n">
        <v>0</v>
      </c>
      <c r="C76" s="130" t="n">
        <v>0</v>
      </c>
      <c r="D76" s="99">
        <f>IFERROR(B76/$B$13,0)</f>
        <v/>
      </c>
      <c r="E76" s="131">
        <f>IFERROR(C76/B76/500.0,0)</f>
        <v/>
      </c>
      <c r="F76" s="132" t="n"/>
      <c r="G76" s="13" t="inlineStr">
        <is>
          <t>(80000, 90000]</t>
        </is>
      </c>
      <c r="H76" s="127" t="n">
        <v>1</v>
      </c>
      <c r="I76" s="99">
        <f>IFERROR(B76/$B$13,0)</f>
        <v/>
      </c>
      <c r="J76" s="99">
        <f>IFERROR(K76/$B$2,0)</f>
        <v/>
      </c>
      <c r="K76" s="133" t="n">
        <v>0</v>
      </c>
      <c r="L76" s="99">
        <f>IFERROR(K76/$B$2,0)</f>
        <v/>
      </c>
      <c r="M76" s="99">
        <f>IFERROR(L76*E76,0)</f>
        <v/>
      </c>
      <c r="N76" s="129" t="n"/>
      <c r="O76" s="44" t="n">
        <v>80000</v>
      </c>
      <c r="P76" s="44" t="n">
        <v>90000</v>
      </c>
      <c r="Q76" s="99">
        <f>L76</f>
        <v/>
      </c>
      <c r="R76" s="99" t="n">
        <v>0</v>
      </c>
      <c r="T76" s="99" t="n"/>
      <c r="U76" s="49">
        <f>IFERROR(ROUND(T76/L76,2),0)</f>
        <v/>
      </c>
    </row>
    <row r="77">
      <c r="A77" s="13" t="inlineStr">
        <is>
          <t>(90000, 100000]</t>
        </is>
      </c>
      <c r="B77" s="130" t="n">
        <v>0</v>
      </c>
      <c r="C77" s="130" t="n">
        <v>0</v>
      </c>
      <c r="D77" s="99">
        <f>IFERROR(B77/$B$13,0)</f>
        <v/>
      </c>
      <c r="E77" s="131">
        <f>IFERROR(C77/B77/500.0,0)</f>
        <v/>
      </c>
      <c r="F77" s="132" t="n"/>
      <c r="G77" s="13" t="inlineStr">
        <is>
          <t>(90000, 100000]</t>
        </is>
      </c>
      <c r="H77" s="127" t="n">
        <v>1</v>
      </c>
      <c r="I77" s="99">
        <f>IFERROR(B77/$B$13,0)</f>
        <v/>
      </c>
      <c r="J77" s="99">
        <f>IFERROR(K77/$B$2,0)</f>
        <v/>
      </c>
      <c r="K77" s="133" t="n">
        <v>0</v>
      </c>
      <c r="L77" s="99">
        <f>IFERROR(K77/$B$2,0)</f>
        <v/>
      </c>
      <c r="M77" s="99">
        <f>IFERROR(L77*E77,0)</f>
        <v/>
      </c>
      <c r="N77" s="129" t="n"/>
      <c r="O77" s="44" t="n">
        <v>90000</v>
      </c>
      <c r="P77" s="44" t="n">
        <v>100000</v>
      </c>
      <c r="Q77" s="99">
        <f>L77</f>
        <v/>
      </c>
      <c r="R77" s="99" t="n">
        <v>0</v>
      </c>
      <c r="T77" s="99" t="n"/>
      <c r="U77" s="49">
        <f>IFERROR(ROUND(T77/L77,2),0)</f>
        <v/>
      </c>
    </row>
    <row r="78">
      <c r="A78" s="13" t="inlineStr">
        <is>
          <t>(100000, 9999999]</t>
        </is>
      </c>
      <c r="B78" s="130" t="n">
        <v>0</v>
      </c>
      <c r="C78" s="130" t="n">
        <v>0</v>
      </c>
      <c r="D78" s="99">
        <f>IFERROR(B78/$B$13,0)</f>
        <v/>
      </c>
      <c r="E78" s="131">
        <f>IFERROR(C78/B78/500.0,0)</f>
        <v/>
      </c>
      <c r="F78" s="132" t="n"/>
      <c r="G78" s="13" t="inlineStr">
        <is>
          <t>(100000, 9999999]</t>
        </is>
      </c>
      <c r="H78" s="127" t="n">
        <v>1</v>
      </c>
      <c r="I78" s="99">
        <f>IFERROR(B78/$B$13,0)</f>
        <v/>
      </c>
      <c r="J78" s="99">
        <f>IFERROR(K78/$B$2,0)</f>
        <v/>
      </c>
      <c r="K78" s="133" t="n">
        <v>0</v>
      </c>
      <c r="L78" s="99">
        <f>IFERROR(K78/$B$2,0)</f>
        <v/>
      </c>
      <c r="M78" s="99">
        <f>IFERROR(L78*E78,0)</f>
        <v/>
      </c>
      <c r="N78" s="129" t="n"/>
      <c r="O78" s="44" t="n">
        <v>100000</v>
      </c>
      <c r="P78" s="44" t="n">
        <v>9999999</v>
      </c>
      <c r="Q78" s="99">
        <f>L78</f>
        <v/>
      </c>
      <c r="R78" s="99" t="n">
        <v>0</v>
      </c>
      <c r="T78" s="99" t="n"/>
      <c r="U78" s="49">
        <f>IFERROR(ROUND(T78/L78,2),0)</f>
        <v/>
      </c>
    </row>
    <row r="79">
      <c r="A79" s="13" t="inlineStr">
        <is>
          <t>Free Game</t>
        </is>
      </c>
      <c r="B79" s="130" t="n">
        <v>8837552</v>
      </c>
      <c r="C79" s="130" t="n">
        <v>1910155240</v>
      </c>
      <c r="D79" s="99">
        <f>B79/B13</f>
        <v/>
      </c>
      <c r="E79" s="131">
        <f>IFERROR(C79/B79/$B$3,0)</f>
        <v/>
      </c>
      <c r="F79" s="132" t="n"/>
      <c r="G79" s="13" t="inlineStr">
        <is>
          <t>Free Game</t>
        </is>
      </c>
      <c r="H79" s="127" t="n">
        <v>0.8771589689090372</v>
      </c>
      <c r="I79" s="99">
        <f>D79*H79</f>
        <v/>
      </c>
      <c r="J79" s="99">
        <f>I79</f>
        <v/>
      </c>
      <c r="K79" s="133">
        <f>SUM(K15:K78)</f>
        <v/>
      </c>
      <c r="L79" s="99">
        <f>IFERROR(K79/SUM($K$15:$K$79),0)</f>
        <v/>
      </c>
      <c r="M79" s="99">
        <f>SUM(M15:M78)</f>
        <v/>
      </c>
      <c r="Q79" s="99" t="n"/>
      <c r="R79" s="99" t="n"/>
      <c r="T79" s="29" t="n"/>
      <c r="U79" s="29" t="n"/>
    </row>
    <row r="81">
      <c r="A81" s="28" t="n"/>
      <c r="B81" s="1" t="n"/>
      <c r="C81" s="134" t="n"/>
      <c r="D81" s="1" t="n"/>
      <c r="E81" s="1" t="n"/>
      <c r="G81" s="34" t="n"/>
      <c r="H81" s="28" t="n"/>
      <c r="I81" s="28" t="n"/>
      <c r="J81" s="28" t="n"/>
      <c r="K81" s="124" t="n"/>
      <c r="L81" s="28" t="n"/>
      <c r="M81" s="28" t="n"/>
      <c r="Q81" s="28" t="n"/>
      <c r="R81" s="28" t="n"/>
    </row>
    <row r="82" ht="15.6" customFormat="1" customHeight="1" s="61">
      <c r="A82" s="62" t="inlineStr">
        <is>
          <t>Newbie Normal Bet FG</t>
        </is>
      </c>
      <c r="B82" s="62" t="inlineStr">
        <is>
          <t>Free Game</t>
        </is>
      </c>
      <c r="C82" s="62" t="n"/>
      <c r="D82" s="123" t="n"/>
      <c r="E82" s="58" t="n"/>
      <c r="F82" s="59" t="n"/>
      <c r="G82" s="62" t="inlineStr">
        <is>
          <t>Normal Bet</t>
        </is>
      </c>
      <c r="H82" s="62" t="inlineStr">
        <is>
          <t>Free Game</t>
        </is>
      </c>
      <c r="I82" s="57" t="n"/>
      <c r="J82" s="57" t="n"/>
      <c r="K82" s="60" t="n"/>
      <c r="L82" s="98" t="n"/>
      <c r="M82" s="98" t="n"/>
      <c r="N82" s="59" t="n"/>
      <c r="O82" s="62" t="inlineStr">
        <is>
          <t>Normal Bet</t>
        </is>
      </c>
      <c r="P82" s="62" t="inlineStr">
        <is>
          <t>Free Game</t>
        </is>
      </c>
      <c r="Q82" s="98" t="n"/>
      <c r="R82" s="98" t="n"/>
    </row>
    <row r="83">
      <c r="A83" s="28" t="n"/>
      <c r="B83" s="1" t="n"/>
      <c r="C83" s="1" t="n"/>
      <c r="D83" s="1" t="n"/>
      <c r="E83" s="1" t="n"/>
      <c r="G83" s="34" t="n"/>
      <c r="H83" s="28" t="n"/>
      <c r="I83" s="28" t="n"/>
      <c r="J83" s="28" t="n"/>
      <c r="K83" s="28" t="n"/>
      <c r="L83" s="28" t="n"/>
      <c r="M83" s="28" t="n"/>
      <c r="Q83" s="28" t="n"/>
      <c r="R83" s="28" t="n"/>
    </row>
    <row r="84">
      <c r="A84" s="47" t="inlineStr">
        <is>
          <t>Simulate</t>
        </is>
      </c>
      <c r="B84" s="47" t="n">
        <v>23649</v>
      </c>
      <c r="C84" s="1" t="n"/>
      <c r="D84" s="1" t="n"/>
      <c r="E84" s="1" t="n"/>
      <c r="G84" s="47" t="inlineStr">
        <is>
          <t>Calculate</t>
        </is>
      </c>
      <c r="H84" s="28" t="n"/>
      <c r="I84" s="28" t="n"/>
      <c r="J84" s="28" t="n"/>
      <c r="K84" s="28" t="n"/>
      <c r="L84" s="28" t="n"/>
      <c r="M84" s="28" t="n"/>
      <c r="Q84" s="28" t="n"/>
      <c r="R84" s="28" t="n"/>
    </row>
    <row r="85">
      <c r="A85" s="9" t="inlineStr">
        <is>
          <t>Range</t>
        </is>
      </c>
      <c r="B85" s="9" t="inlineStr">
        <is>
          <t>Cnt</t>
        </is>
      </c>
      <c r="C85" s="9" t="inlineStr">
        <is>
          <t>Pay</t>
        </is>
      </c>
      <c r="D85" s="9" t="inlineStr">
        <is>
          <t>Hit Rate</t>
        </is>
      </c>
      <c r="E85" s="9" t="inlineStr">
        <is>
          <t>Avg. Multi.</t>
        </is>
      </c>
      <c r="G85" s="9" t="inlineStr">
        <is>
          <t>Range</t>
        </is>
      </c>
      <c r="H85" s="9" t="inlineStr">
        <is>
          <t>Fix Num</t>
        </is>
      </c>
      <c r="I85" s="9" t="inlineStr">
        <is>
          <t>Fix Rate</t>
        </is>
      </c>
      <c r="J85" s="9" t="inlineStr">
        <is>
          <t>Final Rate</t>
        </is>
      </c>
      <c r="K85" s="9" t="inlineStr">
        <is>
          <t>Weight</t>
        </is>
      </c>
      <c r="L85" s="9" t="inlineStr">
        <is>
          <t>Hit Rate</t>
        </is>
      </c>
      <c r="M85" s="9" t="inlineStr">
        <is>
          <t>Simulator RTP</t>
        </is>
      </c>
      <c r="O85" s="9" t="inlineStr">
        <is>
          <t>Lower</t>
        </is>
      </c>
      <c r="P85" s="9" t="inlineStr">
        <is>
          <t>Upper</t>
        </is>
      </c>
      <c r="Q85" s="9" t="inlineStr">
        <is>
          <t>目前</t>
        </is>
      </c>
      <c r="R85" s="9" t="inlineStr">
        <is>
          <t>競品</t>
        </is>
      </c>
      <c r="T85" s="12" t="inlineStr">
        <is>
          <t>目前</t>
        </is>
      </c>
      <c r="U85" s="12" t="inlineStr">
        <is>
          <t>差異</t>
        </is>
      </c>
    </row>
    <row r="86">
      <c r="A86" s="13" t="inlineStr">
        <is>
          <t>(-1, 0]</t>
        </is>
      </c>
      <c r="B86" s="125" t="n">
        <v>6</v>
      </c>
      <c r="C86" s="125" t="n">
        <v>0</v>
      </c>
      <c r="D86" s="99">
        <f>IFERROR(B86/$B$84,0)</f>
        <v/>
      </c>
      <c r="E86" s="126">
        <f>IFERROR(C86/B86/500.0,0)</f>
        <v/>
      </c>
      <c r="G86" s="13" t="inlineStr">
        <is>
          <t>(-1, 0]</t>
        </is>
      </c>
      <c r="H86" s="127" t="n">
        <v>1</v>
      </c>
      <c r="I86" s="99">
        <f>IFERROR(B86/$B$84,0)</f>
        <v/>
      </c>
      <c r="J86" s="99">
        <f>IFERROR(K86/$B$2,0)</f>
        <v/>
      </c>
      <c r="K86" s="128" t="n">
        <v>16217</v>
      </c>
      <c r="L86" s="99">
        <f>IFERROR(K86/$B$2,0)</f>
        <v/>
      </c>
      <c r="M86" s="99">
        <f>IFERROR(L86*E86,0)</f>
        <v/>
      </c>
      <c r="N86" s="129" t="n"/>
      <c r="O86" s="48" t="n">
        <v>-1</v>
      </c>
      <c r="P86" s="48" t="n">
        <v>0</v>
      </c>
      <c r="Q86" s="99">
        <f>L86</f>
        <v/>
      </c>
      <c r="R86" s="99" t="n">
        <v>0.02069</v>
      </c>
      <c r="T86" s="99" t="n"/>
      <c r="U86" s="49">
        <f>IFERROR(ROUND(T86/L86,2),0)</f>
        <v/>
      </c>
    </row>
    <row r="87">
      <c r="A87" s="13" t="inlineStr">
        <is>
          <t>(0, 1]</t>
        </is>
      </c>
      <c r="B87" s="130" t="n">
        <v>4</v>
      </c>
      <c r="C87" s="130" t="n">
        <v>1500</v>
      </c>
      <c r="D87" s="99">
        <f>IFERROR(B87/$B$84,0)</f>
        <v/>
      </c>
      <c r="E87" s="131">
        <f>IFERROR(C87/B87/500.0,0)</f>
        <v/>
      </c>
      <c r="G87" s="13" t="inlineStr">
        <is>
          <t>(0, 1]</t>
        </is>
      </c>
      <c r="H87" s="127" t="n">
        <v>1</v>
      </c>
      <c r="I87" s="99">
        <f>IFERROR(B87/$B$84,0)</f>
        <v/>
      </c>
      <c r="J87" s="99">
        <f>IFERROR(K87/$B$2,0)</f>
        <v/>
      </c>
      <c r="K87" s="128" t="n">
        <v>11228</v>
      </c>
      <c r="L87" s="99">
        <f>IFERROR(K87/$B$2,0)</f>
        <v/>
      </c>
      <c r="M87" s="99">
        <f>IFERROR(L87*E87,0)</f>
        <v/>
      </c>
      <c r="N87" s="129" t="n"/>
      <c r="O87" s="44" t="n">
        <v>0</v>
      </c>
      <c r="P87" s="44" t="n">
        <v>1</v>
      </c>
      <c r="Q87" s="99">
        <f>L87</f>
        <v/>
      </c>
      <c r="R87" s="99" t="n">
        <v>0.006897</v>
      </c>
      <c r="T87" s="99" t="n"/>
      <c r="U87" s="49">
        <f>IFERROR(ROUND(T87/L87,2),0)</f>
        <v/>
      </c>
    </row>
    <row r="88">
      <c r="A88" s="13" t="inlineStr">
        <is>
          <t>(1, 2]</t>
        </is>
      </c>
      <c r="B88" s="130" t="n">
        <v>3</v>
      </c>
      <c r="C88" s="130" t="n">
        <v>2400</v>
      </c>
      <c r="D88" s="99">
        <f>IFERROR(B88/$B$84,0)</f>
        <v/>
      </c>
      <c r="E88" s="131">
        <f>IFERROR(C88/B88/500.0,0)</f>
        <v/>
      </c>
      <c r="F88" s="50" t="n"/>
      <c r="G88" s="13" t="inlineStr">
        <is>
          <t>(1, 2]</t>
        </is>
      </c>
      <c r="H88" s="127" t="n">
        <v>1</v>
      </c>
      <c r="I88" s="99">
        <f>IFERROR(B88/$B$84,0)</f>
        <v/>
      </c>
      <c r="J88" s="99">
        <f>IFERROR(K88/$B$2,0)</f>
        <v/>
      </c>
      <c r="K88" s="128" t="n">
        <v>8790</v>
      </c>
      <c r="L88" s="99">
        <f>IFERROR(K88/$B$2,0)</f>
        <v/>
      </c>
      <c r="M88" s="99">
        <f>IFERROR(L88*E88,0)</f>
        <v/>
      </c>
      <c r="N88" s="66" t="n"/>
      <c r="O88" s="44" t="n">
        <v>1</v>
      </c>
      <c r="P88" s="44" t="n">
        <v>2</v>
      </c>
      <c r="Q88" s="99">
        <f>L88</f>
        <v/>
      </c>
      <c r="R88" s="99" t="n">
        <v>0.006897</v>
      </c>
      <c r="T88" s="99" t="n"/>
      <c r="U88" s="49">
        <f>IFERROR(ROUND(T88/L88,2),0)</f>
        <v/>
      </c>
    </row>
    <row r="89">
      <c r="A89" s="13" t="inlineStr">
        <is>
          <t>(2, 3]</t>
        </is>
      </c>
      <c r="B89" s="130" t="n">
        <v>5</v>
      </c>
      <c r="C89" s="130" t="n">
        <v>6500</v>
      </c>
      <c r="D89" s="99">
        <f>IFERROR(B89/$B$84,0)</f>
        <v/>
      </c>
      <c r="E89" s="131">
        <f>IFERROR(C89/B89/500.0,0)</f>
        <v/>
      </c>
      <c r="F89" s="129" t="n"/>
      <c r="G89" s="13" t="inlineStr">
        <is>
          <t>(2, 3]</t>
        </is>
      </c>
      <c r="H89" s="127" t="n">
        <v>1</v>
      </c>
      <c r="I89" s="99">
        <f>IFERROR(B89/$B$84,0)</f>
        <v/>
      </c>
      <c r="J89" s="99">
        <f>IFERROR(K89/$B$2,0)</f>
        <v/>
      </c>
      <c r="K89" s="128" t="n">
        <v>15407</v>
      </c>
      <c r="L89" s="99">
        <f>IFERROR(K89/$B$2,0)</f>
        <v/>
      </c>
      <c r="M89" s="99">
        <f>IFERROR(L89*E89,0)</f>
        <v/>
      </c>
      <c r="N89" s="66" t="n"/>
      <c r="O89" s="44" t="n">
        <v>2</v>
      </c>
      <c r="P89" s="44" t="n">
        <v>3</v>
      </c>
      <c r="Q89" s="99">
        <f>L89</f>
        <v/>
      </c>
      <c r="R89" s="99" t="n">
        <v>0.006897</v>
      </c>
      <c r="T89" s="99" t="n"/>
      <c r="U89" s="49">
        <f>IFERROR(ROUND(T89/L89,2),0)</f>
        <v/>
      </c>
    </row>
    <row r="90">
      <c r="A90" s="13" t="inlineStr">
        <is>
          <t>(3, 4]</t>
        </is>
      </c>
      <c r="B90" s="130" t="n">
        <v>4</v>
      </c>
      <c r="C90" s="130" t="n">
        <v>7225</v>
      </c>
      <c r="D90" s="99">
        <f>IFERROR(B90/$B$84,0)</f>
        <v/>
      </c>
      <c r="E90" s="131">
        <f>IFERROR(C90/B90/500.0,0)</f>
        <v/>
      </c>
      <c r="F90" s="129" t="n"/>
      <c r="G90" s="13" t="inlineStr">
        <is>
          <t>(3, 4]</t>
        </is>
      </c>
      <c r="H90" s="127" t="n">
        <v>1</v>
      </c>
      <c r="I90" s="99">
        <f>IFERROR(B90/$B$84,0)</f>
        <v/>
      </c>
      <c r="J90" s="99">
        <f>IFERROR(K90/$B$2,0)</f>
        <v/>
      </c>
      <c r="K90" s="128" t="n">
        <v>12971</v>
      </c>
      <c r="L90" s="99">
        <f>IFERROR(K90/$B$2,0)</f>
        <v/>
      </c>
      <c r="M90" s="99">
        <f>IFERROR(L90*E90,0)</f>
        <v/>
      </c>
      <c r="N90" s="66" t="n"/>
      <c r="O90" s="44" t="n">
        <v>3</v>
      </c>
      <c r="P90" s="44" t="n">
        <v>4</v>
      </c>
      <c r="Q90" s="99">
        <f>L90</f>
        <v/>
      </c>
      <c r="R90" s="99" t="n">
        <v>0.006897</v>
      </c>
      <c r="T90" s="99" t="n"/>
      <c r="U90" s="49">
        <f>IFERROR(ROUND(T90/L90,2),0)</f>
        <v/>
      </c>
    </row>
    <row r="91">
      <c r="A91" s="13" t="inlineStr">
        <is>
          <t>(4, 5]</t>
        </is>
      </c>
      <c r="B91" s="130" t="n">
        <v>7</v>
      </c>
      <c r="C91" s="130" t="n">
        <v>15775</v>
      </c>
      <c r="D91" s="99">
        <f>IFERROR(B91/$B$84,0)</f>
        <v/>
      </c>
      <c r="E91" s="131">
        <f>IFERROR(C91/B91/500.0,0)</f>
        <v/>
      </c>
      <c r="F91" s="129" t="n"/>
      <c r="G91" s="13" t="inlineStr">
        <is>
          <t>(4, 5]</t>
        </is>
      </c>
      <c r="H91" s="127" t="n">
        <v>1</v>
      </c>
      <c r="I91" s="99">
        <f>IFERROR(B91/$B$84,0)</f>
        <v/>
      </c>
      <c r="J91" s="99">
        <f>IFERROR(K91/$B$2,0)</f>
        <v/>
      </c>
      <c r="K91" s="128" t="n">
        <v>23747</v>
      </c>
      <c r="L91" s="99">
        <f>IFERROR(K91/$B$2,0)</f>
        <v/>
      </c>
      <c r="M91" s="99">
        <f>IFERROR(L91*E91,0)</f>
        <v/>
      </c>
      <c r="N91" s="66" t="n"/>
      <c r="O91" s="44" t="n">
        <v>4</v>
      </c>
      <c r="P91" s="44" t="n">
        <v>5</v>
      </c>
      <c r="Q91" s="99">
        <f>L91</f>
        <v/>
      </c>
      <c r="R91" s="99" t="n">
        <v>0.006897</v>
      </c>
      <c r="T91" s="99" t="n"/>
      <c r="U91" s="49">
        <f>IFERROR(ROUND(T91/L91,2),0)</f>
        <v/>
      </c>
    </row>
    <row r="92">
      <c r="A92" s="13" t="inlineStr">
        <is>
          <t>(5, 6]</t>
        </is>
      </c>
      <c r="B92" s="130" t="n">
        <v>11</v>
      </c>
      <c r="C92" s="130" t="n">
        <v>30975</v>
      </c>
      <c r="D92" s="99">
        <f>IFERROR(B92/$B$84,0)</f>
        <v/>
      </c>
      <c r="E92" s="131">
        <f>IFERROR(C92/B92/500.0,0)</f>
        <v/>
      </c>
      <c r="F92" s="129" t="n"/>
      <c r="G92" s="13" t="inlineStr">
        <is>
          <t>(5, 6]</t>
        </is>
      </c>
      <c r="H92" s="127" t="n">
        <v>1</v>
      </c>
      <c r="I92" s="99">
        <f>IFERROR(B92/$B$84,0)</f>
        <v/>
      </c>
      <c r="J92" s="99">
        <f>IFERROR(K92/$B$2,0)</f>
        <v/>
      </c>
      <c r="K92" s="128" t="n">
        <v>39494</v>
      </c>
      <c r="L92" s="99">
        <f>IFERROR(K92/$B$2,0)</f>
        <v/>
      </c>
      <c r="M92" s="99">
        <f>IFERROR(L92*E92,0)</f>
        <v/>
      </c>
      <c r="N92" s="66" t="n"/>
      <c r="O92" s="44" t="n">
        <v>5</v>
      </c>
      <c r="P92" s="44" t="n">
        <v>6</v>
      </c>
      <c r="Q92" s="99">
        <f>L92</f>
        <v/>
      </c>
      <c r="R92" s="99" t="n">
        <v>0.006897</v>
      </c>
      <c r="T92" s="99" t="n"/>
      <c r="U92" s="49">
        <f>IFERROR(ROUND(T92/L92,2),0)</f>
        <v/>
      </c>
    </row>
    <row r="93">
      <c r="A93" s="13" t="inlineStr">
        <is>
          <t>(6, 7]</t>
        </is>
      </c>
      <c r="B93" s="130" t="n">
        <v>6</v>
      </c>
      <c r="C93" s="130" t="n">
        <v>19900</v>
      </c>
      <c r="D93" s="99">
        <f>IFERROR(B93/$B$84,0)</f>
        <v/>
      </c>
      <c r="E93" s="131">
        <f>IFERROR(C93/B93/500.0,0)</f>
        <v/>
      </c>
      <c r="F93" s="129" t="n"/>
      <c r="G93" s="13" t="inlineStr">
        <is>
          <t>(6, 7]</t>
        </is>
      </c>
      <c r="H93" s="127" t="n">
        <v>1</v>
      </c>
      <c r="I93" s="99">
        <f>IFERROR(B93/$B$84,0)</f>
        <v/>
      </c>
      <c r="J93" s="99">
        <f>IFERROR(K93/$B$2,0)</f>
        <v/>
      </c>
      <c r="K93" s="128" t="n">
        <v>22658</v>
      </c>
      <c r="L93" s="99">
        <f>IFERROR(K93/$B$2,0)</f>
        <v/>
      </c>
      <c r="M93" s="99">
        <f>IFERROR(L93*E93,0)</f>
        <v/>
      </c>
      <c r="N93" s="129" t="n"/>
      <c r="O93" s="44" t="n">
        <v>6</v>
      </c>
      <c r="P93" s="44" t="n">
        <v>7</v>
      </c>
      <c r="Q93" s="99">
        <f>L93</f>
        <v/>
      </c>
      <c r="R93" s="99" t="n">
        <v>0.02069</v>
      </c>
      <c r="T93" s="99" t="n"/>
      <c r="U93" s="49">
        <f>IFERROR(ROUND(T93/L93,2),0)</f>
        <v/>
      </c>
    </row>
    <row r="94">
      <c r="A94" s="13" t="inlineStr">
        <is>
          <t>(7, 8]</t>
        </is>
      </c>
      <c r="B94" s="130" t="n">
        <v>15</v>
      </c>
      <c r="C94" s="130" t="n">
        <v>57425</v>
      </c>
      <c r="D94" s="99">
        <f>IFERROR(B94/$B$84,0)</f>
        <v/>
      </c>
      <c r="E94" s="131">
        <f>IFERROR(C94/B94/500.0,0)</f>
        <v/>
      </c>
      <c r="F94" s="129" t="n"/>
      <c r="G94" s="13" t="inlineStr">
        <is>
          <t>(7, 8]</t>
        </is>
      </c>
      <c r="H94" s="127" t="n">
        <v>1</v>
      </c>
      <c r="I94" s="99">
        <f>IFERROR(B94/$B$84,0)</f>
        <v/>
      </c>
      <c r="J94" s="99">
        <f>IFERROR(K94/$B$2,0)</f>
        <v/>
      </c>
      <c r="K94" s="128" t="n">
        <v>59644</v>
      </c>
      <c r="L94" s="99">
        <f>IFERROR(K94/$B$2,0)</f>
        <v/>
      </c>
      <c r="M94" s="99">
        <f>IFERROR(L94*E94,0)</f>
        <v/>
      </c>
      <c r="N94" s="129" t="n"/>
      <c r="O94" s="44" t="n">
        <v>7</v>
      </c>
      <c r="P94" s="44" t="n">
        <v>8</v>
      </c>
      <c r="Q94" s="99">
        <f>L94</f>
        <v/>
      </c>
      <c r="R94" s="99" t="n">
        <v>0</v>
      </c>
      <c r="T94" s="99" t="n"/>
      <c r="U94" s="49">
        <f>IFERROR(ROUND(T94/L94,2),0)</f>
        <v/>
      </c>
    </row>
    <row r="95">
      <c r="A95" s="13" t="inlineStr">
        <is>
          <t>(8, 9]</t>
        </is>
      </c>
      <c r="B95" s="130" t="n">
        <v>7</v>
      </c>
      <c r="C95" s="130" t="n">
        <v>29425</v>
      </c>
      <c r="D95" s="99">
        <f>IFERROR(B95/$B$84,0)</f>
        <v/>
      </c>
      <c r="E95" s="131">
        <f>IFERROR(C95/B95/500.0,0)</f>
        <v/>
      </c>
      <c r="F95" s="129" t="n"/>
      <c r="G95" s="13" t="inlineStr">
        <is>
          <t>(8, 9]</t>
        </is>
      </c>
      <c r="H95" s="127" t="n">
        <v>1</v>
      </c>
      <c r="I95" s="99">
        <f>IFERROR(B95/$B$84,0)</f>
        <v/>
      </c>
      <c r="J95" s="99">
        <f>IFERROR(K95/$B$2,0)</f>
        <v/>
      </c>
      <c r="K95" s="128" t="n">
        <v>28907</v>
      </c>
      <c r="L95" s="99">
        <f>IFERROR(K95/$B$2,0)</f>
        <v/>
      </c>
      <c r="M95" s="99">
        <f>IFERROR(L95*E95,0)</f>
        <v/>
      </c>
      <c r="N95" s="129" t="n"/>
      <c r="O95" s="44" t="n">
        <v>8</v>
      </c>
      <c r="P95" s="44" t="n">
        <v>9</v>
      </c>
      <c r="Q95" s="99">
        <f>L95</f>
        <v/>
      </c>
      <c r="R95" s="99" t="n">
        <v>0.006897</v>
      </c>
      <c r="T95" s="99" t="n"/>
      <c r="U95" s="49">
        <f>IFERROR(ROUND(T95/L95,2),0)</f>
        <v/>
      </c>
    </row>
    <row r="96">
      <c r="A96" s="13" t="inlineStr">
        <is>
          <t>(9, 10]</t>
        </is>
      </c>
      <c r="B96" s="130" t="n">
        <v>10</v>
      </c>
      <c r="C96" s="130" t="n">
        <v>48050</v>
      </c>
      <c r="D96" s="99">
        <f>IFERROR(B96/$B$84,0)</f>
        <v/>
      </c>
      <c r="E96" s="131">
        <f>IFERROR(C96/B96/500.0,0)</f>
        <v/>
      </c>
      <c r="F96" s="129" t="n"/>
      <c r="G96" s="13" t="inlineStr">
        <is>
          <t>(9, 10]</t>
        </is>
      </c>
      <c r="H96" s="127" t="n">
        <v>1</v>
      </c>
      <c r="I96" s="99">
        <f>IFERROR(B96/$B$84,0)</f>
        <v/>
      </c>
      <c r="J96" s="99">
        <f>IFERROR(K96/$B$2,0)</f>
        <v/>
      </c>
      <c r="K96" s="128" t="n">
        <v>43878</v>
      </c>
      <c r="L96" s="99">
        <f>IFERROR(K96/$B$2,0)</f>
        <v/>
      </c>
      <c r="M96" s="99">
        <f>IFERROR(L96*E96,0)</f>
        <v/>
      </c>
      <c r="N96" s="129" t="n"/>
      <c r="O96" s="44" t="n">
        <v>9</v>
      </c>
      <c r="P96" s="44" t="n">
        <v>10</v>
      </c>
      <c r="Q96" s="99">
        <f>L96</f>
        <v/>
      </c>
      <c r="R96" s="99" t="n">
        <v>0</v>
      </c>
      <c r="T96" s="99" t="n"/>
      <c r="U96" s="49">
        <f>IFERROR(ROUND(T96/L96,2),0)</f>
        <v/>
      </c>
    </row>
    <row r="97">
      <c r="A97" s="13" t="inlineStr">
        <is>
          <t>(10, 15]</t>
        </is>
      </c>
      <c r="B97" s="130" t="n">
        <v>83</v>
      </c>
      <c r="C97" s="130" t="n">
        <v>517200</v>
      </c>
      <c r="D97" s="99">
        <f>IFERROR(B97/$B$84,0)</f>
        <v/>
      </c>
      <c r="E97" s="131">
        <f>IFERROR(C97/B97/500.0,0)</f>
        <v/>
      </c>
      <c r="F97" s="129" t="n"/>
      <c r="G97" s="13" t="inlineStr">
        <is>
          <t>(10, 15]</t>
        </is>
      </c>
      <c r="H97" s="127" t="n">
        <v>1</v>
      </c>
      <c r="I97" s="99">
        <f>IFERROR(B97/$B$84,0)</f>
        <v/>
      </c>
      <c r="J97" s="99">
        <f>IFERROR(K97/$B$2,0)</f>
        <v/>
      </c>
      <c r="K97" s="128" t="n">
        <v>420522</v>
      </c>
      <c r="L97" s="99">
        <f>IFERROR(K97/$B$2,0)</f>
        <v/>
      </c>
      <c r="M97" s="99">
        <f>IFERROR(L97*E97,0)</f>
        <v/>
      </c>
      <c r="N97" s="129" t="n"/>
      <c r="O97" s="44" t="n">
        <v>10</v>
      </c>
      <c r="P97" s="44" t="n">
        <v>15</v>
      </c>
      <c r="Q97" s="99">
        <f>L97</f>
        <v/>
      </c>
      <c r="R97" s="99" t="n">
        <v>0.062069</v>
      </c>
      <c r="T97" s="99" t="n"/>
      <c r="U97" s="49">
        <f>IFERROR(ROUND(T97/L97,2),0)</f>
        <v/>
      </c>
    </row>
    <row r="98">
      <c r="A98" s="13" t="inlineStr">
        <is>
          <t>(15, 20]</t>
        </is>
      </c>
      <c r="B98" s="130" t="n">
        <v>80</v>
      </c>
      <c r="C98" s="130" t="n">
        <v>700450</v>
      </c>
      <c r="D98" s="99">
        <f>IFERROR(B98/$B$84,0)</f>
        <v/>
      </c>
      <c r="E98" s="131">
        <f>IFERROR(C98/B98/500.0,0)</f>
        <v/>
      </c>
      <c r="F98" s="129" t="n"/>
      <c r="G98" s="13" t="inlineStr">
        <is>
          <t>(15, 20]</t>
        </is>
      </c>
      <c r="H98" s="127" t="n">
        <v>1</v>
      </c>
      <c r="I98" s="99">
        <f>IFERROR(B98/$B$84,0)</f>
        <v/>
      </c>
      <c r="J98" s="99">
        <f>IFERROR(K98/$B$2,0)</f>
        <v/>
      </c>
      <c r="K98" s="128" t="n">
        <v>522819</v>
      </c>
      <c r="L98" s="99">
        <f>IFERROR(K98/$B$2,0)</f>
        <v/>
      </c>
      <c r="M98" s="99">
        <f>IFERROR(L98*E98,0)</f>
        <v/>
      </c>
      <c r="N98" s="129" t="n"/>
      <c r="O98" s="44" t="n">
        <v>15</v>
      </c>
      <c r="P98" s="44" t="n">
        <v>20</v>
      </c>
      <c r="Q98" s="99">
        <f>L98</f>
        <v/>
      </c>
      <c r="R98" s="99" t="n">
        <v>0.027586</v>
      </c>
      <c r="T98" s="99" t="n"/>
      <c r="U98" s="49">
        <f>IFERROR(ROUND(T98/L98,2),0)</f>
        <v/>
      </c>
    </row>
    <row r="99">
      <c r="A99" s="13" t="inlineStr">
        <is>
          <t>(20, 25]</t>
        </is>
      </c>
      <c r="B99" s="130" t="n">
        <v>105</v>
      </c>
      <c r="C99" s="130" t="n">
        <v>1182950</v>
      </c>
      <c r="D99" s="99">
        <f>IFERROR(B99/$B$84,0)</f>
        <v/>
      </c>
      <c r="E99" s="131">
        <f>IFERROR(C99/B99/500.0,0)</f>
        <v/>
      </c>
      <c r="F99" s="129" t="n"/>
      <c r="G99" s="13" t="inlineStr">
        <is>
          <t>(20, 25]</t>
        </is>
      </c>
      <c r="H99" s="127" t="n">
        <v>1</v>
      </c>
      <c r="I99" s="99">
        <f>IFERROR(B99/$B$84,0)</f>
        <v/>
      </c>
      <c r="J99" s="99">
        <f>IFERROR(K99/$B$2,0)</f>
        <v/>
      </c>
      <c r="K99" s="128" t="n">
        <v>883893</v>
      </c>
      <c r="L99" s="99">
        <f>IFERROR(K99/$B$2,0)</f>
        <v/>
      </c>
      <c r="M99" s="99">
        <f>IFERROR(L99*E99,0)</f>
        <v/>
      </c>
      <c r="N99" s="129" t="n"/>
      <c r="O99" s="44" t="n">
        <v>20</v>
      </c>
      <c r="P99" s="44" t="n">
        <v>25</v>
      </c>
      <c r="Q99" s="99">
        <f>L99</f>
        <v/>
      </c>
      <c r="R99" s="99" t="n">
        <v>0.02069</v>
      </c>
      <c r="T99" s="99" t="n"/>
      <c r="U99" s="49">
        <f>IFERROR(ROUND(T99/L99,2),0)</f>
        <v/>
      </c>
    </row>
    <row r="100">
      <c r="A100" s="13" t="inlineStr">
        <is>
          <t>(25, 30]</t>
        </is>
      </c>
      <c r="B100" s="130" t="n">
        <v>128</v>
      </c>
      <c r="C100" s="130" t="n">
        <v>1748875</v>
      </c>
      <c r="D100" s="99">
        <f>IFERROR(B100/$B$84,0)</f>
        <v/>
      </c>
      <c r="E100" s="131">
        <f>IFERROR(C100/B100/500.0,0)</f>
        <v/>
      </c>
      <c r="F100" s="129" t="n"/>
      <c r="G100" s="13" t="inlineStr">
        <is>
          <t>(25, 30]</t>
        </is>
      </c>
      <c r="H100" s="127" t="n">
        <v>1</v>
      </c>
      <c r="I100" s="99">
        <f>IFERROR(B100/$B$84,0)</f>
        <v/>
      </c>
      <c r="J100" s="99">
        <f>IFERROR(K100/$B$2,0)</f>
        <v/>
      </c>
      <c r="K100" s="128" t="n">
        <v>1372118</v>
      </c>
      <c r="L100" s="99">
        <f>IFERROR(K100/$B$2,0)</f>
        <v/>
      </c>
      <c r="M100" s="99">
        <f>IFERROR(L100*E100,0)</f>
        <v/>
      </c>
      <c r="N100" s="129" t="n"/>
      <c r="O100" s="44" t="n">
        <v>25</v>
      </c>
      <c r="P100" s="44" t="n">
        <v>30</v>
      </c>
      <c r="Q100" s="99">
        <f>L100</f>
        <v/>
      </c>
      <c r="R100" s="99" t="n">
        <v>0.089655</v>
      </c>
      <c r="T100" s="99" t="n"/>
      <c r="U100" s="49">
        <f>IFERROR(ROUND(T100/L100,2),0)</f>
        <v/>
      </c>
    </row>
    <row r="101">
      <c r="A101" s="13" t="inlineStr">
        <is>
          <t>(30, 35]</t>
        </is>
      </c>
      <c r="B101" s="130" t="n">
        <v>149</v>
      </c>
      <c r="C101" s="130" t="n">
        <v>2432600</v>
      </c>
      <c r="D101" s="99">
        <f>IFERROR(B101/$B$84,0)</f>
        <v/>
      </c>
      <c r="E101" s="131">
        <f>IFERROR(C101/B101/500.0,0)</f>
        <v/>
      </c>
      <c r="F101" s="129" t="n"/>
      <c r="G101" s="13" t="inlineStr">
        <is>
          <t>(30, 35]</t>
        </is>
      </c>
      <c r="H101" s="127" t="n">
        <v>1</v>
      </c>
      <c r="I101" s="99">
        <f>IFERROR(B101/$B$84,0)</f>
        <v/>
      </c>
      <c r="J101" s="99">
        <f>IFERROR(K101/$B$2,0)</f>
        <v/>
      </c>
      <c r="K101" s="128" t="n">
        <v>2089279</v>
      </c>
      <c r="L101" s="99">
        <f>IFERROR(K101/$B$2,0)</f>
        <v/>
      </c>
      <c r="M101" s="99">
        <f>IFERROR(L101*E101,0)</f>
        <v/>
      </c>
      <c r="N101" s="129" t="n"/>
      <c r="O101" s="44" t="n">
        <v>30</v>
      </c>
      <c r="P101" s="44" t="n">
        <v>35</v>
      </c>
      <c r="Q101" s="99">
        <f>L101</f>
        <v/>
      </c>
      <c r="R101" s="99" t="n">
        <v>0.034483</v>
      </c>
      <c r="T101" s="99" t="n"/>
      <c r="U101" s="49">
        <f>IFERROR(ROUND(T101/L101,2),0)</f>
        <v/>
      </c>
    </row>
    <row r="102">
      <c r="A102" s="13" t="inlineStr">
        <is>
          <t>(35, 40]</t>
        </is>
      </c>
      <c r="B102" s="130" t="n">
        <v>172</v>
      </c>
      <c r="C102" s="130" t="n">
        <v>3231750</v>
      </c>
      <c r="D102" s="99">
        <f>IFERROR(B102/$B$84,0)</f>
        <v/>
      </c>
      <c r="E102" s="131">
        <f>IFERROR(C102/B102/500.0,0)</f>
        <v/>
      </c>
      <c r="F102" s="129" t="n"/>
      <c r="G102" s="13" t="inlineStr">
        <is>
          <t>(35, 40]</t>
        </is>
      </c>
      <c r="H102" s="127" t="n">
        <v>1</v>
      </c>
      <c r="I102" s="99">
        <f>IFERROR(B102/$B$84,0)</f>
        <v/>
      </c>
      <c r="J102" s="99">
        <f>IFERROR(K102/$B$2,0)</f>
        <v/>
      </c>
      <c r="K102" s="128" t="n">
        <v>3091774</v>
      </c>
      <c r="L102" s="99">
        <f>IFERROR(K102/$B$2,0)</f>
        <v/>
      </c>
      <c r="M102" s="99">
        <f>IFERROR(L102*E102,0)</f>
        <v/>
      </c>
      <c r="N102" s="129" t="n"/>
      <c r="O102" s="44" t="n">
        <v>35</v>
      </c>
      <c r="P102" s="44" t="n">
        <v>40</v>
      </c>
      <c r="Q102" s="99">
        <f>L102</f>
        <v/>
      </c>
      <c r="R102" s="99" t="n">
        <v>0.062069</v>
      </c>
      <c r="T102" s="99" t="n"/>
      <c r="U102" s="49">
        <f>IFERROR(ROUND(T102/L102,2),0)</f>
        <v/>
      </c>
    </row>
    <row r="103">
      <c r="A103" s="13" t="inlineStr">
        <is>
          <t>(40, 45]</t>
        </is>
      </c>
      <c r="B103" s="130" t="n">
        <v>156</v>
      </c>
      <c r="C103" s="130" t="n">
        <v>3316700</v>
      </c>
      <c r="D103" s="99">
        <f>IFERROR(B103/$B$84,0)</f>
        <v/>
      </c>
      <c r="E103" s="131">
        <f>IFERROR(C103/B103/500.0,0)</f>
        <v/>
      </c>
      <c r="F103" s="129" t="n"/>
      <c r="G103" s="13" t="inlineStr">
        <is>
          <t>(40, 45]</t>
        </is>
      </c>
      <c r="H103" s="127" t="n">
        <v>1</v>
      </c>
      <c r="I103" s="99">
        <f>IFERROR(B103/$B$84,0)</f>
        <v/>
      </c>
      <c r="J103" s="99">
        <f>IFERROR(K103/$B$2,0)</f>
        <v/>
      </c>
      <c r="K103" s="128" t="n">
        <v>3597897</v>
      </c>
      <c r="L103" s="99">
        <f>IFERROR(K103/$B$2,0)</f>
        <v/>
      </c>
      <c r="M103" s="99">
        <f>IFERROR(L103*E103,0)</f>
        <v/>
      </c>
      <c r="N103" s="129" t="n"/>
      <c r="O103" s="44" t="n">
        <v>40</v>
      </c>
      <c r="P103" s="44" t="n">
        <v>45</v>
      </c>
      <c r="Q103" s="99">
        <f>L103</f>
        <v/>
      </c>
      <c r="R103" s="99" t="n">
        <v>0.055172</v>
      </c>
      <c r="T103" s="99" t="n"/>
      <c r="U103" s="49">
        <f>IFERROR(ROUND(T103/L103,2),0)</f>
        <v/>
      </c>
    </row>
    <row r="104">
      <c r="A104" s="13" t="inlineStr">
        <is>
          <t>(45, 50]</t>
        </is>
      </c>
      <c r="B104" s="130" t="n">
        <v>156</v>
      </c>
      <c r="C104" s="130" t="n">
        <v>3716100</v>
      </c>
      <c r="D104" s="99">
        <f>IFERROR(B104/$B$84,0)</f>
        <v/>
      </c>
      <c r="E104" s="131">
        <f>IFERROR(C104/B104/500.0,0)</f>
        <v/>
      </c>
      <c r="F104" s="129" t="n"/>
      <c r="G104" s="13" t="inlineStr">
        <is>
          <t>(45, 50]</t>
        </is>
      </c>
      <c r="H104" s="127" t="n">
        <v>1</v>
      </c>
      <c r="I104" s="99">
        <f>IFERROR(B104/$B$84,0)</f>
        <v/>
      </c>
      <c r="J104" s="99">
        <f>IFERROR(K104/$B$2,0)</f>
        <v/>
      </c>
      <c r="K104" s="128" t="n">
        <v>4657727</v>
      </c>
      <c r="L104" s="99">
        <f>IFERROR(K104/$B$2,0)</f>
        <v/>
      </c>
      <c r="M104" s="99">
        <f>IFERROR(L104*E104,0)</f>
        <v/>
      </c>
      <c r="N104" s="129" t="n"/>
      <c r="O104" s="44" t="n">
        <v>45</v>
      </c>
      <c r="P104" s="44" t="n">
        <v>50</v>
      </c>
      <c r="Q104" s="99">
        <f>L104</f>
        <v/>
      </c>
      <c r="R104" s="99" t="n">
        <v>0.048276</v>
      </c>
      <c r="T104" s="99" t="n"/>
      <c r="U104" s="49">
        <f>IFERROR(ROUND(T104/L104,2),0)</f>
        <v/>
      </c>
    </row>
    <row r="105">
      <c r="A105" s="13" t="inlineStr">
        <is>
          <t>(50, 60]</t>
        </is>
      </c>
      <c r="B105" s="130" t="n">
        <v>406</v>
      </c>
      <c r="C105" s="130" t="n">
        <v>11210700</v>
      </c>
      <c r="D105" s="99">
        <f>IFERROR(B105/$B$84,0)</f>
        <v/>
      </c>
      <c r="E105" s="131">
        <f>IFERROR(C105/B105/500.0,0)</f>
        <v/>
      </c>
      <c r="F105" s="129" t="n"/>
      <c r="G105" s="13" t="inlineStr">
        <is>
          <t>(50, 60]</t>
        </is>
      </c>
      <c r="H105" s="127" t="n">
        <v>1</v>
      </c>
      <c r="I105" s="99">
        <f>IFERROR(B105/$B$84,0)</f>
        <v/>
      </c>
      <c r="J105" s="99">
        <f>IFERROR(K105/$B$2,0)</f>
        <v/>
      </c>
      <c r="K105" s="128" t="n">
        <v>17767174</v>
      </c>
      <c r="L105" s="99">
        <f>IFERROR(K105/$B$2,0)</f>
        <v/>
      </c>
      <c r="M105" s="99">
        <f>IFERROR(L105*E105,0)</f>
        <v/>
      </c>
      <c r="N105" s="129" t="n"/>
      <c r="O105" s="44" t="n">
        <v>50</v>
      </c>
      <c r="P105" s="44" t="n">
        <v>60</v>
      </c>
      <c r="Q105" s="99">
        <f>L105</f>
        <v/>
      </c>
      <c r="R105" s="99" t="n">
        <v>0.048276</v>
      </c>
      <c r="T105" s="99" t="n"/>
      <c r="U105" s="49">
        <f>IFERROR(ROUND(T105/L105,2),0)</f>
        <v/>
      </c>
    </row>
    <row r="106">
      <c r="A106" s="13" t="inlineStr">
        <is>
          <t>(60, 70]</t>
        </is>
      </c>
      <c r="B106" s="130" t="n">
        <v>439</v>
      </c>
      <c r="C106" s="130" t="n">
        <v>14304500</v>
      </c>
      <c r="D106" s="99">
        <f>IFERROR(B106/$B$84,0)</f>
        <v/>
      </c>
      <c r="E106" s="131">
        <f>IFERROR(C106/B106/500.0,0)</f>
        <v/>
      </c>
      <c r="F106" s="129" t="n"/>
      <c r="G106" s="13" t="inlineStr">
        <is>
          <t>(60, 70]</t>
        </is>
      </c>
      <c r="H106" s="127" t="n">
        <v>1</v>
      </c>
      <c r="I106" s="99">
        <f>IFERROR(B106/$B$84,0)</f>
        <v/>
      </c>
      <c r="J106" s="99">
        <f>IFERROR(K106/$B$2,0)</f>
        <v/>
      </c>
      <c r="K106" s="128" t="n">
        <v>31716923</v>
      </c>
      <c r="L106" s="99">
        <f>IFERROR(K106/$B$2,0)</f>
        <v/>
      </c>
      <c r="M106" s="99">
        <f>IFERROR(L106*E106,0)</f>
        <v/>
      </c>
      <c r="N106" s="129" t="n"/>
      <c r="O106" s="44" t="n">
        <v>60</v>
      </c>
      <c r="P106" s="44" t="n">
        <v>70</v>
      </c>
      <c r="Q106" s="99">
        <f>L106</f>
        <v/>
      </c>
      <c r="R106" s="99" t="n">
        <v>0.068966</v>
      </c>
      <c r="T106" s="99" t="n"/>
      <c r="U106" s="49">
        <f>IFERROR(ROUND(T106/L106,2),0)</f>
        <v/>
      </c>
    </row>
    <row r="107">
      <c r="A107" s="13" t="inlineStr">
        <is>
          <t>(70, 80]</t>
        </is>
      </c>
      <c r="B107" s="130" t="n">
        <v>452</v>
      </c>
      <c r="C107" s="130" t="n">
        <v>16927200</v>
      </c>
      <c r="D107" s="99">
        <f>IFERROR(B107/$B$84,0)</f>
        <v/>
      </c>
      <c r="E107" s="131">
        <f>IFERROR(C107/B107/500.0,0)</f>
        <v/>
      </c>
      <c r="F107" s="129" t="n"/>
      <c r="G107" s="13" t="inlineStr">
        <is>
          <t>(70, 80]</t>
        </is>
      </c>
      <c r="H107" s="127" t="n">
        <v>1</v>
      </c>
      <c r="I107" s="99">
        <f>IFERROR(B107/$B$84,0)</f>
        <v/>
      </c>
      <c r="J107" s="99">
        <f>IFERROR(K107/$B$2,0)</f>
        <v/>
      </c>
      <c r="K107" s="128" t="n">
        <v>53338083</v>
      </c>
      <c r="L107" s="99">
        <f>IFERROR(K107/$B$2,0)</f>
        <v/>
      </c>
      <c r="M107" s="99">
        <f>IFERROR(L107*E107,0)</f>
        <v/>
      </c>
      <c r="N107" s="129" t="n"/>
      <c r="O107" s="44" t="n">
        <v>70</v>
      </c>
      <c r="P107" s="44" t="n">
        <v>80</v>
      </c>
      <c r="Q107" s="99">
        <f>L107</f>
        <v/>
      </c>
      <c r="R107" s="99" t="n">
        <v>0.034483</v>
      </c>
      <c r="T107" s="99" t="n"/>
      <c r="U107" s="49">
        <f>IFERROR(ROUND(T107/L107,2),0)</f>
        <v/>
      </c>
    </row>
    <row r="108">
      <c r="A108" s="13" t="inlineStr">
        <is>
          <t>(80, 90]</t>
        </is>
      </c>
      <c r="B108" s="130" t="n">
        <v>435</v>
      </c>
      <c r="C108" s="130" t="n">
        <v>18495525</v>
      </c>
      <c r="D108" s="99">
        <f>IFERROR(B108/$B$84,0)</f>
        <v/>
      </c>
      <c r="E108" s="131">
        <f>IFERROR(C108/B108/500.0,0)</f>
        <v/>
      </c>
      <c r="F108" s="129" t="n"/>
      <c r="G108" s="13" t="inlineStr">
        <is>
          <t>(80, 90]</t>
        </is>
      </c>
      <c r="H108" s="127" t="n">
        <v>1</v>
      </c>
      <c r="I108" s="99">
        <f>IFERROR(B108/$B$84,0)</f>
        <v/>
      </c>
      <c r="J108" s="99">
        <f>IFERROR(K108/$B$2,0)</f>
        <v/>
      </c>
      <c r="K108" s="128" t="n">
        <v>85581112</v>
      </c>
      <c r="L108" s="99">
        <f>IFERROR(K108/$B$2,0)</f>
        <v/>
      </c>
      <c r="M108" s="99">
        <f>IFERROR(L108*E108,0)</f>
        <v/>
      </c>
      <c r="N108" s="129" t="n"/>
      <c r="O108" s="44" t="n">
        <v>80</v>
      </c>
      <c r="P108" s="44" t="n">
        <v>90</v>
      </c>
      <c r="Q108" s="99">
        <f>L108</f>
        <v/>
      </c>
      <c r="R108" s="99" t="n">
        <v>0.068966</v>
      </c>
      <c r="T108" s="99" t="n"/>
      <c r="U108" s="49">
        <f>IFERROR(ROUND(T108/L108,2),0)</f>
        <v/>
      </c>
    </row>
    <row r="109">
      <c r="A109" s="13" t="inlineStr">
        <is>
          <t>(90, 100]</t>
        </is>
      </c>
      <c r="B109" s="130" t="n">
        <v>442</v>
      </c>
      <c r="C109" s="130" t="n">
        <v>20978800</v>
      </c>
      <c r="D109" s="99">
        <f>IFERROR(B109/$B$84,0)</f>
        <v/>
      </c>
      <c r="E109" s="131">
        <f>IFERROR(C109/B109/500.0,0)</f>
        <v/>
      </c>
      <c r="F109" s="129" t="n"/>
      <c r="G109" s="13" t="inlineStr">
        <is>
          <t>(90, 100]</t>
        </is>
      </c>
      <c r="H109" s="135" t="n">
        <v>1</v>
      </c>
      <c r="I109" s="51">
        <f>IFERROR(B109/$B$84,0)</f>
        <v/>
      </c>
      <c r="J109" s="51">
        <f>IFERROR(K109/$B$2,0)</f>
        <v/>
      </c>
      <c r="K109" s="128" t="n">
        <v>143176099</v>
      </c>
      <c r="L109" s="99">
        <f>IFERROR(K109/$B$2,0)</f>
        <v/>
      </c>
      <c r="M109" s="99">
        <f>IFERROR(L109*E109,0)</f>
        <v/>
      </c>
      <c r="N109" s="129" t="n"/>
      <c r="O109" s="44" t="n">
        <v>90</v>
      </c>
      <c r="P109" s="44" t="n">
        <v>100</v>
      </c>
      <c r="Q109" s="99">
        <f>L109</f>
        <v/>
      </c>
      <c r="R109" s="99" t="n">
        <v>0.027586</v>
      </c>
      <c r="T109" s="99" t="n"/>
      <c r="U109" s="49">
        <f>IFERROR(ROUND(T109/L109,2),0)</f>
        <v/>
      </c>
    </row>
    <row r="110">
      <c r="A110" s="13" t="inlineStr">
        <is>
          <t>(100, 120]</t>
        </is>
      </c>
      <c r="B110" s="130" t="n">
        <v>956</v>
      </c>
      <c r="C110" s="130" t="n">
        <v>52426000</v>
      </c>
      <c r="D110" s="99">
        <f>IFERROR(B110/$B$84,0)</f>
        <v/>
      </c>
      <c r="E110" s="131">
        <f>IFERROR(C110/B110/500.0,0)</f>
        <v/>
      </c>
      <c r="F110" s="129" t="n"/>
      <c r="G110" s="13" t="inlineStr">
        <is>
          <t>(100, 120]</t>
        </is>
      </c>
      <c r="H110" s="135" t="n">
        <v>1</v>
      </c>
      <c r="I110" s="51">
        <f>IFERROR(B110/$B$84,0)</f>
        <v/>
      </c>
      <c r="J110" s="51">
        <f>IFERROR(K110/$B$2,0)</f>
        <v/>
      </c>
      <c r="K110" s="128" t="n">
        <v>651501639</v>
      </c>
      <c r="L110" s="99">
        <f>IFERROR(K110/$B$2,0)</f>
        <v/>
      </c>
      <c r="M110" s="99">
        <f>IFERROR(L110*E110,0)</f>
        <v/>
      </c>
      <c r="N110" s="129" t="n"/>
      <c r="O110" s="44" t="n">
        <v>100</v>
      </c>
      <c r="P110" s="44" t="n">
        <v>120</v>
      </c>
      <c r="Q110" s="99">
        <f>L110</f>
        <v/>
      </c>
      <c r="R110" s="99" t="n">
        <v>0.068966</v>
      </c>
      <c r="T110" s="99" t="n"/>
      <c r="U110" s="49">
        <f>IFERROR(ROUND(T110/L110,2),0)</f>
        <v/>
      </c>
    </row>
    <row r="111">
      <c r="A111" s="13" t="inlineStr">
        <is>
          <t>(120, 140]</t>
        </is>
      </c>
      <c r="B111" s="130" t="n">
        <v>935</v>
      </c>
      <c r="C111" s="130" t="n">
        <v>60682125</v>
      </c>
      <c r="D111" s="99">
        <f>IFERROR(B111/$B$84,0)</f>
        <v/>
      </c>
      <c r="E111" s="131">
        <f>IFERROR(C111/B111/500.0,0)</f>
        <v/>
      </c>
      <c r="F111" s="129" t="n"/>
      <c r="G111" s="13" t="inlineStr">
        <is>
          <t>(120, 140]</t>
        </is>
      </c>
      <c r="H111" s="135" t="n">
        <v>1</v>
      </c>
      <c r="I111" s="51">
        <f>IFERROR(B111/$B$84,0)</f>
        <v/>
      </c>
      <c r="J111" s="51">
        <f>IFERROR(K111/$B$2,0)</f>
        <v/>
      </c>
      <c r="K111" s="128" t="n">
        <v>0</v>
      </c>
      <c r="L111" s="99">
        <f>IFERROR(K111/$B$2,0)</f>
        <v/>
      </c>
      <c r="M111" s="99">
        <f>IFERROR(L111*E111,0)</f>
        <v/>
      </c>
      <c r="N111" s="129" t="n"/>
      <c r="O111" s="44" t="n">
        <v>120</v>
      </c>
      <c r="P111" s="44" t="n">
        <v>140</v>
      </c>
      <c r="Q111" s="99">
        <f>L111</f>
        <v/>
      </c>
      <c r="R111" s="99" t="n">
        <v>0.027586</v>
      </c>
      <c r="T111" s="99" t="n"/>
      <c r="U111" s="49">
        <f>IFERROR(ROUND(T111/L111,2),0)</f>
        <v/>
      </c>
    </row>
    <row r="112">
      <c r="A112" s="13" t="inlineStr">
        <is>
          <t>(140, 160]</t>
        </is>
      </c>
      <c r="B112" s="130" t="n">
        <v>958</v>
      </c>
      <c r="C112" s="130" t="n">
        <v>71868225</v>
      </c>
      <c r="D112" s="99">
        <f>IFERROR(B112/$B$84,0)</f>
        <v/>
      </c>
      <c r="E112" s="131">
        <f>IFERROR(C112/B112/500.0,0)</f>
        <v/>
      </c>
      <c r="F112" s="129" t="n"/>
      <c r="G112" s="13" t="inlineStr">
        <is>
          <t>(140, 160]</t>
        </is>
      </c>
      <c r="H112" s="135" t="n">
        <v>1</v>
      </c>
      <c r="I112" s="51">
        <f>IFERROR(B112/$B$84,0)</f>
        <v/>
      </c>
      <c r="J112" s="51">
        <f>IFERROR(K112/$B$2,0)</f>
        <v/>
      </c>
      <c r="K112" s="128" t="n">
        <v>0</v>
      </c>
      <c r="L112" s="99">
        <f>IFERROR(K112/$B$2,0)</f>
        <v/>
      </c>
      <c r="M112" s="99">
        <f>IFERROR(L112*E112,0)</f>
        <v/>
      </c>
      <c r="N112" s="129" t="n"/>
      <c r="O112" s="44" t="n">
        <v>140</v>
      </c>
      <c r="P112" s="44" t="n">
        <v>160</v>
      </c>
      <c r="Q112" s="99">
        <f>L112</f>
        <v/>
      </c>
      <c r="R112" s="99" t="n">
        <v>0.048276</v>
      </c>
      <c r="T112" s="99" t="n"/>
      <c r="U112" s="49">
        <f>IFERROR(ROUND(T112/L112,2),0)</f>
        <v/>
      </c>
    </row>
    <row r="113">
      <c r="A113" s="13" t="inlineStr">
        <is>
          <t>(160, 180]</t>
        </is>
      </c>
      <c r="B113" s="130" t="n">
        <v>821</v>
      </c>
      <c r="C113" s="130" t="n">
        <v>69846825</v>
      </c>
      <c r="D113" s="99">
        <f>IFERROR(B113/$B$84,0)</f>
        <v/>
      </c>
      <c r="E113" s="131">
        <f>IFERROR(C113/B113/500.0,0)</f>
        <v/>
      </c>
      <c r="F113" s="129" t="n"/>
      <c r="G113" s="13" t="inlineStr">
        <is>
          <t>(160, 180]</t>
        </is>
      </c>
      <c r="H113" s="135" t="n">
        <v>1</v>
      </c>
      <c r="I113" s="51">
        <f>IFERROR(B113/$B$84,0)</f>
        <v/>
      </c>
      <c r="J113" s="51">
        <f>IFERROR(K113/$B$2,0)</f>
        <v/>
      </c>
      <c r="K113" s="128" t="n">
        <v>0</v>
      </c>
      <c r="L113" s="99">
        <f>IFERROR(K113/$B$2,0)</f>
        <v/>
      </c>
      <c r="M113" s="99">
        <f>IFERROR(L113*E113,0)</f>
        <v/>
      </c>
      <c r="N113" s="129" t="n"/>
      <c r="O113" s="44" t="n">
        <v>160</v>
      </c>
      <c r="P113" s="44" t="n">
        <v>180</v>
      </c>
      <c r="Q113" s="99">
        <f>L113</f>
        <v/>
      </c>
      <c r="R113" s="99" t="n">
        <v>0.027586</v>
      </c>
      <c r="T113" s="99" t="n"/>
      <c r="U113" s="49">
        <f>IFERROR(ROUND(T113/L113,2),0)</f>
        <v/>
      </c>
    </row>
    <row r="114">
      <c r="A114" s="13" t="inlineStr">
        <is>
          <t>(180, 200]</t>
        </is>
      </c>
      <c r="B114" s="130" t="n">
        <v>833</v>
      </c>
      <c r="C114" s="130" t="n">
        <v>78956700</v>
      </c>
      <c r="D114" s="99">
        <f>IFERROR(B114/$B$84,0)</f>
        <v/>
      </c>
      <c r="E114" s="131">
        <f>IFERROR(C114/B114/500.0,0)</f>
        <v/>
      </c>
      <c r="F114" s="129" t="n"/>
      <c r="G114" s="13" t="inlineStr">
        <is>
          <t>(180, 200]</t>
        </is>
      </c>
      <c r="H114" s="135" t="n">
        <v>1</v>
      </c>
      <c r="I114" s="51">
        <f>IFERROR(B114/$B$84,0)</f>
        <v/>
      </c>
      <c r="J114" s="51">
        <f>IFERROR(K114/$B$2,0)</f>
        <v/>
      </c>
      <c r="K114" s="128" t="n">
        <v>0</v>
      </c>
      <c r="L114" s="99">
        <f>IFERROR(K114/$B$2,0)</f>
        <v/>
      </c>
      <c r="M114" s="99">
        <f>IFERROR(L114*E114,0)</f>
        <v/>
      </c>
      <c r="N114" s="129" t="n"/>
      <c r="O114" s="44" t="n">
        <v>180</v>
      </c>
      <c r="P114" s="44" t="n">
        <v>200</v>
      </c>
      <c r="Q114" s="99">
        <f>L114</f>
        <v/>
      </c>
      <c r="R114" s="99" t="n">
        <v>0.034483</v>
      </c>
      <c r="T114" s="99" t="n"/>
      <c r="U114" s="49">
        <f>IFERROR(ROUND(T114/L114,2),0)</f>
        <v/>
      </c>
    </row>
    <row r="115">
      <c r="A115" s="13" t="inlineStr">
        <is>
          <t>(200, 250]</t>
        </is>
      </c>
      <c r="B115" s="130" t="n">
        <v>1968</v>
      </c>
      <c r="C115" s="130" t="n">
        <v>221163050</v>
      </c>
      <c r="D115" s="99">
        <f>IFERROR(B115/$B$84,0)</f>
        <v/>
      </c>
      <c r="E115" s="131">
        <f>IFERROR(C115/B115/500.0,0)</f>
        <v/>
      </c>
      <c r="F115" s="129" t="n"/>
      <c r="G115" s="13" t="inlineStr">
        <is>
          <t>(200, 250]</t>
        </is>
      </c>
      <c r="H115" s="135" t="n">
        <v>1</v>
      </c>
      <c r="I115" s="51">
        <f>IFERROR(B115/$B$84,0)</f>
        <v/>
      </c>
      <c r="J115" s="51">
        <f>IFERROR(K115/$B$2,0)</f>
        <v/>
      </c>
      <c r="K115" s="128" t="n">
        <v>0</v>
      </c>
      <c r="L115" s="99">
        <f>IFERROR(K115/$B$2,0)</f>
        <v/>
      </c>
      <c r="M115" s="99">
        <f>IFERROR(L115*E115,0)</f>
        <v/>
      </c>
      <c r="N115" s="129" t="n"/>
      <c r="O115" s="44" t="n">
        <v>200</v>
      </c>
      <c r="P115" s="44" t="n">
        <v>250</v>
      </c>
      <c r="Q115" s="99">
        <f>L115</f>
        <v/>
      </c>
      <c r="R115" s="99" t="n">
        <v>0.013793</v>
      </c>
      <c r="T115" s="99" t="n"/>
      <c r="U115" s="49">
        <f>IFERROR(ROUND(T115/L115,2),0)</f>
        <v/>
      </c>
    </row>
    <row r="116">
      <c r="A116" s="13" t="inlineStr">
        <is>
          <t>(250, 300]</t>
        </is>
      </c>
      <c r="B116" s="130" t="n">
        <v>1741</v>
      </c>
      <c r="C116" s="130" t="n">
        <v>239254025</v>
      </c>
      <c r="D116" s="99">
        <f>IFERROR(B116/$B$84,0)</f>
        <v/>
      </c>
      <c r="E116" s="131">
        <f>IFERROR(C116/B116/500.0,0)</f>
        <v/>
      </c>
      <c r="F116" s="129" t="n"/>
      <c r="G116" s="13" t="inlineStr">
        <is>
          <t>(250, 300]</t>
        </is>
      </c>
      <c r="H116" s="135" t="n">
        <v>1</v>
      </c>
      <c r="I116" s="51">
        <f>IFERROR(B116/$B$84,0)</f>
        <v/>
      </c>
      <c r="J116" s="51">
        <f>IFERROR(K116/$B$2,0)</f>
        <v/>
      </c>
      <c r="K116" s="128" t="n">
        <v>0</v>
      </c>
      <c r="L116" s="99">
        <f>IFERROR(K116/$B$2,0)</f>
        <v/>
      </c>
      <c r="M116" s="99">
        <f>IFERROR(L116*E116,0)</f>
        <v/>
      </c>
      <c r="N116" s="129" t="n"/>
      <c r="O116" s="44" t="n">
        <v>250</v>
      </c>
      <c r="P116" s="44" t="n">
        <v>300</v>
      </c>
      <c r="Q116" s="99">
        <f>L116</f>
        <v/>
      </c>
      <c r="R116" s="99" t="n">
        <v>0.013793</v>
      </c>
      <c r="T116" s="99" t="n"/>
      <c r="U116" s="49">
        <f>IFERROR(ROUND(T116/L116,2),0)</f>
        <v/>
      </c>
    </row>
    <row r="117">
      <c r="A117" s="13" t="inlineStr">
        <is>
          <t>(300, 350]</t>
        </is>
      </c>
      <c r="B117" s="130" t="n">
        <v>1477</v>
      </c>
      <c r="C117" s="130" t="n">
        <v>239132625</v>
      </c>
      <c r="D117" s="99">
        <f>IFERROR(B117/$B$84,0)</f>
        <v/>
      </c>
      <c r="E117" s="131">
        <f>IFERROR(C117/B117/500.0,0)</f>
        <v/>
      </c>
      <c r="F117" s="129" t="n"/>
      <c r="G117" s="13" t="inlineStr">
        <is>
          <t>(300, 350]</t>
        </is>
      </c>
      <c r="H117" s="135" t="n">
        <v>1</v>
      </c>
      <c r="I117" s="51">
        <f>IFERROR(B117/$B$84,0)</f>
        <v/>
      </c>
      <c r="J117" s="51">
        <f>IFERROR(K117/$B$2,0)</f>
        <v/>
      </c>
      <c r="K117" s="128" t="n">
        <v>0</v>
      </c>
      <c r="L117" s="99">
        <f>IFERROR(K117/$B$2,0)</f>
        <v/>
      </c>
      <c r="M117" s="99">
        <f>IFERROR(L117*E117,0)</f>
        <v/>
      </c>
      <c r="N117" s="129" t="n"/>
      <c r="O117" s="44" t="n">
        <v>300</v>
      </c>
      <c r="P117" s="44" t="n">
        <v>350</v>
      </c>
      <c r="Q117" s="99">
        <f>L117</f>
        <v/>
      </c>
      <c r="R117" s="99" t="n">
        <v>0.006897</v>
      </c>
      <c r="T117" s="99" t="n"/>
      <c r="U117" s="49">
        <f>IFERROR(ROUND(T117/L117,2),0)</f>
        <v/>
      </c>
    </row>
    <row r="118">
      <c r="A118" s="13" t="inlineStr">
        <is>
          <t>(350, 400]</t>
        </is>
      </c>
      <c r="B118" s="130" t="n">
        <v>1331</v>
      </c>
      <c r="C118" s="130" t="n">
        <v>249570500</v>
      </c>
      <c r="D118" s="99">
        <f>IFERROR(B118/$B$84,0)</f>
        <v/>
      </c>
      <c r="E118" s="131">
        <f>IFERROR(C118/B118/500.0,0)</f>
        <v/>
      </c>
      <c r="F118" s="129" t="n"/>
      <c r="G118" s="13" t="inlineStr">
        <is>
          <t>(350, 400]</t>
        </is>
      </c>
      <c r="H118" s="135" t="n">
        <v>1</v>
      </c>
      <c r="I118" s="51">
        <f>IFERROR(B118/$B$84,0)</f>
        <v/>
      </c>
      <c r="J118" s="51">
        <f>IFERROR(K118/$B$2,0)</f>
        <v/>
      </c>
      <c r="K118" s="128" t="n">
        <v>0</v>
      </c>
      <c r="L118" s="99">
        <f>IFERROR(K118/$B$2,0)</f>
        <v/>
      </c>
      <c r="M118" s="99">
        <f>IFERROR(L118*E118,0)</f>
        <v/>
      </c>
      <c r="N118" s="129" t="n"/>
      <c r="O118" s="44" t="n">
        <v>350</v>
      </c>
      <c r="P118" s="44" t="n">
        <v>400</v>
      </c>
      <c r="Q118" s="99">
        <f>L118</f>
        <v/>
      </c>
      <c r="R118" s="99" t="n">
        <v>0.006897</v>
      </c>
      <c r="T118" s="99" t="n"/>
      <c r="U118" s="49">
        <f>IFERROR(ROUND(T118/L118,2),0)</f>
        <v/>
      </c>
    </row>
    <row r="119">
      <c r="A119" s="13" t="inlineStr">
        <is>
          <t>(400, 450]</t>
        </is>
      </c>
      <c r="B119" s="130" t="n">
        <v>1129</v>
      </c>
      <c r="C119" s="130" t="n">
        <v>239670775</v>
      </c>
      <c r="D119" s="99">
        <f>IFERROR(B119/$B$84,0)</f>
        <v/>
      </c>
      <c r="E119" s="131">
        <f>IFERROR(C119/B119/500.0,0)</f>
        <v/>
      </c>
      <c r="F119" s="129" t="n"/>
      <c r="G119" s="13" t="inlineStr">
        <is>
          <t>(400, 450]</t>
        </is>
      </c>
      <c r="H119" s="135" t="n">
        <v>1</v>
      </c>
      <c r="I119" s="51">
        <f>IFERROR(B119/$B$84,0)</f>
        <v/>
      </c>
      <c r="J119" s="51">
        <f>IFERROR(K119/$B$2,0)</f>
        <v/>
      </c>
      <c r="K119" s="128" t="n">
        <v>0</v>
      </c>
      <c r="L119" s="99">
        <f>IFERROR(K119/$B$2,0)</f>
        <v/>
      </c>
      <c r="M119" s="99">
        <f>IFERROR(L119*E119,0)</f>
        <v/>
      </c>
      <c r="N119" s="129" t="n"/>
      <c r="O119" s="44" t="n">
        <v>400</v>
      </c>
      <c r="P119" s="44" t="n">
        <v>450</v>
      </c>
      <c r="Q119" s="99">
        <f>L119</f>
        <v/>
      </c>
      <c r="R119" s="99" t="n">
        <v>0</v>
      </c>
      <c r="T119" s="99" t="n"/>
      <c r="U119" s="49">
        <f>IFERROR(ROUND(T119/L119,2),0)</f>
        <v/>
      </c>
    </row>
    <row r="120">
      <c r="A120" s="13" t="inlineStr">
        <is>
          <t>(450, 500]</t>
        </is>
      </c>
      <c r="B120" s="130" t="n">
        <v>970</v>
      </c>
      <c r="C120" s="130" t="n">
        <v>230290025</v>
      </c>
      <c r="D120" s="99">
        <f>IFERROR(B120/$B$84,0)</f>
        <v/>
      </c>
      <c r="E120" s="131">
        <f>IFERROR(C120/B120/500.0,0)</f>
        <v/>
      </c>
      <c r="F120" s="129" t="n"/>
      <c r="G120" s="13" t="inlineStr">
        <is>
          <t>(450, 500]</t>
        </is>
      </c>
      <c r="H120" s="135" t="n">
        <v>1</v>
      </c>
      <c r="I120" s="51">
        <f>IFERROR(B120/$B$84,0)</f>
        <v/>
      </c>
      <c r="J120" s="51">
        <f>IFERROR(K120/$B$2,0)</f>
        <v/>
      </c>
      <c r="K120" s="128" t="n">
        <v>0</v>
      </c>
      <c r="L120" s="99">
        <f>IFERROR(K120/$B$2,0)</f>
        <v/>
      </c>
      <c r="M120" s="99">
        <f>IFERROR(L120*E120,0)</f>
        <v/>
      </c>
      <c r="N120" s="129" t="n"/>
      <c r="O120" s="44" t="n">
        <v>450</v>
      </c>
      <c r="P120" s="44" t="n">
        <v>500</v>
      </c>
      <c r="Q120" s="99">
        <f>L120</f>
        <v/>
      </c>
      <c r="R120" s="99" t="n">
        <v>0</v>
      </c>
      <c r="T120" s="99" t="n"/>
      <c r="U120" s="49">
        <f>IFERROR(ROUND(T120/L120,2),0)</f>
        <v/>
      </c>
    </row>
    <row r="121">
      <c r="A121" s="13" t="inlineStr">
        <is>
          <t>(500, 550]</t>
        </is>
      </c>
      <c r="B121" s="130" t="n">
        <v>851</v>
      </c>
      <c r="C121" s="130" t="n">
        <v>222986075</v>
      </c>
      <c r="D121" s="99">
        <f>IFERROR(B121/$B$84,0)</f>
        <v/>
      </c>
      <c r="E121" s="131">
        <f>IFERROR(C121/B121/500.0,0)</f>
        <v/>
      </c>
      <c r="F121" s="129" t="n"/>
      <c r="G121" s="13" t="inlineStr">
        <is>
          <t>(500, 550]</t>
        </is>
      </c>
      <c r="H121" s="135" t="n">
        <v>1</v>
      </c>
      <c r="I121" s="51">
        <f>IFERROR(B121/$B$84,0)</f>
        <v/>
      </c>
      <c r="J121" s="51">
        <f>IFERROR(K121/$B$2,0)</f>
        <v/>
      </c>
      <c r="K121" s="128" t="n">
        <v>0</v>
      </c>
      <c r="L121" s="99">
        <f>IFERROR(K121/$B$2,0)</f>
        <v/>
      </c>
      <c r="M121" s="99">
        <f>IFERROR(L121*E121,0)</f>
        <v/>
      </c>
      <c r="N121" s="129" t="n"/>
      <c r="O121" s="44" t="n">
        <v>500</v>
      </c>
      <c r="P121" s="44" t="n">
        <v>550</v>
      </c>
      <c r="Q121" s="99">
        <f>L121</f>
        <v/>
      </c>
      <c r="R121" s="99" t="n">
        <v>0</v>
      </c>
      <c r="T121" s="99" t="n"/>
      <c r="U121" s="49">
        <f>IFERROR(ROUND(T121/L121,2),0)</f>
        <v/>
      </c>
    </row>
    <row r="122">
      <c r="A122" s="13" t="inlineStr">
        <is>
          <t>(550, 600]</t>
        </is>
      </c>
      <c r="B122" s="130" t="n">
        <v>696</v>
      </c>
      <c r="C122" s="130" t="n">
        <v>200157700</v>
      </c>
      <c r="D122" s="99">
        <f>IFERROR(B122/$B$84,0)</f>
        <v/>
      </c>
      <c r="E122" s="131">
        <f>IFERROR(C122/B122/500.0,0)</f>
        <v/>
      </c>
      <c r="F122" s="129" t="n"/>
      <c r="G122" s="13" t="inlineStr">
        <is>
          <t>(550, 600]</t>
        </is>
      </c>
      <c r="H122" s="127" t="n">
        <v>1</v>
      </c>
      <c r="I122" s="99">
        <f>IFERROR(B122/$B$84,0)</f>
        <v/>
      </c>
      <c r="J122" s="99">
        <f>IFERROR(K122/$B$2,0)</f>
        <v/>
      </c>
      <c r="K122" s="128" t="n">
        <v>0</v>
      </c>
      <c r="L122" s="99">
        <f>IFERROR(K122/$B$2,0)</f>
        <v/>
      </c>
      <c r="M122" s="99">
        <f>IFERROR(L122*E122,0)</f>
        <v/>
      </c>
      <c r="N122" s="129" t="n"/>
      <c r="O122" s="44" t="n">
        <v>550</v>
      </c>
      <c r="P122" s="44" t="n">
        <v>600</v>
      </c>
      <c r="Q122" s="99">
        <f>L122</f>
        <v/>
      </c>
      <c r="R122" s="99" t="n">
        <v>0</v>
      </c>
      <c r="T122" s="99" t="n"/>
      <c r="U122" s="49">
        <f>IFERROR(ROUND(T122/L122,2),0)</f>
        <v/>
      </c>
    </row>
    <row r="123">
      <c r="A123" s="13" t="inlineStr">
        <is>
          <t>(600, 650]</t>
        </is>
      </c>
      <c r="B123" s="130" t="n">
        <v>566</v>
      </c>
      <c r="C123" s="130" t="n">
        <v>176656900</v>
      </c>
      <c r="D123" s="99">
        <f>IFERROR(B123/$B$84,0)</f>
        <v/>
      </c>
      <c r="E123" s="131">
        <f>IFERROR(C123/B123/500.0,0)</f>
        <v/>
      </c>
      <c r="F123" s="129" t="n"/>
      <c r="G123" s="13" t="inlineStr">
        <is>
          <t>(600, 650]</t>
        </is>
      </c>
      <c r="H123" s="127" t="n">
        <v>1</v>
      </c>
      <c r="I123" s="99">
        <f>IFERROR(B123/$B$84,0)</f>
        <v/>
      </c>
      <c r="J123" s="99">
        <f>IFERROR(K123/$B$2,0)</f>
        <v/>
      </c>
      <c r="K123" s="128" t="n">
        <v>0</v>
      </c>
      <c r="L123" s="99">
        <f>IFERROR(K123/$B$2,0)</f>
        <v/>
      </c>
      <c r="M123" s="99">
        <f>IFERROR(L123*E123,0)</f>
        <v/>
      </c>
      <c r="N123" s="129" t="n"/>
      <c r="O123" s="44" t="n">
        <v>600</v>
      </c>
      <c r="P123" s="44" t="n">
        <v>650</v>
      </c>
      <c r="Q123" s="99">
        <f>L123</f>
        <v/>
      </c>
      <c r="R123" s="99" t="n">
        <v>0.006897</v>
      </c>
      <c r="T123" s="99" t="n"/>
      <c r="U123" s="49">
        <f>IFERROR(ROUND(T123/L123,2),0)</f>
        <v/>
      </c>
    </row>
    <row r="124">
      <c r="A124" s="13" t="inlineStr">
        <is>
          <t>(650, 700]</t>
        </is>
      </c>
      <c r="B124" s="130" t="n">
        <v>571</v>
      </c>
      <c r="C124" s="130" t="n">
        <v>192279175</v>
      </c>
      <c r="D124" s="99">
        <f>IFERROR(B124/$B$84,0)</f>
        <v/>
      </c>
      <c r="E124" s="131">
        <f>IFERROR(C124/B124/500.0,0)</f>
        <v/>
      </c>
      <c r="F124" s="129" t="n"/>
      <c r="G124" s="13" t="inlineStr">
        <is>
          <t>(650, 700]</t>
        </is>
      </c>
      <c r="H124" s="127" t="n">
        <v>1</v>
      </c>
      <c r="I124" s="99">
        <f>IFERROR(B124/$B$84,0)</f>
        <v/>
      </c>
      <c r="J124" s="99">
        <f>IFERROR(K124/$B$2,0)</f>
        <v/>
      </c>
      <c r="K124" s="128" t="n">
        <v>0</v>
      </c>
      <c r="L124" s="99">
        <f>IFERROR(K124/$B$2,0)</f>
        <v/>
      </c>
      <c r="M124" s="99">
        <f>IFERROR(L124*E124,0)</f>
        <v/>
      </c>
      <c r="N124" s="129" t="n"/>
      <c r="O124" s="44" t="n">
        <v>650</v>
      </c>
      <c r="P124" s="44" t="n">
        <v>700</v>
      </c>
      <c r="Q124" s="99">
        <f>L124</f>
        <v/>
      </c>
      <c r="R124" s="99" t="n">
        <v>0</v>
      </c>
      <c r="T124" s="99" t="n"/>
      <c r="U124" s="49">
        <f>IFERROR(ROUND(T124/L124,2),0)</f>
        <v/>
      </c>
    </row>
    <row r="125">
      <c r="A125" s="13" t="inlineStr">
        <is>
          <t>(700, 750]</t>
        </is>
      </c>
      <c r="B125" s="130" t="n">
        <v>447</v>
      </c>
      <c r="C125" s="130" t="n">
        <v>161851850</v>
      </c>
      <c r="D125" s="99">
        <f>IFERROR(B125/$B$84,0)</f>
        <v/>
      </c>
      <c r="E125" s="131">
        <f>IFERROR(C125/B125/500.0,0)</f>
        <v/>
      </c>
      <c r="F125" s="129" t="n"/>
      <c r="G125" s="13" t="inlineStr">
        <is>
          <t>(700, 750]</t>
        </is>
      </c>
      <c r="H125" s="127" t="n">
        <v>1</v>
      </c>
      <c r="I125" s="99">
        <f>IFERROR(B125/$B$84,0)</f>
        <v/>
      </c>
      <c r="J125" s="99">
        <f>IFERROR(K125/$B$2,0)</f>
        <v/>
      </c>
      <c r="K125" s="128" t="n">
        <v>0</v>
      </c>
      <c r="L125" s="99">
        <f>IFERROR(K125/$B$2,0)</f>
        <v/>
      </c>
      <c r="M125" s="99">
        <f>IFERROR(L125*E125,0)</f>
        <v/>
      </c>
      <c r="N125" s="129" t="n"/>
      <c r="O125" s="44" t="n">
        <v>700</v>
      </c>
      <c r="P125" s="44" t="n">
        <v>750</v>
      </c>
      <c r="Q125" s="99">
        <f>L125</f>
        <v/>
      </c>
      <c r="R125" s="99" t="n">
        <v>0</v>
      </c>
      <c r="T125" s="99" t="n"/>
      <c r="U125" s="49">
        <f>IFERROR(ROUND(T125/L125,2),0)</f>
        <v/>
      </c>
    </row>
    <row r="126">
      <c r="A126" s="13" t="inlineStr">
        <is>
          <t>(750, 800]</t>
        </is>
      </c>
      <c r="B126" s="130" t="n">
        <v>408</v>
      </c>
      <c r="C126" s="130" t="n">
        <v>158042675</v>
      </c>
      <c r="D126" s="99">
        <f>IFERROR(B126/$B$84,0)</f>
        <v/>
      </c>
      <c r="E126" s="131">
        <f>IFERROR(C126/B126/500.0,0)</f>
        <v/>
      </c>
      <c r="F126" s="129" t="n"/>
      <c r="G126" s="13" t="inlineStr">
        <is>
          <t>(750, 800]</t>
        </is>
      </c>
      <c r="H126" s="127" t="n">
        <v>1</v>
      </c>
      <c r="I126" s="99">
        <f>IFERROR(B126/$B$84,0)</f>
        <v/>
      </c>
      <c r="J126" s="99">
        <f>IFERROR(K126/$B$2,0)</f>
        <v/>
      </c>
      <c r="K126" s="128" t="n">
        <v>0</v>
      </c>
      <c r="L126" s="99">
        <f>IFERROR(K126/$B$2,0)</f>
        <v/>
      </c>
      <c r="M126" s="99">
        <f>IFERROR(L126*E126,0)</f>
        <v/>
      </c>
      <c r="N126" s="129" t="n"/>
      <c r="O126" s="44" t="n">
        <v>750</v>
      </c>
      <c r="P126" s="44" t="n">
        <v>800</v>
      </c>
      <c r="Q126" s="99">
        <f>L126</f>
        <v/>
      </c>
      <c r="R126" s="99" t="n">
        <v>0</v>
      </c>
      <c r="T126" s="99" t="n"/>
      <c r="U126" s="49">
        <f>IFERROR(ROUND(T126/L126,2),0)</f>
        <v/>
      </c>
    </row>
    <row r="127">
      <c r="A127" s="13" t="inlineStr">
        <is>
          <t>(800, 850]</t>
        </is>
      </c>
      <c r="B127" s="130" t="n">
        <v>385</v>
      </c>
      <c r="C127" s="130" t="n">
        <v>158779425</v>
      </c>
      <c r="D127" s="99">
        <f>IFERROR(B127/$B$84,0)</f>
        <v/>
      </c>
      <c r="E127" s="131">
        <f>IFERROR(C127/B127/500.0,0)</f>
        <v/>
      </c>
      <c r="F127" s="129" t="n"/>
      <c r="G127" s="13" t="inlineStr">
        <is>
          <t>(800, 850]</t>
        </is>
      </c>
      <c r="H127" s="127" t="n">
        <v>1</v>
      </c>
      <c r="I127" s="99">
        <f>IFERROR(B127/$B$84,0)</f>
        <v/>
      </c>
      <c r="J127" s="99">
        <f>IFERROR(K127/$B$2,0)</f>
        <v/>
      </c>
      <c r="K127" s="128" t="n">
        <v>0</v>
      </c>
      <c r="L127" s="99">
        <f>IFERROR(K127/$B$2,0)</f>
        <v/>
      </c>
      <c r="M127" s="99">
        <f>IFERROR(L127*E127,0)</f>
        <v/>
      </c>
      <c r="N127" s="129" t="n"/>
      <c r="O127" s="44" t="n">
        <v>800</v>
      </c>
      <c r="P127" s="44" t="n">
        <v>850</v>
      </c>
      <c r="Q127" s="99">
        <f>L127</f>
        <v/>
      </c>
      <c r="R127" s="99" t="n">
        <v>0</v>
      </c>
      <c r="T127" s="99" t="n"/>
      <c r="U127" s="49">
        <f>IFERROR(ROUND(T127/L127,2),0)</f>
        <v/>
      </c>
    </row>
    <row r="128">
      <c r="A128" s="13" t="inlineStr">
        <is>
          <t>(850, 900]</t>
        </is>
      </c>
      <c r="B128" s="130" t="n">
        <v>325</v>
      </c>
      <c r="C128" s="130" t="n">
        <v>142213550</v>
      </c>
      <c r="D128" s="99">
        <f>IFERROR(B128/$B$84,0)</f>
        <v/>
      </c>
      <c r="E128" s="131">
        <f>IFERROR(C128/B128/500.0,0)</f>
        <v/>
      </c>
      <c r="F128" s="129" t="n"/>
      <c r="G128" s="13" t="inlineStr">
        <is>
          <t>(850, 900]</t>
        </is>
      </c>
      <c r="H128" s="127" t="n">
        <v>1</v>
      </c>
      <c r="I128" s="99">
        <f>IFERROR(B128/$B$84,0)</f>
        <v/>
      </c>
      <c r="J128" s="99">
        <f>IFERROR(K128/$B$2,0)</f>
        <v/>
      </c>
      <c r="K128" s="133" t="n">
        <v>0</v>
      </c>
      <c r="L128" s="99">
        <f>IFERROR(K128/$B$2,0)</f>
        <v/>
      </c>
      <c r="M128" s="99">
        <f>IFERROR(L128*E128,0)</f>
        <v/>
      </c>
      <c r="N128" s="129" t="n"/>
      <c r="O128" s="44" t="n">
        <v>850</v>
      </c>
      <c r="P128" s="44" t="n">
        <v>900</v>
      </c>
      <c r="Q128" s="99">
        <f>L128</f>
        <v/>
      </c>
      <c r="R128" s="99" t="n">
        <v>0</v>
      </c>
      <c r="T128" s="99" t="n"/>
      <c r="U128" s="49">
        <f>IFERROR(ROUND(T128/L128,2),0)</f>
        <v/>
      </c>
    </row>
    <row r="129">
      <c r="A129" s="13" t="inlineStr">
        <is>
          <t>(900, 950]</t>
        </is>
      </c>
      <c r="B129" s="130" t="n">
        <v>275</v>
      </c>
      <c r="C129" s="130" t="n">
        <v>126971100</v>
      </c>
      <c r="D129" s="99">
        <f>IFERROR(B129/$B$84,0)</f>
        <v/>
      </c>
      <c r="E129" s="131">
        <f>IFERROR(C129/B129/500.0,0)</f>
        <v/>
      </c>
      <c r="F129" s="129" t="n"/>
      <c r="G129" s="13" t="inlineStr">
        <is>
          <t>(900, 950]</t>
        </is>
      </c>
      <c r="H129" s="127" t="n">
        <v>1</v>
      </c>
      <c r="I129" s="99">
        <f>IFERROR(B129/$B$84,0)</f>
        <v/>
      </c>
      <c r="J129" s="99">
        <f>IFERROR(K129/$B$2,0)</f>
        <v/>
      </c>
      <c r="K129" s="133" t="n">
        <v>0</v>
      </c>
      <c r="L129" s="99">
        <f>IFERROR(K129/$B$2,0)</f>
        <v/>
      </c>
      <c r="M129" s="99">
        <f>IFERROR(L129*E129,0)</f>
        <v/>
      </c>
      <c r="N129" s="129" t="n"/>
      <c r="O129" s="44" t="n">
        <v>900</v>
      </c>
      <c r="P129" s="44" t="n">
        <v>950</v>
      </c>
      <c r="Q129" s="99">
        <f>L129</f>
        <v/>
      </c>
      <c r="R129" s="99" t="n">
        <v>0.006897</v>
      </c>
      <c r="T129" s="99" t="n"/>
      <c r="U129" s="49">
        <f>IFERROR(ROUND(T129/L129,2),0)</f>
        <v/>
      </c>
    </row>
    <row r="130">
      <c r="A130" s="13" t="inlineStr">
        <is>
          <t>(950, 1000]</t>
        </is>
      </c>
      <c r="B130" s="130" t="n">
        <v>259</v>
      </c>
      <c r="C130" s="130" t="n">
        <v>126373700</v>
      </c>
      <c r="D130" s="99">
        <f>IFERROR(B130/$B$84,0)</f>
        <v/>
      </c>
      <c r="E130" s="131">
        <f>IFERROR(C130/B130/500.0,0)</f>
        <v/>
      </c>
      <c r="F130" s="129" t="n"/>
      <c r="G130" s="13" t="inlineStr">
        <is>
          <t>(950, 1000]</t>
        </is>
      </c>
      <c r="H130" s="127" t="n">
        <v>1</v>
      </c>
      <c r="I130" s="99">
        <f>IFERROR(B130/$B$84,0)</f>
        <v/>
      </c>
      <c r="J130" s="99">
        <f>IFERROR(K130/$B$2,0)</f>
        <v/>
      </c>
      <c r="K130" s="133" t="n">
        <v>0</v>
      </c>
      <c r="L130" s="99">
        <f>IFERROR(K130/$B$2,0)</f>
        <v/>
      </c>
      <c r="M130" s="99">
        <f>IFERROR(L130*E130,0)</f>
        <v/>
      </c>
      <c r="N130" s="129" t="n"/>
      <c r="O130" s="44" t="n">
        <v>950</v>
      </c>
      <c r="P130" s="44" t="n">
        <v>1000</v>
      </c>
      <c r="Q130" s="99">
        <f>L130</f>
        <v/>
      </c>
      <c r="R130" s="99" t="n">
        <v>0</v>
      </c>
      <c r="T130" s="99" t="n"/>
      <c r="U130" s="49">
        <f>IFERROR(ROUND(T130/L130,2),0)</f>
        <v/>
      </c>
    </row>
    <row r="131">
      <c r="A131" s="13" t="inlineStr">
        <is>
          <t>(1000, 2000]</t>
        </is>
      </c>
      <c r="B131" s="130" t="n">
        <v>1906</v>
      </c>
      <c r="C131" s="130" t="n">
        <v>1276160925</v>
      </c>
      <c r="D131" s="99">
        <f>IFERROR(B131/$B$84,0)</f>
        <v/>
      </c>
      <c r="E131" s="131">
        <f>IFERROR(C131/B131/500.0,0)</f>
        <v/>
      </c>
      <c r="F131" s="129" t="n"/>
      <c r="G131" s="13" t="inlineStr">
        <is>
          <t>(1000, 2000]</t>
        </is>
      </c>
      <c r="H131" s="127" t="n">
        <v>1</v>
      </c>
      <c r="I131" s="99">
        <f>IFERROR(B131/$B$84,0)</f>
        <v/>
      </c>
      <c r="J131" s="99">
        <f>IFERROR(K131/$B$2,0)</f>
        <v/>
      </c>
      <c r="K131" s="133" t="n">
        <v>0</v>
      </c>
      <c r="L131" s="99">
        <f>IFERROR(K131/$B$2,0)</f>
        <v/>
      </c>
      <c r="M131" s="99">
        <f>IFERROR(L131*E131,0)</f>
        <v/>
      </c>
      <c r="N131" s="129" t="n"/>
      <c r="O131" s="44" t="n">
        <v>1000</v>
      </c>
      <c r="P131" s="44" t="n">
        <v>2000</v>
      </c>
      <c r="Q131" s="99">
        <f>L131</f>
        <v/>
      </c>
      <c r="R131" s="99" t="n">
        <v>0</v>
      </c>
      <c r="T131" s="99" t="n"/>
      <c r="U131" s="49">
        <f>IFERROR(ROUND(T131/L131,2),0)</f>
        <v/>
      </c>
    </row>
    <row r="132">
      <c r="A132" s="13" t="inlineStr">
        <is>
          <t>(2000, 3000]</t>
        </is>
      </c>
      <c r="B132" s="130" t="n">
        <v>273</v>
      </c>
      <c r="C132" s="130" t="n">
        <v>325114450</v>
      </c>
      <c r="D132" s="99">
        <f>IFERROR(B132/$B$84,0)</f>
        <v/>
      </c>
      <c r="E132" s="131">
        <f>IFERROR(C132/B132/500.0,0)</f>
        <v/>
      </c>
      <c r="F132" s="129" t="n"/>
      <c r="G132" s="13" t="inlineStr">
        <is>
          <t>(2000, 3000]</t>
        </is>
      </c>
      <c r="H132" s="127" t="n">
        <v>1</v>
      </c>
      <c r="I132" s="99">
        <f>IFERROR(B132/$B$84,0)</f>
        <v/>
      </c>
      <c r="J132" s="99">
        <f>IFERROR(K132/$B$2,0)</f>
        <v/>
      </c>
      <c r="K132" s="133" t="n">
        <v>0</v>
      </c>
      <c r="L132" s="99">
        <f>IFERROR(K132/$B$2,0)</f>
        <v/>
      </c>
      <c r="M132" s="99">
        <f>IFERROR(L132*E132,0)</f>
        <v/>
      </c>
      <c r="N132" s="129" t="n"/>
      <c r="O132" s="44" t="n">
        <v>2000</v>
      </c>
      <c r="P132" s="44" t="n">
        <v>3000</v>
      </c>
      <c r="Q132" s="99">
        <f>L132</f>
        <v/>
      </c>
      <c r="R132" s="99" t="n">
        <v>0</v>
      </c>
      <c r="T132" s="99" t="n"/>
      <c r="U132" s="49">
        <f>IFERROR(ROUND(T132/L132,2),0)</f>
        <v/>
      </c>
    </row>
    <row r="133">
      <c r="A133" s="13" t="inlineStr">
        <is>
          <t>(3000, 4000]</t>
        </is>
      </c>
      <c r="B133" s="130" t="n">
        <v>81</v>
      </c>
      <c r="C133" s="130" t="n">
        <v>138183200</v>
      </c>
      <c r="D133" s="99">
        <f>IFERROR(B133/$B$84,0)</f>
        <v/>
      </c>
      <c r="E133" s="131">
        <f>IFERROR(C133/B133/500.0,0)</f>
        <v/>
      </c>
      <c r="F133" s="129" t="n"/>
      <c r="G133" s="13" t="inlineStr">
        <is>
          <t>(3000, 4000]</t>
        </is>
      </c>
      <c r="H133" s="127" t="n">
        <v>1</v>
      </c>
      <c r="I133" s="99">
        <f>IFERROR(B133/$B$84,0)</f>
        <v/>
      </c>
      <c r="J133" s="99">
        <f>IFERROR(K133/$B$2,0)</f>
        <v/>
      </c>
      <c r="K133" s="133" t="n">
        <v>0</v>
      </c>
      <c r="L133" s="99">
        <f>IFERROR(K133/$B$2,0)</f>
        <v/>
      </c>
      <c r="M133" s="99">
        <f>IFERROR(L133*E133,0)</f>
        <v/>
      </c>
      <c r="N133" s="129" t="n"/>
      <c r="O133" s="44" t="n">
        <v>3000</v>
      </c>
      <c r="P133" s="44" t="n">
        <v>4000</v>
      </c>
      <c r="Q133" s="99">
        <f>L133</f>
        <v/>
      </c>
      <c r="R133" s="99" t="n">
        <v>0</v>
      </c>
      <c r="T133" s="99" t="n"/>
      <c r="U133" s="49">
        <f>IFERROR(ROUND(T133/L133,2),0)</f>
        <v/>
      </c>
    </row>
    <row r="134">
      <c r="A134" s="13" t="inlineStr">
        <is>
          <t>(4000, 5000]</t>
        </is>
      </c>
      <c r="B134" s="130" t="n">
        <v>44</v>
      </c>
      <c r="C134" s="130" t="n">
        <v>98146875</v>
      </c>
      <c r="D134" s="99">
        <f>IFERROR(B134/$B$84,0)</f>
        <v/>
      </c>
      <c r="E134" s="131">
        <f>IFERROR(C134/B134/500.0,0)</f>
        <v/>
      </c>
      <c r="F134" s="129" t="n"/>
      <c r="G134" s="13" t="inlineStr">
        <is>
          <t>(4000, 5000]</t>
        </is>
      </c>
      <c r="H134" s="127" t="n">
        <v>1</v>
      </c>
      <c r="I134" s="99">
        <f>IFERROR(B134/$B$84,0)</f>
        <v/>
      </c>
      <c r="J134" s="99">
        <f>IFERROR(K134/$B$2,0)</f>
        <v/>
      </c>
      <c r="K134" s="133" t="n">
        <v>0</v>
      </c>
      <c r="L134" s="99">
        <f>IFERROR(K134/$B$2,0)</f>
        <v/>
      </c>
      <c r="M134" s="99">
        <f>IFERROR(L134*E134,0)</f>
        <v/>
      </c>
      <c r="N134" s="129" t="n"/>
      <c r="O134" s="44" t="n">
        <v>4000</v>
      </c>
      <c r="P134" s="44" t="n">
        <v>5000</v>
      </c>
      <c r="Q134" s="99">
        <f>L134</f>
        <v/>
      </c>
      <c r="R134" s="99" t="n">
        <v>0</v>
      </c>
      <c r="T134" s="99" t="n"/>
      <c r="U134" s="49">
        <f>IFERROR(ROUND(T134/L134,2),0)</f>
        <v/>
      </c>
    </row>
    <row r="135">
      <c r="A135" s="13" t="inlineStr">
        <is>
          <t>(5000, 6000]</t>
        </is>
      </c>
      <c r="B135" s="130" t="n">
        <v>17</v>
      </c>
      <c r="C135" s="130" t="n">
        <v>47305450</v>
      </c>
      <c r="D135" s="99">
        <f>IFERROR(B135/$B$84,0)</f>
        <v/>
      </c>
      <c r="E135" s="131">
        <f>IFERROR(C135/B135/500.0,0)</f>
        <v/>
      </c>
      <c r="F135" s="129" t="n"/>
      <c r="G135" s="13" t="inlineStr">
        <is>
          <t>(5000, 6000]</t>
        </is>
      </c>
      <c r="H135" s="127" t="n">
        <v>1</v>
      </c>
      <c r="I135" s="99">
        <f>IFERROR(B135/$B$84,0)</f>
        <v/>
      </c>
      <c r="J135" s="99">
        <f>IFERROR(K135/$B$2,0)</f>
        <v/>
      </c>
      <c r="K135" s="133" t="n">
        <v>0</v>
      </c>
      <c r="L135" s="99">
        <f>IFERROR(K135/$B$2,0)</f>
        <v/>
      </c>
      <c r="M135" s="99">
        <f>IFERROR(L135*E135,0)</f>
        <v/>
      </c>
      <c r="N135" s="129" t="n"/>
      <c r="O135" s="44" t="n">
        <v>5000</v>
      </c>
      <c r="P135" s="44" t="n">
        <v>6000</v>
      </c>
      <c r="Q135" s="99">
        <f>L135</f>
        <v/>
      </c>
      <c r="R135" s="99" t="n">
        <v>0</v>
      </c>
      <c r="T135" s="99" t="n"/>
      <c r="U135" s="49">
        <f>IFERROR(ROUND(T135/L135,2),0)</f>
        <v/>
      </c>
    </row>
    <row r="136">
      <c r="A136" s="13" t="inlineStr">
        <is>
          <t>(6000, 7000]</t>
        </is>
      </c>
      <c r="B136" s="130" t="n">
        <v>13</v>
      </c>
      <c r="C136" s="130" t="n">
        <v>41995575</v>
      </c>
      <c r="D136" s="99">
        <f>IFERROR(B136/$B$84,0)</f>
        <v/>
      </c>
      <c r="E136" s="131">
        <f>IFERROR(C136/B136/500.0,0)</f>
        <v/>
      </c>
      <c r="F136" s="129" t="n"/>
      <c r="G136" s="13" t="inlineStr">
        <is>
          <t>(6000, 7000]</t>
        </is>
      </c>
      <c r="H136" s="127" t="n">
        <v>1</v>
      </c>
      <c r="I136" s="99">
        <f>IFERROR(B136/$B$84,0)</f>
        <v/>
      </c>
      <c r="J136" s="99">
        <f>IFERROR(K136/$B$2,0)</f>
        <v/>
      </c>
      <c r="K136" s="133" t="n">
        <v>0</v>
      </c>
      <c r="L136" s="99">
        <f>IFERROR(K136/$B$2,0)</f>
        <v/>
      </c>
      <c r="M136" s="99">
        <f>IFERROR(L136*E136,0)</f>
        <v/>
      </c>
      <c r="N136" s="129" t="n"/>
      <c r="O136" s="44" t="n">
        <v>6000</v>
      </c>
      <c r="P136" s="44" t="n">
        <v>7000</v>
      </c>
      <c r="Q136" s="99">
        <f>L136</f>
        <v/>
      </c>
      <c r="R136" s="99" t="n">
        <v>0</v>
      </c>
      <c r="T136" s="99" t="n"/>
      <c r="U136" s="49">
        <f>IFERROR(ROUND(T136/L136,2),0)</f>
        <v/>
      </c>
    </row>
    <row r="137">
      <c r="A137" s="13" t="inlineStr">
        <is>
          <t>(7000, 8000]</t>
        </is>
      </c>
      <c r="B137" s="130" t="n">
        <v>11</v>
      </c>
      <c r="C137" s="130" t="n">
        <v>41544100</v>
      </c>
      <c r="D137" s="99">
        <f>IFERROR(B137/$B$84,0)</f>
        <v/>
      </c>
      <c r="E137" s="131">
        <f>IFERROR(C137/B137/500.0,0)</f>
        <v/>
      </c>
      <c r="F137" s="129" t="n"/>
      <c r="G137" s="13" t="inlineStr">
        <is>
          <t>(7000, 8000]</t>
        </is>
      </c>
      <c r="H137" s="127" t="n">
        <v>1</v>
      </c>
      <c r="I137" s="99">
        <f>IFERROR(B137/$B$84,0)</f>
        <v/>
      </c>
      <c r="J137" s="99">
        <f>IFERROR(K137/$B$2,0)</f>
        <v/>
      </c>
      <c r="K137" s="133" t="n">
        <v>0</v>
      </c>
      <c r="L137" s="99">
        <f>IFERROR(K137/$B$2,0)</f>
        <v/>
      </c>
      <c r="M137" s="99">
        <f>IFERROR(L137*E137,0)</f>
        <v/>
      </c>
      <c r="N137" s="129" t="n"/>
      <c r="O137" s="44" t="n">
        <v>7000</v>
      </c>
      <c r="P137" s="44" t="n">
        <v>8000</v>
      </c>
      <c r="Q137" s="99">
        <f>L137</f>
        <v/>
      </c>
      <c r="R137" s="99" t="n">
        <v>0</v>
      </c>
      <c r="T137" s="99" t="n"/>
      <c r="U137" s="49">
        <f>IFERROR(ROUND(T137/L137,2),0)</f>
        <v/>
      </c>
    </row>
    <row r="138">
      <c r="A138" s="13" t="inlineStr">
        <is>
          <t>(8000, 9000]</t>
        </is>
      </c>
      <c r="B138" s="130" t="n">
        <v>8</v>
      </c>
      <c r="C138" s="130" t="n">
        <v>34264600</v>
      </c>
      <c r="D138" s="99">
        <f>IFERROR(B138/$B$84,0)</f>
        <v/>
      </c>
      <c r="E138" s="131">
        <f>IFERROR(C138/B138/500.0,0)</f>
        <v/>
      </c>
      <c r="F138" s="129" t="n"/>
      <c r="G138" s="13" t="inlineStr">
        <is>
          <t>(8000, 9000]</t>
        </is>
      </c>
      <c r="H138" s="127" t="n">
        <v>1</v>
      </c>
      <c r="I138" s="99">
        <f>IFERROR(B138/$B$84,0)</f>
        <v/>
      </c>
      <c r="J138" s="99">
        <f>IFERROR(K138/$B$2,0)</f>
        <v/>
      </c>
      <c r="K138" s="133" t="n">
        <v>0</v>
      </c>
      <c r="L138" s="99">
        <f>IFERROR(K138/$B$2,0)</f>
        <v/>
      </c>
      <c r="M138" s="99">
        <f>IFERROR(L138*E138,0)</f>
        <v/>
      </c>
      <c r="N138" s="129" t="n"/>
      <c r="O138" s="44" t="n">
        <v>8000</v>
      </c>
      <c r="P138" s="44" t="n">
        <v>9000</v>
      </c>
      <c r="Q138" s="99">
        <f>L138</f>
        <v/>
      </c>
      <c r="R138" s="99" t="n">
        <v>0</v>
      </c>
      <c r="T138" s="99" t="n"/>
      <c r="U138" s="49">
        <f>IFERROR(ROUND(T138/L138,2),0)</f>
        <v/>
      </c>
    </row>
    <row r="139">
      <c r="A139" s="13" t="inlineStr">
        <is>
          <t>(9000, 10000]</t>
        </is>
      </c>
      <c r="B139" s="130" t="n">
        <v>6</v>
      </c>
      <c r="C139" s="130" t="n">
        <v>28907275</v>
      </c>
      <c r="D139" s="99">
        <f>IFERROR(B139/$B$84,0)</f>
        <v/>
      </c>
      <c r="E139" s="131">
        <f>IFERROR(C139/B139/500.0,0)</f>
        <v/>
      </c>
      <c r="F139" s="129" t="n"/>
      <c r="G139" s="13" t="inlineStr">
        <is>
          <t>(9000, 10000]</t>
        </is>
      </c>
      <c r="H139" s="127" t="n">
        <v>1</v>
      </c>
      <c r="I139" s="99">
        <f>IFERROR(B139/$B$84,0)</f>
        <v/>
      </c>
      <c r="J139" s="99">
        <f>IFERROR(K139/$B$2,0)</f>
        <v/>
      </c>
      <c r="K139" s="133" t="n">
        <v>0</v>
      </c>
      <c r="L139" s="99">
        <f>IFERROR(K139/$B$2,0)</f>
        <v/>
      </c>
      <c r="M139" s="99">
        <f>IFERROR(L139*E139,0)</f>
        <v/>
      </c>
      <c r="N139" s="129" t="n"/>
      <c r="O139" s="44" t="n">
        <v>9000</v>
      </c>
      <c r="P139" s="44" t="n">
        <v>10000</v>
      </c>
      <c r="Q139" s="99">
        <f>L139</f>
        <v/>
      </c>
      <c r="R139" s="99" t="n">
        <v>0</v>
      </c>
      <c r="T139" s="99" t="n"/>
      <c r="U139" s="49">
        <f>IFERROR(ROUND(T139/L139,2),0)</f>
        <v/>
      </c>
    </row>
    <row r="140">
      <c r="A140" s="13" t="inlineStr">
        <is>
          <t>(10000, 20000]</t>
        </is>
      </c>
      <c r="B140" s="130" t="n">
        <v>43</v>
      </c>
      <c r="C140" s="130" t="n">
        <v>300967500</v>
      </c>
      <c r="D140" s="99">
        <f>IFERROR(B140/$B$84,0)</f>
        <v/>
      </c>
      <c r="E140" s="131">
        <f>IFERROR(C140/B140/500.0,0)</f>
        <v/>
      </c>
      <c r="F140" s="129" t="n"/>
      <c r="G140" s="13" t="inlineStr">
        <is>
          <t>(10000, 20000]</t>
        </is>
      </c>
      <c r="H140" s="127" t="n">
        <v>1</v>
      </c>
      <c r="I140" s="99">
        <f>IFERROR(B140/$B$84,0)</f>
        <v/>
      </c>
      <c r="J140" s="99">
        <f>IFERROR(K140/$B$2,0)</f>
        <v/>
      </c>
      <c r="K140" s="133" t="n">
        <v>0</v>
      </c>
      <c r="L140" s="99">
        <f>IFERROR(K140/$B$2,0)</f>
        <v/>
      </c>
      <c r="M140" s="99">
        <f>IFERROR(L140*E140,0)</f>
        <v/>
      </c>
      <c r="N140" s="129" t="n"/>
      <c r="O140" s="44" t="n">
        <v>10000</v>
      </c>
      <c r="P140" s="44" t="n">
        <v>20000</v>
      </c>
      <c r="Q140" s="99">
        <f>L140</f>
        <v/>
      </c>
      <c r="R140" s="99" t="n">
        <v>0</v>
      </c>
      <c r="T140" s="99" t="n"/>
      <c r="U140" s="49">
        <f>IFERROR(ROUND(T140/L140,2),0)</f>
        <v/>
      </c>
    </row>
    <row r="141">
      <c r="A141" s="13" t="inlineStr">
        <is>
          <t>(20000, 30000]</t>
        </is>
      </c>
      <c r="B141" s="130" t="n">
        <v>18</v>
      </c>
      <c r="C141" s="130" t="n">
        <v>223689375</v>
      </c>
      <c r="D141" s="99">
        <f>IFERROR(B141/$B$84,0)</f>
        <v/>
      </c>
      <c r="E141" s="131">
        <f>IFERROR(C141/B141/500.0,0)</f>
        <v/>
      </c>
      <c r="F141" s="129" t="n"/>
      <c r="G141" s="13" t="inlineStr">
        <is>
          <t>(20000, 30000]</t>
        </is>
      </c>
      <c r="H141" s="127" t="n">
        <v>1</v>
      </c>
      <c r="I141" s="99">
        <f>IFERROR(B141/$B$84,0)</f>
        <v/>
      </c>
      <c r="J141" s="99">
        <f>IFERROR(K141/$B$2,0)</f>
        <v/>
      </c>
      <c r="K141" s="133" t="n">
        <v>0</v>
      </c>
      <c r="L141" s="99">
        <f>IFERROR(K141/$B$2,0)</f>
        <v/>
      </c>
      <c r="M141" s="99">
        <f>IFERROR(L141*E141,0)</f>
        <v/>
      </c>
      <c r="N141" s="129" t="n"/>
      <c r="O141" s="44" t="n">
        <v>20000</v>
      </c>
      <c r="P141" s="44" t="n">
        <v>30000</v>
      </c>
      <c r="Q141" s="99">
        <f>L141</f>
        <v/>
      </c>
      <c r="R141" s="99" t="n">
        <v>0</v>
      </c>
      <c r="T141" s="99" t="n"/>
      <c r="U141" s="49">
        <f>IFERROR(ROUND(T141/L141,2),0)</f>
        <v/>
      </c>
    </row>
    <row r="142">
      <c r="A142" s="13" t="inlineStr">
        <is>
          <t>(30000, 40000]</t>
        </is>
      </c>
      <c r="B142" s="130" t="n">
        <v>9</v>
      </c>
      <c r="C142" s="130" t="n">
        <v>164516625</v>
      </c>
      <c r="D142" s="99">
        <f>IFERROR(B142/$B$84,0)</f>
        <v/>
      </c>
      <c r="E142" s="131">
        <f>IFERROR(C142/B142/500.0,0)</f>
        <v/>
      </c>
      <c r="F142" s="129" t="n"/>
      <c r="G142" s="13" t="inlineStr">
        <is>
          <t>(30000, 40000]</t>
        </is>
      </c>
      <c r="H142" s="127" t="n">
        <v>1</v>
      </c>
      <c r="I142" s="99">
        <f>IFERROR(B142/$B$84,0)</f>
        <v/>
      </c>
      <c r="J142" s="99">
        <f>IFERROR(K142/$B$2,0)</f>
        <v/>
      </c>
      <c r="K142" s="133" t="n">
        <v>0</v>
      </c>
      <c r="L142" s="99">
        <f>IFERROR(K142/$B$2,0)</f>
        <v/>
      </c>
      <c r="M142" s="99">
        <f>IFERROR(L142*E142,0)</f>
        <v/>
      </c>
      <c r="N142" s="129" t="n"/>
      <c r="O142" s="44" t="n">
        <v>30000</v>
      </c>
      <c r="P142" s="44" t="n">
        <v>40000</v>
      </c>
      <c r="Q142" s="99">
        <f>L142</f>
        <v/>
      </c>
      <c r="R142" s="99" t="n">
        <v>0</v>
      </c>
      <c r="T142" s="99" t="n"/>
      <c r="U142" s="49">
        <f>IFERROR(ROUND(T142/L142,2),0)</f>
        <v/>
      </c>
    </row>
    <row r="143">
      <c r="A143" s="13" t="inlineStr">
        <is>
          <t>(40000, 50000]</t>
        </is>
      </c>
      <c r="B143" s="130" t="n">
        <v>14</v>
      </c>
      <c r="C143" s="130" t="n">
        <v>306387500</v>
      </c>
      <c r="D143" s="99">
        <f>IFERROR(B143/$B$84,0)</f>
        <v/>
      </c>
      <c r="E143" s="131">
        <f>IFERROR(C143/B143/500.0,0)</f>
        <v/>
      </c>
      <c r="F143" s="129" t="n"/>
      <c r="G143" s="13" t="inlineStr">
        <is>
          <t>(40000, 50000]</t>
        </is>
      </c>
      <c r="H143" s="127" t="n">
        <v>1</v>
      </c>
      <c r="I143" s="99">
        <f>IFERROR(B143/$B$84,0)</f>
        <v/>
      </c>
      <c r="J143" s="99">
        <f>IFERROR(K143/$B$2,0)</f>
        <v/>
      </c>
      <c r="K143" s="133" t="n">
        <v>0</v>
      </c>
      <c r="L143" s="99">
        <f>IFERROR(K143/$B$2,0)</f>
        <v/>
      </c>
      <c r="M143" s="99">
        <f>IFERROR(L143*E143,0)</f>
        <v/>
      </c>
      <c r="N143" s="129" t="n"/>
      <c r="O143" s="44" t="n">
        <v>40000</v>
      </c>
      <c r="P143" s="44" t="n">
        <v>50000</v>
      </c>
      <c r="Q143" s="99">
        <f>L143</f>
        <v/>
      </c>
      <c r="R143" s="99" t="n">
        <v>0</v>
      </c>
      <c r="T143" s="99" t="n"/>
      <c r="U143" s="49">
        <f>IFERROR(ROUND(T143/L143,2),0)</f>
        <v/>
      </c>
    </row>
    <row r="144">
      <c r="A144" s="13" t="inlineStr">
        <is>
          <t>(50000, 60000]</t>
        </is>
      </c>
      <c r="B144" s="130" t="n">
        <v>6</v>
      </c>
      <c r="C144" s="130" t="n">
        <v>166381425</v>
      </c>
      <c r="D144" s="99">
        <f>IFERROR(B144/$B$84,0)</f>
        <v/>
      </c>
      <c r="E144" s="131">
        <f>IFERROR(C144/B144/500.0,0)</f>
        <v/>
      </c>
      <c r="F144" s="129" t="n"/>
      <c r="G144" s="13" t="inlineStr">
        <is>
          <t>(50000, 60000]</t>
        </is>
      </c>
      <c r="H144" s="127" t="n">
        <v>1</v>
      </c>
      <c r="I144" s="99">
        <f>IFERROR(B144/$B$84,0)</f>
        <v/>
      </c>
      <c r="J144" s="99">
        <f>IFERROR(K144/$B$2,0)</f>
        <v/>
      </c>
      <c r="K144" s="133" t="n">
        <v>0</v>
      </c>
      <c r="L144" s="99">
        <f>IFERROR(K144/$B$2,0)</f>
        <v/>
      </c>
      <c r="M144" s="99">
        <f>IFERROR(L144*E144,0)</f>
        <v/>
      </c>
      <c r="N144" s="129" t="n"/>
      <c r="O144" s="44" t="n">
        <v>50000</v>
      </c>
      <c r="P144" s="44" t="n">
        <v>60000</v>
      </c>
      <c r="Q144" s="99">
        <f>L144</f>
        <v/>
      </c>
      <c r="R144" s="99" t="n">
        <v>0</v>
      </c>
      <c r="T144" s="99" t="n"/>
      <c r="U144" s="49">
        <f>IFERROR(ROUND(T144/L144,2),0)</f>
        <v/>
      </c>
    </row>
    <row r="145">
      <c r="A145" s="13" t="inlineStr">
        <is>
          <t>(60000, 70000]</t>
        </is>
      </c>
      <c r="B145" s="130" t="n">
        <v>3</v>
      </c>
      <c r="C145" s="130" t="n">
        <v>96025175</v>
      </c>
      <c r="D145" s="99">
        <f>IFERROR(B145/$B$84,0)</f>
        <v/>
      </c>
      <c r="E145" s="131">
        <f>IFERROR(C145/B145/500.0,0)</f>
        <v/>
      </c>
      <c r="F145" s="129" t="n"/>
      <c r="G145" s="13" t="inlineStr">
        <is>
          <t>(60000, 70000]</t>
        </is>
      </c>
      <c r="H145" s="127" t="n">
        <v>1</v>
      </c>
      <c r="I145" s="99">
        <f>IFERROR(B145/$B$84,0)</f>
        <v/>
      </c>
      <c r="J145" s="99">
        <f>IFERROR(K145/$B$2,0)</f>
        <v/>
      </c>
      <c r="K145" s="133" t="n">
        <v>0</v>
      </c>
      <c r="L145" s="99">
        <f>IFERROR(K145/$B$2,0)</f>
        <v/>
      </c>
      <c r="M145" s="99">
        <f>IFERROR(L145*E145,0)</f>
        <v/>
      </c>
      <c r="N145" s="129" t="n"/>
      <c r="O145" s="44" t="n">
        <v>60000</v>
      </c>
      <c r="P145" s="44" t="n">
        <v>70000</v>
      </c>
      <c r="Q145" s="99">
        <f>L145</f>
        <v/>
      </c>
      <c r="R145" s="99" t="n">
        <v>0</v>
      </c>
      <c r="T145" s="99" t="n"/>
      <c r="U145" s="49">
        <f>IFERROR(ROUND(T145/L145,2),0)</f>
        <v/>
      </c>
    </row>
    <row r="146">
      <c r="A146" s="13" t="inlineStr">
        <is>
          <t>(70000, 80000]</t>
        </is>
      </c>
      <c r="B146" s="130" t="n">
        <v>3</v>
      </c>
      <c r="C146" s="130" t="n">
        <v>107975325</v>
      </c>
      <c r="D146" s="99">
        <f>IFERROR(B146/$B$84,0)</f>
        <v/>
      </c>
      <c r="E146" s="131">
        <f>IFERROR(C146/B146/500.0,0)</f>
        <v/>
      </c>
      <c r="F146" s="129" t="n"/>
      <c r="G146" s="13" t="inlineStr">
        <is>
          <t>(70000, 80000]</t>
        </is>
      </c>
      <c r="H146" s="127" t="n">
        <v>1</v>
      </c>
      <c r="I146" s="99">
        <f>IFERROR(B146/$B$84,0)</f>
        <v/>
      </c>
      <c r="J146" s="99">
        <f>IFERROR(K146/$B$2,0)</f>
        <v/>
      </c>
      <c r="K146" s="133" t="n">
        <v>0</v>
      </c>
      <c r="L146" s="99">
        <f>IFERROR(K146/$B$2,0)</f>
        <v/>
      </c>
      <c r="M146" s="99">
        <f>IFERROR(L146*E146,0)</f>
        <v/>
      </c>
      <c r="N146" s="129" t="n"/>
      <c r="O146" s="44" t="n">
        <v>70000</v>
      </c>
      <c r="P146" s="44" t="n">
        <v>80000</v>
      </c>
      <c r="Q146" s="99">
        <f>L146</f>
        <v/>
      </c>
      <c r="R146" s="99" t="n">
        <v>0</v>
      </c>
      <c r="T146" s="99" t="n"/>
      <c r="U146" s="49">
        <f>IFERROR(ROUND(T146/L146,2),0)</f>
        <v/>
      </c>
    </row>
    <row r="147">
      <c r="A147" s="13" t="inlineStr">
        <is>
          <t>(80000, 90000]</t>
        </is>
      </c>
      <c r="B147" s="130" t="n">
        <v>3</v>
      </c>
      <c r="C147" s="130" t="n">
        <v>126355425</v>
      </c>
      <c r="D147" s="99">
        <f>IFERROR(B147/$B$84,0)</f>
        <v/>
      </c>
      <c r="E147" s="131">
        <f>IFERROR(C147/B147/500.0,0)</f>
        <v/>
      </c>
      <c r="F147" s="129" t="n"/>
      <c r="G147" s="13" t="inlineStr">
        <is>
          <t>(80000, 90000]</t>
        </is>
      </c>
      <c r="H147" s="127" t="n">
        <v>1</v>
      </c>
      <c r="I147" s="99">
        <f>IFERROR(B147/$B$84,0)</f>
        <v/>
      </c>
      <c r="J147" s="99">
        <f>IFERROR(K147/$B$2,0)</f>
        <v/>
      </c>
      <c r="K147" s="133" t="n">
        <v>0</v>
      </c>
      <c r="L147" s="99">
        <f>IFERROR(K147/$B$2,0)</f>
        <v/>
      </c>
      <c r="M147" s="99">
        <f>IFERROR(L147*E147,0)</f>
        <v/>
      </c>
      <c r="N147" s="129" t="n"/>
      <c r="O147" s="44" t="n">
        <v>80000</v>
      </c>
      <c r="P147" s="44" t="n">
        <v>90000</v>
      </c>
      <c r="Q147" s="99">
        <f>L147</f>
        <v/>
      </c>
      <c r="R147" s="99" t="n">
        <v>0</v>
      </c>
      <c r="T147" s="99" t="n"/>
      <c r="U147" s="49">
        <f>IFERROR(ROUND(T147/L147,2),0)</f>
        <v/>
      </c>
    </row>
    <row r="148">
      <c r="A148" s="13" t="inlineStr">
        <is>
          <t>(90000, 100000]</t>
        </is>
      </c>
      <c r="B148" s="130" t="n">
        <v>3</v>
      </c>
      <c r="C148" s="130" t="n">
        <v>145991125</v>
      </c>
      <c r="D148" s="99">
        <f>IFERROR(B148/$B$84,0)</f>
        <v/>
      </c>
      <c r="E148" s="131">
        <f>IFERROR(C148/B148/500.0,0)</f>
        <v/>
      </c>
      <c r="F148" s="129" t="n"/>
      <c r="G148" s="13" t="inlineStr">
        <is>
          <t>(90000, 100000]</t>
        </is>
      </c>
      <c r="H148" s="127" t="n">
        <v>1</v>
      </c>
      <c r="I148" s="99">
        <f>IFERROR(B148/$B$84,0)</f>
        <v/>
      </c>
      <c r="J148" s="99">
        <f>IFERROR(K148/$B$2,0)</f>
        <v/>
      </c>
      <c r="K148" s="133" t="n">
        <v>0</v>
      </c>
      <c r="L148" s="99">
        <f>IFERROR(K148/$B$2,0)</f>
        <v/>
      </c>
      <c r="M148" s="99">
        <f>IFERROR(L148*E148,0)</f>
        <v/>
      </c>
      <c r="N148" s="129" t="n"/>
      <c r="O148" s="44" t="n">
        <v>90000</v>
      </c>
      <c r="P148" s="44" t="n">
        <v>100000</v>
      </c>
      <c r="Q148" s="99">
        <f>L148</f>
        <v/>
      </c>
      <c r="R148" s="99" t="n">
        <v>0</v>
      </c>
      <c r="T148" s="99" t="n"/>
      <c r="U148" s="49">
        <f>IFERROR(ROUND(T148/L148,2),0)</f>
        <v/>
      </c>
    </row>
    <row r="149">
      <c r="A149" s="13" t="inlineStr">
        <is>
          <t>(100000, 9999999]</t>
        </is>
      </c>
      <c r="B149" s="130" t="n">
        <v>5</v>
      </c>
      <c r="C149" s="130" t="n">
        <v>286261200</v>
      </c>
      <c r="D149" s="99">
        <f>IFERROR(B149/$B$84,0)</f>
        <v/>
      </c>
      <c r="E149" s="131">
        <f>IFERROR(C149/B149/500.0,0)</f>
        <v/>
      </c>
      <c r="F149" s="129" t="n"/>
      <c r="G149" s="13" t="inlineStr">
        <is>
          <t>(100000, 9999999]</t>
        </is>
      </c>
      <c r="H149" s="127" t="n">
        <v>1</v>
      </c>
      <c r="I149" s="99">
        <f>IFERROR(B149/$B$84,0)</f>
        <v/>
      </c>
      <c r="J149" s="99">
        <f>IFERROR(K149/$B$2,0)</f>
        <v/>
      </c>
      <c r="K149" s="133" t="n">
        <v>0</v>
      </c>
      <c r="L149" s="99">
        <f>IFERROR(K149/$B$2,0)</f>
        <v/>
      </c>
      <c r="M149" s="99">
        <f>IFERROR(L149*E149,0)</f>
        <v/>
      </c>
      <c r="N149" s="129" t="n"/>
      <c r="O149" s="44" t="n">
        <v>100000</v>
      </c>
      <c r="P149" s="44" t="n">
        <v>9999999</v>
      </c>
      <c r="Q149" s="99">
        <f>L149</f>
        <v/>
      </c>
      <c r="R149" s="99" t="n">
        <v>0</v>
      </c>
      <c r="T149" s="99" t="n"/>
      <c r="U149" s="49">
        <f>IFERROR(ROUND(T149/L149,2),0)</f>
        <v/>
      </c>
    </row>
    <row r="150">
      <c r="F150" s="4" t="n"/>
      <c r="K150">
        <f>SUM(K86:K149)</f>
        <v/>
      </c>
      <c r="M150">
        <f>SUM(M86:M149)</f>
        <v/>
      </c>
      <c r="N150" s="4" t="n"/>
      <c r="O150" s="4" t="n"/>
      <c r="P150" s="4" t="n"/>
    </row>
  </sheetData>
  <conditionalFormatting sqref="D79">
    <cfRule type="cellIs" priority="31" operator="lessThan" dxfId="0">
      <formula>0.001</formula>
    </cfRule>
  </conditionalFormatting>
  <conditionalFormatting sqref="D86:D149">
    <cfRule type="cellIs" priority="45" operator="lessThan" dxfId="0">
      <formula>0.001</formula>
    </cfRule>
  </conditionalFormatting>
  <conditionalFormatting sqref="D15:D78">
    <cfRule type="cellIs" priority="46" operator="lessThan" dxfId="0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</cfRule>
  </conditionalFormatting>
  <conditionalFormatting sqref="M15:M78">
    <cfRule type="dataBar" priority="11">
      <dataBar>
        <cfvo type="min"/>
        <cfvo type="max"/>
        <color rgb="FFFF555A"/>
      </dataBar>
    </cfRule>
  </conditionalFormatting>
  <conditionalFormatting sqref="L86:L149">
    <cfRule type="dataBar" priority="10">
      <dataBar>
        <cfvo type="min"/>
        <cfvo type="max"/>
        <color rgb="FF008AEF"/>
      </dataBar>
    </cfRule>
  </conditionalFormatting>
  <conditionalFormatting sqref="M86:M149">
    <cfRule type="dataBar" priority="9">
      <dataBar>
        <cfvo type="min"/>
        <cfvo type="max"/>
        <color rgb="FFFF555A"/>
      </dataBar>
    </cfRule>
  </conditionalFormatting>
  <conditionalFormatting sqref="Q18:R78">
    <cfRule type="dataBar" priority="4">
      <dataBar>
        <cfvo type="min"/>
        <cfvo type="max"/>
        <color rgb="FF008AEF"/>
      </dataBar>
    </cfRule>
  </conditionalFormatting>
  <conditionalFormatting sqref="Q86:R149">
    <cfRule type="dataBar" priority="3">
      <dataBar>
        <cfvo type="min"/>
        <cfvo type="max"/>
        <color rgb="FF008AEF"/>
      </dataBar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工作表11">
    <outlinePr summaryBelow="1" summaryRight="1"/>
    <pageSetUpPr/>
  </sheetPr>
  <dimension ref="A2:C8"/>
  <sheetViews>
    <sheetView workbookViewId="0">
      <selection activeCell="C14" sqref="C14"/>
    </sheetView>
  </sheetViews>
  <sheetFormatPr baseColWidth="8" defaultRowHeight="15.6"/>
  <cols>
    <col width="8.88671875" customWidth="1" style="4" min="1" max="1"/>
    <col width="18.33203125" bestFit="1" customWidth="1" style="4" min="2" max="2"/>
    <col width="24.109375" bestFit="1" customWidth="1" style="4" min="3" max="3"/>
    <col width="20.5546875" customWidth="1" style="4" min="4" max="4"/>
    <col width="16.5546875" customWidth="1" style="4" min="5" max="5"/>
    <col width="24.109375" bestFit="1" customWidth="1" style="4" min="6" max="6"/>
    <col width="16.5546875" customWidth="1" style="4" min="7" max="7"/>
    <col width="8.88671875" customWidth="1" style="4" min="8" max="8"/>
    <col width="12.44140625" bestFit="1" customWidth="1" style="4" min="9" max="9"/>
    <col width="11" bestFit="1" customWidth="1" style="4" min="10" max="10"/>
    <col width="8.88671875" customWidth="1" style="4" min="11" max="14"/>
    <col width="8.88671875" customWidth="1" style="4" min="15" max="16384"/>
  </cols>
  <sheetData>
    <row r="2">
      <c r="B2" s="8" t="inlineStr">
        <is>
          <t>Threshold</t>
        </is>
      </c>
      <c r="C2" s="138" t="n">
        <v>10000000000</v>
      </c>
    </row>
    <row r="4">
      <c r="B4" s="12" t="inlineStr">
        <is>
          <t>Bet Type</t>
        </is>
      </c>
      <c r="C4" s="12" t="inlineStr">
        <is>
          <t>SCR</t>
        </is>
      </c>
    </row>
    <row r="5">
      <c r="A5" s="20" t="n"/>
      <c r="B5" s="14" t="inlineStr">
        <is>
          <t>NB_Newbie</t>
        </is>
      </c>
      <c r="C5" s="107" t="n">
        <v>3615908800</v>
      </c>
    </row>
    <row r="6">
      <c r="A6" s="20" t="n"/>
      <c r="B6" s="14" t="inlineStr">
        <is>
          <t>NB</t>
        </is>
      </c>
      <c r="C6" s="107" t="n">
        <v>3617019900</v>
      </c>
    </row>
    <row r="7">
      <c r="A7" s="20" t="n"/>
      <c r="B7" s="14" t="inlineStr">
        <is>
          <t>BF</t>
        </is>
      </c>
      <c r="C7" s="107" t="n">
        <v>38131173000</v>
      </c>
    </row>
    <row r="8">
      <c r="B8" s="14" t="inlineStr">
        <is>
          <t>SF</t>
        </is>
      </c>
      <c r="C8" s="107" t="n">
        <v>40534502000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2026-08-21T09:11:36Z</dcterms:modified>
  <cp:lastModifiedBy>宏羲 沈</cp:lastModifiedBy>
</cp:coreProperties>
</file>