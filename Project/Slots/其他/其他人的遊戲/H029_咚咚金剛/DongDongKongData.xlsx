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 activeTab="2"/>
  </bookViews>
  <sheets>
    <sheet name="RTP_96" sheetId="1" r:id="rId1"/>
    <sheet name="RTP_94" sheetId="2" r:id="rId2"/>
    <sheet name="RTP_9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<sst xmlns="http://schemas.openxmlformats.org/spreadsheetml/2006/main" count="213" uniqueCount="105">
  <si>
    <t>Main Game</t>
  </si>
  <si>
    <t xml:space="preserve">RTP Label    </t>
  </si>
  <si>
    <t>Buy Feature Game</t>
  </si>
  <si>
    <t xml:space="preserve">RTP Math Value   </t>
  </si>
  <si>
    <t xml:space="preserve">++++ BASE GAME RESULT ++++ </t>
  </si>
  <si>
    <t>++++BUY BASE GAME RESULT ++++</t>
  </si>
  <si>
    <t xml:space="preserve">BG RTP                   </t>
  </si>
  <si>
    <t xml:space="preserve">BG RTP                  </t>
  </si>
  <si>
    <t xml:space="preserve">BG Hits                  </t>
  </si>
  <si>
    <t xml:space="preserve">BG Max Win               </t>
  </si>
  <si>
    <t xml:space="preserve">BG Max Win              </t>
  </si>
  <si>
    <t xml:space="preserve">BG Total win             </t>
  </si>
  <si>
    <t>4717056400.0000</t>
  </si>
  <si>
    <t xml:space="preserve">BG Total win              </t>
  </si>
  <si>
    <t xml:space="preserve">Base Game Total RTP      </t>
  </si>
  <si>
    <t xml:space="preserve">++++ FREE GAME RESULT ++++ </t>
  </si>
  <si>
    <t>++++ BUY FREE GAME RESULT ++++</t>
  </si>
  <si>
    <t xml:space="preserve">FG RTP                   </t>
  </si>
  <si>
    <t xml:space="preserve">Buy FG RTP                  </t>
  </si>
  <si>
    <t xml:space="preserve">FG Total win             </t>
  </si>
  <si>
    <t>4891148880.0000</t>
  </si>
  <si>
    <t xml:space="preserve">Buy FG Total win            </t>
  </si>
  <si>
    <t>192165097010.0000</t>
  </si>
  <si>
    <t xml:space="preserve">Free Game Total RTP       </t>
  </si>
  <si>
    <t xml:space="preserve">Buy Free Game Total RTP     </t>
  </si>
  <si>
    <t xml:space="preserve">**** Total win       </t>
  </si>
  <si>
    <t>9608205280.0000</t>
  </si>
  <si>
    <t xml:space="preserve">**** Total win           </t>
  </si>
  <si>
    <t xml:space="preserve">**** Total RTP           </t>
  </si>
  <si>
    <t xml:space="preserve">**** Total RTP          </t>
  </si>
  <si>
    <t xml:space="preserve">++++ Bonus Hits ++++ </t>
  </si>
  <si>
    <t xml:space="preserve">++++ Buy Hits ++++ </t>
  </si>
  <si>
    <t xml:space="preserve">8 FG Hits              </t>
  </si>
  <si>
    <t xml:space="preserve">8 FG Hits                 </t>
  </si>
  <si>
    <t xml:space="preserve">Free Game Total Hits     </t>
  </si>
  <si>
    <t xml:space="preserve">RE Free Game Odds         </t>
  </si>
  <si>
    <t xml:space="preserve">Free Game Odds           </t>
  </si>
  <si>
    <t xml:space="preserve">Free Game Total Hits      </t>
  </si>
  <si>
    <t xml:space="preserve">RE Free Game Odds        </t>
  </si>
  <si>
    <t xml:space="preserve">Free Game Odds         </t>
  </si>
  <si>
    <t xml:space="preserve">Total Free Spins Awarded </t>
  </si>
  <si>
    <t xml:space="preserve">Total Free Spins Awarded  </t>
  </si>
  <si>
    <t xml:space="preserve">Game Simulation --- </t>
  </si>
  <si>
    <t xml:space="preserve">Game RTP                   </t>
  </si>
  <si>
    <t xml:space="preserve">Game RTP(Win Hits)      </t>
  </si>
  <si>
    <t xml:space="preserve">Variance               </t>
  </si>
  <si>
    <t>490.430330117974024000000000000000</t>
  </si>
  <si>
    <t>3.689867803255822400000000000000</t>
  </si>
  <si>
    <t xml:space="preserve">Standard Deviation      </t>
  </si>
  <si>
    <t xml:space="preserve">Game Hits               </t>
  </si>
  <si>
    <t xml:space="preserve">Max Win                 </t>
  </si>
  <si>
    <t xml:space="preserve">Maximum Exposure          </t>
  </si>
  <si>
    <t xml:space="preserve">x10000.0000000000 </t>
  </si>
  <si>
    <t>x50</t>
  </si>
  <si>
    <t xml:space="preserve"> - - - - - Conclusion - - - - - </t>
  </si>
  <si>
    <t xml:space="preserve">Lower Bound </t>
  </si>
  <si>
    <t xml:space="preserve">Upper Bound </t>
  </si>
  <si>
    <t>RTP</t>
  </si>
  <si>
    <t>Result</t>
  </si>
  <si>
    <t xml:space="preserve">In Range </t>
  </si>
  <si>
    <t>4719024170.0000</t>
  </si>
  <si>
    <t xml:space="preserve">Base Game Total RTP     </t>
  </si>
  <si>
    <t>4685391575.0000</t>
  </si>
  <si>
    <t>188338823080.0000</t>
  </si>
  <si>
    <t xml:space="preserve">**** Total win          </t>
  </si>
  <si>
    <t>9404415745.0000</t>
  </si>
  <si>
    <t xml:space="preserve">**** Total RTP            </t>
  </si>
  <si>
    <t xml:space="preserve">8 FG Hits                </t>
  </si>
  <si>
    <t xml:space="preserve">8 FG Hits               </t>
  </si>
  <si>
    <t xml:space="preserve">Free Game Total Hits    </t>
  </si>
  <si>
    <t xml:space="preserve">RE Free Game Odds       </t>
  </si>
  <si>
    <t xml:space="preserve">Free Game Odds          </t>
  </si>
  <si>
    <t xml:space="preserve">Game RTP                </t>
  </si>
  <si>
    <t xml:space="preserve">Game RTP                 </t>
  </si>
  <si>
    <t xml:space="preserve">Game RTP(Win Hits)       </t>
  </si>
  <si>
    <t xml:space="preserve">Variance                </t>
  </si>
  <si>
    <t>468.660410586202142000000000000000</t>
  </si>
  <si>
    <t xml:space="preserve">Variance                 </t>
  </si>
  <si>
    <t>3.634067293664794000000000000000</t>
  </si>
  <si>
    <t xml:space="preserve">Standard Deviation       </t>
  </si>
  <si>
    <t xml:space="preserve">Game Hits                </t>
  </si>
  <si>
    <t xml:space="preserve">Max Win                  </t>
  </si>
  <si>
    <t xml:space="preserve">Maximum Exposure         </t>
  </si>
  <si>
    <t xml:space="preserve"> x10000.0000000000 </t>
  </si>
  <si>
    <t xml:space="preserve">Maximum Exposure        </t>
  </si>
  <si>
    <t xml:space="preserve">x50.0000000000 </t>
  </si>
  <si>
    <t>Lower Bound</t>
  </si>
  <si>
    <t xml:space="preserve"> Upper Bound</t>
  </si>
  <si>
    <t xml:space="preserve"> Result </t>
  </si>
  <si>
    <t xml:space="preserve">Main Game </t>
  </si>
  <si>
    <t xml:space="preserve">Buy Game </t>
  </si>
  <si>
    <t xml:space="preserve">RTP Math  Value   </t>
  </si>
  <si>
    <t>Normal RTP</t>
  </si>
  <si>
    <t>Cascade RTP</t>
  </si>
  <si>
    <t>Random Mystery Normal RTP</t>
  </si>
  <si>
    <t>Random Mystery Cascade RTP</t>
  </si>
  <si>
    <t>Buy (Not Gamble)</t>
  </si>
  <si>
    <t>Free Game A, Mystery Symbol Game</t>
  </si>
  <si>
    <t>**** Total RTP            (BASE + FGA)</t>
  </si>
  <si>
    <t>Free Game B, Multiplier Ladder Game</t>
  </si>
  <si>
    <t>Free Game C, Expanding Wild Game</t>
  </si>
  <si>
    <t>Buy + Gamble</t>
  </si>
  <si>
    <t>Gamble Everytime (When possible)</t>
  </si>
  <si>
    <t>500 M</t>
  </si>
  <si>
    <t>1 Billion+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</si>
</sst>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2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9" applyNumberFormat="0" applyFill="0" applyAlignment="0" applyProtection="0">
      <alignment vertical="center"/>
    </xf>
    <xf numFmtId="0" fontId="9" fillId="0" borderId="19" applyNumberFormat="0" applyFill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21" applyNumberFormat="0" applyAlignment="0" applyProtection="0">
      <alignment vertical="center"/>
    </xf>
    <xf numFmtId="0" fontId="12" fillId="4" borderId="22" applyNumberFormat="0" applyAlignment="0" applyProtection="0">
      <alignment vertical="center"/>
    </xf>
    <xf numFmtId="0" fontId="13" fillId="4" borderId="21" applyNumberFormat="0" applyAlignment="0" applyProtection="0">
      <alignment vertical="center"/>
    </xf>
    <xf numFmtId="0" fontId="14" fillId="5" borderId="23" applyNumberFormat="0" applyAlignment="0" applyProtection="0">
      <alignment vertical="center"/>
    </xf>
    <xf numFmtId="0" fontId="15" fillId="0" borderId="24" applyNumberFormat="0" applyFill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5" xfId="0" applyBorder="1" applyAlignment="1">
      <alignment horizontal="left" vertical="center"/>
    </xf>
    <xf numFmtId="10" fontId="0" fillId="0" borderId="6" xfId="0" applyNumberForma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>
      <alignment vertical="center"/>
    </xf>
    <xf numFmtId="0" fontId="1" fillId="0" borderId="10" xfId="0" applyNumberFormat="1" applyFont="1" applyFill="1" applyBorder="1" applyAlignment="1" applyProtection="1">
      <alignment horizontal="left" vertical="center"/>
    </xf>
    <xf numFmtId="0" fontId="0" fillId="0" borderId="7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6" xfId="0" applyBorder="1" applyAlignment="1">
      <alignment horizontal="left" vertical="center"/>
    </xf>
    <xf numFmtId="0" fontId="2" fillId="0" borderId="0" xfId="0" applyFont="1">
      <alignment vertical="center"/>
    </xf>
    <xf numFmtId="0" fontId="0" fillId="0" borderId="3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2" fillId="0" borderId="0" xfId="0" applyFont="1" applyBorder="1">
      <alignment vertical="center"/>
    </xf>
    <xf numFmtId="0" fontId="0" fillId="0" borderId="0" xfId="0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10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righ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4" xfId="0" applyBorder="1">
      <alignment vertical="center"/>
    </xf>
    <xf numFmtId="0" fontId="0" fillId="0" borderId="2" xfId="0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7" xfId="0" applyBorder="1" applyAlignment="1" quotePrefix="1">
      <alignment horizontal="center" vertical="center"/>
    </xf>
    <xf numFmtId="0" fontId="0" fillId="0" borderId="10" xfId="0" applyBorder="1" applyAlignment="1" quotePrefix="1">
      <alignment horizontal="left" vertical="center"/>
    </xf>
    <xf numFmtId="0" fontId="0" fillId="0" borderId="16" xfId="0" applyBorder="1" applyAlignment="1" quotePrefix="1">
      <alignment horizontal="center" vertical="center"/>
    </xf>
    <xf numFmtId="0" fontId="0" fillId="0" borderId="4" xfId="0" applyBorder="1" applyAlignment="1" quotePrefix="1">
      <alignment horizontal="left" vertical="center"/>
    </xf>
    <xf numFmtId="0" fontId="0" fillId="0" borderId="4" xfId="0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42"/>
  <sheetViews>
    <sheetView topLeftCell="A18" workbookViewId="0">
      <selection activeCell="C29" sqref="C29:C35"/>
    </sheetView>
  </sheetViews>
  <sheetFormatPr defaultColWidth="9.12380952380952" defaultRowHeight="15"/>
  <cols>
    <col min="2" max="2" width="30.6285714285714" customWidth="1"/>
    <col min="3" max="3" width="36" customWidth="1"/>
    <col min="5" max="5" width="11" customWidth="1"/>
    <col min="6" max="6" width="34.6285714285714" customWidth="1"/>
    <col min="7" max="7" width="35.1238095238095" customWidth="1"/>
    <col min="10" max="10" width="25.6285714285714" customWidth="1"/>
    <col min="11" max="11" width="15" customWidth="1"/>
  </cols>
  <sheetData>
    <row r="1" ht="15.75"/>
    <row r="2" ht="15.75" spans="2:11">
      <c r="B2" s="12" t="s">
        <v>0</v>
      </c>
      <c r="C2" s="26"/>
      <c r="F2" s="12" t="s">
        <v>0</v>
      </c>
      <c r="G2" s="26"/>
    </row>
    <row r="3" spans="2:11">
      <c r="B3" s="27" t="s">
        <v>1</v>
      </c>
      <c r="C3" s="28" t="s">
        <v>0</v>
      </c>
      <c r="E3" s="30"/>
      <c r="F3" s="27" t="s">
        <v>1</v>
      </c>
      <c r="G3" s="28" t="s">
        <v>2</v>
      </c>
      <c r="H3" s="30"/>
      <c r="I3" s="30"/>
      <c r="J3" s="30"/>
      <c r="K3" s="30"/>
    </row>
    <row r="4" ht="15.75" spans="2:11">
      <c r="B4" s="22" t="s">
        <v>3</v>
      </c>
      <c r="C4" s="10">
        <v>0.9601</v>
      </c>
      <c r="F4" s="22" t="s">
        <v>3</v>
      </c>
      <c r="G4" s="10">
        <v>0.9609</v>
      </c>
      <c r="H4" s="30"/>
      <c r="I4" s="30"/>
      <c r="J4" s="30"/>
      <c r="K4" s="30"/>
    </row>
    <row r="5" ht="15.75" spans="2:11">
      <c r="B5" s="11"/>
      <c r="C5" s="11"/>
      <c r="E5" s="30"/>
      <c r="H5" s="30"/>
      <c r="I5" s="30"/>
      <c r="J5" s="42"/>
      <c r="K5" s="30"/>
    </row>
    <row r="6" ht="15.75" spans="2:11">
      <c r="B6" s="12" t="s">
        <v>4</v>
      </c>
      <c r="C6" s="26"/>
      <c r="E6" s="30"/>
      <c r="F6" s="45" t="s">
        <v>5</v>
      </c>
      <c r="G6" s="13"/>
      <c r="H6" s="30"/>
      <c r="I6" s="30"/>
      <c r="J6" s="30"/>
      <c r="K6" s="30"/>
    </row>
    <row r="7" spans="2:11">
      <c r="B7" s="6" t="s">
        <v>6</v>
      </c>
      <c r="C7" s="7">
        <v>47.1706</v>
      </c>
      <c r="E7" s="30"/>
      <c r="F7" s="6" t="s">
        <v>7</v>
      </c>
      <c r="G7" s="7">
        <v>0</v>
      </c>
      <c r="H7" s="30"/>
      <c r="I7" s="30"/>
      <c r="J7" s="30"/>
      <c r="K7" s="30"/>
    </row>
    <row r="8" spans="2:11">
      <c r="B8" s="14" t="s">
        <v>8</v>
      </c>
      <c r="C8" s="32">
        <v>18.41</v>
      </c>
      <c r="E8" s="30"/>
      <c r="F8" s="14" t="s">
        <v>8</v>
      </c>
      <c r="G8" s="31">
        <v>0</v>
      </c>
      <c r="H8" s="30"/>
      <c r="I8" s="30"/>
      <c r="J8" s="30"/>
      <c r="K8" s="30"/>
    </row>
    <row r="9" spans="2:11">
      <c r="B9" s="14" t="s">
        <v>9</v>
      </c>
      <c r="C9" s="32">
        <v>100000</v>
      </c>
      <c r="E9" s="30"/>
      <c r="F9" s="14" t="s">
        <v>10</v>
      </c>
      <c r="G9" s="31">
        <v>0</v>
      </c>
      <c r="H9" s="30"/>
      <c r="I9" s="30"/>
      <c r="J9" s="30"/>
      <c r="K9" s="30"/>
    </row>
    <row r="10" spans="2:11">
      <c r="B10" s="14" t="s">
        <v>11</v>
      </c>
      <c r="C10" s="46" t="s">
        <v>12</v>
      </c>
      <c r="E10" s="30"/>
      <c r="F10" s="14" t="s">
        <v>13</v>
      </c>
      <c r="G10" s="31">
        <v>0</v>
      </c>
      <c r="H10" s="30"/>
      <c r="I10" s="30"/>
      <c r="J10" s="30"/>
      <c r="K10" s="30"/>
    </row>
    <row r="11" ht="15.75" spans="2:11">
      <c r="B11" s="22" t="s">
        <v>14</v>
      </c>
      <c r="C11" s="19">
        <v>47.1706</v>
      </c>
      <c r="E11" s="30"/>
      <c r="F11" s="22" t="s">
        <v>14</v>
      </c>
      <c r="G11" s="35">
        <v>0</v>
      </c>
      <c r="H11" s="43"/>
      <c r="I11" s="43"/>
      <c r="J11" s="43"/>
      <c r="K11" s="43"/>
    </row>
    <row r="12" ht="15.75" spans="2:11">
      <c r="B12" s="44"/>
      <c r="C12" s="44"/>
      <c r="E12" s="30"/>
      <c r="F12" s="30"/>
      <c r="G12" s="43"/>
      <c r="H12" s="43"/>
      <c r="I12" s="43"/>
      <c r="J12" s="43"/>
      <c r="K12" s="43"/>
    </row>
    <row r="13" ht="15.75" spans="2:11">
      <c r="B13" s="12" t="s">
        <v>15</v>
      </c>
      <c r="C13" s="26"/>
      <c r="E13" s="30"/>
      <c r="F13" s="47" t="s">
        <v>16</v>
      </c>
      <c r="G13" s="37"/>
      <c r="H13" s="43"/>
      <c r="I13" s="43"/>
      <c r="J13" s="43"/>
      <c r="K13" s="43"/>
    </row>
    <row r="14" spans="2:11">
      <c r="B14" s="27" t="s">
        <v>17</v>
      </c>
      <c r="C14" s="31">
        <v>48.9115</v>
      </c>
      <c r="E14" s="30"/>
      <c r="F14" s="38" t="s">
        <v>18</v>
      </c>
      <c r="G14" s="7">
        <v>96.0826</v>
      </c>
      <c r="H14" s="43"/>
      <c r="I14" s="43"/>
      <c r="J14" s="43"/>
      <c r="K14" s="43"/>
    </row>
    <row r="15" spans="2:11">
      <c r="B15" s="14" t="s">
        <v>19</v>
      </c>
      <c r="C15" s="46" t="s">
        <v>20</v>
      </c>
      <c r="F15" s="39" t="s">
        <v>21</v>
      </c>
      <c r="G15" s="46" t="s">
        <v>22</v>
      </c>
    </row>
    <row r="16" ht="15.75" spans="2:11">
      <c r="B16" s="22" t="s">
        <v>23</v>
      </c>
      <c r="C16" s="19">
        <v>48.9115</v>
      </c>
      <c r="F16" s="9" t="s">
        <v>24</v>
      </c>
      <c r="G16" s="19">
        <v>96.0826</v>
      </c>
    </row>
    <row r="17" ht="15.75" spans="2:7">
      <c r="E17" s="30"/>
      <c r="F17" s="30"/>
    </row>
    <row r="18" spans="2:7">
      <c r="B18" s="6" t="s">
        <v>25</v>
      </c>
      <c r="C18" s="48" t="s">
        <v>26</v>
      </c>
      <c r="F18" s="6" t="s">
        <v>27</v>
      </c>
      <c r="G18" s="48" t="s">
        <v>22</v>
      </c>
    </row>
    <row r="19" ht="15.75" spans="2:7">
      <c r="B19" s="22" t="s">
        <v>28</v>
      </c>
      <c r="C19" s="19">
        <v>96.0821</v>
      </c>
      <c r="F19" s="22" t="s">
        <v>29</v>
      </c>
      <c r="G19" s="19">
        <v>96.0826</v>
      </c>
    </row>
    <row r="20" ht="15.75" spans="2:7">
      <c r="B20" s="11"/>
      <c r="C20" s="11"/>
      <c r="F20" s="30"/>
    </row>
    <row r="21" ht="15.75" spans="2:7">
      <c r="B21" s="36" t="s">
        <v>30</v>
      </c>
      <c r="C21" s="37"/>
      <c r="F21" s="12" t="s">
        <v>31</v>
      </c>
      <c r="G21" s="26"/>
    </row>
    <row r="22" spans="2:7">
      <c r="B22" s="6" t="s">
        <v>32</v>
      </c>
      <c r="C22" s="7">
        <v>2548267</v>
      </c>
      <c r="F22" s="27" t="s">
        <v>33</v>
      </c>
      <c r="G22" s="31">
        <v>100000000</v>
      </c>
    </row>
    <row r="23" spans="2:7">
      <c r="B23" s="14" t="s">
        <v>34</v>
      </c>
      <c r="C23" s="32">
        <v>2548267</v>
      </c>
      <c r="F23" s="14" t="s">
        <v>35</v>
      </c>
      <c r="G23" s="32">
        <v>0.432725374</v>
      </c>
    </row>
    <row r="24" spans="2:7">
      <c r="B24" s="14" t="s">
        <v>36</v>
      </c>
      <c r="C24" s="32">
        <v>392.4236</v>
      </c>
      <c r="E24" s="30"/>
      <c r="F24" s="14" t="s">
        <v>37</v>
      </c>
      <c r="G24" s="32">
        <v>100000000</v>
      </c>
    </row>
    <row r="25" spans="2:7">
      <c r="B25" s="14" t="s">
        <v>38</v>
      </c>
      <c r="C25" s="32">
        <v>166.823619889</v>
      </c>
      <c r="E25" s="30"/>
      <c r="F25" s="14" t="s">
        <v>39</v>
      </c>
      <c r="G25" s="32">
        <v>1</v>
      </c>
    </row>
    <row r="26" ht="15.75" spans="2:7">
      <c r="B26" s="22" t="s">
        <v>40</v>
      </c>
      <c r="C26" s="19">
        <v>27710746</v>
      </c>
      <c r="E26" s="30"/>
      <c r="F26" s="22" t="s">
        <v>41</v>
      </c>
      <c r="G26" s="19">
        <v>1082209272</v>
      </c>
    </row>
    <row r="27" ht="15.75" spans="2:7">
      <c r="B27" s="11"/>
      <c r="C27" s="11"/>
      <c r="E27" s="30"/>
      <c r="F27" s="30"/>
      <c r="G27" s="1"/>
    </row>
    <row r="28" ht="15.75" spans="2:7">
      <c r="B28" s="12" t="s">
        <v>42</v>
      </c>
      <c r="C28" s="26"/>
      <c r="E28" s="30"/>
      <c r="F28" s="12" t="s">
        <v>42</v>
      </c>
      <c r="G28" s="26"/>
    </row>
    <row r="29" spans="2:7">
      <c r="B29" s="27" t="s">
        <v>43</v>
      </c>
      <c r="C29" s="31">
        <v>96.0821</v>
      </c>
      <c r="E29" s="30"/>
      <c r="F29" s="27" t="s">
        <v>43</v>
      </c>
      <c r="G29" s="31">
        <v>96.0826</v>
      </c>
    </row>
    <row r="30" spans="2:7">
      <c r="B30" s="14" t="s">
        <v>44</v>
      </c>
      <c r="C30" s="32">
        <v>0.960820528</v>
      </c>
      <c r="E30" s="30"/>
      <c r="F30" s="14" t="s">
        <v>44</v>
      </c>
      <c r="G30" s="32">
        <v>0.9608254851</v>
      </c>
    </row>
    <row r="31" spans="2:7">
      <c r="B31" s="14" t="s">
        <v>45</v>
      </c>
      <c r="C31" s="46" t="s">
        <v>46</v>
      </c>
      <c r="E31" s="30"/>
      <c r="F31" s="14" t="s">
        <v>45</v>
      </c>
      <c r="G31" s="46" t="s">
        <v>47</v>
      </c>
    </row>
    <row r="32" spans="2:7">
      <c r="B32" s="14" t="s">
        <v>48</v>
      </c>
      <c r="C32" s="32">
        <v>22.1456616546</v>
      </c>
      <c r="E32" s="30"/>
      <c r="F32" s="14" t="s">
        <v>48</v>
      </c>
      <c r="G32" s="32">
        <v>1.9209028615</v>
      </c>
    </row>
    <row r="33" spans="2:7">
      <c r="B33" s="14" t="s">
        <v>49</v>
      </c>
      <c r="C33" s="32">
        <v>18.6619653</v>
      </c>
      <c r="E33" s="30"/>
      <c r="F33" s="14" t="s">
        <v>49</v>
      </c>
      <c r="G33" s="32">
        <v>99.678748</v>
      </c>
    </row>
    <row r="34" spans="2:7">
      <c r="B34" s="14" t="s">
        <v>50</v>
      </c>
      <c r="C34" s="32">
        <v>100000</v>
      </c>
      <c r="E34" s="30"/>
      <c r="F34" s="14" t="s">
        <v>50</v>
      </c>
      <c r="G34" s="32">
        <v>100000</v>
      </c>
    </row>
    <row r="35" ht="15.75" spans="2:7">
      <c r="B35" s="22" t="s">
        <v>51</v>
      </c>
      <c r="C35" s="19" t="s">
        <v>52</v>
      </c>
      <c r="E35" s="30"/>
      <c r="F35" s="22" t="s">
        <v>51</v>
      </c>
      <c r="G35" s="19" t="s">
        <v>53</v>
      </c>
    </row>
    <row r="36" ht="15.75" spans="2:7">
      <c r="B36" s="11"/>
      <c r="C36" s="11"/>
      <c r="E36" s="30"/>
      <c r="F36" s="11"/>
      <c r="G36" s="11"/>
    </row>
    <row r="37" ht="15.75" spans="2:7">
      <c r="B37" s="12" t="s">
        <v>54</v>
      </c>
      <c r="C37" s="26"/>
      <c r="E37" s="30"/>
      <c r="F37" s="12" t="s">
        <v>54</v>
      </c>
      <c r="G37" s="26"/>
    </row>
    <row r="38" spans="2:7">
      <c r="B38" s="27" t="s">
        <v>55</v>
      </c>
      <c r="C38" s="31">
        <v>95.88184228</v>
      </c>
      <c r="E38" s="30"/>
      <c r="F38" s="27" t="s">
        <v>55</v>
      </c>
      <c r="G38" s="31">
        <v>96.05645849</v>
      </c>
    </row>
    <row r="39" spans="2:7">
      <c r="B39" s="14" t="s">
        <v>56</v>
      </c>
      <c r="C39" s="32">
        <v>96.15635772</v>
      </c>
      <c r="E39" s="30"/>
      <c r="F39" s="14" t="s">
        <v>56</v>
      </c>
      <c r="G39" s="32">
        <v>96.13175651</v>
      </c>
    </row>
    <row r="40" spans="2:7">
      <c r="B40" s="14" t="s">
        <v>57</v>
      </c>
      <c r="C40" s="32">
        <v>96.0821</v>
      </c>
      <c r="E40" s="30"/>
      <c r="F40" s="14" t="s">
        <v>57</v>
      </c>
      <c r="G40" s="32">
        <v>96.0826</v>
      </c>
    </row>
    <row r="41" ht="15.75" spans="2:7">
      <c r="B41" s="22" t="s">
        <v>58</v>
      </c>
      <c r="C41" s="19" t="s">
        <v>59</v>
      </c>
      <c r="E41" s="30"/>
      <c r="F41" s="22" t="s">
        <v>58</v>
      </c>
      <c r="G41" s="19" t="s">
        <v>59</v>
      </c>
    </row>
    <row r="42" spans="2:7">
      <c r="E42" s="30"/>
      <c r="F42" s="30"/>
    </row>
  </sheetData>
  <mergeCells count="18">
    <mergeCell ref="B2:C2"/>
    <mergeCell ref="F2:G2"/>
    <mergeCell ref="B5:C5"/>
    <mergeCell ref="B6:C6"/>
    <mergeCell ref="F6:G6"/>
    <mergeCell ref="B12:C12"/>
    <mergeCell ref="B13:C13"/>
    <mergeCell ref="F13:G13"/>
    <mergeCell ref="B20:C20"/>
    <mergeCell ref="B21:C21"/>
    <mergeCell ref="F21:G21"/>
    <mergeCell ref="B27:C27"/>
    <mergeCell ref="B28:C28"/>
    <mergeCell ref="F28:G28"/>
    <mergeCell ref="B36:C36"/>
    <mergeCell ref="F36:G36"/>
    <mergeCell ref="B37:C37"/>
    <mergeCell ref="F37:G3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43"/>
  <sheetViews>
    <sheetView topLeftCell="D4" workbookViewId="0">
      <selection activeCell="D4" sqref="D4"/>
    </sheetView>
  </sheetViews>
  <sheetFormatPr defaultColWidth="9.12380952380952" defaultRowHeight="15"/>
  <cols>
    <col min="2" max="2" width="23.3714285714286" customWidth="1"/>
    <col min="3" max="3" width="43.8761904761905" customWidth="1"/>
    <col min="6" max="6" width="35" customWidth="1"/>
    <col min="7" max="7" width="35.1238095238095" customWidth="1"/>
    <col min="8" max="8" width="32" customWidth="1"/>
    <col min="13" max="13" width="22.3714285714286" customWidth="1"/>
    <col min="14" max="14" width="19" customWidth="1"/>
  </cols>
  <sheetData>
    <row r="1" ht="15.75"/>
    <row r="2" ht="15.75" spans="2:14">
      <c r="B2" s="12" t="s">
        <v>0</v>
      </c>
      <c r="C2" s="26"/>
      <c r="F2" s="12" t="s">
        <v>0</v>
      </c>
      <c r="G2" s="26"/>
    </row>
    <row r="3" spans="2:14">
      <c r="B3" s="27" t="s">
        <v>1</v>
      </c>
      <c r="C3" s="28" t="s">
        <v>0</v>
      </c>
      <c r="F3" s="27" t="s">
        <v>1</v>
      </c>
      <c r="G3" s="28" t="s">
        <v>2</v>
      </c>
      <c r="M3" s="8"/>
      <c r="N3" s="8"/>
    </row>
    <row r="4" ht="15.75" spans="2:14">
      <c r="B4" s="22" t="s">
        <v>3</v>
      </c>
      <c r="C4" s="10">
        <v>0.9413</v>
      </c>
      <c r="F4" s="22" t="s">
        <v>3</v>
      </c>
      <c r="G4" s="10">
        <v>0.9417</v>
      </c>
      <c r="M4" s="29"/>
      <c r="N4" s="8"/>
    </row>
    <row r="5" ht="15.75" spans="2:14">
      <c r="B5" s="11"/>
      <c r="C5" s="11"/>
      <c r="M5" s="29"/>
      <c r="N5" s="8"/>
    </row>
    <row r="6" ht="15.75" spans="2:14">
      <c r="B6" s="12" t="s">
        <v>4</v>
      </c>
      <c r="C6" s="26"/>
      <c r="F6" s="45" t="s">
        <v>5</v>
      </c>
      <c r="G6" s="13"/>
      <c r="H6" s="30"/>
      <c r="M6" s="4"/>
      <c r="N6" s="4"/>
    </row>
    <row r="7" spans="2:14">
      <c r="B7" s="27" t="s">
        <v>7</v>
      </c>
      <c r="C7" s="31">
        <v>47.1903</v>
      </c>
      <c r="F7" s="6" t="s">
        <v>7</v>
      </c>
      <c r="G7" s="7">
        <v>0</v>
      </c>
      <c r="H7" s="5"/>
      <c r="M7" s="8"/>
      <c r="N7" s="8"/>
    </row>
    <row r="8" spans="2:14">
      <c r="B8" s="14" t="s">
        <v>8</v>
      </c>
      <c r="C8" s="32">
        <v>18.41</v>
      </c>
      <c r="F8" s="14" t="s">
        <v>8</v>
      </c>
      <c r="G8" s="31">
        <v>0</v>
      </c>
      <c r="H8" s="33"/>
      <c r="M8" s="8"/>
      <c r="N8" s="8"/>
    </row>
    <row r="9" spans="2:14">
      <c r="B9" s="14" t="s">
        <v>9</v>
      </c>
      <c r="C9" s="32">
        <v>99100</v>
      </c>
      <c r="F9" s="14" t="s">
        <v>10</v>
      </c>
      <c r="G9" s="31">
        <v>0</v>
      </c>
      <c r="H9" s="30"/>
      <c r="M9" s="8"/>
      <c r="N9" s="8"/>
    </row>
    <row r="10" spans="2:14">
      <c r="B10" s="14" t="s">
        <v>11</v>
      </c>
      <c r="C10" s="46" t="s">
        <v>60</v>
      </c>
      <c r="F10" s="14" t="s">
        <v>13</v>
      </c>
      <c r="G10" s="31">
        <v>0</v>
      </c>
      <c r="H10" s="30"/>
      <c r="M10" s="8"/>
      <c r="N10" s="34"/>
    </row>
    <row r="11" ht="15.75" spans="2:14">
      <c r="B11" s="22" t="s">
        <v>61</v>
      </c>
      <c r="C11" s="19">
        <v>47.1903</v>
      </c>
      <c r="F11" s="22" t="s">
        <v>14</v>
      </c>
      <c r="G11" s="35">
        <v>0</v>
      </c>
      <c r="H11" s="5"/>
    </row>
    <row r="12" ht="15.75" spans="2:14">
      <c r="B12" s="11"/>
      <c r="C12" s="11"/>
      <c r="G12" s="8"/>
      <c r="H12" s="5"/>
    </row>
    <row r="13" ht="15.75" spans="2:14">
      <c r="B13" s="12" t="s">
        <v>15</v>
      </c>
      <c r="C13" s="26"/>
      <c r="F13" s="47" t="s">
        <v>16</v>
      </c>
      <c r="G13" s="37"/>
      <c r="H13" s="5"/>
    </row>
    <row r="14" spans="2:14">
      <c r="B14" s="27" t="s">
        <v>17</v>
      </c>
      <c r="C14" s="31">
        <v>46.854</v>
      </c>
      <c r="F14" s="38" t="s">
        <v>18</v>
      </c>
      <c r="G14" s="7">
        <v>94.1695</v>
      </c>
      <c r="H14" s="5"/>
    </row>
    <row r="15" spans="2:14">
      <c r="B15" s="14" t="s">
        <v>19</v>
      </c>
      <c r="C15" s="46" t="s">
        <v>62</v>
      </c>
      <c r="F15" s="39" t="s">
        <v>21</v>
      </c>
      <c r="G15" s="46" t="s">
        <v>63</v>
      </c>
      <c r="H15" s="5"/>
    </row>
    <row r="16" ht="15.75" spans="2:14">
      <c r="B16" s="22" t="s">
        <v>23</v>
      </c>
      <c r="C16" s="19">
        <v>46.854</v>
      </c>
      <c r="F16" s="9" t="s">
        <v>24</v>
      </c>
      <c r="G16" s="19">
        <v>94.1695</v>
      </c>
      <c r="H16" s="30"/>
    </row>
    <row r="17" ht="15.75" spans="2:8">
      <c r="B17" s="11"/>
      <c r="C17" s="11"/>
      <c r="G17" s="8"/>
      <c r="H17" s="5"/>
    </row>
    <row r="18" spans="2:8">
      <c r="B18" s="6" t="s">
        <v>64</v>
      </c>
      <c r="C18" s="49" t="s">
        <v>65</v>
      </c>
      <c r="F18" s="38" t="s">
        <v>27</v>
      </c>
      <c r="G18" s="48" t="s">
        <v>63</v>
      </c>
      <c r="H18" s="5"/>
    </row>
    <row r="19" ht="15.75" spans="2:8">
      <c r="B19" s="22" t="s">
        <v>66</v>
      </c>
      <c r="C19" s="19">
        <v>94.0442</v>
      </c>
      <c r="F19" s="9" t="s">
        <v>29</v>
      </c>
      <c r="G19" s="19">
        <v>94.1695</v>
      </c>
      <c r="H19" s="4"/>
    </row>
    <row r="20" ht="15.75" spans="2:8">
      <c r="B20" s="11"/>
      <c r="C20" s="11"/>
      <c r="F20" s="11"/>
      <c r="G20" s="11"/>
      <c r="H20" s="5"/>
    </row>
    <row r="21" ht="15.75" spans="2:8">
      <c r="B21" s="12" t="s">
        <v>30</v>
      </c>
      <c r="C21" s="26"/>
      <c r="F21" s="2" t="s">
        <v>30</v>
      </c>
      <c r="G21" s="41"/>
      <c r="H21" s="5"/>
    </row>
    <row r="22" spans="2:8">
      <c r="B22" s="27" t="s">
        <v>67</v>
      </c>
      <c r="C22" s="31">
        <v>2481989</v>
      </c>
      <c r="F22" s="6" t="s">
        <v>68</v>
      </c>
      <c r="G22" s="7">
        <v>100000000</v>
      </c>
    </row>
    <row r="23" spans="2:8">
      <c r="B23" s="14" t="s">
        <v>69</v>
      </c>
      <c r="C23" s="32">
        <v>2481989</v>
      </c>
      <c r="F23" s="14" t="s">
        <v>70</v>
      </c>
      <c r="G23" s="32">
        <v>0.431790319</v>
      </c>
    </row>
    <row r="24" spans="2:8">
      <c r="B24" s="14" t="s">
        <v>71</v>
      </c>
      <c r="C24" s="32">
        <v>402.9027</v>
      </c>
      <c r="F24" s="14" t="s">
        <v>34</v>
      </c>
      <c r="G24" s="32">
        <v>100000000</v>
      </c>
    </row>
    <row r="25" spans="2:8">
      <c r="B25" s="14" t="s">
        <v>38</v>
      </c>
      <c r="C25" s="32">
        <v>170.900235791</v>
      </c>
      <c r="F25" s="14" t="s">
        <v>36</v>
      </c>
      <c r="G25" s="32">
        <v>1</v>
      </c>
    </row>
    <row r="26" ht="15.75" spans="2:8">
      <c r="B26" s="22" t="s">
        <v>40</v>
      </c>
      <c r="C26" s="19">
        <v>27004414</v>
      </c>
      <c r="F26" s="22" t="s">
        <v>40</v>
      </c>
      <c r="G26" s="19">
        <v>1082772822</v>
      </c>
    </row>
    <row r="27" ht="15.75" spans="2:8">
      <c r="B27" s="11"/>
      <c r="C27" s="11"/>
    </row>
    <row r="28" ht="15.75" spans="2:8">
      <c r="B28" s="12" t="s">
        <v>42</v>
      </c>
      <c r="C28" s="26"/>
      <c r="F28" s="36" t="s">
        <v>42</v>
      </c>
      <c r="G28" s="37"/>
    </row>
    <row r="29" spans="2:8">
      <c r="B29" s="27" t="s">
        <v>72</v>
      </c>
      <c r="C29" s="31">
        <v>94.0442</v>
      </c>
      <c r="F29" s="6" t="s">
        <v>73</v>
      </c>
      <c r="G29" s="7">
        <v>94.1695</v>
      </c>
    </row>
    <row r="30" spans="2:8">
      <c r="B30" s="14" t="s">
        <v>74</v>
      </c>
      <c r="C30" s="32">
        <v>0.9404415745</v>
      </c>
      <c r="F30" s="14" t="s">
        <v>44</v>
      </c>
      <c r="G30" s="32">
        <v>0.9416941154</v>
      </c>
    </row>
    <row r="31" spans="2:8">
      <c r="B31" s="14" t="s">
        <v>75</v>
      </c>
      <c r="C31" s="46" t="s">
        <v>76</v>
      </c>
      <c r="F31" s="14" t="s">
        <v>77</v>
      </c>
      <c r="G31" s="46" t="s">
        <v>78</v>
      </c>
    </row>
    <row r="32" spans="2:8">
      <c r="B32" s="14" t="s">
        <v>79</v>
      </c>
      <c r="C32" s="32">
        <v>21.6485660169</v>
      </c>
      <c r="F32" s="14" t="s">
        <v>48</v>
      </c>
      <c r="G32" s="32">
        <v>1.9063229773</v>
      </c>
    </row>
    <row r="33" spans="2:8">
      <c r="B33" s="14" t="s">
        <v>80</v>
      </c>
      <c r="C33" s="32">
        <v>18.6545537</v>
      </c>
      <c r="F33" s="14" t="s">
        <v>49</v>
      </c>
      <c r="G33" s="32">
        <v>99.661171</v>
      </c>
    </row>
    <row r="34" spans="2:8">
      <c r="B34" s="14" t="s">
        <v>81</v>
      </c>
      <c r="C34" s="32">
        <v>100000</v>
      </c>
      <c r="F34" s="14" t="s">
        <v>50</v>
      </c>
      <c r="G34" s="32">
        <v>100000</v>
      </c>
      <c r="H34" s="5"/>
    </row>
    <row r="35" ht="15.75" spans="2:8">
      <c r="B35" s="22" t="s">
        <v>82</v>
      </c>
      <c r="C35" s="19" t="s">
        <v>83</v>
      </c>
      <c r="F35" s="22" t="s">
        <v>84</v>
      </c>
      <c r="G35" s="19" t="s">
        <v>85</v>
      </c>
      <c r="H35" s="5"/>
    </row>
    <row r="36" ht="15.75" spans="2:8">
      <c r="B36" s="11"/>
      <c r="C36" s="11"/>
      <c r="F36" s="11"/>
      <c r="G36" s="11"/>
      <c r="H36" s="5"/>
    </row>
    <row r="37" ht="15.75" spans="2:8">
      <c r="B37" s="36" t="s">
        <v>54</v>
      </c>
      <c r="C37" s="37"/>
      <c r="F37" s="12" t="s">
        <v>54</v>
      </c>
      <c r="G37" s="26"/>
      <c r="H37" s="5"/>
    </row>
    <row r="38" spans="2:8">
      <c r="B38" s="38" t="s">
        <v>86</v>
      </c>
      <c r="C38" s="7">
        <v>93.99902326</v>
      </c>
      <c r="F38" s="27" t="s">
        <v>86</v>
      </c>
      <c r="G38" s="31">
        <v>94.12913675</v>
      </c>
    </row>
    <row r="39" spans="2:8">
      <c r="B39" s="39" t="s">
        <v>56</v>
      </c>
      <c r="C39" s="32">
        <v>94.26737674</v>
      </c>
      <c r="F39" s="14" t="s">
        <v>87</v>
      </c>
      <c r="G39" s="32">
        <v>94.20386325</v>
      </c>
    </row>
    <row r="40" spans="2:8">
      <c r="B40" s="39" t="s">
        <v>57</v>
      </c>
      <c r="C40" s="32">
        <v>94.0442</v>
      </c>
      <c r="F40" s="14" t="s">
        <v>57</v>
      </c>
      <c r="G40" s="32">
        <v>94.1695</v>
      </c>
      <c r="H40" s="5"/>
    </row>
    <row r="41" ht="15.75" spans="2:8">
      <c r="B41" s="9" t="s">
        <v>88</v>
      </c>
      <c r="C41" s="19" t="s">
        <v>59</v>
      </c>
      <c r="F41" s="22" t="s">
        <v>58</v>
      </c>
      <c r="G41" s="19" t="s">
        <v>59</v>
      </c>
      <c r="H41" s="5"/>
    </row>
    <row r="42" spans="2:8">
      <c r="H42" s="5"/>
    </row>
    <row r="43" spans="2:8">
      <c r="H43" s="5"/>
    </row>
  </sheetData>
  <mergeCells count="21">
    <mergeCell ref="B2:C2"/>
    <mergeCell ref="F2:G2"/>
    <mergeCell ref="B5:C5"/>
    <mergeCell ref="B6:C6"/>
    <mergeCell ref="F6:G6"/>
    <mergeCell ref="M6:N6"/>
    <mergeCell ref="B12:C12"/>
    <mergeCell ref="B13:C13"/>
    <mergeCell ref="F13:G13"/>
    <mergeCell ref="B17:C17"/>
    <mergeCell ref="B20:C20"/>
    <mergeCell ref="F20:G20"/>
    <mergeCell ref="B21:C21"/>
    <mergeCell ref="F21:G21"/>
    <mergeCell ref="B27:C27"/>
    <mergeCell ref="B28:C28"/>
    <mergeCell ref="F28:G28"/>
    <mergeCell ref="B36:C36"/>
    <mergeCell ref="F36:G36"/>
    <mergeCell ref="B37:C37"/>
    <mergeCell ref="F37:G3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53"/>
  <sheetViews>
    <sheetView tabSelected="1" topLeftCell="A4" workbookViewId="0">
      <selection activeCell="B45" sqref="B45:C45"/>
    </sheetView>
  </sheetViews>
  <sheetFormatPr defaultColWidth="9.12380952380952" defaultRowHeight="15"/>
  <cols>
    <col min="2" max="2" width="38.8761904761905" customWidth="1"/>
    <col min="3" max="3" width="38.752380952381" style="1" customWidth="1"/>
    <col min="6" max="6" width="37.247619047619" customWidth="1"/>
    <col min="7" max="7" width="35" customWidth="1"/>
    <col min="10" max="10" width="14" customWidth="1"/>
    <col min="11" max="11" width="15.2857142857143" customWidth="1"/>
  </cols>
  <sheetData>
    <row r="1" ht="15.75"/>
    <row r="2" ht="15.75" spans="2:11">
      <c r="B2" s="2" t="s">
        <v>0</v>
      </c>
      <c r="C2" s="3"/>
      <c r="F2" s="2" t="s">
        <v>2</v>
      </c>
      <c r="G2" s="3"/>
      <c r="J2" s="4"/>
      <c r="K2" s="5"/>
    </row>
    <row r="3" spans="2:11">
      <c r="B3" s="6" t="s">
        <v>1</v>
      </c>
      <c r="C3" s="7" t="s">
        <v>89</v>
      </c>
      <c r="F3" s="6" t="s">
        <v>1</v>
      </c>
      <c r="G3" s="7" t="s">
        <v>90</v>
      </c>
      <c r="J3" s="8"/>
      <c r="K3" s="5"/>
    </row>
    <row r="4" ht="15.75" spans="2:11">
      <c r="B4" s="9" t="s">
        <v>91</v>
      </c>
      <c r="C4" s="10">
        <v>0.925</v>
      </c>
      <c r="F4" s="9" t="s">
        <v>91</v>
      </c>
      <c r="G4" s="10">
        <v>0.925</v>
      </c>
      <c r="J4" s="8"/>
      <c r="K4" s="5"/>
    </row>
    <row r="5" ht="15.75" spans="2:11">
      <c r="B5" s="11"/>
      <c r="C5" s="11"/>
      <c r="F5" s="11"/>
      <c r="G5" s="11"/>
      <c r="J5" s="8"/>
      <c r="K5" s="5"/>
    </row>
    <row r="6" ht="15.75" spans="2:11">
      <c r="B6" s="12" t="s">
        <v>4</v>
      </c>
      <c r="C6" s="13"/>
      <c r="F6" s="45" t="s">
        <v>5</v>
      </c>
      <c r="G6" s="13"/>
      <c r="J6" s="4"/>
      <c r="K6" s="5"/>
    </row>
    <row r="7" ht="16.5" spans="2:11">
      <c r="B7" s="14" t="s">
        <v>92</v>
      </c>
      <c r="C7" s="15">
        <v>35.1968</v>
      </c>
      <c r="F7" s="16" t="s">
        <v>14</v>
      </c>
      <c r="G7" s="13">
        <v>0</v>
      </c>
      <c r="J7" s="8"/>
      <c r="K7" s="5"/>
    </row>
    <row r="8" ht="15.75" spans="2:11">
      <c r="B8" s="17" t="s">
        <v>93</v>
      </c>
      <c r="C8" s="15">
        <v>11.2172</v>
      </c>
      <c r="F8" s="8"/>
      <c r="G8" s="5"/>
      <c r="J8" s="8"/>
      <c r="K8" s="5"/>
    </row>
    <row r="9" ht="15.75" spans="2:11">
      <c r="B9" s="14" t="s">
        <v>94</v>
      </c>
      <c r="C9" s="15">
        <v>10.1727</v>
      </c>
      <c r="F9" s="8"/>
      <c r="G9" s="5"/>
      <c r="J9" s="4"/>
      <c r="K9" s="5"/>
    </row>
    <row r="10" ht="15.75" spans="2:11">
      <c r="B10" s="14" t="s">
        <v>95</v>
      </c>
      <c r="C10" s="15">
        <v>5.1287</v>
      </c>
      <c r="F10" s="8"/>
      <c r="G10" s="5"/>
      <c r="J10" s="4"/>
      <c r="K10" s="4"/>
    </row>
    <row r="11" spans="2:11">
      <c r="B11" s="18" t="s">
        <v>14</v>
      </c>
      <c r="C11" s="19">
        <f>SUM(C7:C10)</f>
        <v>61.7154</v>
      </c>
      <c r="J11" s="8"/>
      <c r="K11" s="5"/>
    </row>
    <row r="12" spans="2:11">
      <c r="F12" s="20" t="s">
        <v>96</v>
      </c>
      <c r="G12" s="1"/>
      <c r="J12" s="8"/>
      <c r="K12" s="5"/>
    </row>
    <row r="13" spans="2:11">
      <c r="J13" s="8"/>
      <c r="K13" s="5"/>
    </row>
    <row r="14" ht="15.75" spans="2:11">
      <c r="B14" s="12" t="s">
        <v>97</v>
      </c>
      <c r="C14" s="13"/>
      <c r="F14" s="21" t="s">
        <v>97</v>
      </c>
      <c r="G14" s="7"/>
      <c r="J14" s="8"/>
      <c r="K14" s="5"/>
    </row>
    <row r="15" ht="15.75" spans="2:11">
      <c r="B15" s="6" t="s">
        <v>17</v>
      </c>
      <c r="C15" s="7">
        <v>30.9149</v>
      </c>
      <c r="F15" s="22" t="s">
        <v>66</v>
      </c>
      <c r="G15" s="19">
        <v>92.5326</v>
      </c>
      <c r="J15" s="8"/>
      <c r="K15" s="5"/>
    </row>
    <row r="16" ht="15.75" spans="2:11">
      <c r="B16" s="22" t="s">
        <v>98</v>
      </c>
      <c r="C16" s="19">
        <f>C11+C15</f>
        <v>92.6303</v>
      </c>
      <c r="F16" s="8"/>
      <c r="G16" s="5"/>
      <c r="J16" s="4"/>
      <c r="K16" s="4"/>
    </row>
    <row r="17" spans="2:11">
      <c r="B17" s="23"/>
      <c r="C17" s="24"/>
      <c r="F17" s="21" t="s">
        <v>99</v>
      </c>
      <c r="G17" s="7"/>
      <c r="J17" s="4"/>
      <c r="K17" s="5"/>
    </row>
    <row r="18" ht="15.75" spans="2:11">
      <c r="B18" s="25"/>
      <c r="C18" s="24"/>
      <c r="F18" s="22" t="s">
        <v>66</v>
      </c>
      <c r="G18" s="19">
        <v>92.5196</v>
      </c>
      <c r="J18" s="8"/>
      <c r="K18" s="5"/>
    </row>
    <row r="19" ht="15.75" spans="2:11">
      <c r="B19" s="2" t="s">
        <v>99</v>
      </c>
      <c r="C19" s="3"/>
      <c r="F19" s="8"/>
      <c r="G19" s="5"/>
      <c r="J19" s="8"/>
      <c r="K19" s="5"/>
    </row>
    <row r="20" spans="2:11">
      <c r="B20" s="6" t="s">
        <v>17</v>
      </c>
      <c r="C20" s="7">
        <v>30.631</v>
      </c>
      <c r="F20" s="21" t="s">
        <v>100</v>
      </c>
      <c r="G20" s="7"/>
      <c r="J20" s="8"/>
      <c r="K20" s="5"/>
    </row>
    <row r="21" spans="2:11">
      <c r="B21" s="22" t="s">
        <v>66</v>
      </c>
      <c r="C21" s="19">
        <f>C11+C20</f>
        <v>92.3464</v>
      </c>
      <c r="F21" s="22" t="s">
        <v>66</v>
      </c>
      <c r="G21" s="19">
        <v>92.5555</v>
      </c>
      <c r="J21" s="8"/>
      <c r="K21" s="5"/>
    </row>
    <row r="22" spans="2:11">
      <c r="G22" s="1"/>
      <c r="J22" s="8"/>
      <c r="K22" s="5"/>
    </row>
    <row r="23" ht="15.75" spans="2:11">
      <c r="J23" s="8"/>
      <c r="K23" s="5"/>
    </row>
    <row r="24" spans="2:11">
      <c r="B24" s="2" t="s">
        <v>100</v>
      </c>
      <c r="C24" s="3"/>
      <c r="F24" s="20" t="s">
        <v>101</v>
      </c>
      <c r="G24" s="1"/>
      <c r="J24" s="8"/>
      <c r="K24" s="5"/>
    </row>
    <row r="25" ht="15.75" spans="2:11">
      <c r="B25" s="6" t="s">
        <v>17</v>
      </c>
      <c r="C25" s="7">
        <v>30.918</v>
      </c>
      <c r="G25" s="1"/>
      <c r="J25" s="4"/>
      <c r="K25" s="4"/>
    </row>
    <row r="26" ht="15.75" spans="2:11">
      <c r="B26" s="22" t="s">
        <v>66</v>
      </c>
      <c r="C26" s="19">
        <f>C11+C25</f>
        <v>92.6334</v>
      </c>
      <c r="F26" s="21" t="s">
        <v>97</v>
      </c>
      <c r="G26" s="7"/>
      <c r="J26" s="4"/>
      <c r="K26" s="4"/>
    </row>
    <row r="27" ht="17.1" customHeight="1" spans="2:11">
      <c r="B27" s="8"/>
      <c r="C27" s="5"/>
      <c r="F27" s="22" t="s">
        <v>66</v>
      </c>
      <c r="G27" s="19">
        <v>92.5038</v>
      </c>
      <c r="J27" s="8"/>
      <c r="K27" s="5"/>
    </row>
    <row r="28" ht="15.75" spans="2:11">
      <c r="B28" s="4"/>
      <c r="C28" s="5"/>
      <c r="F28" s="8"/>
      <c r="G28" s="5"/>
      <c r="J28" s="5"/>
      <c r="K28" s="5"/>
    </row>
    <row r="29" spans="2:11">
      <c r="B29" s="20" t="s">
        <v>102</v>
      </c>
      <c r="F29" s="21" t="s">
        <v>99</v>
      </c>
      <c r="G29" s="7"/>
      <c r="J29" s="8"/>
      <c r="K29" s="5"/>
    </row>
    <row r="30" ht="15.75" spans="2:11">
      <c r="F30" s="22" t="s">
        <v>66</v>
      </c>
      <c r="G30" s="19">
        <v>92.5039</v>
      </c>
      <c r="J30" s="5"/>
      <c r="K30" s="5"/>
    </row>
    <row r="31" ht="15.75" spans="2:11">
      <c r="B31" s="2" t="s">
        <v>97</v>
      </c>
      <c r="C31" s="3"/>
      <c r="F31" s="8"/>
      <c r="G31" s="5"/>
      <c r="J31" s="8"/>
      <c r="K31" s="8"/>
    </row>
    <row r="32" spans="2:11">
      <c r="B32" s="6" t="s">
        <v>17</v>
      </c>
      <c r="C32" s="7">
        <v>30.8169</v>
      </c>
      <c r="F32" s="21" t="s">
        <v>100</v>
      </c>
      <c r="G32" s="7"/>
      <c r="J32" s="8"/>
      <c r="K32" s="8"/>
    </row>
    <row r="33" spans="2:11">
      <c r="B33" s="22" t="s">
        <v>66</v>
      </c>
      <c r="C33" s="19">
        <f>C11+C32</f>
        <v>92.5323</v>
      </c>
      <c r="F33" s="22" t="s">
        <v>66</v>
      </c>
      <c r="G33" s="19">
        <v>92.4459</v>
      </c>
      <c r="J33" s="4"/>
      <c r="K33" s="4"/>
    </row>
    <row r="34" spans="2:11">
      <c r="B34" s="8"/>
      <c r="C34" s="5"/>
      <c r="F34" s="8"/>
      <c r="G34" s="5"/>
      <c r="J34" s="8"/>
      <c r="K34" s="5"/>
    </row>
    <row r="35" spans="2:11">
      <c r="B35" s="4"/>
      <c r="C35" s="5"/>
      <c r="F35" t="s">
        <v>103</v>
      </c>
      <c r="J35" s="8"/>
      <c r="K35" s="5"/>
    </row>
    <row r="36" ht="15.75" spans="2:11">
      <c r="B36" s="2" t="s">
        <v>99</v>
      </c>
      <c r="C36" s="3"/>
      <c r="G36" s="1"/>
      <c r="J36" s="8"/>
      <c r="K36" s="5"/>
    </row>
    <row r="37" spans="2:11">
      <c r="B37" s="6" t="s">
        <v>17</v>
      </c>
      <c r="C37" s="7">
        <v>30.8787</v>
      </c>
      <c r="G37" s="1"/>
      <c r="J37" s="8"/>
      <c r="K37" s="5"/>
    </row>
    <row r="38" ht="15.75" spans="2:11">
      <c r="B38" s="22" t="s">
        <v>66</v>
      </c>
      <c r="C38" s="19">
        <f>C11+C37</f>
        <v>92.5941</v>
      </c>
      <c r="J38" s="8"/>
      <c r="K38" s="5"/>
    </row>
    <row r="39" spans="2:11">
      <c r="B39" s="8"/>
      <c r="C39" s="5"/>
      <c r="J39" s="4"/>
      <c r="K39" s="4"/>
    </row>
    <row r="40" ht="15.75" spans="2:11">
      <c r="B40" s="4"/>
      <c r="C40" s="5"/>
      <c r="F40" s="8"/>
      <c r="G40" s="5"/>
      <c r="J40" s="4"/>
      <c r="K40" s="5"/>
    </row>
    <row r="41" ht="15.75" spans="2:11">
      <c r="B41" s="2" t="s">
        <v>100</v>
      </c>
      <c r="C41" s="3"/>
      <c r="F41" s="8"/>
      <c r="G41" s="5"/>
      <c r="J41" s="8"/>
      <c r="K41" s="5"/>
    </row>
    <row r="42" spans="2:11">
      <c r="B42" s="6" t="s">
        <v>17</v>
      </c>
      <c r="C42" s="7">
        <v>30.7852</v>
      </c>
      <c r="F42" s="4"/>
      <c r="G42" s="5"/>
      <c r="J42" s="8"/>
      <c r="K42" s="5"/>
    </row>
    <row r="43" ht="15.75" spans="2:11">
      <c r="B43" s="22" t="s">
        <v>66</v>
      </c>
      <c r="C43" s="19">
        <f>C11+C42</f>
        <v>92.5006</v>
      </c>
      <c r="F43" s="8"/>
      <c r="G43" s="5"/>
      <c r="J43" s="8"/>
      <c r="K43" s="5"/>
    </row>
    <row r="44" spans="2:11">
      <c r="B44" s="8"/>
      <c r="C44" s="5"/>
      <c r="J44" s="8"/>
      <c r="K44" s="5"/>
    </row>
    <row r="45" spans="2:11">
      <c r="B45" s="4" t="s">
        <v>104</v>
      </c>
      <c r="C45" s="5"/>
      <c r="J45" s="8"/>
      <c r="K45" s="5"/>
    </row>
    <row r="46" spans="2:11">
      <c r="B46" s="8"/>
      <c r="C46" s="5"/>
      <c r="J46" s="8"/>
      <c r="K46" s="5"/>
    </row>
    <row r="47" spans="2:11">
      <c r="J47" s="8"/>
      <c r="K47" s="5"/>
    </row>
    <row r="48" spans="2:11">
      <c r="J48" s="4"/>
      <c r="K48" s="4"/>
    </row>
    <row r="49" spans="10:11">
      <c r="J49" s="4"/>
      <c r="K49" s="4"/>
    </row>
    <row r="50" spans="10:11">
      <c r="J50" s="8"/>
      <c r="K50" s="5"/>
    </row>
    <row r="51" spans="10:11">
      <c r="J51" s="5"/>
      <c r="K51" s="5"/>
    </row>
    <row r="52" spans="10:11">
      <c r="J52" s="8"/>
      <c r="K52" s="5"/>
    </row>
    <row r="53" spans="10:11">
      <c r="J53" s="5"/>
      <c r="K53" s="5"/>
    </row>
  </sheetData>
  <mergeCells count="37">
    <mergeCell ref="B2:C2"/>
    <mergeCell ref="F2:G2"/>
    <mergeCell ref="J2:K2"/>
    <mergeCell ref="B5:C5"/>
    <mergeCell ref="F5:G5"/>
    <mergeCell ref="B6:C6"/>
    <mergeCell ref="F6:G6"/>
    <mergeCell ref="J6:K6"/>
    <mergeCell ref="J9:K9"/>
    <mergeCell ref="J10:K10"/>
    <mergeCell ref="B14:C14"/>
    <mergeCell ref="F14:G14"/>
    <mergeCell ref="J16:K16"/>
    <mergeCell ref="F17:G17"/>
    <mergeCell ref="J17:K17"/>
    <mergeCell ref="B18:C18"/>
    <mergeCell ref="B19:C19"/>
    <mergeCell ref="F20:G20"/>
    <mergeCell ref="B24:C24"/>
    <mergeCell ref="J25:K25"/>
    <mergeCell ref="F26:G26"/>
    <mergeCell ref="J26:K26"/>
    <mergeCell ref="B28:C28"/>
    <mergeCell ref="F29:G29"/>
    <mergeCell ref="B31:C31"/>
    <mergeCell ref="F32:G32"/>
    <mergeCell ref="J33:K33"/>
    <mergeCell ref="B35:C35"/>
    <mergeCell ref="B36:C36"/>
    <mergeCell ref="J39:K39"/>
    <mergeCell ref="B40:C40"/>
    <mergeCell ref="J40:K40"/>
    <mergeCell ref="B41:C41"/>
    <mergeCell ref="F42:G42"/>
    <mergeCell ref="B45:C45"/>
    <mergeCell ref="J48:K48"/>
    <mergeCell ref="J49:K4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RTP_96</vt:lpstr>
      <vt:lpstr>RTP_94</vt:lpstr>
      <vt:lpstr>RTP_92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</dc:creator>
  <cp:lastModifiedBy>Aditya Sharma</cp:lastModifiedBy>
  <dcterms:created xsi:type="dcterms:W3CDTF">2025-12-02T08:37:00Z</dcterms:created>
  <dcterms:modified xsi:type="dcterms:W3CDTF">2026-07-29T08:23:57Z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6FAEA27AC1BB473F9D0B9BA047333935_13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