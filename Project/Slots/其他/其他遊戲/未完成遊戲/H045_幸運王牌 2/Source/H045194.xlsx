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45_幸運王牌 2\Source\"/>
    </mc:Choice>
  </mc:AlternateContent>
  <xr:revisionPtr revIDLastSave="0" documentId="13_ncr:1_{0F675885-121B-49BF-9BCA-E8F4A6545D65}" xr6:coauthVersionLast="47" xr6:coauthVersionMax="47" xr10:uidLastSave="{00000000-0000-0000-0000-000000000000}"/>
  <bookViews>
    <workbookView xWindow="-24090" yWindow="1260" windowWidth="15090" windowHeight="9870" xr2:uid="{00000000-000D-0000-FFFF-FFFF00000000}"/>
  </bookViews>
  <sheets>
    <sheet name="Overview" sheetId="1" r:id="rId1"/>
    <sheet name="Description" sheetId="2" r:id="rId2"/>
    <sheet name="Parameter" sheetId="3" r:id="rId3"/>
    <sheet name="Multiplier_Weight" sheetId="4" r:id="rId4"/>
    <sheet name="Multiplier_Weight_Newbie" sheetId="5" r:id="rId5"/>
    <sheet name="Multiplier_Weight_Oldhand" sheetId="6" r:id="rId6"/>
    <sheet name="OP Jackpot" sheetId="7" r:id="rId7"/>
    <sheet name="BG_Symbol" sheetId="8" r:id="rId8"/>
    <sheet name="BG_Symbol (2)" sheetId="9" r:id="rId9"/>
    <sheet name="FG_Symbol" sheetId="10" r:id="rId10"/>
    <sheet name="FG_Symbol (2)" sheetId="11" r:id="rId11"/>
    <sheet name="FG_Symbol (3)" sheetId="12" r:id="rId12"/>
    <sheet name="FG_Symbol (4)" sheetId="13" r:id="rId13"/>
    <sheet name="FG_Symbol (5)" sheetId="14" r:id="rId14"/>
    <sheet name="BF_Symbol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92" i="6" l="1"/>
  <c r="O192" i="6"/>
  <c r="N192" i="6"/>
  <c r="M192" i="6"/>
  <c r="L192" i="6"/>
  <c r="K192" i="6"/>
  <c r="R192" i="6" s="1"/>
  <c r="T192" i="6" s="1"/>
  <c r="J192" i="6"/>
  <c r="P191" i="6"/>
  <c r="O191" i="6"/>
  <c r="N191" i="6"/>
  <c r="M191" i="6"/>
  <c r="L191" i="6"/>
  <c r="K191" i="6"/>
  <c r="R191" i="6" s="1"/>
  <c r="T191" i="6" s="1"/>
  <c r="J191" i="6"/>
  <c r="P190" i="6"/>
  <c r="O190" i="6"/>
  <c r="N190" i="6"/>
  <c r="M190" i="6"/>
  <c r="L190" i="6"/>
  <c r="K190" i="6"/>
  <c r="R190" i="6" s="1"/>
  <c r="T190" i="6" s="1"/>
  <c r="J190" i="6"/>
  <c r="P189" i="6"/>
  <c r="O189" i="6"/>
  <c r="N189" i="6"/>
  <c r="M189" i="6"/>
  <c r="L189" i="6"/>
  <c r="K189" i="6"/>
  <c r="R189" i="6" s="1"/>
  <c r="T189" i="6" s="1"/>
  <c r="J189" i="6"/>
  <c r="P188" i="6"/>
  <c r="O188" i="6"/>
  <c r="N188" i="6"/>
  <c r="M188" i="6"/>
  <c r="L188" i="6"/>
  <c r="K188" i="6"/>
  <c r="R188" i="6" s="1"/>
  <c r="T188" i="6" s="1"/>
  <c r="J188" i="6"/>
  <c r="P187" i="6"/>
  <c r="O187" i="6"/>
  <c r="N187" i="6"/>
  <c r="M187" i="6"/>
  <c r="L187" i="6"/>
  <c r="K187" i="6"/>
  <c r="R187" i="6" s="1"/>
  <c r="T187" i="6" s="1"/>
  <c r="J187" i="6"/>
  <c r="P186" i="6"/>
  <c r="O186" i="6"/>
  <c r="N186" i="6"/>
  <c r="M186" i="6"/>
  <c r="L186" i="6"/>
  <c r="K186" i="6"/>
  <c r="R186" i="6" s="1"/>
  <c r="T186" i="6" s="1"/>
  <c r="J186" i="6"/>
  <c r="P185" i="6"/>
  <c r="O185" i="6"/>
  <c r="N185" i="6"/>
  <c r="M185" i="6"/>
  <c r="L185" i="6"/>
  <c r="K185" i="6"/>
  <c r="R185" i="6" s="1"/>
  <c r="T185" i="6" s="1"/>
  <c r="J185" i="6"/>
  <c r="P184" i="6"/>
  <c r="O184" i="6"/>
  <c r="N184" i="6"/>
  <c r="M184" i="6"/>
  <c r="L184" i="6"/>
  <c r="K184" i="6"/>
  <c r="R184" i="6" s="1"/>
  <c r="T184" i="6" s="1"/>
  <c r="J184" i="6"/>
  <c r="P183" i="6"/>
  <c r="O183" i="6"/>
  <c r="N183" i="6"/>
  <c r="M183" i="6"/>
  <c r="L183" i="6"/>
  <c r="K183" i="6"/>
  <c r="R183" i="6" s="1"/>
  <c r="T183" i="6" s="1"/>
  <c r="J183" i="6"/>
  <c r="R182" i="6"/>
  <c r="T182" i="6" s="1"/>
  <c r="P182" i="6"/>
  <c r="O182" i="6"/>
  <c r="N182" i="6"/>
  <c r="M182" i="6"/>
  <c r="L182" i="6"/>
  <c r="K182" i="6"/>
  <c r="J182" i="6"/>
  <c r="P181" i="6"/>
  <c r="O181" i="6"/>
  <c r="N181" i="6"/>
  <c r="M181" i="6"/>
  <c r="L181" i="6"/>
  <c r="K181" i="6"/>
  <c r="R181" i="6" s="1"/>
  <c r="T181" i="6" s="1"/>
  <c r="J181" i="6"/>
  <c r="P180" i="6"/>
  <c r="O180" i="6"/>
  <c r="N180" i="6"/>
  <c r="M180" i="6"/>
  <c r="L180" i="6"/>
  <c r="K180" i="6"/>
  <c r="R180" i="6" s="1"/>
  <c r="T180" i="6" s="1"/>
  <c r="J180" i="6"/>
  <c r="R179" i="6"/>
  <c r="T179" i="6" s="1"/>
  <c r="P179" i="6"/>
  <c r="O179" i="6"/>
  <c r="N179" i="6"/>
  <c r="M179" i="6"/>
  <c r="L179" i="6"/>
  <c r="K179" i="6"/>
  <c r="J179" i="6"/>
  <c r="P178" i="6"/>
  <c r="O178" i="6"/>
  <c r="N178" i="6"/>
  <c r="M178" i="6"/>
  <c r="L178" i="6"/>
  <c r="K178" i="6"/>
  <c r="R178" i="6" s="1"/>
  <c r="T178" i="6" s="1"/>
  <c r="J178" i="6"/>
  <c r="P177" i="6"/>
  <c r="O177" i="6"/>
  <c r="N177" i="6"/>
  <c r="M177" i="6"/>
  <c r="L177" i="6"/>
  <c r="K177" i="6"/>
  <c r="R177" i="6" s="1"/>
  <c r="T177" i="6" s="1"/>
  <c r="J177" i="6"/>
  <c r="P176" i="6"/>
  <c r="O176" i="6"/>
  <c r="N176" i="6"/>
  <c r="M176" i="6"/>
  <c r="L176" i="6"/>
  <c r="K176" i="6"/>
  <c r="R176" i="6" s="1"/>
  <c r="T176" i="6" s="1"/>
  <c r="J176" i="6"/>
  <c r="P175" i="6"/>
  <c r="O175" i="6"/>
  <c r="N175" i="6"/>
  <c r="M175" i="6"/>
  <c r="L175" i="6"/>
  <c r="K175" i="6"/>
  <c r="R175" i="6" s="1"/>
  <c r="T175" i="6" s="1"/>
  <c r="J175" i="6"/>
  <c r="P174" i="6"/>
  <c r="O174" i="6"/>
  <c r="N174" i="6"/>
  <c r="M174" i="6"/>
  <c r="L174" i="6"/>
  <c r="K174" i="6"/>
  <c r="R174" i="6" s="1"/>
  <c r="T174" i="6" s="1"/>
  <c r="J174" i="6"/>
  <c r="P173" i="6"/>
  <c r="O173" i="6"/>
  <c r="N173" i="6"/>
  <c r="M173" i="6"/>
  <c r="L173" i="6"/>
  <c r="K173" i="6"/>
  <c r="R173" i="6" s="1"/>
  <c r="T173" i="6" s="1"/>
  <c r="J173" i="6"/>
  <c r="P172" i="6"/>
  <c r="O172" i="6"/>
  <c r="N172" i="6"/>
  <c r="M172" i="6"/>
  <c r="L172" i="6"/>
  <c r="K172" i="6"/>
  <c r="R172" i="6" s="1"/>
  <c r="T172" i="6" s="1"/>
  <c r="J172" i="6"/>
  <c r="R171" i="6"/>
  <c r="T171" i="6" s="1"/>
  <c r="P171" i="6"/>
  <c r="O171" i="6"/>
  <c r="N171" i="6"/>
  <c r="M171" i="6"/>
  <c r="L171" i="6"/>
  <c r="K171" i="6"/>
  <c r="J171" i="6"/>
  <c r="P170" i="6"/>
  <c r="O170" i="6"/>
  <c r="N170" i="6"/>
  <c r="M170" i="6"/>
  <c r="L170" i="6"/>
  <c r="K170" i="6"/>
  <c r="R170" i="6" s="1"/>
  <c r="T170" i="6" s="1"/>
  <c r="J170" i="6"/>
  <c r="P169" i="6"/>
  <c r="O169" i="6"/>
  <c r="N169" i="6"/>
  <c r="M169" i="6"/>
  <c r="L169" i="6"/>
  <c r="K169" i="6"/>
  <c r="R169" i="6" s="1"/>
  <c r="T169" i="6" s="1"/>
  <c r="J169" i="6"/>
  <c r="P168" i="6"/>
  <c r="O168" i="6"/>
  <c r="N168" i="6"/>
  <c r="M168" i="6"/>
  <c r="L168" i="6"/>
  <c r="K168" i="6"/>
  <c r="R168" i="6" s="1"/>
  <c r="T168" i="6" s="1"/>
  <c r="J168" i="6"/>
  <c r="P167" i="6"/>
  <c r="O167" i="6"/>
  <c r="N167" i="6"/>
  <c r="M167" i="6"/>
  <c r="L167" i="6"/>
  <c r="K167" i="6"/>
  <c r="R167" i="6" s="1"/>
  <c r="T167" i="6" s="1"/>
  <c r="J167" i="6"/>
  <c r="P166" i="6"/>
  <c r="O166" i="6"/>
  <c r="N166" i="6"/>
  <c r="M166" i="6"/>
  <c r="L166" i="6"/>
  <c r="K166" i="6"/>
  <c r="R166" i="6" s="1"/>
  <c r="T166" i="6" s="1"/>
  <c r="J166" i="6"/>
  <c r="P165" i="6"/>
  <c r="O165" i="6"/>
  <c r="N165" i="6"/>
  <c r="M165" i="6"/>
  <c r="L165" i="6"/>
  <c r="K165" i="6"/>
  <c r="R165" i="6" s="1"/>
  <c r="T165" i="6" s="1"/>
  <c r="J165" i="6"/>
  <c r="P164" i="6"/>
  <c r="O164" i="6"/>
  <c r="N164" i="6"/>
  <c r="M164" i="6"/>
  <c r="L164" i="6"/>
  <c r="K164" i="6"/>
  <c r="R164" i="6" s="1"/>
  <c r="T164" i="6" s="1"/>
  <c r="J164" i="6"/>
  <c r="P163" i="6"/>
  <c r="O163" i="6"/>
  <c r="N163" i="6"/>
  <c r="M163" i="6"/>
  <c r="L163" i="6"/>
  <c r="K163" i="6"/>
  <c r="R163" i="6" s="1"/>
  <c r="T163" i="6" s="1"/>
  <c r="J163" i="6"/>
  <c r="P162" i="6"/>
  <c r="O162" i="6"/>
  <c r="N162" i="6"/>
  <c r="M162" i="6"/>
  <c r="L162" i="6"/>
  <c r="K162" i="6"/>
  <c r="R162" i="6" s="1"/>
  <c r="T162" i="6" s="1"/>
  <c r="J162" i="6"/>
  <c r="R161" i="6"/>
  <c r="T161" i="6" s="1"/>
  <c r="P161" i="6"/>
  <c r="O161" i="6"/>
  <c r="N161" i="6"/>
  <c r="M161" i="6"/>
  <c r="L161" i="6"/>
  <c r="K161" i="6"/>
  <c r="J161" i="6"/>
  <c r="P160" i="6"/>
  <c r="O160" i="6"/>
  <c r="N160" i="6"/>
  <c r="M160" i="6"/>
  <c r="L160" i="6"/>
  <c r="K160" i="6"/>
  <c r="R160" i="6" s="1"/>
  <c r="T160" i="6" s="1"/>
  <c r="J160" i="6"/>
  <c r="P159" i="6"/>
  <c r="O159" i="6"/>
  <c r="N159" i="6"/>
  <c r="M159" i="6"/>
  <c r="L159" i="6"/>
  <c r="K159" i="6"/>
  <c r="R159" i="6" s="1"/>
  <c r="T159" i="6" s="1"/>
  <c r="J159" i="6"/>
  <c r="P158" i="6"/>
  <c r="O158" i="6"/>
  <c r="N158" i="6"/>
  <c r="M158" i="6"/>
  <c r="L158" i="6"/>
  <c r="K158" i="6"/>
  <c r="R158" i="6" s="1"/>
  <c r="T158" i="6" s="1"/>
  <c r="J158" i="6"/>
  <c r="P157" i="6"/>
  <c r="O157" i="6"/>
  <c r="N157" i="6"/>
  <c r="M157" i="6"/>
  <c r="L157" i="6"/>
  <c r="K157" i="6"/>
  <c r="R157" i="6" s="1"/>
  <c r="T157" i="6" s="1"/>
  <c r="J157" i="6"/>
  <c r="P156" i="6"/>
  <c r="O156" i="6"/>
  <c r="N156" i="6"/>
  <c r="M156" i="6"/>
  <c r="L156" i="6"/>
  <c r="K156" i="6"/>
  <c r="R156" i="6" s="1"/>
  <c r="T156" i="6" s="1"/>
  <c r="J156" i="6"/>
  <c r="P155" i="6"/>
  <c r="O155" i="6"/>
  <c r="N155" i="6"/>
  <c r="M155" i="6"/>
  <c r="L155" i="6"/>
  <c r="K155" i="6"/>
  <c r="R155" i="6" s="1"/>
  <c r="T155" i="6" s="1"/>
  <c r="J155" i="6"/>
  <c r="P154" i="6"/>
  <c r="O154" i="6"/>
  <c r="N154" i="6"/>
  <c r="M154" i="6"/>
  <c r="L154" i="6"/>
  <c r="K154" i="6"/>
  <c r="R154" i="6" s="1"/>
  <c r="T154" i="6" s="1"/>
  <c r="J154" i="6"/>
  <c r="P153" i="6"/>
  <c r="O153" i="6"/>
  <c r="N153" i="6"/>
  <c r="M153" i="6"/>
  <c r="L153" i="6"/>
  <c r="K153" i="6"/>
  <c r="R153" i="6" s="1"/>
  <c r="T153" i="6" s="1"/>
  <c r="J153" i="6"/>
  <c r="P152" i="6"/>
  <c r="O152" i="6"/>
  <c r="N152" i="6"/>
  <c r="M152" i="6"/>
  <c r="L152" i="6"/>
  <c r="K152" i="6"/>
  <c r="R152" i="6" s="1"/>
  <c r="T152" i="6" s="1"/>
  <c r="J152" i="6"/>
  <c r="P151" i="6"/>
  <c r="O151" i="6"/>
  <c r="N151" i="6"/>
  <c r="M151" i="6"/>
  <c r="L151" i="6"/>
  <c r="K151" i="6"/>
  <c r="R151" i="6" s="1"/>
  <c r="T151" i="6" s="1"/>
  <c r="J151" i="6"/>
  <c r="P150" i="6"/>
  <c r="O150" i="6"/>
  <c r="N150" i="6"/>
  <c r="M150" i="6"/>
  <c r="L150" i="6"/>
  <c r="K150" i="6"/>
  <c r="R150" i="6" s="1"/>
  <c r="T150" i="6" s="1"/>
  <c r="J150" i="6"/>
  <c r="P149" i="6"/>
  <c r="O149" i="6"/>
  <c r="N149" i="6"/>
  <c r="M149" i="6"/>
  <c r="L149" i="6"/>
  <c r="K149" i="6"/>
  <c r="R149" i="6" s="1"/>
  <c r="T149" i="6" s="1"/>
  <c r="J149" i="6"/>
  <c r="R148" i="6"/>
  <c r="T148" i="6" s="1"/>
  <c r="P148" i="6"/>
  <c r="O148" i="6"/>
  <c r="N148" i="6"/>
  <c r="M148" i="6"/>
  <c r="L148" i="6"/>
  <c r="K148" i="6"/>
  <c r="J148" i="6"/>
  <c r="P147" i="6"/>
  <c r="O147" i="6"/>
  <c r="N147" i="6"/>
  <c r="M147" i="6"/>
  <c r="L147" i="6"/>
  <c r="K147" i="6"/>
  <c r="R147" i="6" s="1"/>
  <c r="T147" i="6" s="1"/>
  <c r="J147" i="6"/>
  <c r="P146" i="6"/>
  <c r="O146" i="6"/>
  <c r="N146" i="6"/>
  <c r="M146" i="6"/>
  <c r="L146" i="6"/>
  <c r="K146" i="6"/>
  <c r="R146" i="6" s="1"/>
  <c r="T146" i="6" s="1"/>
  <c r="J146" i="6"/>
  <c r="R145" i="6"/>
  <c r="T145" i="6" s="1"/>
  <c r="P145" i="6"/>
  <c r="O145" i="6"/>
  <c r="N145" i="6"/>
  <c r="M145" i="6"/>
  <c r="L145" i="6"/>
  <c r="K145" i="6"/>
  <c r="J145" i="6"/>
  <c r="P144" i="6"/>
  <c r="O144" i="6"/>
  <c r="N144" i="6"/>
  <c r="M144" i="6"/>
  <c r="L144" i="6"/>
  <c r="K144" i="6"/>
  <c r="R144" i="6" s="1"/>
  <c r="T144" i="6" s="1"/>
  <c r="J144" i="6"/>
  <c r="P143" i="6"/>
  <c r="O143" i="6"/>
  <c r="N143" i="6"/>
  <c r="M143" i="6"/>
  <c r="L143" i="6"/>
  <c r="K143" i="6"/>
  <c r="R143" i="6" s="1"/>
  <c r="T143" i="6" s="1"/>
  <c r="J143" i="6"/>
  <c r="P142" i="6"/>
  <c r="O142" i="6"/>
  <c r="N142" i="6"/>
  <c r="M142" i="6"/>
  <c r="L142" i="6"/>
  <c r="K142" i="6"/>
  <c r="R142" i="6" s="1"/>
  <c r="T142" i="6" s="1"/>
  <c r="J142" i="6"/>
  <c r="P141" i="6"/>
  <c r="O141" i="6"/>
  <c r="N141" i="6"/>
  <c r="M141" i="6"/>
  <c r="L141" i="6"/>
  <c r="K141" i="6"/>
  <c r="R141" i="6" s="1"/>
  <c r="T141" i="6" s="1"/>
  <c r="J141" i="6"/>
  <c r="P140" i="6"/>
  <c r="O140" i="6"/>
  <c r="N140" i="6"/>
  <c r="M140" i="6"/>
  <c r="L140" i="6"/>
  <c r="K140" i="6"/>
  <c r="R140" i="6" s="1"/>
  <c r="T140" i="6" s="1"/>
  <c r="J140" i="6"/>
  <c r="P139" i="6"/>
  <c r="O139" i="6"/>
  <c r="N139" i="6"/>
  <c r="M139" i="6"/>
  <c r="L139" i="6"/>
  <c r="K139" i="6"/>
  <c r="R139" i="6" s="1"/>
  <c r="T139" i="6" s="1"/>
  <c r="J139" i="6"/>
  <c r="P138" i="6"/>
  <c r="O138" i="6"/>
  <c r="N138" i="6"/>
  <c r="M138" i="6"/>
  <c r="L138" i="6"/>
  <c r="K138" i="6"/>
  <c r="R138" i="6" s="1"/>
  <c r="T138" i="6" s="1"/>
  <c r="J138" i="6"/>
  <c r="P137" i="6"/>
  <c r="O137" i="6"/>
  <c r="N137" i="6"/>
  <c r="M137" i="6"/>
  <c r="L137" i="6"/>
  <c r="K137" i="6"/>
  <c r="R137" i="6" s="1"/>
  <c r="T137" i="6" s="1"/>
  <c r="J137" i="6"/>
  <c r="P136" i="6"/>
  <c r="O136" i="6"/>
  <c r="N136" i="6"/>
  <c r="M136" i="6"/>
  <c r="L136" i="6"/>
  <c r="K136" i="6"/>
  <c r="R136" i="6" s="1"/>
  <c r="T136" i="6" s="1"/>
  <c r="J136" i="6"/>
  <c r="P135" i="6"/>
  <c r="O135" i="6"/>
  <c r="N135" i="6"/>
  <c r="M135" i="6"/>
  <c r="L135" i="6"/>
  <c r="K135" i="6"/>
  <c r="R135" i="6" s="1"/>
  <c r="T135" i="6" s="1"/>
  <c r="J135" i="6"/>
  <c r="P134" i="6"/>
  <c r="O134" i="6"/>
  <c r="N134" i="6"/>
  <c r="M134" i="6"/>
  <c r="L134" i="6"/>
  <c r="K134" i="6"/>
  <c r="R134" i="6" s="1"/>
  <c r="T134" i="6" s="1"/>
  <c r="J134" i="6"/>
  <c r="P128" i="6"/>
  <c r="O128" i="6"/>
  <c r="N128" i="6"/>
  <c r="M128" i="6"/>
  <c r="L128" i="6"/>
  <c r="K128" i="6"/>
  <c r="R128" i="6" s="1"/>
  <c r="T128" i="6" s="1"/>
  <c r="J128" i="6"/>
  <c r="R127" i="6"/>
  <c r="T127" i="6" s="1"/>
  <c r="P127" i="6"/>
  <c r="O127" i="6"/>
  <c r="N127" i="6"/>
  <c r="M127" i="6"/>
  <c r="L127" i="6"/>
  <c r="K127" i="6"/>
  <c r="J127" i="6"/>
  <c r="P126" i="6"/>
  <c r="O126" i="6"/>
  <c r="N126" i="6"/>
  <c r="M126" i="6"/>
  <c r="L126" i="6"/>
  <c r="K126" i="6"/>
  <c r="R126" i="6" s="1"/>
  <c r="T126" i="6" s="1"/>
  <c r="J126" i="6"/>
  <c r="P125" i="6"/>
  <c r="O125" i="6"/>
  <c r="N125" i="6"/>
  <c r="M125" i="6"/>
  <c r="L125" i="6"/>
  <c r="K125" i="6"/>
  <c r="R125" i="6" s="1"/>
  <c r="T125" i="6" s="1"/>
  <c r="J125" i="6"/>
  <c r="P124" i="6"/>
  <c r="O124" i="6"/>
  <c r="N124" i="6"/>
  <c r="M124" i="6"/>
  <c r="L124" i="6"/>
  <c r="K124" i="6"/>
  <c r="R124" i="6" s="1"/>
  <c r="T124" i="6" s="1"/>
  <c r="J124" i="6"/>
  <c r="P123" i="6"/>
  <c r="O123" i="6"/>
  <c r="N123" i="6"/>
  <c r="M123" i="6"/>
  <c r="L123" i="6"/>
  <c r="K123" i="6"/>
  <c r="R123" i="6" s="1"/>
  <c r="T123" i="6" s="1"/>
  <c r="J123" i="6"/>
  <c r="R122" i="6"/>
  <c r="T122" i="6" s="1"/>
  <c r="P122" i="6"/>
  <c r="O122" i="6"/>
  <c r="N122" i="6"/>
  <c r="M122" i="6"/>
  <c r="L122" i="6"/>
  <c r="K122" i="6"/>
  <c r="J122" i="6"/>
  <c r="P121" i="6"/>
  <c r="O121" i="6"/>
  <c r="N121" i="6"/>
  <c r="M121" i="6"/>
  <c r="L121" i="6"/>
  <c r="K121" i="6"/>
  <c r="R121" i="6" s="1"/>
  <c r="T121" i="6" s="1"/>
  <c r="J121" i="6"/>
  <c r="R120" i="6"/>
  <c r="T120" i="6" s="1"/>
  <c r="P120" i="6"/>
  <c r="O120" i="6"/>
  <c r="N120" i="6"/>
  <c r="M120" i="6"/>
  <c r="L120" i="6"/>
  <c r="K120" i="6"/>
  <c r="J120" i="6"/>
  <c r="R119" i="6"/>
  <c r="T119" i="6" s="1"/>
  <c r="P119" i="6"/>
  <c r="O119" i="6"/>
  <c r="N119" i="6"/>
  <c r="M119" i="6"/>
  <c r="L119" i="6"/>
  <c r="K119" i="6"/>
  <c r="J119" i="6"/>
  <c r="P118" i="6"/>
  <c r="O118" i="6"/>
  <c r="N118" i="6"/>
  <c r="M118" i="6"/>
  <c r="L118" i="6"/>
  <c r="K118" i="6"/>
  <c r="R118" i="6" s="1"/>
  <c r="T118" i="6" s="1"/>
  <c r="J118" i="6"/>
  <c r="R117" i="6"/>
  <c r="T117" i="6" s="1"/>
  <c r="P117" i="6"/>
  <c r="O117" i="6"/>
  <c r="N117" i="6"/>
  <c r="M117" i="6"/>
  <c r="L117" i="6"/>
  <c r="K117" i="6"/>
  <c r="J117" i="6"/>
  <c r="P116" i="6"/>
  <c r="O116" i="6"/>
  <c r="N116" i="6"/>
  <c r="M116" i="6"/>
  <c r="L116" i="6"/>
  <c r="K116" i="6"/>
  <c r="R116" i="6" s="1"/>
  <c r="T116" i="6" s="1"/>
  <c r="J116" i="6"/>
  <c r="P115" i="6"/>
  <c r="O115" i="6"/>
  <c r="N115" i="6"/>
  <c r="M115" i="6"/>
  <c r="L115" i="6"/>
  <c r="K115" i="6"/>
  <c r="R115" i="6" s="1"/>
  <c r="T115" i="6" s="1"/>
  <c r="J115" i="6"/>
  <c r="P114" i="6"/>
  <c r="O114" i="6"/>
  <c r="N114" i="6"/>
  <c r="M114" i="6"/>
  <c r="L114" i="6"/>
  <c r="K114" i="6"/>
  <c r="R114" i="6" s="1"/>
  <c r="T114" i="6" s="1"/>
  <c r="J114" i="6"/>
  <c r="P113" i="6"/>
  <c r="O113" i="6"/>
  <c r="N113" i="6"/>
  <c r="M113" i="6"/>
  <c r="L113" i="6"/>
  <c r="K113" i="6"/>
  <c r="R113" i="6" s="1"/>
  <c r="T113" i="6" s="1"/>
  <c r="J113" i="6"/>
  <c r="P112" i="6"/>
  <c r="O112" i="6"/>
  <c r="N112" i="6"/>
  <c r="M112" i="6"/>
  <c r="L112" i="6"/>
  <c r="K112" i="6"/>
  <c r="R112" i="6" s="1"/>
  <c r="T112" i="6" s="1"/>
  <c r="J112" i="6"/>
  <c r="R111" i="6"/>
  <c r="T111" i="6" s="1"/>
  <c r="P111" i="6"/>
  <c r="O111" i="6"/>
  <c r="N111" i="6"/>
  <c r="M111" i="6"/>
  <c r="L111" i="6"/>
  <c r="K111" i="6"/>
  <c r="J111" i="6"/>
  <c r="P110" i="6"/>
  <c r="O110" i="6"/>
  <c r="N110" i="6"/>
  <c r="M110" i="6"/>
  <c r="L110" i="6"/>
  <c r="K110" i="6"/>
  <c r="R110" i="6" s="1"/>
  <c r="T110" i="6" s="1"/>
  <c r="J110" i="6"/>
  <c r="T109" i="6"/>
  <c r="P109" i="6"/>
  <c r="O109" i="6"/>
  <c r="N109" i="6"/>
  <c r="M109" i="6"/>
  <c r="L109" i="6"/>
  <c r="K109" i="6"/>
  <c r="R109" i="6" s="1"/>
  <c r="J109" i="6"/>
  <c r="P108" i="6"/>
  <c r="O108" i="6"/>
  <c r="N108" i="6"/>
  <c r="M108" i="6"/>
  <c r="L108" i="6"/>
  <c r="K108" i="6"/>
  <c r="R108" i="6" s="1"/>
  <c r="T108" i="6" s="1"/>
  <c r="J108" i="6"/>
  <c r="P107" i="6"/>
  <c r="O107" i="6"/>
  <c r="N107" i="6"/>
  <c r="M107" i="6"/>
  <c r="L107" i="6"/>
  <c r="K107" i="6"/>
  <c r="R107" i="6" s="1"/>
  <c r="T107" i="6" s="1"/>
  <c r="J107" i="6"/>
  <c r="P106" i="6"/>
  <c r="O106" i="6"/>
  <c r="N106" i="6"/>
  <c r="M106" i="6"/>
  <c r="L106" i="6"/>
  <c r="K106" i="6"/>
  <c r="R106" i="6" s="1"/>
  <c r="T106" i="6" s="1"/>
  <c r="J106" i="6"/>
  <c r="P105" i="6"/>
  <c r="O105" i="6"/>
  <c r="N105" i="6"/>
  <c r="M105" i="6"/>
  <c r="L105" i="6"/>
  <c r="K105" i="6"/>
  <c r="R105" i="6" s="1"/>
  <c r="T105" i="6" s="1"/>
  <c r="J105" i="6"/>
  <c r="P104" i="6"/>
  <c r="O104" i="6"/>
  <c r="N104" i="6"/>
  <c r="M104" i="6"/>
  <c r="L104" i="6"/>
  <c r="K104" i="6"/>
  <c r="R104" i="6" s="1"/>
  <c r="T104" i="6" s="1"/>
  <c r="J104" i="6"/>
  <c r="R103" i="6"/>
  <c r="T103" i="6" s="1"/>
  <c r="P103" i="6"/>
  <c r="O103" i="6"/>
  <c r="N103" i="6"/>
  <c r="M103" i="6"/>
  <c r="L103" i="6"/>
  <c r="K103" i="6"/>
  <c r="J103" i="6"/>
  <c r="P102" i="6"/>
  <c r="O102" i="6"/>
  <c r="N102" i="6"/>
  <c r="M102" i="6"/>
  <c r="L102" i="6"/>
  <c r="K102" i="6"/>
  <c r="R102" i="6" s="1"/>
  <c r="T102" i="6" s="1"/>
  <c r="J102" i="6"/>
  <c r="P101" i="6"/>
  <c r="O101" i="6"/>
  <c r="N101" i="6"/>
  <c r="M101" i="6"/>
  <c r="L101" i="6"/>
  <c r="K101" i="6"/>
  <c r="R101" i="6" s="1"/>
  <c r="T101" i="6" s="1"/>
  <c r="J101" i="6"/>
  <c r="P100" i="6"/>
  <c r="O100" i="6"/>
  <c r="N100" i="6"/>
  <c r="M100" i="6"/>
  <c r="L100" i="6"/>
  <c r="K100" i="6"/>
  <c r="R100" i="6" s="1"/>
  <c r="T100" i="6" s="1"/>
  <c r="J100" i="6"/>
  <c r="P99" i="6"/>
  <c r="O99" i="6"/>
  <c r="N99" i="6"/>
  <c r="M99" i="6"/>
  <c r="L99" i="6"/>
  <c r="K99" i="6"/>
  <c r="R99" i="6" s="1"/>
  <c r="T99" i="6" s="1"/>
  <c r="J99" i="6"/>
  <c r="P98" i="6"/>
  <c r="O98" i="6"/>
  <c r="N98" i="6"/>
  <c r="M98" i="6"/>
  <c r="L98" i="6"/>
  <c r="K98" i="6"/>
  <c r="R98" i="6" s="1"/>
  <c r="T98" i="6" s="1"/>
  <c r="J98" i="6"/>
  <c r="P97" i="6"/>
  <c r="O97" i="6"/>
  <c r="N97" i="6"/>
  <c r="M97" i="6"/>
  <c r="L97" i="6"/>
  <c r="K97" i="6"/>
  <c r="R97" i="6" s="1"/>
  <c r="T97" i="6" s="1"/>
  <c r="J97" i="6"/>
  <c r="P96" i="6"/>
  <c r="O96" i="6"/>
  <c r="N96" i="6"/>
  <c r="M96" i="6"/>
  <c r="L96" i="6"/>
  <c r="K96" i="6"/>
  <c r="R96" i="6" s="1"/>
  <c r="T96" i="6" s="1"/>
  <c r="J96" i="6"/>
  <c r="P95" i="6"/>
  <c r="O95" i="6"/>
  <c r="N95" i="6"/>
  <c r="M95" i="6"/>
  <c r="L95" i="6"/>
  <c r="K95" i="6"/>
  <c r="R95" i="6" s="1"/>
  <c r="T95" i="6" s="1"/>
  <c r="J95" i="6"/>
  <c r="P94" i="6"/>
  <c r="O94" i="6"/>
  <c r="N94" i="6"/>
  <c r="M94" i="6"/>
  <c r="L94" i="6"/>
  <c r="K94" i="6"/>
  <c r="R94" i="6" s="1"/>
  <c r="T94" i="6" s="1"/>
  <c r="J94" i="6"/>
  <c r="R93" i="6"/>
  <c r="T93" i="6" s="1"/>
  <c r="P93" i="6"/>
  <c r="O93" i="6"/>
  <c r="N93" i="6"/>
  <c r="M93" i="6"/>
  <c r="L93" i="6"/>
  <c r="K93" i="6"/>
  <c r="J93" i="6"/>
  <c r="P92" i="6"/>
  <c r="O92" i="6"/>
  <c r="N92" i="6"/>
  <c r="M92" i="6"/>
  <c r="L92" i="6"/>
  <c r="K92" i="6"/>
  <c r="R92" i="6" s="1"/>
  <c r="T92" i="6" s="1"/>
  <c r="J92" i="6"/>
  <c r="P91" i="6"/>
  <c r="O91" i="6"/>
  <c r="N91" i="6"/>
  <c r="M91" i="6"/>
  <c r="L91" i="6"/>
  <c r="K91" i="6"/>
  <c r="R91" i="6" s="1"/>
  <c r="T91" i="6" s="1"/>
  <c r="J91" i="6"/>
  <c r="R90" i="6"/>
  <c r="T90" i="6" s="1"/>
  <c r="P90" i="6"/>
  <c r="O90" i="6"/>
  <c r="N90" i="6"/>
  <c r="M90" i="6"/>
  <c r="L90" i="6"/>
  <c r="K90" i="6"/>
  <c r="J90" i="6"/>
  <c r="P89" i="6"/>
  <c r="O89" i="6"/>
  <c r="N89" i="6"/>
  <c r="M89" i="6"/>
  <c r="L89" i="6"/>
  <c r="K89" i="6"/>
  <c r="R89" i="6" s="1"/>
  <c r="T89" i="6" s="1"/>
  <c r="J89" i="6"/>
  <c r="P88" i="6"/>
  <c r="O88" i="6"/>
  <c r="N88" i="6"/>
  <c r="M88" i="6"/>
  <c r="L88" i="6"/>
  <c r="K88" i="6"/>
  <c r="R88" i="6" s="1"/>
  <c r="T88" i="6" s="1"/>
  <c r="J88" i="6"/>
  <c r="P87" i="6"/>
  <c r="O87" i="6"/>
  <c r="N87" i="6"/>
  <c r="M87" i="6"/>
  <c r="L87" i="6"/>
  <c r="K87" i="6"/>
  <c r="R87" i="6" s="1"/>
  <c r="T87" i="6" s="1"/>
  <c r="J87" i="6"/>
  <c r="P86" i="6"/>
  <c r="O86" i="6"/>
  <c r="N86" i="6"/>
  <c r="M86" i="6"/>
  <c r="L86" i="6"/>
  <c r="K86" i="6"/>
  <c r="R86" i="6" s="1"/>
  <c r="T86" i="6" s="1"/>
  <c r="J86" i="6"/>
  <c r="P85" i="6"/>
  <c r="O85" i="6"/>
  <c r="N85" i="6"/>
  <c r="M85" i="6"/>
  <c r="L85" i="6"/>
  <c r="K85" i="6"/>
  <c r="R85" i="6" s="1"/>
  <c r="T85" i="6" s="1"/>
  <c r="J85" i="6"/>
  <c r="P84" i="6"/>
  <c r="O84" i="6"/>
  <c r="N84" i="6"/>
  <c r="M84" i="6"/>
  <c r="L84" i="6"/>
  <c r="K84" i="6"/>
  <c r="R84" i="6" s="1"/>
  <c r="T84" i="6" s="1"/>
  <c r="J84" i="6"/>
  <c r="P83" i="6"/>
  <c r="O83" i="6"/>
  <c r="N83" i="6"/>
  <c r="M83" i="6"/>
  <c r="L83" i="6"/>
  <c r="K83" i="6"/>
  <c r="R83" i="6" s="1"/>
  <c r="T83" i="6" s="1"/>
  <c r="J83" i="6"/>
  <c r="P82" i="6"/>
  <c r="O82" i="6"/>
  <c r="N82" i="6"/>
  <c r="M82" i="6"/>
  <c r="L82" i="6"/>
  <c r="K82" i="6"/>
  <c r="R82" i="6" s="1"/>
  <c r="T82" i="6" s="1"/>
  <c r="J82" i="6"/>
  <c r="P81" i="6"/>
  <c r="O81" i="6"/>
  <c r="N81" i="6"/>
  <c r="M81" i="6"/>
  <c r="L81" i="6"/>
  <c r="K81" i="6"/>
  <c r="R81" i="6" s="1"/>
  <c r="T81" i="6" s="1"/>
  <c r="J81" i="6"/>
  <c r="R80" i="6"/>
  <c r="T80" i="6" s="1"/>
  <c r="P80" i="6"/>
  <c r="O80" i="6"/>
  <c r="N80" i="6"/>
  <c r="M80" i="6"/>
  <c r="L80" i="6"/>
  <c r="K80" i="6"/>
  <c r="J80" i="6"/>
  <c r="P79" i="6"/>
  <c r="O79" i="6"/>
  <c r="N79" i="6"/>
  <c r="M79" i="6"/>
  <c r="L79" i="6"/>
  <c r="K79" i="6"/>
  <c r="R79" i="6" s="1"/>
  <c r="T79" i="6" s="1"/>
  <c r="J79" i="6"/>
  <c r="P78" i="6"/>
  <c r="O78" i="6"/>
  <c r="N78" i="6"/>
  <c r="M78" i="6"/>
  <c r="L78" i="6"/>
  <c r="K78" i="6"/>
  <c r="R78" i="6" s="1"/>
  <c r="T78" i="6" s="1"/>
  <c r="J78" i="6"/>
  <c r="R77" i="6"/>
  <c r="T77" i="6" s="1"/>
  <c r="P77" i="6"/>
  <c r="O77" i="6"/>
  <c r="N77" i="6"/>
  <c r="M77" i="6"/>
  <c r="L77" i="6"/>
  <c r="K77" i="6"/>
  <c r="J77" i="6"/>
  <c r="P76" i="6"/>
  <c r="O76" i="6"/>
  <c r="N76" i="6"/>
  <c r="M76" i="6"/>
  <c r="L76" i="6"/>
  <c r="K76" i="6"/>
  <c r="R76" i="6" s="1"/>
  <c r="T76" i="6" s="1"/>
  <c r="J76" i="6"/>
  <c r="P75" i="6"/>
  <c r="O75" i="6"/>
  <c r="N75" i="6"/>
  <c r="M75" i="6"/>
  <c r="L75" i="6"/>
  <c r="K75" i="6"/>
  <c r="R75" i="6" s="1"/>
  <c r="T75" i="6" s="1"/>
  <c r="J75" i="6"/>
  <c r="R74" i="6"/>
  <c r="T74" i="6" s="1"/>
  <c r="P74" i="6"/>
  <c r="O74" i="6"/>
  <c r="N74" i="6"/>
  <c r="M74" i="6"/>
  <c r="L74" i="6"/>
  <c r="K74" i="6"/>
  <c r="J74" i="6"/>
  <c r="P73" i="6"/>
  <c r="O73" i="6"/>
  <c r="N73" i="6"/>
  <c r="M73" i="6"/>
  <c r="L73" i="6"/>
  <c r="K73" i="6"/>
  <c r="R73" i="6" s="1"/>
  <c r="T73" i="6" s="1"/>
  <c r="J73" i="6"/>
  <c r="P72" i="6"/>
  <c r="O72" i="6"/>
  <c r="N72" i="6"/>
  <c r="M72" i="6"/>
  <c r="L72" i="6"/>
  <c r="K72" i="6"/>
  <c r="R72" i="6" s="1"/>
  <c r="T72" i="6" s="1"/>
  <c r="J72" i="6"/>
  <c r="P71" i="6"/>
  <c r="O71" i="6"/>
  <c r="N71" i="6"/>
  <c r="M71" i="6"/>
  <c r="L71" i="6"/>
  <c r="K71" i="6"/>
  <c r="R71" i="6" s="1"/>
  <c r="T71" i="6" s="1"/>
  <c r="J71" i="6"/>
  <c r="P70" i="6"/>
  <c r="O70" i="6"/>
  <c r="N70" i="6"/>
  <c r="M70" i="6"/>
  <c r="L70" i="6"/>
  <c r="K70" i="6"/>
  <c r="R70" i="6" s="1"/>
  <c r="T70" i="6" s="1"/>
  <c r="J70" i="6"/>
  <c r="T64" i="6"/>
  <c r="U64" i="6" s="1"/>
  <c r="V64" i="6" s="1"/>
  <c r="P64" i="6"/>
  <c r="O64" i="6"/>
  <c r="N64" i="6"/>
  <c r="M64" i="6"/>
  <c r="L64" i="6"/>
  <c r="K64" i="6"/>
  <c r="J64" i="6"/>
  <c r="P63" i="6"/>
  <c r="O63" i="6"/>
  <c r="N63" i="6"/>
  <c r="M63" i="6"/>
  <c r="L63" i="6"/>
  <c r="K63" i="6"/>
  <c r="R63" i="6" s="1"/>
  <c r="T63" i="6" s="1"/>
  <c r="J63" i="6"/>
  <c r="P62" i="6"/>
  <c r="O62" i="6"/>
  <c r="N62" i="6"/>
  <c r="M62" i="6"/>
  <c r="L62" i="6"/>
  <c r="K62" i="6"/>
  <c r="R62" i="6" s="1"/>
  <c r="T62" i="6" s="1"/>
  <c r="J62" i="6"/>
  <c r="P61" i="6"/>
  <c r="O61" i="6"/>
  <c r="N61" i="6"/>
  <c r="M61" i="6"/>
  <c r="L61" i="6"/>
  <c r="K61" i="6"/>
  <c r="R61" i="6" s="1"/>
  <c r="T61" i="6" s="1"/>
  <c r="J61" i="6"/>
  <c r="P60" i="6"/>
  <c r="O60" i="6"/>
  <c r="N60" i="6"/>
  <c r="M60" i="6"/>
  <c r="L60" i="6"/>
  <c r="K60" i="6"/>
  <c r="R60" i="6" s="1"/>
  <c r="T60" i="6" s="1"/>
  <c r="J60" i="6"/>
  <c r="P59" i="6"/>
  <c r="O59" i="6"/>
  <c r="N59" i="6"/>
  <c r="M59" i="6"/>
  <c r="L59" i="6"/>
  <c r="K59" i="6"/>
  <c r="R59" i="6" s="1"/>
  <c r="T59" i="6" s="1"/>
  <c r="J59" i="6"/>
  <c r="P58" i="6"/>
  <c r="O58" i="6"/>
  <c r="N58" i="6"/>
  <c r="M58" i="6"/>
  <c r="L58" i="6"/>
  <c r="K58" i="6"/>
  <c r="R58" i="6" s="1"/>
  <c r="T58" i="6" s="1"/>
  <c r="J58" i="6"/>
  <c r="P57" i="6"/>
  <c r="O57" i="6"/>
  <c r="N57" i="6"/>
  <c r="M57" i="6"/>
  <c r="L57" i="6"/>
  <c r="K57" i="6"/>
  <c r="R57" i="6" s="1"/>
  <c r="T57" i="6" s="1"/>
  <c r="J57" i="6"/>
  <c r="P56" i="6"/>
  <c r="O56" i="6"/>
  <c r="N56" i="6"/>
  <c r="M56" i="6"/>
  <c r="L56" i="6"/>
  <c r="K56" i="6"/>
  <c r="R56" i="6" s="1"/>
  <c r="T56" i="6" s="1"/>
  <c r="J56" i="6"/>
  <c r="P55" i="6"/>
  <c r="O55" i="6"/>
  <c r="N55" i="6"/>
  <c r="M55" i="6"/>
  <c r="L55" i="6"/>
  <c r="K55" i="6"/>
  <c r="R55" i="6" s="1"/>
  <c r="T55" i="6" s="1"/>
  <c r="J55" i="6"/>
  <c r="P54" i="6"/>
  <c r="O54" i="6"/>
  <c r="N54" i="6"/>
  <c r="M54" i="6"/>
  <c r="L54" i="6"/>
  <c r="K54" i="6"/>
  <c r="R54" i="6" s="1"/>
  <c r="T54" i="6" s="1"/>
  <c r="J54" i="6"/>
  <c r="P53" i="6"/>
  <c r="O53" i="6"/>
  <c r="N53" i="6"/>
  <c r="M53" i="6"/>
  <c r="L53" i="6"/>
  <c r="K53" i="6"/>
  <c r="R53" i="6" s="1"/>
  <c r="T53" i="6" s="1"/>
  <c r="J53" i="6"/>
  <c r="P52" i="6"/>
  <c r="O52" i="6"/>
  <c r="N52" i="6"/>
  <c r="M52" i="6"/>
  <c r="L52" i="6"/>
  <c r="K52" i="6"/>
  <c r="R52" i="6" s="1"/>
  <c r="T52" i="6" s="1"/>
  <c r="J52" i="6"/>
  <c r="R51" i="6"/>
  <c r="T51" i="6" s="1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R50" i="6" s="1"/>
  <c r="T50" i="6" s="1"/>
  <c r="J50" i="6"/>
  <c r="P49" i="6"/>
  <c r="O49" i="6"/>
  <c r="N49" i="6"/>
  <c r="M49" i="6"/>
  <c r="L49" i="6"/>
  <c r="K49" i="6"/>
  <c r="R49" i="6" s="1"/>
  <c r="T49" i="6" s="1"/>
  <c r="J49" i="6"/>
  <c r="P48" i="6"/>
  <c r="O48" i="6"/>
  <c r="N48" i="6"/>
  <c r="M48" i="6"/>
  <c r="L48" i="6"/>
  <c r="K48" i="6"/>
  <c r="R48" i="6" s="1"/>
  <c r="T48" i="6" s="1"/>
  <c r="J48" i="6"/>
  <c r="P47" i="6"/>
  <c r="O47" i="6"/>
  <c r="N47" i="6"/>
  <c r="M47" i="6"/>
  <c r="L47" i="6"/>
  <c r="K47" i="6"/>
  <c r="R47" i="6" s="1"/>
  <c r="T47" i="6" s="1"/>
  <c r="J47" i="6"/>
  <c r="R46" i="6"/>
  <c r="T46" i="6" s="1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R45" i="6" s="1"/>
  <c r="T45" i="6" s="1"/>
  <c r="J45" i="6"/>
  <c r="P44" i="6"/>
  <c r="O44" i="6"/>
  <c r="N44" i="6"/>
  <c r="M44" i="6"/>
  <c r="L44" i="6"/>
  <c r="K44" i="6"/>
  <c r="R44" i="6" s="1"/>
  <c r="T44" i="6" s="1"/>
  <c r="J44" i="6"/>
  <c r="P43" i="6"/>
  <c r="O43" i="6"/>
  <c r="N43" i="6"/>
  <c r="M43" i="6"/>
  <c r="L43" i="6"/>
  <c r="K43" i="6"/>
  <c r="R43" i="6" s="1"/>
  <c r="T43" i="6" s="1"/>
  <c r="J43" i="6"/>
  <c r="P42" i="6"/>
  <c r="O42" i="6"/>
  <c r="N42" i="6"/>
  <c r="M42" i="6"/>
  <c r="L42" i="6"/>
  <c r="K42" i="6"/>
  <c r="R42" i="6" s="1"/>
  <c r="T42" i="6" s="1"/>
  <c r="J42" i="6"/>
  <c r="P41" i="6"/>
  <c r="O41" i="6"/>
  <c r="N41" i="6"/>
  <c r="M41" i="6"/>
  <c r="L41" i="6"/>
  <c r="K41" i="6"/>
  <c r="R41" i="6" s="1"/>
  <c r="T41" i="6" s="1"/>
  <c r="J41" i="6"/>
  <c r="P40" i="6"/>
  <c r="O40" i="6"/>
  <c r="N40" i="6"/>
  <c r="M40" i="6"/>
  <c r="L40" i="6"/>
  <c r="K40" i="6"/>
  <c r="R40" i="6" s="1"/>
  <c r="T40" i="6" s="1"/>
  <c r="J40" i="6"/>
  <c r="P39" i="6"/>
  <c r="O39" i="6"/>
  <c r="N39" i="6"/>
  <c r="M39" i="6"/>
  <c r="L39" i="6"/>
  <c r="K39" i="6"/>
  <c r="R39" i="6" s="1"/>
  <c r="T39" i="6" s="1"/>
  <c r="J39" i="6"/>
  <c r="R38" i="6"/>
  <c r="T38" i="6" s="1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R37" i="6" s="1"/>
  <c r="T37" i="6" s="1"/>
  <c r="J37" i="6"/>
  <c r="P36" i="6"/>
  <c r="O36" i="6"/>
  <c r="N36" i="6"/>
  <c r="M36" i="6"/>
  <c r="L36" i="6"/>
  <c r="K36" i="6"/>
  <c r="R36" i="6" s="1"/>
  <c r="T36" i="6" s="1"/>
  <c r="J36" i="6"/>
  <c r="P35" i="6"/>
  <c r="O35" i="6"/>
  <c r="N35" i="6"/>
  <c r="M35" i="6"/>
  <c r="L35" i="6"/>
  <c r="K35" i="6"/>
  <c r="R35" i="6" s="1"/>
  <c r="T35" i="6" s="1"/>
  <c r="J35" i="6"/>
  <c r="P34" i="6"/>
  <c r="O34" i="6"/>
  <c r="N34" i="6"/>
  <c r="M34" i="6"/>
  <c r="L34" i="6"/>
  <c r="K34" i="6"/>
  <c r="R34" i="6" s="1"/>
  <c r="T34" i="6" s="1"/>
  <c r="J34" i="6"/>
  <c r="P33" i="6"/>
  <c r="O33" i="6"/>
  <c r="N33" i="6"/>
  <c r="M33" i="6"/>
  <c r="L33" i="6"/>
  <c r="K33" i="6"/>
  <c r="R33" i="6" s="1"/>
  <c r="T33" i="6" s="1"/>
  <c r="J33" i="6"/>
  <c r="P32" i="6"/>
  <c r="O32" i="6"/>
  <c r="N32" i="6"/>
  <c r="M32" i="6"/>
  <c r="L32" i="6"/>
  <c r="K32" i="6"/>
  <c r="R32" i="6" s="1"/>
  <c r="T32" i="6" s="1"/>
  <c r="J32" i="6"/>
  <c r="P31" i="6"/>
  <c r="O31" i="6"/>
  <c r="N31" i="6"/>
  <c r="M31" i="6"/>
  <c r="L31" i="6"/>
  <c r="K31" i="6"/>
  <c r="R31" i="6" s="1"/>
  <c r="T31" i="6" s="1"/>
  <c r="J31" i="6"/>
  <c r="P30" i="6"/>
  <c r="O30" i="6"/>
  <c r="N30" i="6"/>
  <c r="M30" i="6"/>
  <c r="L30" i="6"/>
  <c r="K30" i="6"/>
  <c r="R30" i="6" s="1"/>
  <c r="T30" i="6" s="1"/>
  <c r="J30" i="6"/>
  <c r="P29" i="6"/>
  <c r="O29" i="6"/>
  <c r="N29" i="6"/>
  <c r="M29" i="6"/>
  <c r="L29" i="6"/>
  <c r="K29" i="6"/>
  <c r="R29" i="6" s="1"/>
  <c r="T29" i="6" s="1"/>
  <c r="J29" i="6"/>
  <c r="P28" i="6"/>
  <c r="O28" i="6"/>
  <c r="N28" i="6"/>
  <c r="M28" i="6"/>
  <c r="L28" i="6"/>
  <c r="K28" i="6"/>
  <c r="R28" i="6" s="1"/>
  <c r="T28" i="6" s="1"/>
  <c r="J28" i="6"/>
  <c r="P27" i="6"/>
  <c r="O27" i="6"/>
  <c r="N27" i="6"/>
  <c r="M27" i="6"/>
  <c r="L27" i="6"/>
  <c r="K27" i="6"/>
  <c r="R27" i="6" s="1"/>
  <c r="T27" i="6" s="1"/>
  <c r="J27" i="6"/>
  <c r="R26" i="6"/>
  <c r="T26" i="6" s="1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R25" i="6" s="1"/>
  <c r="T25" i="6" s="1"/>
  <c r="J25" i="6"/>
  <c r="P24" i="6"/>
  <c r="O24" i="6"/>
  <c r="N24" i="6"/>
  <c r="M24" i="6"/>
  <c r="L24" i="6"/>
  <c r="K24" i="6"/>
  <c r="R24" i="6" s="1"/>
  <c r="T24" i="6" s="1"/>
  <c r="J24" i="6"/>
  <c r="P23" i="6"/>
  <c r="O23" i="6"/>
  <c r="N23" i="6"/>
  <c r="M23" i="6"/>
  <c r="L23" i="6"/>
  <c r="K23" i="6"/>
  <c r="R23" i="6" s="1"/>
  <c r="T23" i="6" s="1"/>
  <c r="J23" i="6"/>
  <c r="R22" i="6"/>
  <c r="T22" i="6" s="1"/>
  <c r="P22" i="6"/>
  <c r="O22" i="6"/>
  <c r="N22" i="6"/>
  <c r="M22" i="6"/>
  <c r="L22" i="6"/>
  <c r="K22" i="6"/>
  <c r="J22" i="6"/>
  <c r="R21" i="6"/>
  <c r="T21" i="6" s="1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R20" i="6" s="1"/>
  <c r="T20" i="6" s="1"/>
  <c r="J20" i="6"/>
  <c r="P19" i="6"/>
  <c r="O19" i="6"/>
  <c r="N19" i="6"/>
  <c r="M19" i="6"/>
  <c r="L19" i="6"/>
  <c r="K19" i="6"/>
  <c r="R19" i="6" s="1"/>
  <c r="T19" i="6" s="1"/>
  <c r="J19" i="6"/>
  <c r="P18" i="6"/>
  <c r="O18" i="6"/>
  <c r="N18" i="6"/>
  <c r="M18" i="6"/>
  <c r="L18" i="6"/>
  <c r="K18" i="6"/>
  <c r="R18" i="6" s="1"/>
  <c r="T18" i="6" s="1"/>
  <c r="J18" i="6"/>
  <c r="R17" i="6"/>
  <c r="T17" i="6" s="1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R16" i="6" s="1"/>
  <c r="T16" i="6" s="1"/>
  <c r="J16" i="6"/>
  <c r="P15" i="6"/>
  <c r="O15" i="6"/>
  <c r="N15" i="6"/>
  <c r="M15" i="6"/>
  <c r="L15" i="6"/>
  <c r="K15" i="6"/>
  <c r="R15" i="6" s="1"/>
  <c r="T15" i="6" s="1"/>
  <c r="J15" i="6"/>
  <c r="R14" i="6"/>
  <c r="T14" i="6" s="1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R13" i="6" s="1"/>
  <c r="T13" i="6" s="1"/>
  <c r="J13" i="6"/>
  <c r="P12" i="6"/>
  <c r="O12" i="6"/>
  <c r="N12" i="6"/>
  <c r="M12" i="6"/>
  <c r="L12" i="6"/>
  <c r="K12" i="6"/>
  <c r="R12" i="6" s="1"/>
  <c r="T12" i="6" s="1"/>
  <c r="J12" i="6"/>
  <c r="C2" i="6"/>
  <c r="P192" i="5"/>
  <c r="O192" i="5"/>
  <c r="N192" i="5"/>
  <c r="M192" i="5"/>
  <c r="L192" i="5"/>
  <c r="K192" i="5"/>
  <c r="R192" i="5" s="1"/>
  <c r="T192" i="5" s="1"/>
  <c r="J192" i="5"/>
  <c r="P191" i="5"/>
  <c r="O191" i="5"/>
  <c r="N191" i="5"/>
  <c r="M191" i="5"/>
  <c r="L191" i="5"/>
  <c r="K191" i="5"/>
  <c r="R191" i="5" s="1"/>
  <c r="J191" i="5"/>
  <c r="P190" i="5"/>
  <c r="D185" i="4" s="1"/>
  <c r="O190" i="5"/>
  <c r="N190" i="5"/>
  <c r="M190" i="5"/>
  <c r="L190" i="5"/>
  <c r="K190" i="5"/>
  <c r="R190" i="5" s="1"/>
  <c r="T190" i="5" s="1"/>
  <c r="J190" i="5"/>
  <c r="R189" i="5"/>
  <c r="T189" i="5" s="1"/>
  <c r="P189" i="5"/>
  <c r="D184" i="4" s="1"/>
  <c r="O189" i="5"/>
  <c r="N189" i="5"/>
  <c r="M189" i="5"/>
  <c r="L189" i="5"/>
  <c r="K189" i="5"/>
  <c r="J189" i="5"/>
  <c r="P188" i="5"/>
  <c r="D183" i="4" s="1"/>
  <c r="O188" i="5"/>
  <c r="N188" i="5"/>
  <c r="M188" i="5"/>
  <c r="L188" i="5"/>
  <c r="K188" i="5"/>
  <c r="R188" i="5" s="1"/>
  <c r="J188" i="5"/>
  <c r="P187" i="5"/>
  <c r="O187" i="5"/>
  <c r="N187" i="5"/>
  <c r="M187" i="5"/>
  <c r="L187" i="5"/>
  <c r="K187" i="5"/>
  <c r="R187" i="5" s="1"/>
  <c r="J187" i="5"/>
  <c r="R186" i="5"/>
  <c r="T186" i="5" s="1"/>
  <c r="P186" i="5"/>
  <c r="O186" i="5"/>
  <c r="N186" i="5"/>
  <c r="M186" i="5"/>
  <c r="L186" i="5"/>
  <c r="K186" i="5"/>
  <c r="J186" i="5"/>
  <c r="R185" i="5"/>
  <c r="P185" i="5"/>
  <c r="D180" i="4" s="1"/>
  <c r="O185" i="5"/>
  <c r="N185" i="5"/>
  <c r="M185" i="5"/>
  <c r="L185" i="5"/>
  <c r="K185" i="5"/>
  <c r="J185" i="5"/>
  <c r="P184" i="5"/>
  <c r="D179" i="4" s="1"/>
  <c r="O184" i="5"/>
  <c r="N184" i="5"/>
  <c r="M184" i="5"/>
  <c r="L184" i="5"/>
  <c r="K184" i="5"/>
  <c r="R184" i="5" s="1"/>
  <c r="T184" i="5" s="1"/>
  <c r="J184" i="5"/>
  <c r="R183" i="5"/>
  <c r="P183" i="5"/>
  <c r="D178" i="4" s="1"/>
  <c r="O183" i="5"/>
  <c r="N183" i="5"/>
  <c r="M183" i="5"/>
  <c r="L183" i="5"/>
  <c r="K183" i="5"/>
  <c r="J183" i="5"/>
  <c r="P182" i="5"/>
  <c r="O182" i="5"/>
  <c r="N182" i="5"/>
  <c r="M182" i="5"/>
  <c r="L182" i="5"/>
  <c r="K182" i="5"/>
  <c r="R182" i="5" s="1"/>
  <c r="J182" i="5"/>
  <c r="P181" i="5"/>
  <c r="O181" i="5"/>
  <c r="N181" i="5"/>
  <c r="M181" i="5"/>
  <c r="L181" i="5"/>
  <c r="K181" i="5"/>
  <c r="R181" i="5" s="1"/>
  <c r="T181" i="5" s="1"/>
  <c r="J181" i="5"/>
  <c r="P180" i="5"/>
  <c r="O180" i="5"/>
  <c r="N180" i="5"/>
  <c r="M180" i="5"/>
  <c r="L180" i="5"/>
  <c r="K180" i="5"/>
  <c r="R180" i="5" s="1"/>
  <c r="F175" i="4" s="1"/>
  <c r="J180" i="5"/>
  <c r="P179" i="5"/>
  <c r="O179" i="5"/>
  <c r="N179" i="5"/>
  <c r="M179" i="5"/>
  <c r="L179" i="5"/>
  <c r="K179" i="5"/>
  <c r="R179" i="5" s="1"/>
  <c r="J179" i="5"/>
  <c r="T178" i="5"/>
  <c r="P178" i="5"/>
  <c r="D173" i="4" s="1"/>
  <c r="O178" i="5"/>
  <c r="N178" i="5"/>
  <c r="M178" i="5"/>
  <c r="L178" i="5"/>
  <c r="K178" i="5"/>
  <c r="R178" i="5" s="1"/>
  <c r="F173" i="4" s="1"/>
  <c r="J178" i="5"/>
  <c r="P177" i="5"/>
  <c r="O177" i="5"/>
  <c r="N177" i="5"/>
  <c r="M177" i="5"/>
  <c r="L177" i="5"/>
  <c r="K177" i="5"/>
  <c r="R177" i="5" s="1"/>
  <c r="T177" i="5" s="1"/>
  <c r="J177" i="5"/>
  <c r="P176" i="5"/>
  <c r="D171" i="4" s="1"/>
  <c r="O176" i="5"/>
  <c r="N176" i="5"/>
  <c r="M176" i="5"/>
  <c r="L176" i="5"/>
  <c r="K176" i="5"/>
  <c r="R176" i="5" s="1"/>
  <c r="J176" i="5"/>
  <c r="R175" i="5"/>
  <c r="T175" i="5" s="1"/>
  <c r="P175" i="5"/>
  <c r="D170" i="4" s="1"/>
  <c r="O175" i="5"/>
  <c r="N175" i="5"/>
  <c r="M175" i="5"/>
  <c r="L175" i="5"/>
  <c r="K175" i="5"/>
  <c r="J175" i="5"/>
  <c r="R174" i="5"/>
  <c r="P174" i="5"/>
  <c r="D169" i="4" s="1"/>
  <c r="O174" i="5"/>
  <c r="N174" i="5"/>
  <c r="M174" i="5"/>
  <c r="L174" i="5"/>
  <c r="K174" i="5"/>
  <c r="J174" i="5"/>
  <c r="R173" i="5"/>
  <c r="F168" i="4" s="1"/>
  <c r="P173" i="5"/>
  <c r="D168" i="4" s="1"/>
  <c r="O173" i="5"/>
  <c r="N173" i="5"/>
  <c r="M173" i="5"/>
  <c r="L173" i="5"/>
  <c r="K173" i="5"/>
  <c r="J173" i="5"/>
  <c r="P172" i="5"/>
  <c r="D167" i="4" s="1"/>
  <c r="O172" i="5"/>
  <c r="N172" i="5"/>
  <c r="M172" i="5"/>
  <c r="L172" i="5"/>
  <c r="K172" i="5"/>
  <c r="R172" i="5" s="1"/>
  <c r="T172" i="5" s="1"/>
  <c r="J172" i="5"/>
  <c r="P171" i="5"/>
  <c r="D166" i="4" s="1"/>
  <c r="O171" i="5"/>
  <c r="N171" i="5"/>
  <c r="M171" i="5"/>
  <c r="L171" i="5"/>
  <c r="K171" i="5"/>
  <c r="R171" i="5" s="1"/>
  <c r="T171" i="5" s="1"/>
  <c r="J171" i="5"/>
  <c r="R170" i="5"/>
  <c r="F165" i="4" s="1"/>
  <c r="P170" i="5"/>
  <c r="D165" i="4" s="1"/>
  <c r="O170" i="5"/>
  <c r="N170" i="5"/>
  <c r="M170" i="5"/>
  <c r="L170" i="5"/>
  <c r="K170" i="5"/>
  <c r="J170" i="5"/>
  <c r="P169" i="5"/>
  <c r="D164" i="4" s="1"/>
  <c r="O169" i="5"/>
  <c r="N169" i="5"/>
  <c r="M169" i="5"/>
  <c r="L169" i="5"/>
  <c r="K169" i="5"/>
  <c r="R169" i="5" s="1"/>
  <c r="T169" i="5" s="1"/>
  <c r="J169" i="5"/>
  <c r="P168" i="5"/>
  <c r="D163" i="4" s="1"/>
  <c r="O168" i="5"/>
  <c r="N168" i="5"/>
  <c r="M168" i="5"/>
  <c r="L168" i="5"/>
  <c r="K168" i="5"/>
  <c r="R168" i="5" s="1"/>
  <c r="F163" i="4" s="1"/>
  <c r="J168" i="5"/>
  <c r="P167" i="5"/>
  <c r="O167" i="5"/>
  <c r="N167" i="5"/>
  <c r="M167" i="5"/>
  <c r="L167" i="5"/>
  <c r="K167" i="5"/>
  <c r="R167" i="5" s="1"/>
  <c r="T167" i="5" s="1"/>
  <c r="J167" i="5"/>
  <c r="P166" i="5"/>
  <c r="O166" i="5"/>
  <c r="N166" i="5"/>
  <c r="M166" i="5"/>
  <c r="L166" i="5"/>
  <c r="K166" i="5"/>
  <c r="R166" i="5" s="1"/>
  <c r="F161" i="4" s="1"/>
  <c r="J166" i="5"/>
  <c r="P165" i="5"/>
  <c r="D160" i="4" s="1"/>
  <c r="O165" i="5"/>
  <c r="N165" i="5"/>
  <c r="M165" i="5"/>
  <c r="L165" i="5"/>
  <c r="K165" i="5"/>
  <c r="R165" i="5" s="1"/>
  <c r="J165" i="5"/>
  <c r="P164" i="5"/>
  <c r="D159" i="4" s="1"/>
  <c r="O164" i="5"/>
  <c r="N164" i="5"/>
  <c r="M164" i="5"/>
  <c r="L164" i="5"/>
  <c r="K164" i="5"/>
  <c r="R164" i="5" s="1"/>
  <c r="T164" i="5" s="1"/>
  <c r="J164" i="5"/>
  <c r="P163" i="5"/>
  <c r="D158" i="4" s="1"/>
  <c r="O163" i="5"/>
  <c r="N163" i="5"/>
  <c r="M163" i="5"/>
  <c r="L163" i="5"/>
  <c r="K163" i="5"/>
  <c r="R163" i="5" s="1"/>
  <c r="F158" i="4" s="1"/>
  <c r="J163" i="5"/>
  <c r="R162" i="5"/>
  <c r="P162" i="5"/>
  <c r="D157" i="4" s="1"/>
  <c r="O162" i="5"/>
  <c r="N162" i="5"/>
  <c r="M162" i="5"/>
  <c r="L162" i="5"/>
  <c r="K162" i="5"/>
  <c r="J162" i="5"/>
  <c r="P161" i="5"/>
  <c r="O161" i="5"/>
  <c r="N161" i="5"/>
  <c r="M161" i="5"/>
  <c r="L161" i="5"/>
  <c r="K161" i="5"/>
  <c r="R161" i="5" s="1"/>
  <c r="T161" i="5" s="1"/>
  <c r="J161" i="5"/>
  <c r="P160" i="5"/>
  <c r="D155" i="4" s="1"/>
  <c r="O160" i="5"/>
  <c r="N160" i="5"/>
  <c r="M160" i="5"/>
  <c r="L160" i="5"/>
  <c r="K160" i="5"/>
  <c r="R160" i="5" s="1"/>
  <c r="J160" i="5"/>
  <c r="P159" i="5"/>
  <c r="D154" i="4" s="1"/>
  <c r="O159" i="5"/>
  <c r="N159" i="5"/>
  <c r="M159" i="5"/>
  <c r="L159" i="5"/>
  <c r="K159" i="5"/>
  <c r="R159" i="5" s="1"/>
  <c r="J159" i="5"/>
  <c r="P158" i="5"/>
  <c r="O158" i="5"/>
  <c r="N158" i="5"/>
  <c r="M158" i="5"/>
  <c r="L158" i="5"/>
  <c r="K158" i="5"/>
  <c r="R158" i="5" s="1"/>
  <c r="T158" i="5" s="1"/>
  <c r="J158" i="5"/>
  <c r="P157" i="5"/>
  <c r="D152" i="4" s="1"/>
  <c r="O157" i="5"/>
  <c r="N157" i="5"/>
  <c r="M157" i="5"/>
  <c r="L157" i="5"/>
  <c r="K157" i="5"/>
  <c r="R157" i="5" s="1"/>
  <c r="F152" i="4" s="1"/>
  <c r="J157" i="5"/>
  <c r="R156" i="5"/>
  <c r="T156" i="5" s="1"/>
  <c r="P156" i="5"/>
  <c r="O156" i="5"/>
  <c r="N156" i="5"/>
  <c r="M156" i="5"/>
  <c r="L156" i="5"/>
  <c r="K156" i="5"/>
  <c r="J156" i="5"/>
  <c r="P155" i="5"/>
  <c r="D150" i="4" s="1"/>
  <c r="O155" i="5"/>
  <c r="N155" i="5"/>
  <c r="M155" i="5"/>
  <c r="L155" i="5"/>
  <c r="K155" i="5"/>
  <c r="R155" i="5" s="1"/>
  <c r="F150" i="4" s="1"/>
  <c r="J155" i="5"/>
  <c r="P154" i="5"/>
  <c r="D149" i="4" s="1"/>
  <c r="O154" i="5"/>
  <c r="N154" i="5"/>
  <c r="M154" i="5"/>
  <c r="L154" i="5"/>
  <c r="K154" i="5"/>
  <c r="R154" i="5" s="1"/>
  <c r="T154" i="5" s="1"/>
  <c r="J154" i="5"/>
  <c r="P153" i="5"/>
  <c r="D148" i="4" s="1"/>
  <c r="O153" i="5"/>
  <c r="N153" i="5"/>
  <c r="M153" i="5"/>
  <c r="L153" i="5"/>
  <c r="K153" i="5"/>
  <c r="R153" i="5" s="1"/>
  <c r="J153" i="5"/>
  <c r="P152" i="5"/>
  <c r="O152" i="5"/>
  <c r="N152" i="5"/>
  <c r="M152" i="5"/>
  <c r="L152" i="5"/>
  <c r="K152" i="5"/>
  <c r="R152" i="5" s="1"/>
  <c r="J152" i="5"/>
  <c r="P151" i="5"/>
  <c r="D146" i="4" s="1"/>
  <c r="O151" i="5"/>
  <c r="N151" i="5"/>
  <c r="M151" i="5"/>
  <c r="L151" i="5"/>
  <c r="K151" i="5"/>
  <c r="R151" i="5" s="1"/>
  <c r="T151" i="5" s="1"/>
  <c r="J151" i="5"/>
  <c r="P150" i="5"/>
  <c r="D145" i="4" s="1"/>
  <c r="O150" i="5"/>
  <c r="N150" i="5"/>
  <c r="M150" i="5"/>
  <c r="L150" i="5"/>
  <c r="K150" i="5"/>
  <c r="R150" i="5" s="1"/>
  <c r="J150" i="5"/>
  <c r="P149" i="5"/>
  <c r="D144" i="4" s="1"/>
  <c r="O149" i="5"/>
  <c r="N149" i="5"/>
  <c r="M149" i="5"/>
  <c r="L149" i="5"/>
  <c r="K149" i="5"/>
  <c r="R149" i="5" s="1"/>
  <c r="T149" i="5" s="1"/>
  <c r="J149" i="5"/>
  <c r="R148" i="5"/>
  <c r="F143" i="4" s="1"/>
  <c r="P148" i="5"/>
  <c r="D143" i="4" s="1"/>
  <c r="O148" i="5"/>
  <c r="N148" i="5"/>
  <c r="M148" i="5"/>
  <c r="L148" i="5"/>
  <c r="K148" i="5"/>
  <c r="J148" i="5"/>
  <c r="P147" i="5"/>
  <c r="O147" i="5"/>
  <c r="N147" i="5"/>
  <c r="M147" i="5"/>
  <c r="L147" i="5"/>
  <c r="K147" i="5"/>
  <c r="R147" i="5" s="1"/>
  <c r="T147" i="5" s="1"/>
  <c r="J147" i="5"/>
  <c r="P146" i="5"/>
  <c r="D141" i="4" s="1"/>
  <c r="O146" i="5"/>
  <c r="N146" i="5"/>
  <c r="M146" i="5"/>
  <c r="L146" i="5"/>
  <c r="K146" i="5"/>
  <c r="R146" i="5" s="1"/>
  <c r="F141" i="4" s="1"/>
  <c r="J146" i="5"/>
  <c r="P145" i="5"/>
  <c r="D140" i="4" s="1"/>
  <c r="O145" i="5"/>
  <c r="N145" i="5"/>
  <c r="M145" i="5"/>
  <c r="L145" i="5"/>
  <c r="K145" i="5"/>
  <c r="R145" i="5" s="1"/>
  <c r="J145" i="5"/>
  <c r="P144" i="5"/>
  <c r="D139" i="4" s="1"/>
  <c r="O144" i="5"/>
  <c r="N144" i="5"/>
  <c r="M144" i="5"/>
  <c r="L144" i="5"/>
  <c r="K144" i="5"/>
  <c r="R144" i="5" s="1"/>
  <c r="J144" i="5"/>
  <c r="R143" i="5"/>
  <c r="F138" i="4" s="1"/>
  <c r="P143" i="5"/>
  <c r="D138" i="4" s="1"/>
  <c r="O143" i="5"/>
  <c r="N143" i="5"/>
  <c r="M143" i="5"/>
  <c r="L143" i="5"/>
  <c r="K143" i="5"/>
  <c r="J143" i="5"/>
  <c r="P142" i="5"/>
  <c r="O142" i="5"/>
  <c r="N142" i="5"/>
  <c r="M142" i="5"/>
  <c r="L142" i="5"/>
  <c r="K142" i="5"/>
  <c r="R142" i="5" s="1"/>
  <c r="J142" i="5"/>
  <c r="P141" i="5"/>
  <c r="O141" i="5"/>
  <c r="N141" i="5"/>
  <c r="M141" i="5"/>
  <c r="L141" i="5"/>
  <c r="K141" i="5"/>
  <c r="R141" i="5" s="1"/>
  <c r="T141" i="5" s="1"/>
  <c r="J141" i="5"/>
  <c r="R140" i="5"/>
  <c r="P140" i="5"/>
  <c r="D135" i="4" s="1"/>
  <c r="O140" i="5"/>
  <c r="N140" i="5"/>
  <c r="M140" i="5"/>
  <c r="L140" i="5"/>
  <c r="K140" i="5"/>
  <c r="J140" i="5"/>
  <c r="P139" i="5"/>
  <c r="D134" i="4" s="1"/>
  <c r="O139" i="5"/>
  <c r="N139" i="5"/>
  <c r="M139" i="5"/>
  <c r="L139" i="5"/>
  <c r="K139" i="5"/>
  <c r="R139" i="5" s="1"/>
  <c r="T139" i="5" s="1"/>
  <c r="J139" i="5"/>
  <c r="P138" i="5"/>
  <c r="D133" i="4" s="1"/>
  <c r="O138" i="5"/>
  <c r="N138" i="5"/>
  <c r="M138" i="5"/>
  <c r="L138" i="5"/>
  <c r="K138" i="5"/>
  <c r="R138" i="5" s="1"/>
  <c r="F133" i="4" s="1"/>
  <c r="J138" i="5"/>
  <c r="P137" i="5"/>
  <c r="O137" i="5"/>
  <c r="N137" i="5"/>
  <c r="M137" i="5"/>
  <c r="L137" i="5"/>
  <c r="K137" i="5"/>
  <c r="R137" i="5" s="1"/>
  <c r="T137" i="5" s="1"/>
  <c r="J137" i="5"/>
  <c r="P136" i="5"/>
  <c r="D131" i="4" s="1"/>
  <c r="O136" i="5"/>
  <c r="N136" i="5"/>
  <c r="M136" i="5"/>
  <c r="L136" i="5"/>
  <c r="K136" i="5"/>
  <c r="R136" i="5" s="1"/>
  <c r="J136" i="5"/>
  <c r="P135" i="5"/>
  <c r="D130" i="4" s="1"/>
  <c r="O135" i="5"/>
  <c r="N135" i="5"/>
  <c r="M135" i="5"/>
  <c r="L135" i="5"/>
  <c r="K135" i="5"/>
  <c r="R135" i="5" s="1"/>
  <c r="J135" i="5"/>
  <c r="P134" i="5"/>
  <c r="O134" i="5"/>
  <c r="N134" i="5"/>
  <c r="M134" i="5"/>
  <c r="L134" i="5"/>
  <c r="K134" i="5"/>
  <c r="R134" i="5" s="1"/>
  <c r="T134" i="5" s="1"/>
  <c r="J134" i="5"/>
  <c r="P128" i="5"/>
  <c r="D123" i="4" s="1"/>
  <c r="O128" i="5"/>
  <c r="N128" i="5"/>
  <c r="M128" i="5"/>
  <c r="L128" i="5"/>
  <c r="K128" i="5"/>
  <c r="R128" i="5" s="1"/>
  <c r="J128" i="5"/>
  <c r="R127" i="5"/>
  <c r="T127" i="5" s="1"/>
  <c r="P127" i="5"/>
  <c r="D122" i="4" s="1"/>
  <c r="O127" i="5"/>
  <c r="N127" i="5"/>
  <c r="M127" i="5"/>
  <c r="L127" i="5"/>
  <c r="K127" i="5"/>
  <c r="J127" i="5"/>
  <c r="P126" i="5"/>
  <c r="D121" i="4" s="1"/>
  <c r="O126" i="5"/>
  <c r="N126" i="5"/>
  <c r="M126" i="5"/>
  <c r="L126" i="5"/>
  <c r="K126" i="5"/>
  <c r="R126" i="5" s="1"/>
  <c r="J126" i="5"/>
  <c r="P125" i="5"/>
  <c r="O125" i="5"/>
  <c r="N125" i="5"/>
  <c r="M125" i="5"/>
  <c r="L125" i="5"/>
  <c r="K125" i="5"/>
  <c r="R125" i="5" s="1"/>
  <c r="J125" i="5"/>
  <c r="P124" i="5"/>
  <c r="D119" i="4" s="1"/>
  <c r="O124" i="5"/>
  <c r="N124" i="5"/>
  <c r="M124" i="5"/>
  <c r="L124" i="5"/>
  <c r="K124" i="5"/>
  <c r="R124" i="5" s="1"/>
  <c r="F119" i="4" s="1"/>
  <c r="J124" i="5"/>
  <c r="P123" i="5"/>
  <c r="D118" i="4" s="1"/>
  <c r="O123" i="5"/>
  <c r="N123" i="5"/>
  <c r="M123" i="5"/>
  <c r="L123" i="5"/>
  <c r="K123" i="5"/>
  <c r="R123" i="5" s="1"/>
  <c r="J123" i="5"/>
  <c r="R122" i="5"/>
  <c r="T122" i="5" s="1"/>
  <c r="P122" i="5"/>
  <c r="D117" i="4" s="1"/>
  <c r="O122" i="5"/>
  <c r="N122" i="5"/>
  <c r="M122" i="5"/>
  <c r="L122" i="5"/>
  <c r="K122" i="5"/>
  <c r="J122" i="5"/>
  <c r="P121" i="5"/>
  <c r="D116" i="4" s="1"/>
  <c r="O121" i="5"/>
  <c r="N121" i="5"/>
  <c r="M121" i="5"/>
  <c r="L121" i="5"/>
  <c r="K121" i="5"/>
  <c r="R121" i="5" s="1"/>
  <c r="J121" i="5"/>
  <c r="P120" i="5"/>
  <c r="O120" i="5"/>
  <c r="N120" i="5"/>
  <c r="M120" i="5"/>
  <c r="L120" i="5"/>
  <c r="K120" i="5"/>
  <c r="R120" i="5" s="1"/>
  <c r="F115" i="4" s="1"/>
  <c r="J120" i="5"/>
  <c r="P119" i="5"/>
  <c r="D114" i="4" s="1"/>
  <c r="O119" i="5"/>
  <c r="N119" i="5"/>
  <c r="M119" i="5"/>
  <c r="L119" i="5"/>
  <c r="K119" i="5"/>
  <c r="R119" i="5" s="1"/>
  <c r="J119" i="5"/>
  <c r="P118" i="5"/>
  <c r="O118" i="5"/>
  <c r="N118" i="5"/>
  <c r="M118" i="5"/>
  <c r="L118" i="5"/>
  <c r="K118" i="5"/>
  <c r="R118" i="5" s="1"/>
  <c r="J118" i="5"/>
  <c r="R117" i="5"/>
  <c r="F112" i="4" s="1"/>
  <c r="P117" i="5"/>
  <c r="D112" i="4" s="1"/>
  <c r="O117" i="5"/>
  <c r="N117" i="5"/>
  <c r="M117" i="5"/>
  <c r="L117" i="5"/>
  <c r="K117" i="5"/>
  <c r="J117" i="5"/>
  <c r="P116" i="5"/>
  <c r="D111" i="4" s="1"/>
  <c r="O116" i="5"/>
  <c r="N116" i="5"/>
  <c r="M116" i="5"/>
  <c r="L116" i="5"/>
  <c r="K116" i="5"/>
  <c r="R116" i="5" s="1"/>
  <c r="T116" i="5" s="1"/>
  <c r="J116" i="5"/>
  <c r="P115" i="5"/>
  <c r="O115" i="5"/>
  <c r="N115" i="5"/>
  <c r="M115" i="5"/>
  <c r="L115" i="5"/>
  <c r="K115" i="5"/>
  <c r="R115" i="5" s="1"/>
  <c r="F110" i="4" s="1"/>
  <c r="J115" i="5"/>
  <c r="P114" i="5"/>
  <c r="D109" i="4" s="1"/>
  <c r="O114" i="5"/>
  <c r="N114" i="5"/>
  <c r="M114" i="5"/>
  <c r="L114" i="5"/>
  <c r="K114" i="5"/>
  <c r="R114" i="5" s="1"/>
  <c r="T114" i="5" s="1"/>
  <c r="J114" i="5"/>
  <c r="P113" i="5"/>
  <c r="O113" i="5"/>
  <c r="N113" i="5"/>
  <c r="M113" i="5"/>
  <c r="L113" i="5"/>
  <c r="K113" i="5"/>
  <c r="R113" i="5" s="1"/>
  <c r="T113" i="5" s="1"/>
  <c r="J113" i="5"/>
  <c r="P112" i="5"/>
  <c r="D107" i="4" s="1"/>
  <c r="O112" i="5"/>
  <c r="N112" i="5"/>
  <c r="M112" i="5"/>
  <c r="L112" i="5"/>
  <c r="K112" i="5"/>
  <c r="R112" i="5" s="1"/>
  <c r="J112" i="5"/>
  <c r="P111" i="5"/>
  <c r="O111" i="5"/>
  <c r="N111" i="5"/>
  <c r="M111" i="5"/>
  <c r="L111" i="5"/>
  <c r="K111" i="5"/>
  <c r="R111" i="5" s="1"/>
  <c r="J111" i="5"/>
  <c r="P110" i="5"/>
  <c r="O110" i="5"/>
  <c r="N110" i="5"/>
  <c r="M110" i="5"/>
  <c r="L110" i="5"/>
  <c r="K110" i="5"/>
  <c r="R110" i="5" s="1"/>
  <c r="J110" i="5"/>
  <c r="R109" i="5"/>
  <c r="T109" i="5" s="1"/>
  <c r="P109" i="5"/>
  <c r="D104" i="4" s="1"/>
  <c r="O109" i="5"/>
  <c r="N109" i="5"/>
  <c r="M109" i="5"/>
  <c r="L109" i="5"/>
  <c r="K109" i="5"/>
  <c r="J109" i="5"/>
  <c r="P108" i="5"/>
  <c r="D103" i="4" s="1"/>
  <c r="O108" i="5"/>
  <c r="N108" i="5"/>
  <c r="M108" i="5"/>
  <c r="L108" i="5"/>
  <c r="K108" i="5"/>
  <c r="R108" i="5" s="1"/>
  <c r="T108" i="5" s="1"/>
  <c r="J108" i="5"/>
  <c r="P107" i="5"/>
  <c r="O107" i="5"/>
  <c r="N107" i="5"/>
  <c r="M107" i="5"/>
  <c r="L107" i="5"/>
  <c r="K107" i="5"/>
  <c r="R107" i="5" s="1"/>
  <c r="T107" i="5" s="1"/>
  <c r="J107" i="5"/>
  <c r="R106" i="5"/>
  <c r="F101" i="4" s="1"/>
  <c r="P106" i="5"/>
  <c r="D101" i="4" s="1"/>
  <c r="O106" i="5"/>
  <c r="N106" i="5"/>
  <c r="M106" i="5"/>
  <c r="L106" i="5"/>
  <c r="K106" i="5"/>
  <c r="J106" i="5"/>
  <c r="P105" i="5"/>
  <c r="O105" i="5"/>
  <c r="N105" i="5"/>
  <c r="M105" i="5"/>
  <c r="L105" i="5"/>
  <c r="K105" i="5"/>
  <c r="R105" i="5" s="1"/>
  <c r="J105" i="5"/>
  <c r="P104" i="5"/>
  <c r="D99" i="4" s="1"/>
  <c r="O104" i="5"/>
  <c r="N104" i="5"/>
  <c r="M104" i="5"/>
  <c r="L104" i="5"/>
  <c r="K104" i="5"/>
  <c r="R104" i="5" s="1"/>
  <c r="J104" i="5"/>
  <c r="P103" i="5"/>
  <c r="O103" i="5"/>
  <c r="N103" i="5"/>
  <c r="M103" i="5"/>
  <c r="L103" i="5"/>
  <c r="K103" i="5"/>
  <c r="R103" i="5" s="1"/>
  <c r="J103" i="5"/>
  <c r="P102" i="5"/>
  <c r="D97" i="4" s="1"/>
  <c r="O102" i="5"/>
  <c r="N102" i="5"/>
  <c r="M102" i="5"/>
  <c r="L102" i="5"/>
  <c r="K102" i="5"/>
  <c r="R102" i="5" s="1"/>
  <c r="J102" i="5"/>
  <c r="R101" i="5"/>
  <c r="F96" i="4" s="1"/>
  <c r="P101" i="5"/>
  <c r="D96" i="4" s="1"/>
  <c r="O101" i="5"/>
  <c r="N101" i="5"/>
  <c r="M101" i="5"/>
  <c r="L101" i="5"/>
  <c r="K101" i="5"/>
  <c r="J101" i="5"/>
  <c r="P100" i="5"/>
  <c r="O100" i="5"/>
  <c r="N100" i="5"/>
  <c r="M100" i="5"/>
  <c r="L100" i="5"/>
  <c r="K100" i="5"/>
  <c r="R100" i="5" s="1"/>
  <c r="J100" i="5"/>
  <c r="P99" i="5"/>
  <c r="D94" i="4" s="1"/>
  <c r="O99" i="5"/>
  <c r="N99" i="5"/>
  <c r="M99" i="5"/>
  <c r="L99" i="5"/>
  <c r="K99" i="5"/>
  <c r="R99" i="5" s="1"/>
  <c r="J99" i="5"/>
  <c r="R98" i="5"/>
  <c r="F93" i="4" s="1"/>
  <c r="P98" i="5"/>
  <c r="O98" i="5"/>
  <c r="N98" i="5"/>
  <c r="M98" i="5"/>
  <c r="L98" i="5"/>
  <c r="K98" i="5"/>
  <c r="J98" i="5"/>
  <c r="P97" i="5"/>
  <c r="D92" i="4" s="1"/>
  <c r="O97" i="5"/>
  <c r="N97" i="5"/>
  <c r="M97" i="5"/>
  <c r="L97" i="5"/>
  <c r="K97" i="5"/>
  <c r="R97" i="5" s="1"/>
  <c r="F92" i="4" s="1"/>
  <c r="J97" i="5"/>
  <c r="P96" i="5"/>
  <c r="D91" i="4" s="1"/>
  <c r="O96" i="5"/>
  <c r="N96" i="5"/>
  <c r="M96" i="5"/>
  <c r="L96" i="5"/>
  <c r="K96" i="5"/>
  <c r="R96" i="5" s="1"/>
  <c r="J96" i="5"/>
  <c r="P95" i="5"/>
  <c r="O95" i="5"/>
  <c r="N95" i="5"/>
  <c r="M95" i="5"/>
  <c r="L95" i="5"/>
  <c r="K95" i="5"/>
  <c r="R95" i="5" s="1"/>
  <c r="F90" i="4" s="1"/>
  <c r="J95" i="5"/>
  <c r="P94" i="5"/>
  <c r="D89" i="4" s="1"/>
  <c r="O94" i="5"/>
  <c r="N94" i="5"/>
  <c r="M94" i="5"/>
  <c r="L94" i="5"/>
  <c r="K94" i="5"/>
  <c r="R94" i="5" s="1"/>
  <c r="T94" i="5" s="1"/>
  <c r="J94" i="5"/>
  <c r="P93" i="5"/>
  <c r="D88" i="4" s="1"/>
  <c r="O93" i="5"/>
  <c r="N93" i="5"/>
  <c r="M93" i="5"/>
  <c r="L93" i="5"/>
  <c r="K93" i="5"/>
  <c r="R93" i="5" s="1"/>
  <c r="T93" i="5" s="1"/>
  <c r="J93" i="5"/>
  <c r="P92" i="5"/>
  <c r="D87" i="4" s="1"/>
  <c r="O92" i="5"/>
  <c r="N92" i="5"/>
  <c r="M92" i="5"/>
  <c r="L92" i="5"/>
  <c r="K92" i="5"/>
  <c r="R92" i="5" s="1"/>
  <c r="F87" i="4" s="1"/>
  <c r="J92" i="5"/>
  <c r="P91" i="5"/>
  <c r="D86" i="4" s="1"/>
  <c r="O91" i="5"/>
  <c r="N91" i="5"/>
  <c r="M91" i="5"/>
  <c r="L91" i="5"/>
  <c r="K91" i="5"/>
  <c r="R91" i="5" s="1"/>
  <c r="J91" i="5"/>
  <c r="R90" i="5"/>
  <c r="F85" i="4" s="1"/>
  <c r="P90" i="5"/>
  <c r="D85" i="4" s="1"/>
  <c r="O90" i="5"/>
  <c r="N90" i="5"/>
  <c r="M90" i="5"/>
  <c r="L90" i="5"/>
  <c r="K90" i="5"/>
  <c r="J90" i="5"/>
  <c r="P89" i="5"/>
  <c r="D84" i="4" s="1"/>
  <c r="O89" i="5"/>
  <c r="N89" i="5"/>
  <c r="M89" i="5"/>
  <c r="L89" i="5"/>
  <c r="K89" i="5"/>
  <c r="R89" i="5" s="1"/>
  <c r="T89" i="5" s="1"/>
  <c r="J89" i="5"/>
  <c r="P88" i="5"/>
  <c r="O88" i="5"/>
  <c r="N88" i="5"/>
  <c r="M88" i="5"/>
  <c r="L88" i="5"/>
  <c r="K88" i="5"/>
  <c r="R88" i="5" s="1"/>
  <c r="T88" i="5" s="1"/>
  <c r="J88" i="5"/>
  <c r="P87" i="5"/>
  <c r="D82" i="4" s="1"/>
  <c r="O87" i="5"/>
  <c r="N87" i="5"/>
  <c r="M87" i="5"/>
  <c r="L87" i="5"/>
  <c r="K87" i="5"/>
  <c r="R87" i="5" s="1"/>
  <c r="J87" i="5"/>
  <c r="P86" i="5"/>
  <c r="D81" i="4" s="1"/>
  <c r="O86" i="5"/>
  <c r="N86" i="5"/>
  <c r="M86" i="5"/>
  <c r="L86" i="5"/>
  <c r="K86" i="5"/>
  <c r="R86" i="5" s="1"/>
  <c r="F81" i="4" s="1"/>
  <c r="J86" i="5"/>
  <c r="T85" i="5"/>
  <c r="P85" i="5"/>
  <c r="D80" i="4" s="1"/>
  <c r="O85" i="5"/>
  <c r="N85" i="5"/>
  <c r="M85" i="5"/>
  <c r="L85" i="5"/>
  <c r="K85" i="5"/>
  <c r="R85" i="5" s="1"/>
  <c r="F80" i="4" s="1"/>
  <c r="J85" i="5"/>
  <c r="P84" i="5"/>
  <c r="O84" i="5"/>
  <c r="N84" i="5"/>
  <c r="M84" i="5"/>
  <c r="L84" i="5"/>
  <c r="K84" i="5"/>
  <c r="R84" i="5" s="1"/>
  <c r="J84" i="5"/>
  <c r="P83" i="5"/>
  <c r="O83" i="5"/>
  <c r="N83" i="5"/>
  <c r="M83" i="5"/>
  <c r="L83" i="5"/>
  <c r="K83" i="5"/>
  <c r="R83" i="5" s="1"/>
  <c r="J83" i="5"/>
  <c r="P82" i="5"/>
  <c r="O82" i="5"/>
  <c r="N82" i="5"/>
  <c r="M82" i="5"/>
  <c r="L82" i="5"/>
  <c r="K82" i="5"/>
  <c r="R82" i="5" s="1"/>
  <c r="T82" i="5" s="1"/>
  <c r="J82" i="5"/>
  <c r="P81" i="5"/>
  <c r="D76" i="4" s="1"/>
  <c r="O81" i="5"/>
  <c r="N81" i="5"/>
  <c r="M81" i="5"/>
  <c r="L81" i="5"/>
  <c r="K81" i="5"/>
  <c r="R81" i="5" s="1"/>
  <c r="J81" i="5"/>
  <c r="R80" i="5"/>
  <c r="F75" i="4" s="1"/>
  <c r="P80" i="5"/>
  <c r="D75" i="4" s="1"/>
  <c r="O80" i="5"/>
  <c r="N80" i="5"/>
  <c r="M80" i="5"/>
  <c r="L80" i="5"/>
  <c r="K80" i="5"/>
  <c r="J80" i="5"/>
  <c r="P79" i="5"/>
  <c r="D74" i="4" s="1"/>
  <c r="O79" i="5"/>
  <c r="N79" i="5"/>
  <c r="M79" i="5"/>
  <c r="L79" i="5"/>
  <c r="K79" i="5"/>
  <c r="R79" i="5" s="1"/>
  <c r="T79" i="5" s="1"/>
  <c r="J79" i="5"/>
  <c r="P78" i="5"/>
  <c r="O78" i="5"/>
  <c r="N78" i="5"/>
  <c r="M78" i="5"/>
  <c r="L78" i="5"/>
  <c r="K78" i="5"/>
  <c r="R78" i="5" s="1"/>
  <c r="J78" i="5"/>
  <c r="P77" i="5"/>
  <c r="D72" i="4" s="1"/>
  <c r="O77" i="5"/>
  <c r="N77" i="5"/>
  <c r="M77" i="5"/>
  <c r="L77" i="5"/>
  <c r="K77" i="5"/>
  <c r="R77" i="5" s="1"/>
  <c r="J77" i="5"/>
  <c r="R76" i="5"/>
  <c r="P76" i="5"/>
  <c r="D71" i="4" s="1"/>
  <c r="O76" i="5"/>
  <c r="N76" i="5"/>
  <c r="M76" i="5"/>
  <c r="L76" i="5"/>
  <c r="K76" i="5"/>
  <c r="J76" i="5"/>
  <c r="R75" i="5"/>
  <c r="T75" i="5" s="1"/>
  <c r="P75" i="5"/>
  <c r="O75" i="5"/>
  <c r="N75" i="5"/>
  <c r="M75" i="5"/>
  <c r="L75" i="5"/>
  <c r="K75" i="5"/>
  <c r="J75" i="5"/>
  <c r="P74" i="5"/>
  <c r="O74" i="5"/>
  <c r="N74" i="5"/>
  <c r="M74" i="5"/>
  <c r="L74" i="5"/>
  <c r="K74" i="5"/>
  <c r="R74" i="5" s="1"/>
  <c r="J74" i="5"/>
  <c r="P73" i="5"/>
  <c r="O73" i="5"/>
  <c r="N73" i="5"/>
  <c r="M73" i="5"/>
  <c r="L73" i="5"/>
  <c r="K73" i="5"/>
  <c r="R73" i="5" s="1"/>
  <c r="J73" i="5"/>
  <c r="P72" i="5"/>
  <c r="D67" i="4" s="1"/>
  <c r="O72" i="5"/>
  <c r="N72" i="5"/>
  <c r="M72" i="5"/>
  <c r="L72" i="5"/>
  <c r="K72" i="5"/>
  <c r="R72" i="5" s="1"/>
  <c r="J72" i="5"/>
  <c r="P71" i="5"/>
  <c r="O71" i="5"/>
  <c r="N71" i="5"/>
  <c r="M71" i="5"/>
  <c r="L71" i="5"/>
  <c r="K71" i="5"/>
  <c r="R71" i="5" s="1"/>
  <c r="J71" i="5"/>
  <c r="R70" i="5"/>
  <c r="T70" i="5" s="1"/>
  <c r="P70" i="5"/>
  <c r="O70" i="5"/>
  <c r="N70" i="5"/>
  <c r="M70" i="5"/>
  <c r="L70" i="5"/>
  <c r="K70" i="5"/>
  <c r="J70" i="5"/>
  <c r="T64" i="5"/>
  <c r="U64" i="5" s="1"/>
  <c r="P64" i="5"/>
  <c r="D59" i="4" s="1"/>
  <c r="O64" i="5"/>
  <c r="N64" i="5"/>
  <c r="M64" i="5"/>
  <c r="L64" i="5"/>
  <c r="K64" i="5"/>
  <c r="J64" i="5"/>
  <c r="P63" i="5"/>
  <c r="D58" i="4" s="1"/>
  <c r="O63" i="5"/>
  <c r="N63" i="5"/>
  <c r="M63" i="5"/>
  <c r="L63" i="5"/>
  <c r="K63" i="5"/>
  <c r="R63" i="5" s="1"/>
  <c r="T63" i="5" s="1"/>
  <c r="J63" i="5"/>
  <c r="R62" i="5"/>
  <c r="P62" i="5"/>
  <c r="D57" i="4" s="1"/>
  <c r="O62" i="5"/>
  <c r="N62" i="5"/>
  <c r="M62" i="5"/>
  <c r="L62" i="5"/>
  <c r="K62" i="5"/>
  <c r="J62" i="5"/>
  <c r="P61" i="5"/>
  <c r="D56" i="4" s="1"/>
  <c r="O61" i="5"/>
  <c r="N61" i="5"/>
  <c r="M61" i="5"/>
  <c r="L61" i="5"/>
  <c r="K61" i="5"/>
  <c r="R61" i="5" s="1"/>
  <c r="T61" i="5" s="1"/>
  <c r="J61" i="5"/>
  <c r="P60" i="5"/>
  <c r="D55" i="4" s="1"/>
  <c r="O60" i="5"/>
  <c r="N60" i="5"/>
  <c r="M60" i="5"/>
  <c r="L60" i="5"/>
  <c r="K60" i="5"/>
  <c r="R60" i="5" s="1"/>
  <c r="J60" i="5"/>
  <c r="P59" i="5"/>
  <c r="O59" i="5"/>
  <c r="N59" i="5"/>
  <c r="M59" i="5"/>
  <c r="L59" i="5"/>
  <c r="K59" i="5"/>
  <c r="R59" i="5" s="1"/>
  <c r="T59" i="5" s="1"/>
  <c r="J59" i="5"/>
  <c r="P58" i="5"/>
  <c r="O58" i="5"/>
  <c r="N58" i="5"/>
  <c r="M58" i="5"/>
  <c r="L58" i="5"/>
  <c r="K58" i="5"/>
  <c r="R58" i="5" s="1"/>
  <c r="J58" i="5"/>
  <c r="R57" i="5"/>
  <c r="P57" i="5"/>
  <c r="D52" i="4" s="1"/>
  <c r="O57" i="5"/>
  <c r="N57" i="5"/>
  <c r="M57" i="5"/>
  <c r="L57" i="5"/>
  <c r="K57" i="5"/>
  <c r="J57" i="5"/>
  <c r="P56" i="5"/>
  <c r="O56" i="5"/>
  <c r="N56" i="5"/>
  <c r="M56" i="5"/>
  <c r="L56" i="5"/>
  <c r="K56" i="5"/>
  <c r="R56" i="5" s="1"/>
  <c r="T56" i="5" s="1"/>
  <c r="J56" i="5"/>
  <c r="P55" i="5"/>
  <c r="O55" i="5"/>
  <c r="N55" i="5"/>
  <c r="M55" i="5"/>
  <c r="L55" i="5"/>
  <c r="K55" i="5"/>
  <c r="R55" i="5" s="1"/>
  <c r="J55" i="5"/>
  <c r="P54" i="5"/>
  <c r="D49" i="4" s="1"/>
  <c r="O54" i="5"/>
  <c r="N54" i="5"/>
  <c r="M54" i="5"/>
  <c r="L54" i="5"/>
  <c r="K54" i="5"/>
  <c r="R54" i="5" s="1"/>
  <c r="J54" i="5"/>
  <c r="P53" i="5"/>
  <c r="O53" i="5"/>
  <c r="N53" i="5"/>
  <c r="M53" i="5"/>
  <c r="L53" i="5"/>
  <c r="K53" i="5"/>
  <c r="R53" i="5" s="1"/>
  <c r="T53" i="5" s="1"/>
  <c r="J53" i="5"/>
  <c r="P52" i="5"/>
  <c r="D47" i="4" s="1"/>
  <c r="O52" i="5"/>
  <c r="N52" i="5"/>
  <c r="M52" i="5"/>
  <c r="L52" i="5"/>
  <c r="K52" i="5"/>
  <c r="R52" i="5" s="1"/>
  <c r="J52" i="5"/>
  <c r="P51" i="5"/>
  <c r="O51" i="5"/>
  <c r="N51" i="5"/>
  <c r="M51" i="5"/>
  <c r="L51" i="5"/>
  <c r="K51" i="5"/>
  <c r="R51" i="5" s="1"/>
  <c r="T51" i="5" s="1"/>
  <c r="J51" i="5"/>
  <c r="P50" i="5"/>
  <c r="D45" i="4" s="1"/>
  <c r="O50" i="5"/>
  <c r="N50" i="5"/>
  <c r="M50" i="5"/>
  <c r="L50" i="5"/>
  <c r="K50" i="5"/>
  <c r="R50" i="5" s="1"/>
  <c r="J50" i="5"/>
  <c r="P49" i="5"/>
  <c r="O49" i="5"/>
  <c r="N49" i="5"/>
  <c r="M49" i="5"/>
  <c r="L49" i="5"/>
  <c r="K49" i="5"/>
  <c r="R49" i="5" s="1"/>
  <c r="T49" i="5" s="1"/>
  <c r="J49" i="5"/>
  <c r="R48" i="5"/>
  <c r="P48" i="5"/>
  <c r="D43" i="4" s="1"/>
  <c r="O48" i="5"/>
  <c r="N48" i="5"/>
  <c r="M48" i="5"/>
  <c r="L48" i="5"/>
  <c r="K48" i="5"/>
  <c r="J48" i="5"/>
  <c r="P47" i="5"/>
  <c r="D42" i="4" s="1"/>
  <c r="O47" i="5"/>
  <c r="N47" i="5"/>
  <c r="M47" i="5"/>
  <c r="L47" i="5"/>
  <c r="K47" i="5"/>
  <c r="R47" i="5" s="1"/>
  <c r="J47" i="5"/>
  <c r="P46" i="5"/>
  <c r="O46" i="5"/>
  <c r="N46" i="5"/>
  <c r="M46" i="5"/>
  <c r="L46" i="5"/>
  <c r="K46" i="5"/>
  <c r="R46" i="5" s="1"/>
  <c r="T46" i="5" s="1"/>
  <c r="J46" i="5"/>
  <c r="P45" i="5"/>
  <c r="D40" i="4" s="1"/>
  <c r="O45" i="5"/>
  <c r="N45" i="5"/>
  <c r="M45" i="5"/>
  <c r="L45" i="5"/>
  <c r="K45" i="5"/>
  <c r="R45" i="5" s="1"/>
  <c r="T45" i="5" s="1"/>
  <c r="J45" i="5"/>
  <c r="R44" i="5"/>
  <c r="F39" i="4" s="1"/>
  <c r="P44" i="5"/>
  <c r="O44" i="5"/>
  <c r="N44" i="5"/>
  <c r="M44" i="5"/>
  <c r="L44" i="5"/>
  <c r="K44" i="5"/>
  <c r="J44" i="5"/>
  <c r="P43" i="5"/>
  <c r="D38" i="4" s="1"/>
  <c r="O43" i="5"/>
  <c r="N43" i="5"/>
  <c r="M43" i="5"/>
  <c r="L43" i="5"/>
  <c r="K43" i="5"/>
  <c r="R43" i="5" s="1"/>
  <c r="J43" i="5"/>
  <c r="P42" i="5"/>
  <c r="O42" i="5"/>
  <c r="N42" i="5"/>
  <c r="M42" i="5"/>
  <c r="L42" i="5"/>
  <c r="K42" i="5"/>
  <c r="R42" i="5" s="1"/>
  <c r="J42" i="5"/>
  <c r="P41" i="5"/>
  <c r="D36" i="4" s="1"/>
  <c r="O41" i="5"/>
  <c r="N41" i="5"/>
  <c r="M41" i="5"/>
  <c r="L41" i="5"/>
  <c r="K41" i="5"/>
  <c r="R41" i="5" s="1"/>
  <c r="J41" i="5"/>
  <c r="R40" i="5"/>
  <c r="F35" i="4" s="1"/>
  <c r="P40" i="5"/>
  <c r="O40" i="5"/>
  <c r="N40" i="5"/>
  <c r="M40" i="5"/>
  <c r="L40" i="5"/>
  <c r="K40" i="5"/>
  <c r="J40" i="5"/>
  <c r="R39" i="5"/>
  <c r="F34" i="4" s="1"/>
  <c r="P39" i="5"/>
  <c r="D34" i="4" s="1"/>
  <c r="O39" i="5"/>
  <c r="N39" i="5"/>
  <c r="M39" i="5"/>
  <c r="L39" i="5"/>
  <c r="K39" i="5"/>
  <c r="J39" i="5"/>
  <c r="P38" i="5"/>
  <c r="D33" i="4" s="1"/>
  <c r="O38" i="5"/>
  <c r="N38" i="5"/>
  <c r="M38" i="5"/>
  <c r="L38" i="5"/>
  <c r="K38" i="5"/>
  <c r="R38" i="5" s="1"/>
  <c r="J38" i="5"/>
  <c r="P37" i="5"/>
  <c r="O37" i="5"/>
  <c r="N37" i="5"/>
  <c r="M37" i="5"/>
  <c r="L37" i="5"/>
  <c r="K37" i="5"/>
  <c r="R37" i="5" s="1"/>
  <c r="J37" i="5"/>
  <c r="P36" i="5"/>
  <c r="O36" i="5"/>
  <c r="N36" i="5"/>
  <c r="M36" i="5"/>
  <c r="L36" i="5"/>
  <c r="K36" i="5"/>
  <c r="R36" i="5" s="1"/>
  <c r="J36" i="5"/>
  <c r="P35" i="5"/>
  <c r="D30" i="4" s="1"/>
  <c r="O35" i="5"/>
  <c r="N35" i="5"/>
  <c r="M35" i="5"/>
  <c r="L35" i="5"/>
  <c r="K35" i="5"/>
  <c r="R35" i="5" s="1"/>
  <c r="J35" i="5"/>
  <c r="R34" i="5"/>
  <c r="P34" i="5"/>
  <c r="D29" i="4" s="1"/>
  <c r="O34" i="5"/>
  <c r="N34" i="5"/>
  <c r="M34" i="5"/>
  <c r="L34" i="5"/>
  <c r="K34" i="5"/>
  <c r="J34" i="5"/>
  <c r="P33" i="5"/>
  <c r="D28" i="4" s="1"/>
  <c r="O33" i="5"/>
  <c r="N33" i="5"/>
  <c r="M33" i="5"/>
  <c r="L33" i="5"/>
  <c r="K33" i="5"/>
  <c r="R33" i="5" s="1"/>
  <c r="J33" i="5"/>
  <c r="P32" i="5"/>
  <c r="D27" i="4" s="1"/>
  <c r="O32" i="5"/>
  <c r="N32" i="5"/>
  <c r="M32" i="5"/>
  <c r="L32" i="5"/>
  <c r="K32" i="5"/>
  <c r="R32" i="5" s="1"/>
  <c r="T32" i="5" s="1"/>
  <c r="J32" i="5"/>
  <c r="R31" i="5"/>
  <c r="F26" i="4" s="1"/>
  <c r="P31" i="5"/>
  <c r="D26" i="4" s="1"/>
  <c r="O31" i="5"/>
  <c r="N31" i="5"/>
  <c r="M31" i="5"/>
  <c r="L31" i="5"/>
  <c r="K31" i="5"/>
  <c r="J31" i="5"/>
  <c r="P30" i="5"/>
  <c r="O30" i="5"/>
  <c r="N30" i="5"/>
  <c r="M30" i="5"/>
  <c r="L30" i="5"/>
  <c r="K30" i="5"/>
  <c r="R30" i="5" s="1"/>
  <c r="T30" i="5" s="1"/>
  <c r="J30" i="5"/>
  <c r="P29" i="5"/>
  <c r="D24" i="4" s="1"/>
  <c r="O29" i="5"/>
  <c r="N29" i="5"/>
  <c r="M29" i="5"/>
  <c r="L29" i="5"/>
  <c r="K29" i="5"/>
  <c r="R29" i="5" s="1"/>
  <c r="T29" i="5" s="1"/>
  <c r="J29" i="5"/>
  <c r="R28" i="5"/>
  <c r="P28" i="5"/>
  <c r="O28" i="5"/>
  <c r="N28" i="5"/>
  <c r="M28" i="5"/>
  <c r="L28" i="5"/>
  <c r="K28" i="5"/>
  <c r="J28" i="5"/>
  <c r="R27" i="5"/>
  <c r="F22" i="4" s="1"/>
  <c r="P27" i="5"/>
  <c r="D22" i="4" s="1"/>
  <c r="O27" i="5"/>
  <c r="N27" i="5"/>
  <c r="M27" i="5"/>
  <c r="L27" i="5"/>
  <c r="K27" i="5"/>
  <c r="J27" i="5"/>
  <c r="P26" i="5"/>
  <c r="O26" i="5"/>
  <c r="N26" i="5"/>
  <c r="M26" i="5"/>
  <c r="L26" i="5"/>
  <c r="K26" i="5"/>
  <c r="R26" i="5" s="1"/>
  <c r="T26" i="5" s="1"/>
  <c r="J26" i="5"/>
  <c r="P25" i="5"/>
  <c r="O25" i="5"/>
  <c r="N25" i="5"/>
  <c r="M25" i="5"/>
  <c r="L25" i="5"/>
  <c r="K25" i="5"/>
  <c r="R25" i="5" s="1"/>
  <c r="T25" i="5" s="1"/>
  <c r="J25" i="5"/>
  <c r="P24" i="5"/>
  <c r="D19" i="4" s="1"/>
  <c r="O24" i="5"/>
  <c r="N24" i="5"/>
  <c r="M24" i="5"/>
  <c r="L24" i="5"/>
  <c r="K24" i="5"/>
  <c r="R24" i="5" s="1"/>
  <c r="J24" i="5"/>
  <c r="R23" i="5"/>
  <c r="P23" i="5"/>
  <c r="O23" i="5"/>
  <c r="N23" i="5"/>
  <c r="M23" i="5"/>
  <c r="L23" i="5"/>
  <c r="K23" i="5"/>
  <c r="J23" i="5"/>
  <c r="P22" i="5"/>
  <c r="D17" i="4" s="1"/>
  <c r="O22" i="5"/>
  <c r="N22" i="5"/>
  <c r="M22" i="5"/>
  <c r="L22" i="5"/>
  <c r="K22" i="5"/>
  <c r="R22" i="5" s="1"/>
  <c r="F17" i="4" s="1"/>
  <c r="J22" i="5"/>
  <c r="P21" i="5"/>
  <c r="O21" i="5"/>
  <c r="N21" i="5"/>
  <c r="M21" i="5"/>
  <c r="L21" i="5"/>
  <c r="K21" i="5"/>
  <c r="R21" i="5" s="1"/>
  <c r="J21" i="5"/>
  <c r="P20" i="5"/>
  <c r="O20" i="5"/>
  <c r="N20" i="5"/>
  <c r="M20" i="5"/>
  <c r="L20" i="5"/>
  <c r="K20" i="5"/>
  <c r="R20" i="5" s="1"/>
  <c r="T20" i="5" s="1"/>
  <c r="J20" i="5"/>
  <c r="P19" i="5"/>
  <c r="D14" i="4" s="1"/>
  <c r="O19" i="5"/>
  <c r="N19" i="5"/>
  <c r="M19" i="5"/>
  <c r="L19" i="5"/>
  <c r="K19" i="5"/>
  <c r="R19" i="5" s="1"/>
  <c r="T19" i="5" s="1"/>
  <c r="J19" i="5"/>
  <c r="P18" i="5"/>
  <c r="D13" i="4" s="1"/>
  <c r="O18" i="5"/>
  <c r="N18" i="5"/>
  <c r="M18" i="5"/>
  <c r="L18" i="5"/>
  <c r="K18" i="5"/>
  <c r="R18" i="5" s="1"/>
  <c r="J18" i="5"/>
  <c r="P17" i="5"/>
  <c r="O17" i="5"/>
  <c r="N17" i="5"/>
  <c r="M17" i="5"/>
  <c r="L17" i="5"/>
  <c r="K17" i="5"/>
  <c r="R17" i="5" s="1"/>
  <c r="F12" i="4" s="1"/>
  <c r="J17" i="5"/>
  <c r="P16" i="5"/>
  <c r="D11" i="4" s="1"/>
  <c r="O16" i="5"/>
  <c r="N16" i="5"/>
  <c r="M16" i="5"/>
  <c r="L16" i="5"/>
  <c r="K16" i="5"/>
  <c r="R16" i="5" s="1"/>
  <c r="T16" i="5" s="1"/>
  <c r="J16" i="5"/>
  <c r="P15" i="5"/>
  <c r="O15" i="5"/>
  <c r="N15" i="5"/>
  <c r="M15" i="5"/>
  <c r="L15" i="5"/>
  <c r="K15" i="5"/>
  <c r="R15" i="5" s="1"/>
  <c r="T15" i="5" s="1"/>
  <c r="J15" i="5"/>
  <c r="P14" i="5"/>
  <c r="D9" i="4" s="1"/>
  <c r="O14" i="5"/>
  <c r="N14" i="5"/>
  <c r="M14" i="5"/>
  <c r="L14" i="5"/>
  <c r="K14" i="5"/>
  <c r="R14" i="5" s="1"/>
  <c r="T14" i="5" s="1"/>
  <c r="J14" i="5"/>
  <c r="P13" i="5"/>
  <c r="D8" i="4" s="1"/>
  <c r="O13" i="5"/>
  <c r="N13" i="5"/>
  <c r="M13" i="5"/>
  <c r="L13" i="5"/>
  <c r="K13" i="5"/>
  <c r="R13" i="5" s="1"/>
  <c r="T13" i="5" s="1"/>
  <c r="J13" i="5"/>
  <c r="P12" i="5"/>
  <c r="D7" i="4" s="1"/>
  <c r="O12" i="5"/>
  <c r="N12" i="5"/>
  <c r="M12" i="5"/>
  <c r="L12" i="5"/>
  <c r="K12" i="5"/>
  <c r="R12" i="5" s="1"/>
  <c r="T12" i="5" s="1"/>
  <c r="J12" i="5"/>
  <c r="C2" i="5"/>
  <c r="E187" i="4"/>
  <c r="D187" i="4"/>
  <c r="C187" i="4"/>
  <c r="B187" i="4"/>
  <c r="E186" i="4"/>
  <c r="D186" i="4"/>
  <c r="C186" i="4"/>
  <c r="B186" i="4"/>
  <c r="E185" i="4"/>
  <c r="C185" i="4"/>
  <c r="B185" i="4"/>
  <c r="E184" i="4"/>
  <c r="C184" i="4"/>
  <c r="B184" i="4"/>
  <c r="E183" i="4"/>
  <c r="C183" i="4"/>
  <c r="B183" i="4"/>
  <c r="E182" i="4"/>
  <c r="D182" i="4"/>
  <c r="C182" i="4"/>
  <c r="B182" i="4"/>
  <c r="F181" i="4"/>
  <c r="E181" i="4"/>
  <c r="D181" i="4"/>
  <c r="C181" i="4"/>
  <c r="B181" i="4"/>
  <c r="E180" i="4"/>
  <c r="C180" i="4"/>
  <c r="B180" i="4"/>
  <c r="E179" i="4"/>
  <c r="C179" i="4"/>
  <c r="B179" i="4"/>
  <c r="E178" i="4"/>
  <c r="C178" i="4"/>
  <c r="B178" i="4"/>
  <c r="E177" i="4"/>
  <c r="D177" i="4"/>
  <c r="C177" i="4"/>
  <c r="B177" i="4"/>
  <c r="E176" i="4"/>
  <c r="D176" i="4"/>
  <c r="C176" i="4"/>
  <c r="B176" i="4"/>
  <c r="E175" i="4"/>
  <c r="D175" i="4"/>
  <c r="C175" i="4"/>
  <c r="B175" i="4"/>
  <c r="E174" i="4"/>
  <c r="D174" i="4"/>
  <c r="C174" i="4"/>
  <c r="B174" i="4"/>
  <c r="E173" i="4"/>
  <c r="C173" i="4"/>
  <c r="B173" i="4"/>
  <c r="F172" i="4"/>
  <c r="E172" i="4"/>
  <c r="D172" i="4"/>
  <c r="C172" i="4"/>
  <c r="B172" i="4"/>
  <c r="E171" i="4"/>
  <c r="C171" i="4"/>
  <c r="B171" i="4"/>
  <c r="E170" i="4"/>
  <c r="C170" i="4"/>
  <c r="B170" i="4"/>
  <c r="E169" i="4"/>
  <c r="C169" i="4"/>
  <c r="B169" i="4"/>
  <c r="E168" i="4"/>
  <c r="C168" i="4"/>
  <c r="B168" i="4"/>
  <c r="F167" i="4"/>
  <c r="E167" i="4"/>
  <c r="C167" i="4"/>
  <c r="B167" i="4"/>
  <c r="F166" i="4"/>
  <c r="E166" i="4"/>
  <c r="C166" i="4"/>
  <c r="B166" i="4"/>
  <c r="E165" i="4"/>
  <c r="C165" i="4"/>
  <c r="B165" i="4"/>
  <c r="E164" i="4"/>
  <c r="C164" i="4"/>
  <c r="B164" i="4"/>
  <c r="E163" i="4"/>
  <c r="C163" i="4"/>
  <c r="B163" i="4"/>
  <c r="F162" i="4"/>
  <c r="E162" i="4"/>
  <c r="D162" i="4"/>
  <c r="C162" i="4"/>
  <c r="B162" i="4"/>
  <c r="E161" i="4"/>
  <c r="D161" i="4"/>
  <c r="C161" i="4"/>
  <c r="B161" i="4"/>
  <c r="E160" i="4"/>
  <c r="C160" i="4"/>
  <c r="B160" i="4"/>
  <c r="F159" i="4"/>
  <c r="E159" i="4"/>
  <c r="C159" i="4"/>
  <c r="B159" i="4"/>
  <c r="E158" i="4"/>
  <c r="C158" i="4"/>
  <c r="B158" i="4"/>
  <c r="E157" i="4"/>
  <c r="C157" i="4"/>
  <c r="B157" i="4"/>
  <c r="F156" i="4"/>
  <c r="E156" i="4"/>
  <c r="D156" i="4"/>
  <c r="C156" i="4"/>
  <c r="B156" i="4"/>
  <c r="E155" i="4"/>
  <c r="C155" i="4"/>
  <c r="B155" i="4"/>
  <c r="E154" i="4"/>
  <c r="C154" i="4"/>
  <c r="B154" i="4"/>
  <c r="E153" i="4"/>
  <c r="D153" i="4"/>
  <c r="C153" i="4"/>
  <c r="B153" i="4"/>
  <c r="E152" i="4"/>
  <c r="C152" i="4"/>
  <c r="B152" i="4"/>
  <c r="F151" i="4"/>
  <c r="E151" i="4"/>
  <c r="D151" i="4"/>
  <c r="C151" i="4"/>
  <c r="B151" i="4"/>
  <c r="E150" i="4"/>
  <c r="C150" i="4"/>
  <c r="B150" i="4"/>
  <c r="F149" i="4"/>
  <c r="E149" i="4"/>
  <c r="C149" i="4"/>
  <c r="B149" i="4"/>
  <c r="E148" i="4"/>
  <c r="C148" i="4"/>
  <c r="B148" i="4"/>
  <c r="E147" i="4"/>
  <c r="D147" i="4"/>
  <c r="C147" i="4"/>
  <c r="B147" i="4"/>
  <c r="F146" i="4"/>
  <c r="E146" i="4"/>
  <c r="C146" i="4"/>
  <c r="B146" i="4"/>
  <c r="E145" i="4"/>
  <c r="C145" i="4"/>
  <c r="B145" i="4"/>
  <c r="E144" i="4"/>
  <c r="C144" i="4"/>
  <c r="B144" i="4"/>
  <c r="E143" i="4"/>
  <c r="C143" i="4"/>
  <c r="B143" i="4"/>
  <c r="E142" i="4"/>
  <c r="D142" i="4"/>
  <c r="C142" i="4"/>
  <c r="B142" i="4"/>
  <c r="E141" i="4"/>
  <c r="C141" i="4"/>
  <c r="B141" i="4"/>
  <c r="E140" i="4"/>
  <c r="C140" i="4"/>
  <c r="B140" i="4"/>
  <c r="E139" i="4"/>
  <c r="C139" i="4"/>
  <c r="B139" i="4"/>
  <c r="E138" i="4"/>
  <c r="C138" i="4"/>
  <c r="B138" i="4"/>
  <c r="E137" i="4"/>
  <c r="D137" i="4"/>
  <c r="C137" i="4"/>
  <c r="B137" i="4"/>
  <c r="E136" i="4"/>
  <c r="D136" i="4"/>
  <c r="C136" i="4"/>
  <c r="B136" i="4"/>
  <c r="E135" i="4"/>
  <c r="C135" i="4"/>
  <c r="B135" i="4"/>
  <c r="E134" i="4"/>
  <c r="C134" i="4"/>
  <c r="B134" i="4"/>
  <c r="E133" i="4"/>
  <c r="C133" i="4"/>
  <c r="B133" i="4"/>
  <c r="F132" i="4"/>
  <c r="E132" i="4"/>
  <c r="D132" i="4"/>
  <c r="C132" i="4"/>
  <c r="B132" i="4"/>
  <c r="E131" i="4"/>
  <c r="C131" i="4"/>
  <c r="B131" i="4"/>
  <c r="E130" i="4"/>
  <c r="C130" i="4"/>
  <c r="B130" i="4"/>
  <c r="E129" i="4"/>
  <c r="D129" i="4"/>
  <c r="C129" i="4"/>
  <c r="B129" i="4"/>
  <c r="E123" i="4"/>
  <c r="C123" i="4"/>
  <c r="B123" i="4"/>
  <c r="E122" i="4"/>
  <c r="C122" i="4"/>
  <c r="B122" i="4"/>
  <c r="E121" i="4"/>
  <c r="C121" i="4"/>
  <c r="B121" i="4"/>
  <c r="E120" i="4"/>
  <c r="D120" i="4"/>
  <c r="C120" i="4"/>
  <c r="B120" i="4"/>
  <c r="E119" i="4"/>
  <c r="C119" i="4"/>
  <c r="B119" i="4"/>
  <c r="E118" i="4"/>
  <c r="C118" i="4"/>
  <c r="B118" i="4"/>
  <c r="E117" i="4"/>
  <c r="C117" i="4"/>
  <c r="B117" i="4"/>
  <c r="E116" i="4"/>
  <c r="C116" i="4"/>
  <c r="B116" i="4"/>
  <c r="E115" i="4"/>
  <c r="D115" i="4"/>
  <c r="C115" i="4"/>
  <c r="B115" i="4"/>
  <c r="E114" i="4"/>
  <c r="C114" i="4"/>
  <c r="B114" i="4"/>
  <c r="E113" i="4"/>
  <c r="D113" i="4"/>
  <c r="C113" i="4"/>
  <c r="B113" i="4"/>
  <c r="E112" i="4"/>
  <c r="C112" i="4"/>
  <c r="B112" i="4"/>
  <c r="F111" i="4"/>
  <c r="E111" i="4"/>
  <c r="C111" i="4"/>
  <c r="B111" i="4"/>
  <c r="E110" i="4"/>
  <c r="D110" i="4"/>
  <c r="C110" i="4"/>
  <c r="B110" i="4"/>
  <c r="F109" i="4"/>
  <c r="E109" i="4"/>
  <c r="C109" i="4"/>
  <c r="B109" i="4"/>
  <c r="E108" i="4"/>
  <c r="D108" i="4"/>
  <c r="C108" i="4"/>
  <c r="B108" i="4"/>
  <c r="E107" i="4"/>
  <c r="C107" i="4"/>
  <c r="B107" i="4"/>
  <c r="E106" i="4"/>
  <c r="D106" i="4"/>
  <c r="C106" i="4"/>
  <c r="B106" i="4"/>
  <c r="E105" i="4"/>
  <c r="D105" i="4"/>
  <c r="C105" i="4"/>
  <c r="B105" i="4"/>
  <c r="F104" i="4"/>
  <c r="E104" i="4"/>
  <c r="C104" i="4"/>
  <c r="B104" i="4"/>
  <c r="E103" i="4"/>
  <c r="C103" i="4"/>
  <c r="B103" i="4"/>
  <c r="E102" i="4"/>
  <c r="D102" i="4"/>
  <c r="C102" i="4"/>
  <c r="B102" i="4"/>
  <c r="E101" i="4"/>
  <c r="C101" i="4"/>
  <c r="B101" i="4"/>
  <c r="E100" i="4"/>
  <c r="D100" i="4"/>
  <c r="C100" i="4"/>
  <c r="B100" i="4"/>
  <c r="E99" i="4"/>
  <c r="C99" i="4"/>
  <c r="B99" i="4"/>
  <c r="E98" i="4"/>
  <c r="D98" i="4"/>
  <c r="C98" i="4"/>
  <c r="B98" i="4"/>
  <c r="E97" i="4"/>
  <c r="C97" i="4"/>
  <c r="B97" i="4"/>
  <c r="E96" i="4"/>
  <c r="C96" i="4"/>
  <c r="B96" i="4"/>
  <c r="E95" i="4"/>
  <c r="D95" i="4"/>
  <c r="C95" i="4"/>
  <c r="B95" i="4"/>
  <c r="E94" i="4"/>
  <c r="C94" i="4"/>
  <c r="B94" i="4"/>
  <c r="E93" i="4"/>
  <c r="D93" i="4"/>
  <c r="C93" i="4"/>
  <c r="B93" i="4"/>
  <c r="E92" i="4"/>
  <c r="C92" i="4"/>
  <c r="B92" i="4"/>
  <c r="E91" i="4"/>
  <c r="C91" i="4"/>
  <c r="B91" i="4"/>
  <c r="E90" i="4"/>
  <c r="D90" i="4"/>
  <c r="C90" i="4"/>
  <c r="B90" i="4"/>
  <c r="F89" i="4"/>
  <c r="E89" i="4"/>
  <c r="C89" i="4"/>
  <c r="B89" i="4"/>
  <c r="E88" i="4"/>
  <c r="C88" i="4"/>
  <c r="B88" i="4"/>
  <c r="E87" i="4"/>
  <c r="C87" i="4"/>
  <c r="B87" i="4"/>
  <c r="E86" i="4"/>
  <c r="C86" i="4"/>
  <c r="B86" i="4"/>
  <c r="E85" i="4"/>
  <c r="C85" i="4"/>
  <c r="B85" i="4"/>
  <c r="E84" i="4"/>
  <c r="C84" i="4"/>
  <c r="B84" i="4"/>
  <c r="F83" i="4"/>
  <c r="E83" i="4"/>
  <c r="D83" i="4"/>
  <c r="C83" i="4"/>
  <c r="B83" i="4"/>
  <c r="E82" i="4"/>
  <c r="C82" i="4"/>
  <c r="B82" i="4"/>
  <c r="E81" i="4"/>
  <c r="C81" i="4"/>
  <c r="B81" i="4"/>
  <c r="E80" i="4"/>
  <c r="C80" i="4"/>
  <c r="B80" i="4"/>
  <c r="E79" i="4"/>
  <c r="D79" i="4"/>
  <c r="C79" i="4"/>
  <c r="B79" i="4"/>
  <c r="E78" i="4"/>
  <c r="D78" i="4"/>
  <c r="C78" i="4"/>
  <c r="B78" i="4"/>
  <c r="F77" i="4"/>
  <c r="E77" i="4"/>
  <c r="D77" i="4"/>
  <c r="C77" i="4"/>
  <c r="B77" i="4"/>
  <c r="E76" i="4"/>
  <c r="C76" i="4"/>
  <c r="B76" i="4"/>
  <c r="E75" i="4"/>
  <c r="C75" i="4"/>
  <c r="B75" i="4"/>
  <c r="F74" i="4"/>
  <c r="E74" i="4"/>
  <c r="C74" i="4"/>
  <c r="B74" i="4"/>
  <c r="E73" i="4"/>
  <c r="D73" i="4"/>
  <c r="C73" i="4"/>
  <c r="B73" i="4"/>
  <c r="E72" i="4"/>
  <c r="C72" i="4"/>
  <c r="B72" i="4"/>
  <c r="E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C67" i="4"/>
  <c r="B67" i="4"/>
  <c r="E66" i="4"/>
  <c r="D66" i="4"/>
  <c r="C66" i="4"/>
  <c r="B66" i="4"/>
  <c r="F65" i="4"/>
  <c r="E65" i="4"/>
  <c r="D65" i="4"/>
  <c r="C65" i="4"/>
  <c r="B65" i="4"/>
  <c r="F59" i="4"/>
  <c r="E59" i="4"/>
  <c r="C59" i="4"/>
  <c r="B59" i="4"/>
  <c r="F58" i="4"/>
  <c r="E58" i="4"/>
  <c r="C58" i="4"/>
  <c r="B58" i="4"/>
  <c r="E57" i="4"/>
  <c r="C57" i="4"/>
  <c r="B57" i="4"/>
  <c r="F56" i="4"/>
  <c r="E56" i="4"/>
  <c r="C56" i="4"/>
  <c r="B56" i="4"/>
  <c r="E55" i="4"/>
  <c r="C55" i="4"/>
  <c r="B55" i="4"/>
  <c r="E54" i="4"/>
  <c r="D54" i="4"/>
  <c r="C54" i="4"/>
  <c r="B54" i="4"/>
  <c r="E53" i="4"/>
  <c r="D53" i="4"/>
  <c r="C53" i="4"/>
  <c r="B53" i="4"/>
  <c r="E52" i="4"/>
  <c r="C52" i="4"/>
  <c r="B52" i="4"/>
  <c r="F51" i="4"/>
  <c r="E51" i="4"/>
  <c r="D51" i="4"/>
  <c r="C51" i="4"/>
  <c r="B51" i="4"/>
  <c r="E50" i="4"/>
  <c r="D50" i="4"/>
  <c r="C50" i="4"/>
  <c r="B50" i="4"/>
  <c r="E49" i="4"/>
  <c r="C49" i="4"/>
  <c r="B49" i="4"/>
  <c r="F48" i="4"/>
  <c r="E48" i="4"/>
  <c r="D48" i="4"/>
  <c r="C48" i="4"/>
  <c r="B48" i="4"/>
  <c r="E47" i="4"/>
  <c r="C47" i="4"/>
  <c r="B47" i="4"/>
  <c r="E46" i="4"/>
  <c r="D46" i="4"/>
  <c r="C46" i="4"/>
  <c r="B46" i="4"/>
  <c r="E45" i="4"/>
  <c r="C45" i="4"/>
  <c r="B45" i="4"/>
  <c r="F44" i="4"/>
  <c r="E44" i="4"/>
  <c r="D44" i="4"/>
  <c r="C44" i="4"/>
  <c r="B44" i="4"/>
  <c r="E43" i="4"/>
  <c r="C43" i="4"/>
  <c r="B43" i="4"/>
  <c r="E42" i="4"/>
  <c r="C42" i="4"/>
  <c r="B42" i="4"/>
  <c r="E41" i="4"/>
  <c r="D41" i="4"/>
  <c r="C41" i="4"/>
  <c r="B41" i="4"/>
  <c r="F40" i="4"/>
  <c r="E40" i="4"/>
  <c r="C40" i="4"/>
  <c r="B40" i="4"/>
  <c r="E39" i="4"/>
  <c r="D39" i="4"/>
  <c r="C39" i="4"/>
  <c r="B39" i="4"/>
  <c r="E38" i="4"/>
  <c r="C38" i="4"/>
  <c r="B38" i="4"/>
  <c r="E37" i="4"/>
  <c r="D37" i="4"/>
  <c r="C37" i="4"/>
  <c r="B37" i="4"/>
  <c r="E36" i="4"/>
  <c r="C36" i="4"/>
  <c r="B36" i="4"/>
  <c r="E35" i="4"/>
  <c r="D35" i="4"/>
  <c r="C35" i="4"/>
  <c r="B35" i="4"/>
  <c r="E34" i="4"/>
  <c r="C34" i="4"/>
  <c r="B34" i="4"/>
  <c r="E33" i="4"/>
  <c r="C33" i="4"/>
  <c r="B33" i="4"/>
  <c r="E32" i="4"/>
  <c r="D32" i="4"/>
  <c r="C32" i="4"/>
  <c r="B32" i="4"/>
  <c r="E31" i="4"/>
  <c r="D31" i="4"/>
  <c r="C31" i="4"/>
  <c r="B31" i="4"/>
  <c r="E30" i="4"/>
  <c r="C30" i="4"/>
  <c r="B30" i="4"/>
  <c r="E29" i="4"/>
  <c r="C29" i="4"/>
  <c r="B29" i="4"/>
  <c r="E28" i="4"/>
  <c r="C28" i="4"/>
  <c r="B28" i="4"/>
  <c r="E27" i="4"/>
  <c r="C27" i="4"/>
  <c r="B27" i="4"/>
  <c r="E26" i="4"/>
  <c r="C26" i="4"/>
  <c r="B26" i="4"/>
  <c r="E25" i="4"/>
  <c r="D25" i="4"/>
  <c r="C25" i="4"/>
  <c r="B25" i="4"/>
  <c r="F24" i="4"/>
  <c r="E24" i="4"/>
  <c r="C24" i="4"/>
  <c r="B24" i="4"/>
  <c r="E23" i="4"/>
  <c r="D23" i="4"/>
  <c r="C23" i="4"/>
  <c r="B23" i="4"/>
  <c r="E22" i="4"/>
  <c r="C22" i="4"/>
  <c r="B22" i="4"/>
  <c r="E21" i="4"/>
  <c r="D21" i="4"/>
  <c r="C21" i="4"/>
  <c r="B21" i="4"/>
  <c r="E20" i="4"/>
  <c r="D20" i="4"/>
  <c r="C20" i="4"/>
  <c r="B20" i="4"/>
  <c r="E19" i="4"/>
  <c r="C19" i="4"/>
  <c r="B19" i="4"/>
  <c r="E18" i="4"/>
  <c r="D18" i="4"/>
  <c r="C18" i="4"/>
  <c r="B18" i="4"/>
  <c r="E17" i="4"/>
  <c r="C17" i="4"/>
  <c r="B17" i="4"/>
  <c r="E16" i="4"/>
  <c r="D16" i="4"/>
  <c r="C16" i="4"/>
  <c r="B16" i="4"/>
  <c r="E15" i="4"/>
  <c r="D15" i="4"/>
  <c r="C15" i="4"/>
  <c r="B15" i="4"/>
  <c r="E14" i="4"/>
  <c r="C14" i="4"/>
  <c r="B14" i="4"/>
  <c r="E13" i="4"/>
  <c r="C13" i="4"/>
  <c r="B13" i="4"/>
  <c r="E12" i="4"/>
  <c r="D12" i="4"/>
  <c r="C12" i="4"/>
  <c r="B12" i="4"/>
  <c r="F11" i="4"/>
  <c r="E11" i="4"/>
  <c r="C11" i="4"/>
  <c r="B11" i="4"/>
  <c r="E10" i="4"/>
  <c r="D10" i="4"/>
  <c r="C10" i="4"/>
  <c r="B10" i="4"/>
  <c r="E9" i="4"/>
  <c r="C9" i="4"/>
  <c r="B9" i="4"/>
  <c r="F8" i="4"/>
  <c r="E8" i="4"/>
  <c r="C8" i="4"/>
  <c r="B8" i="4"/>
  <c r="F7" i="4"/>
  <c r="E7" i="4"/>
  <c r="C7" i="4"/>
  <c r="B7" i="4"/>
  <c r="C3" i="4"/>
  <c r="D30" i="1"/>
  <c r="C30" i="1"/>
  <c r="B30" i="1"/>
  <c r="D26" i="1"/>
  <c r="C26" i="1"/>
  <c r="B26" i="1"/>
  <c r="F49" i="4" l="1"/>
  <c r="T54" i="5"/>
  <c r="F76" i="4"/>
  <c r="T81" i="5"/>
  <c r="F107" i="4"/>
  <c r="T112" i="5"/>
  <c r="T104" i="5"/>
  <c r="F99" i="4"/>
  <c r="T55" i="5"/>
  <c r="F50" i="4"/>
  <c r="T128" i="5"/>
  <c r="F123" i="4"/>
  <c r="T73" i="5"/>
  <c r="U88" i="5" s="1"/>
  <c r="V88" i="5" s="1"/>
  <c r="F68" i="4"/>
  <c r="F113" i="4"/>
  <c r="T118" i="5"/>
  <c r="T50" i="5"/>
  <c r="F45" i="4"/>
  <c r="T160" i="5"/>
  <c r="F155" i="4"/>
  <c r="F37" i="4"/>
  <c r="T42" i="5"/>
  <c r="F67" i="4"/>
  <c r="T72" i="5"/>
  <c r="T102" i="5"/>
  <c r="F97" i="4"/>
  <c r="T37" i="5"/>
  <c r="F32" i="4"/>
  <c r="T40" i="5"/>
  <c r="T33" i="5"/>
  <c r="F28" i="4"/>
  <c r="T48" i="5"/>
  <c r="F43" i="4"/>
  <c r="F54" i="4"/>
  <c r="T144" i="5"/>
  <c r="F139" i="4"/>
  <c r="T52" i="5"/>
  <c r="F47" i="4"/>
  <c r="F9" i="4"/>
  <c r="F122" i="4"/>
  <c r="T110" i="5"/>
  <c r="F105" i="4"/>
  <c r="F142" i="4"/>
  <c r="T105" i="5"/>
  <c r="F100" i="4"/>
  <c r="F70" i="4"/>
  <c r="F41" i="4"/>
  <c r="F153" i="4"/>
  <c r="T44" i="5"/>
  <c r="T174" i="5"/>
  <c r="F169" i="4"/>
  <c r="F82" i="4"/>
  <c r="T87" i="5"/>
  <c r="T76" i="5"/>
  <c r="F71" i="4"/>
  <c r="T140" i="5"/>
  <c r="F135" i="4"/>
  <c r="T98" i="5"/>
  <c r="F176" i="4"/>
  <c r="T143" i="5"/>
  <c r="T173" i="5"/>
  <c r="F187" i="4"/>
  <c r="F117" i="4"/>
  <c r="F15" i="4"/>
  <c r="F179" i="4"/>
  <c r="F103" i="4"/>
  <c r="F129" i="4"/>
  <c r="U39" i="6"/>
  <c r="V39" i="6" s="1"/>
  <c r="X39" i="6" s="1"/>
  <c r="F136" i="4"/>
  <c r="T91" i="5"/>
  <c r="F86" i="4"/>
  <c r="F20" i="4"/>
  <c r="F46" i="4"/>
  <c r="F140" i="4"/>
  <c r="T145" i="5"/>
  <c r="F184" i="4"/>
  <c r="T23" i="5"/>
  <c r="F18" i="4"/>
  <c r="F108" i="4"/>
  <c r="F134" i="4"/>
  <c r="F27" i="4"/>
  <c r="F170" i="4"/>
  <c r="T38" i="5"/>
  <c r="F33" i="4"/>
  <c r="U88" i="6"/>
  <c r="V88" i="6" s="1"/>
  <c r="T35" i="5"/>
  <c r="F30" i="4"/>
  <c r="F42" i="4"/>
  <c r="T47" i="5"/>
  <c r="T78" i="5"/>
  <c r="F73" i="4"/>
  <c r="T101" i="5"/>
  <c r="T119" i="5"/>
  <c r="F114" i="4"/>
  <c r="T159" i="5"/>
  <c r="F154" i="4"/>
  <c r="U86" i="6"/>
  <c r="V86" i="6" s="1"/>
  <c r="F57" i="4"/>
  <c r="T62" i="5"/>
  <c r="T135" i="5"/>
  <c r="F130" i="4"/>
  <c r="T84" i="5"/>
  <c r="F79" i="4"/>
  <c r="F52" i="4"/>
  <c r="T57" i="5"/>
  <c r="T125" i="5"/>
  <c r="F120" i="4"/>
  <c r="T115" i="5"/>
  <c r="F180" i="4"/>
  <c r="T185" i="5"/>
  <c r="F55" i="4"/>
  <c r="T60" i="5"/>
  <c r="F98" i="4"/>
  <c r="T103" i="5"/>
  <c r="T157" i="5"/>
  <c r="C2" i="4"/>
  <c r="T111" i="5"/>
  <c r="F106" i="4"/>
  <c r="U41" i="6"/>
  <c r="V41" i="6" s="1"/>
  <c r="T123" i="5"/>
  <c r="F118" i="4"/>
  <c r="T150" i="5"/>
  <c r="F145" i="4"/>
  <c r="F66" i="4"/>
  <c r="T71" i="5"/>
  <c r="T153" i="5"/>
  <c r="F148" i="4"/>
  <c r="T121" i="5"/>
  <c r="F116" i="4"/>
  <c r="U110" i="6"/>
  <c r="V110" i="6" s="1"/>
  <c r="U89" i="6"/>
  <c r="V89" i="6" s="1"/>
  <c r="U73" i="6"/>
  <c r="V73" i="6" s="1"/>
  <c r="U103" i="6"/>
  <c r="V103" i="6" s="1"/>
  <c r="U114" i="6"/>
  <c r="V114" i="6" s="1"/>
  <c r="U87" i="6"/>
  <c r="V87" i="6" s="1"/>
  <c r="U99" i="6"/>
  <c r="V99" i="6" s="1"/>
  <c r="U71" i="6"/>
  <c r="V71" i="6" s="1"/>
  <c r="U108" i="6"/>
  <c r="V108" i="6" s="1"/>
  <c r="U105" i="6"/>
  <c r="V105" i="6" s="1"/>
  <c r="T17" i="5"/>
  <c r="T176" i="5"/>
  <c r="F171" i="4"/>
  <c r="U31" i="6"/>
  <c r="V31" i="6" s="1"/>
  <c r="U29" i="6"/>
  <c r="V29" i="6" s="1"/>
  <c r="U37" i="6"/>
  <c r="V37" i="6" s="1"/>
  <c r="U26" i="6"/>
  <c r="V26" i="6" s="1"/>
  <c r="U24" i="6"/>
  <c r="V24" i="6" s="1"/>
  <c r="U22" i="6"/>
  <c r="V22" i="6" s="1"/>
  <c r="U61" i="6"/>
  <c r="V61" i="6" s="1"/>
  <c r="U57" i="6"/>
  <c r="V57" i="6" s="1"/>
  <c r="U18" i="6"/>
  <c r="V18" i="6" s="1"/>
  <c r="U55" i="6"/>
  <c r="V55" i="6" s="1"/>
  <c r="U51" i="6"/>
  <c r="V51" i="6" s="1"/>
  <c r="U49" i="6"/>
  <c r="V49" i="6" s="1"/>
  <c r="U47" i="6"/>
  <c r="V47" i="6" s="1"/>
  <c r="U45" i="6"/>
  <c r="V45" i="6" s="1"/>
  <c r="U46" i="6"/>
  <c r="V46" i="6" s="1"/>
  <c r="U42" i="6"/>
  <c r="V42" i="6" s="1"/>
  <c r="U12" i="6"/>
  <c r="U40" i="6"/>
  <c r="V40" i="6" s="1"/>
  <c r="U23" i="6"/>
  <c r="V23" i="6" s="1"/>
  <c r="U19" i="6"/>
  <c r="V19" i="6" s="1"/>
  <c r="U17" i="6"/>
  <c r="V17" i="6" s="1"/>
  <c r="U62" i="6"/>
  <c r="V62" i="6" s="1"/>
  <c r="U21" i="6"/>
  <c r="V21" i="6" s="1"/>
  <c r="U44" i="6"/>
  <c r="V44" i="6" s="1"/>
  <c r="H59" i="4"/>
  <c r="X64" i="6"/>
  <c r="F21" i="4"/>
  <c r="F36" i="4"/>
  <c r="T41" i="5"/>
  <c r="T117" i="5"/>
  <c r="F160" i="4"/>
  <c r="T165" i="5"/>
  <c r="F183" i="4"/>
  <c r="T188" i="5"/>
  <c r="U28" i="6"/>
  <c r="V28" i="6" s="1"/>
  <c r="F19" i="4"/>
  <c r="T24" i="5"/>
  <c r="F53" i="4"/>
  <c r="T58" i="5"/>
  <c r="U182" i="6"/>
  <c r="V182" i="6" s="1"/>
  <c r="U136" i="6"/>
  <c r="V136" i="6" s="1"/>
  <c r="U191" i="6"/>
  <c r="V191" i="6" s="1"/>
  <c r="U177" i="6"/>
  <c r="V177" i="6" s="1"/>
  <c r="U150" i="6"/>
  <c r="V150" i="6" s="1"/>
  <c r="U168" i="6"/>
  <c r="V168" i="6" s="1"/>
  <c r="U154" i="6"/>
  <c r="V154" i="6" s="1"/>
  <c r="U170" i="6"/>
  <c r="V170" i="6" s="1"/>
  <c r="U148" i="6"/>
  <c r="V148" i="6" s="1"/>
  <c r="U134" i="6"/>
  <c r="V134" i="6" s="1"/>
  <c r="U138" i="6"/>
  <c r="V138" i="6" s="1"/>
  <c r="U161" i="6"/>
  <c r="V161" i="6" s="1"/>
  <c r="T155" i="5"/>
  <c r="T77" i="5"/>
  <c r="F72" i="4"/>
  <c r="F186" i="4"/>
  <c r="T191" i="5"/>
  <c r="U63" i="6"/>
  <c r="V63" i="6" s="1"/>
  <c r="F178" i="4"/>
  <c r="T183" i="5"/>
  <c r="F29" i="4"/>
  <c r="T34" i="5"/>
  <c r="T39" i="5"/>
  <c r="T22" i="5"/>
  <c r="F174" i="4"/>
  <c r="T179" i="5"/>
  <c r="T18" i="5"/>
  <c r="U59" i="5" s="1"/>
  <c r="V59" i="5" s="1"/>
  <c r="F13" i="4"/>
  <c r="V64" i="5"/>
  <c r="T142" i="5"/>
  <c r="F137" i="4"/>
  <c r="T95" i="5"/>
  <c r="T97" i="5"/>
  <c r="U178" i="6"/>
  <c r="V178" i="6" s="1"/>
  <c r="U137" i="6"/>
  <c r="V137" i="6" s="1"/>
  <c r="F25" i="4"/>
  <c r="U39" i="5"/>
  <c r="V39" i="5" s="1"/>
  <c r="T43" i="5"/>
  <c r="F38" i="4"/>
  <c r="U77" i="6"/>
  <c r="V77" i="6" s="1"/>
  <c r="F95" i="4"/>
  <c r="T100" i="5"/>
  <c r="T170" i="5"/>
  <c r="T96" i="5"/>
  <c r="F91" i="4"/>
  <c r="T162" i="5"/>
  <c r="F157" i="4"/>
  <c r="T28" i="5"/>
  <c r="F23" i="4"/>
  <c r="F144" i="4"/>
  <c r="T146" i="5"/>
  <c r="T86" i="5"/>
  <c r="T180" i="5"/>
  <c r="T166" i="5"/>
  <c r="T168" i="5"/>
  <c r="T90" i="5"/>
  <c r="F16" i="4"/>
  <c r="T21" i="5"/>
  <c r="F102" i="4"/>
  <c r="F10" i="4"/>
  <c r="T99" i="5"/>
  <c r="F94" i="4"/>
  <c r="T120" i="5"/>
  <c r="T187" i="5"/>
  <c r="F182" i="4"/>
  <c r="U187" i="6"/>
  <c r="V187" i="6" s="1"/>
  <c r="F31" i="4"/>
  <c r="T36" i="5"/>
  <c r="T152" i="5"/>
  <c r="F147" i="4"/>
  <c r="F14" i="4"/>
  <c r="F84" i="4"/>
  <c r="T27" i="5"/>
  <c r="T31" i="5"/>
  <c r="T124" i="5"/>
  <c r="T163" i="5"/>
  <c r="U171" i="6"/>
  <c r="V171" i="6" s="1"/>
  <c r="T148" i="5"/>
  <c r="T92" i="5"/>
  <c r="U173" i="6"/>
  <c r="V173" i="6" s="1"/>
  <c r="T138" i="5"/>
  <c r="F164" i="4"/>
  <c r="F78" i="4"/>
  <c r="T83" i="5"/>
  <c r="F131" i="4"/>
  <c r="T136" i="5"/>
  <c r="U170" i="5" s="1"/>
  <c r="V170" i="5" s="1"/>
  <c r="U144" i="6"/>
  <c r="V144" i="6" s="1"/>
  <c r="U162" i="6"/>
  <c r="V162" i="6" s="1"/>
  <c r="U185" i="6"/>
  <c r="V185" i="6" s="1"/>
  <c r="U115" i="6"/>
  <c r="V115" i="6" s="1"/>
  <c r="U95" i="6"/>
  <c r="V95" i="6" s="1"/>
  <c r="U75" i="6"/>
  <c r="V75" i="6" s="1"/>
  <c r="U118" i="6"/>
  <c r="V118" i="6" s="1"/>
  <c r="U98" i="6"/>
  <c r="V98" i="6" s="1"/>
  <c r="U78" i="6"/>
  <c r="V78" i="6" s="1"/>
  <c r="U121" i="6"/>
  <c r="V121" i="6" s="1"/>
  <c r="U101" i="6"/>
  <c r="V101" i="6" s="1"/>
  <c r="U81" i="6"/>
  <c r="V81" i="6" s="1"/>
  <c r="U124" i="6"/>
  <c r="V124" i="6" s="1"/>
  <c r="U104" i="6"/>
  <c r="V104" i="6" s="1"/>
  <c r="U84" i="6"/>
  <c r="V84" i="6" s="1"/>
  <c r="U127" i="6"/>
  <c r="V127" i="6" s="1"/>
  <c r="U107" i="6"/>
  <c r="V107" i="6" s="1"/>
  <c r="U82" i="6"/>
  <c r="V82" i="6" s="1"/>
  <c r="U70" i="6"/>
  <c r="V70" i="6" s="1"/>
  <c r="U125" i="6"/>
  <c r="V125" i="6" s="1"/>
  <c r="U111" i="6"/>
  <c r="V111" i="6" s="1"/>
  <c r="U97" i="6"/>
  <c r="V97" i="6" s="1"/>
  <c r="U123" i="6"/>
  <c r="V123" i="6" s="1"/>
  <c r="U92" i="6"/>
  <c r="V92" i="6" s="1"/>
  <c r="U80" i="6"/>
  <c r="V80" i="6" s="1"/>
  <c r="U116" i="6"/>
  <c r="V116" i="6" s="1"/>
  <c r="U109" i="6"/>
  <c r="V109" i="6" s="1"/>
  <c r="U90" i="6"/>
  <c r="V90" i="6" s="1"/>
  <c r="U96" i="6"/>
  <c r="V96" i="6" s="1"/>
  <c r="U85" i="6"/>
  <c r="V85" i="6" s="1"/>
  <c r="U72" i="6"/>
  <c r="V72" i="6" s="1"/>
  <c r="U119" i="6"/>
  <c r="V119" i="6" s="1"/>
  <c r="U83" i="6"/>
  <c r="V83" i="6" s="1"/>
  <c r="U117" i="6"/>
  <c r="V117" i="6" s="1"/>
  <c r="U113" i="6"/>
  <c r="V113" i="6" s="1"/>
  <c r="U94" i="6"/>
  <c r="V94" i="6" s="1"/>
  <c r="U79" i="6"/>
  <c r="V79" i="6" s="1"/>
  <c r="U112" i="6"/>
  <c r="V112" i="6" s="1"/>
  <c r="U106" i="6"/>
  <c r="V106" i="6" s="1"/>
  <c r="U100" i="6"/>
  <c r="V100" i="6" s="1"/>
  <c r="U126" i="6"/>
  <c r="V126" i="6" s="1"/>
  <c r="U128" i="6"/>
  <c r="V128" i="6" s="1"/>
  <c r="U120" i="6"/>
  <c r="V120" i="6" s="1"/>
  <c r="U122" i="6"/>
  <c r="V122" i="6" s="1"/>
  <c r="U102" i="6"/>
  <c r="V102" i="6" s="1"/>
  <c r="U76" i="6"/>
  <c r="V76" i="6" s="1"/>
  <c r="U74" i="6"/>
  <c r="V74" i="6" s="1"/>
  <c r="U91" i="6"/>
  <c r="V91" i="6" s="1"/>
  <c r="U93" i="6"/>
  <c r="V93" i="6" s="1"/>
  <c r="F185" i="4"/>
  <c r="U179" i="6"/>
  <c r="V179" i="6" s="1"/>
  <c r="T182" i="5"/>
  <c r="F177" i="4"/>
  <c r="T106" i="5"/>
  <c r="T74" i="5"/>
  <c r="F69" i="4"/>
  <c r="T126" i="5"/>
  <c r="F121" i="4"/>
  <c r="U180" i="6"/>
  <c r="V180" i="6" s="1"/>
  <c r="U160" i="6"/>
  <c r="V160" i="6" s="1"/>
  <c r="U183" i="6"/>
  <c r="V183" i="6" s="1"/>
  <c r="U163" i="6"/>
  <c r="V163" i="6" s="1"/>
  <c r="U143" i="6"/>
  <c r="V143" i="6" s="1"/>
  <c r="U186" i="6"/>
  <c r="V186" i="6" s="1"/>
  <c r="U166" i="6"/>
  <c r="V166" i="6" s="1"/>
  <c r="U146" i="6"/>
  <c r="V146" i="6" s="1"/>
  <c r="U189" i="6"/>
  <c r="V189" i="6" s="1"/>
  <c r="U169" i="6"/>
  <c r="V169" i="6" s="1"/>
  <c r="U149" i="6"/>
  <c r="V149" i="6" s="1"/>
  <c r="U192" i="6"/>
  <c r="V192" i="6" s="1"/>
  <c r="U172" i="6"/>
  <c r="V172" i="6" s="1"/>
  <c r="U152" i="6"/>
  <c r="V152" i="6" s="1"/>
  <c r="U175" i="6"/>
  <c r="V175" i="6" s="1"/>
  <c r="U155" i="6"/>
  <c r="V155" i="6" s="1"/>
  <c r="U135" i="6"/>
  <c r="V135" i="6" s="1"/>
  <c r="U176" i="6"/>
  <c r="V176" i="6" s="1"/>
  <c r="U158" i="6"/>
  <c r="V158" i="6" s="1"/>
  <c r="U142" i="6"/>
  <c r="V142" i="6" s="1"/>
  <c r="U167" i="6"/>
  <c r="V167" i="6" s="1"/>
  <c r="U174" i="6"/>
  <c r="V174" i="6" s="1"/>
  <c r="U165" i="6"/>
  <c r="V165" i="6" s="1"/>
  <c r="U181" i="6"/>
  <c r="V181" i="6" s="1"/>
  <c r="U190" i="6"/>
  <c r="V190" i="6" s="1"/>
  <c r="U188" i="6"/>
  <c r="V188" i="6" s="1"/>
  <c r="U156" i="6"/>
  <c r="V156" i="6" s="1"/>
  <c r="U140" i="6"/>
  <c r="V140" i="6" s="1"/>
  <c r="U141" i="6"/>
  <c r="V141" i="6" s="1"/>
  <c r="U139" i="6"/>
  <c r="V139" i="6" s="1"/>
  <c r="U164" i="6"/>
  <c r="V164" i="6" s="1"/>
  <c r="U184" i="6"/>
  <c r="V184" i="6" s="1"/>
  <c r="U153" i="6"/>
  <c r="V153" i="6" s="1"/>
  <c r="U151" i="6"/>
  <c r="V151" i="6" s="1"/>
  <c r="U145" i="6"/>
  <c r="V145" i="6" s="1"/>
  <c r="U159" i="6"/>
  <c r="V159" i="6" s="1"/>
  <c r="U157" i="6"/>
  <c r="V157" i="6" s="1"/>
  <c r="U147" i="6"/>
  <c r="V147" i="6" s="1"/>
  <c r="T80" i="5"/>
  <c r="F88" i="4"/>
  <c r="U50" i="6"/>
  <c r="V50" i="6" s="1"/>
  <c r="U30" i="6"/>
  <c r="V30" i="6" s="1"/>
  <c r="U53" i="6"/>
  <c r="V53" i="6" s="1"/>
  <c r="U33" i="6"/>
  <c r="V33" i="6" s="1"/>
  <c r="U13" i="6"/>
  <c r="V13" i="6" s="1"/>
  <c r="U56" i="6"/>
  <c r="V56" i="6" s="1"/>
  <c r="U36" i="6"/>
  <c r="V36" i="6" s="1"/>
  <c r="U16" i="6"/>
  <c r="V16" i="6" s="1"/>
  <c r="U59" i="6"/>
  <c r="V59" i="6" s="1"/>
  <c r="U35" i="6"/>
  <c r="V35" i="6" s="1"/>
  <c r="U60" i="6"/>
  <c r="V60" i="6" s="1"/>
  <c r="U15" i="6"/>
  <c r="V15" i="6" s="1"/>
  <c r="U48" i="6"/>
  <c r="V48" i="6" s="1"/>
  <c r="U20" i="6"/>
  <c r="V20" i="6" s="1"/>
  <c r="U58" i="6"/>
  <c r="V58" i="6" s="1"/>
  <c r="U43" i="6"/>
  <c r="V43" i="6" s="1"/>
  <c r="U38" i="6"/>
  <c r="V38" i="6" s="1"/>
  <c r="U54" i="6"/>
  <c r="V54" i="6" s="1"/>
  <c r="U52" i="6"/>
  <c r="V52" i="6" s="1"/>
  <c r="U27" i="6"/>
  <c r="V27" i="6" s="1"/>
  <c r="U34" i="6"/>
  <c r="V34" i="6" s="1"/>
  <c r="U14" i="6"/>
  <c r="V14" i="6" s="1"/>
  <c r="U32" i="6"/>
  <c r="V32" i="6" s="1"/>
  <c r="U25" i="6"/>
  <c r="V25" i="6" s="1"/>
  <c r="U124" i="5" l="1"/>
  <c r="V124" i="5" s="1"/>
  <c r="U119" i="5"/>
  <c r="V119" i="5" s="1"/>
  <c r="H34" i="4"/>
  <c r="U14" i="5"/>
  <c r="V14" i="5" s="1"/>
  <c r="U82" i="5"/>
  <c r="V82" i="5" s="1"/>
  <c r="X82" i="5" s="1"/>
  <c r="U192" i="5"/>
  <c r="V192" i="5" s="1"/>
  <c r="U190" i="5"/>
  <c r="V190" i="5" s="1"/>
  <c r="U81" i="5"/>
  <c r="V81" i="5" s="1"/>
  <c r="U80" i="5"/>
  <c r="V80" i="5" s="1"/>
  <c r="X80" i="5" s="1"/>
  <c r="U74" i="5"/>
  <c r="V74" i="5" s="1"/>
  <c r="U110" i="5"/>
  <c r="V110" i="5" s="1"/>
  <c r="X110" i="5" s="1"/>
  <c r="U139" i="5"/>
  <c r="V139" i="5" s="1"/>
  <c r="G134" i="4" s="1"/>
  <c r="G187" i="4"/>
  <c r="X192" i="5"/>
  <c r="X190" i="5"/>
  <c r="G185" i="4"/>
  <c r="X81" i="5"/>
  <c r="G76" i="4"/>
  <c r="G69" i="4"/>
  <c r="X74" i="5"/>
  <c r="G9" i="4"/>
  <c r="X14" i="5"/>
  <c r="X53" i="6"/>
  <c r="H48" i="4"/>
  <c r="X82" i="6"/>
  <c r="H77" i="4"/>
  <c r="X88" i="5"/>
  <c r="G83" i="4"/>
  <c r="H25" i="4"/>
  <c r="X30" i="6"/>
  <c r="U141" i="5"/>
  <c r="V141" i="5" s="1"/>
  <c r="X107" i="6"/>
  <c r="H102" i="4"/>
  <c r="U75" i="5"/>
  <c r="V75" i="5" s="1"/>
  <c r="U31" i="5"/>
  <c r="V31" i="5" s="1"/>
  <c r="H36" i="4"/>
  <c r="X41" i="6"/>
  <c r="X167" i="6"/>
  <c r="H162" i="4"/>
  <c r="H89" i="4"/>
  <c r="X94" i="6"/>
  <c r="X108" i="6"/>
  <c r="H103" i="4"/>
  <c r="H22" i="4"/>
  <c r="X27" i="6"/>
  <c r="U158" i="5"/>
  <c r="V158" i="5" s="1"/>
  <c r="X84" i="6"/>
  <c r="H79" i="4"/>
  <c r="U122" i="5"/>
  <c r="V122" i="5" s="1"/>
  <c r="X46" i="6"/>
  <c r="H41" i="4"/>
  <c r="H112" i="4"/>
  <c r="X117" i="6"/>
  <c r="U71" i="5"/>
  <c r="V71" i="5" s="1"/>
  <c r="U17" i="5"/>
  <c r="V17" i="5" s="1"/>
  <c r="H81" i="4"/>
  <c r="X86" i="6"/>
  <c r="H171" i="4"/>
  <c r="X176" i="6"/>
  <c r="U171" i="5"/>
  <c r="V171" i="5" s="1"/>
  <c r="U144" i="5"/>
  <c r="V144" i="5" s="1"/>
  <c r="U125" i="5"/>
  <c r="V125" i="5" s="1"/>
  <c r="U19" i="5"/>
  <c r="V19" i="5" s="1"/>
  <c r="U41" i="5"/>
  <c r="V41" i="5" s="1"/>
  <c r="U43" i="5"/>
  <c r="V43" i="5" s="1"/>
  <c r="X157" i="6"/>
  <c r="H152" i="4"/>
  <c r="U179" i="5"/>
  <c r="V179" i="5" s="1"/>
  <c r="U164" i="5"/>
  <c r="V164" i="5" s="1"/>
  <c r="U86" i="5"/>
  <c r="V86" i="5" s="1"/>
  <c r="H44" i="4"/>
  <c r="X49" i="6"/>
  <c r="U61" i="5"/>
  <c r="V61" i="5" s="1"/>
  <c r="X155" i="6"/>
  <c r="H150" i="4"/>
  <c r="U181" i="5"/>
  <c r="V181" i="5" s="1"/>
  <c r="U184" i="5"/>
  <c r="V184" i="5" s="1"/>
  <c r="H168" i="4"/>
  <c r="X173" i="6"/>
  <c r="U63" i="5"/>
  <c r="V63" i="5" s="1"/>
  <c r="X103" i="6"/>
  <c r="H98" i="4"/>
  <c r="X145" i="6"/>
  <c r="H140" i="4"/>
  <c r="X85" i="6"/>
  <c r="H80" i="4"/>
  <c r="U114" i="5"/>
  <c r="V114" i="5" s="1"/>
  <c r="U49" i="5"/>
  <c r="V49" i="5" s="1"/>
  <c r="X55" i="6"/>
  <c r="H50" i="4"/>
  <c r="U28" i="5"/>
  <c r="V28" i="5" s="1"/>
  <c r="X152" i="6"/>
  <c r="H147" i="4"/>
  <c r="U176" i="5"/>
  <c r="V176" i="5" s="1"/>
  <c r="X78" i="6"/>
  <c r="H73" i="4"/>
  <c r="U76" i="5"/>
  <c r="V76" i="5" s="1"/>
  <c r="U56" i="5"/>
  <c r="V56" i="5" s="1"/>
  <c r="H148" i="4"/>
  <c r="X153" i="6"/>
  <c r="U135" i="5"/>
  <c r="V135" i="5" s="1"/>
  <c r="X98" i="6"/>
  <c r="H93" i="4"/>
  <c r="U85" i="5"/>
  <c r="V85" i="5" s="1"/>
  <c r="U62" i="5"/>
  <c r="V62" i="5" s="1"/>
  <c r="U54" i="5"/>
  <c r="V54" i="5" s="1"/>
  <c r="X110" i="6"/>
  <c r="H105" i="4"/>
  <c r="H10" i="4"/>
  <c r="X15" i="6"/>
  <c r="X179" i="6"/>
  <c r="H174" i="4"/>
  <c r="X109" i="6"/>
  <c r="H104" i="4"/>
  <c r="U113" i="5"/>
  <c r="V113" i="5" s="1"/>
  <c r="X170" i="6"/>
  <c r="H165" i="4"/>
  <c r="U58" i="5"/>
  <c r="V58" i="5" s="1"/>
  <c r="X149" i="6"/>
  <c r="H144" i="4"/>
  <c r="U157" i="5"/>
  <c r="V157" i="5" s="1"/>
  <c r="X75" i="6"/>
  <c r="H70" i="4"/>
  <c r="U118" i="5"/>
  <c r="V118" i="5" s="1"/>
  <c r="U23" i="5"/>
  <c r="V23" i="5" s="1"/>
  <c r="U60" i="5"/>
  <c r="V60" i="5" s="1"/>
  <c r="X22" i="6"/>
  <c r="H17" i="4"/>
  <c r="H30" i="4"/>
  <c r="X35" i="6"/>
  <c r="X102" i="6"/>
  <c r="H97" i="4"/>
  <c r="U93" i="5"/>
  <c r="V93" i="5" s="1"/>
  <c r="H19" i="4"/>
  <c r="X24" i="6"/>
  <c r="U35" i="5"/>
  <c r="V35" i="5" s="1"/>
  <c r="X59" i="6"/>
  <c r="H54" i="4"/>
  <c r="U148" i="5"/>
  <c r="V148" i="5" s="1"/>
  <c r="U162" i="5"/>
  <c r="V162" i="5" s="1"/>
  <c r="X122" i="6"/>
  <c r="H117" i="4"/>
  <c r="U89" i="5"/>
  <c r="V89" i="5" s="1"/>
  <c r="U30" i="5"/>
  <c r="V30" i="5" s="1"/>
  <c r="X26" i="6"/>
  <c r="H21" i="4"/>
  <c r="X16" i="6"/>
  <c r="H11" i="4"/>
  <c r="U154" i="5"/>
  <c r="V154" i="5" s="1"/>
  <c r="H118" i="4"/>
  <c r="X123" i="6"/>
  <c r="U91" i="5"/>
  <c r="V91" i="5" s="1"/>
  <c r="X177" i="6"/>
  <c r="H172" i="4"/>
  <c r="X156" i="6"/>
  <c r="H151" i="4"/>
  <c r="U186" i="5"/>
  <c r="V186" i="5" s="1"/>
  <c r="H92" i="4"/>
  <c r="X97" i="6"/>
  <c r="U99" i="5"/>
  <c r="V99" i="5" s="1"/>
  <c r="U57" i="5"/>
  <c r="V57" i="5" s="1"/>
  <c r="X29" i="6"/>
  <c r="H24" i="4"/>
  <c r="H51" i="4"/>
  <c r="X56" i="6"/>
  <c r="X186" i="6"/>
  <c r="H181" i="4"/>
  <c r="U188" i="5"/>
  <c r="V188" i="5" s="1"/>
  <c r="U149" i="5"/>
  <c r="V149" i="5" s="1"/>
  <c r="X126" i="6"/>
  <c r="H121" i="4"/>
  <c r="H106" i="4"/>
  <c r="X111" i="6"/>
  <c r="X144" i="6"/>
  <c r="H139" i="4"/>
  <c r="U105" i="5"/>
  <c r="V105" i="5" s="1"/>
  <c r="U29" i="5"/>
  <c r="V29" i="5" s="1"/>
  <c r="U13" i="5"/>
  <c r="V13" i="5" s="1"/>
  <c r="U16" i="5"/>
  <c r="V16" i="5" s="1"/>
  <c r="X77" i="6"/>
  <c r="H72" i="4"/>
  <c r="H131" i="4"/>
  <c r="X136" i="6"/>
  <c r="H12" i="4"/>
  <c r="X17" i="6"/>
  <c r="H26" i="4"/>
  <c r="X31" i="6"/>
  <c r="X165" i="6"/>
  <c r="H160" i="4"/>
  <c r="X170" i="5"/>
  <c r="G165" i="4"/>
  <c r="X124" i="5"/>
  <c r="G119" i="4"/>
  <c r="X59" i="5"/>
  <c r="G54" i="4"/>
  <c r="H35" i="4"/>
  <c r="X40" i="6"/>
  <c r="X174" i="6"/>
  <c r="H169" i="4"/>
  <c r="X63" i="6"/>
  <c r="H58" i="4"/>
  <c r="H100" i="4"/>
  <c r="X105" i="6"/>
  <c r="H29" i="4"/>
  <c r="X34" i="6"/>
  <c r="X50" i="6"/>
  <c r="H45" i="4"/>
  <c r="U143" i="5"/>
  <c r="V143" i="5" s="1"/>
  <c r="U147" i="5"/>
  <c r="V147" i="5" s="1"/>
  <c r="X137" i="6"/>
  <c r="H132" i="4"/>
  <c r="X142" i="6"/>
  <c r="H137" i="4"/>
  <c r="X113" i="6"/>
  <c r="H108" i="4"/>
  <c r="U116" i="5"/>
  <c r="V116" i="5" s="1"/>
  <c r="U47" i="5"/>
  <c r="V47" i="5" s="1"/>
  <c r="X28" i="6"/>
  <c r="H23" i="4"/>
  <c r="X52" i="6"/>
  <c r="H47" i="4"/>
  <c r="U160" i="5"/>
  <c r="V160" i="5" s="1"/>
  <c r="U187" i="5"/>
  <c r="V187" i="5" s="1"/>
  <c r="U98" i="5"/>
  <c r="V98" i="5" s="1"/>
  <c r="X45" i="6"/>
  <c r="H40" i="4"/>
  <c r="X147" i="6"/>
  <c r="H142" i="4"/>
  <c r="X124" i="6"/>
  <c r="H119" i="4"/>
  <c r="X87" i="6"/>
  <c r="H82" i="4"/>
  <c r="H33" i="4"/>
  <c r="X38" i="6"/>
  <c r="X119" i="6"/>
  <c r="H114" i="4"/>
  <c r="X187" i="6"/>
  <c r="H182" i="4"/>
  <c r="U21" i="5"/>
  <c r="V21" i="5" s="1"/>
  <c r="X114" i="6"/>
  <c r="H109" i="4"/>
  <c r="H154" i="4"/>
  <c r="X159" i="6"/>
  <c r="X101" i="6"/>
  <c r="H96" i="4"/>
  <c r="U128" i="5"/>
  <c r="V128" i="5" s="1"/>
  <c r="X51" i="6"/>
  <c r="H46" i="4"/>
  <c r="H53" i="4"/>
  <c r="X58" i="6"/>
  <c r="U103" i="5"/>
  <c r="V103" i="5" s="1"/>
  <c r="X138" i="6"/>
  <c r="H133" i="4"/>
  <c r="X73" i="6"/>
  <c r="H68" i="4"/>
  <c r="H146" i="4"/>
  <c r="X151" i="6"/>
  <c r="X93" i="6"/>
  <c r="H88" i="4"/>
  <c r="U127" i="5"/>
  <c r="V127" i="5" s="1"/>
  <c r="V193" i="6"/>
  <c r="W186" i="6"/>
  <c r="W166" i="6"/>
  <c r="W146" i="6"/>
  <c r="W189" i="6"/>
  <c r="W169" i="6"/>
  <c r="W149" i="6"/>
  <c r="W192" i="6"/>
  <c r="W172" i="6"/>
  <c r="W152" i="6"/>
  <c r="W175" i="6"/>
  <c r="W155" i="6"/>
  <c r="W135" i="6"/>
  <c r="W178" i="6"/>
  <c r="W158" i="6"/>
  <c r="W138" i="6"/>
  <c r="W181" i="6"/>
  <c r="W161" i="6"/>
  <c r="W141" i="6"/>
  <c r="W174" i="6"/>
  <c r="W165" i="6"/>
  <c r="W183" i="6"/>
  <c r="W190" i="6"/>
  <c r="W188" i="6"/>
  <c r="W156" i="6"/>
  <c r="W140" i="6"/>
  <c r="W147" i="6"/>
  <c r="W179" i="6"/>
  <c r="W154" i="6"/>
  <c r="W145" i="6"/>
  <c r="W176" i="6"/>
  <c r="W164" i="6"/>
  <c r="W162" i="6"/>
  <c r="W137" i="6"/>
  <c r="W170" i="6"/>
  <c r="W168" i="6"/>
  <c r="W163" i="6"/>
  <c r="W159" i="6"/>
  <c r="W157" i="6"/>
  <c r="W173" i="6"/>
  <c r="W171" i="6"/>
  <c r="W143" i="6"/>
  <c r="W160" i="6"/>
  <c r="W153" i="6"/>
  <c r="W187" i="6"/>
  <c r="W142" i="6"/>
  <c r="W185" i="6"/>
  <c r="W177" i="6"/>
  <c r="W144" i="6"/>
  <c r="W139" i="6"/>
  <c r="W148" i="6"/>
  <c r="W134" i="6"/>
  <c r="W136" i="6"/>
  <c r="W167" i="6"/>
  <c r="H129" i="4"/>
  <c r="W150" i="6"/>
  <c r="W182" i="6"/>
  <c r="W184" i="6"/>
  <c r="X134" i="6"/>
  <c r="W180" i="6"/>
  <c r="W191" i="6"/>
  <c r="W151" i="6"/>
  <c r="X89" i="6"/>
  <c r="H84" i="4"/>
  <c r="U18" i="5"/>
  <c r="V18" i="5" s="1"/>
  <c r="X172" i="6"/>
  <c r="H167" i="4"/>
  <c r="X90" i="6"/>
  <c r="H85" i="4"/>
  <c r="U108" i="5"/>
  <c r="V108" i="5" s="1"/>
  <c r="H52" i="4"/>
  <c r="X57" i="6"/>
  <c r="U38" i="5"/>
  <c r="V38" i="5" s="1"/>
  <c r="X192" i="6"/>
  <c r="H187" i="4"/>
  <c r="U152" i="5"/>
  <c r="V152" i="5" s="1"/>
  <c r="X118" i="6"/>
  <c r="H113" i="4"/>
  <c r="U104" i="5"/>
  <c r="V104" i="5" s="1"/>
  <c r="U42" i="5"/>
  <c r="V42" i="5" s="1"/>
  <c r="X164" i="6"/>
  <c r="H159" i="4"/>
  <c r="U173" i="5"/>
  <c r="V173" i="5" s="1"/>
  <c r="X116" i="6"/>
  <c r="H111" i="4"/>
  <c r="X154" i="6"/>
  <c r="H149" i="4"/>
  <c r="U15" i="5"/>
  <c r="V15" i="5" s="1"/>
  <c r="X169" i="6"/>
  <c r="H164" i="4"/>
  <c r="U136" i="5"/>
  <c r="V136" i="5" s="1"/>
  <c r="U134" i="5"/>
  <c r="V134" i="5" s="1"/>
  <c r="X95" i="6"/>
  <c r="H90" i="4"/>
  <c r="U123" i="5"/>
  <c r="V123" i="5" s="1"/>
  <c r="U45" i="5"/>
  <c r="V45" i="5" s="1"/>
  <c r="X141" i="6"/>
  <c r="H136" i="4"/>
  <c r="X115" i="6"/>
  <c r="H110" i="4"/>
  <c r="U50" i="5"/>
  <c r="V50" i="5" s="1"/>
  <c r="H145" i="4"/>
  <c r="X150" i="6"/>
  <c r="H141" i="4"/>
  <c r="X146" i="6"/>
  <c r="H115" i="4"/>
  <c r="X120" i="6"/>
  <c r="U96" i="5"/>
  <c r="V96" i="5" s="1"/>
  <c r="U48" i="5"/>
  <c r="V48" i="5" s="1"/>
  <c r="H16" i="4"/>
  <c r="X21" i="6"/>
  <c r="U126" i="5"/>
  <c r="V126" i="5" s="1"/>
  <c r="U92" i="5"/>
  <c r="V92" i="5" s="1"/>
  <c r="U90" i="5"/>
  <c r="V90" i="5" s="1"/>
  <c r="U79" i="5"/>
  <c r="V79" i="5" s="1"/>
  <c r="U84" i="5"/>
  <c r="V84" i="5" s="1"/>
  <c r="U94" i="5"/>
  <c r="V94" i="5" s="1"/>
  <c r="U111" i="5"/>
  <c r="V111" i="5" s="1"/>
  <c r="U97" i="5"/>
  <c r="V97" i="5" s="1"/>
  <c r="U95" i="5"/>
  <c r="V95" i="5" s="1"/>
  <c r="U70" i="5"/>
  <c r="V70" i="5" s="1"/>
  <c r="U112" i="5"/>
  <c r="V112" i="5" s="1"/>
  <c r="U78" i="5"/>
  <c r="V78" i="5" s="1"/>
  <c r="U115" i="5"/>
  <c r="V115" i="5" s="1"/>
  <c r="U72" i="5"/>
  <c r="V72" i="5" s="1"/>
  <c r="U117" i="5"/>
  <c r="V117" i="5" s="1"/>
  <c r="U87" i="5"/>
  <c r="V87" i="5" s="1"/>
  <c r="H31" i="4"/>
  <c r="X36" i="6"/>
  <c r="X128" i="6"/>
  <c r="H123" i="4"/>
  <c r="U101" i="5"/>
  <c r="V101" i="5" s="1"/>
  <c r="X191" i="6"/>
  <c r="H186" i="4"/>
  <c r="V12" i="6"/>
  <c r="H8" i="4"/>
  <c r="X13" i="6"/>
  <c r="X143" i="6"/>
  <c r="H138" i="4"/>
  <c r="U169" i="5"/>
  <c r="V169" i="5" s="1"/>
  <c r="X32" i="6"/>
  <c r="H27" i="4"/>
  <c r="X183" i="6"/>
  <c r="H178" i="4"/>
  <c r="X112" i="6"/>
  <c r="H107" i="4"/>
  <c r="X119" i="5"/>
  <c r="G114" i="4"/>
  <c r="G34" i="4"/>
  <c r="X39" i="5"/>
  <c r="U20" i="5"/>
  <c r="V20" i="5" s="1"/>
  <c r="U46" i="5"/>
  <c r="V46" i="5" s="1"/>
  <c r="U44" i="5"/>
  <c r="V44" i="5" s="1"/>
  <c r="U37" i="5"/>
  <c r="V37" i="5" s="1"/>
  <c r="U22" i="5"/>
  <c r="V22" i="5" s="1"/>
  <c r="H9" i="4"/>
  <c r="X14" i="6"/>
  <c r="H155" i="4"/>
  <c r="X160" i="6"/>
  <c r="H74" i="4"/>
  <c r="X79" i="6"/>
  <c r="U185" i="5"/>
  <c r="V185" i="5" s="1"/>
  <c r="U153" i="5"/>
  <c r="V153" i="5" s="1"/>
  <c r="U146" i="5"/>
  <c r="V146" i="5" s="1"/>
  <c r="U140" i="5"/>
  <c r="V140" i="5" s="1"/>
  <c r="U165" i="5"/>
  <c r="V165" i="5" s="1"/>
  <c r="U151" i="5"/>
  <c r="V151" i="5" s="1"/>
  <c r="U191" i="5"/>
  <c r="V191" i="5" s="1"/>
  <c r="U189" i="5"/>
  <c r="V189" i="5" s="1"/>
  <c r="U163" i="5"/>
  <c r="V163" i="5" s="1"/>
  <c r="U145" i="5"/>
  <c r="V145" i="5" s="1"/>
  <c r="U142" i="5"/>
  <c r="V142" i="5" s="1"/>
  <c r="U166" i="5"/>
  <c r="V166" i="5" s="1"/>
  <c r="U156" i="5"/>
  <c r="V156" i="5" s="1"/>
  <c r="U180" i="5"/>
  <c r="V180" i="5" s="1"/>
  <c r="U161" i="5"/>
  <c r="V161" i="5" s="1"/>
  <c r="U159" i="5"/>
  <c r="V159" i="5" s="1"/>
  <c r="U168" i="5"/>
  <c r="V168" i="5" s="1"/>
  <c r="U183" i="5"/>
  <c r="V183" i="5" s="1"/>
  <c r="U182" i="5"/>
  <c r="V182" i="5" s="1"/>
  <c r="U138" i="5"/>
  <c r="V138" i="5" s="1"/>
  <c r="U174" i="5"/>
  <c r="V174" i="5" s="1"/>
  <c r="U155" i="5"/>
  <c r="V155" i="5" s="1"/>
  <c r="H175" i="4"/>
  <c r="X180" i="6"/>
  <c r="X127" i="6"/>
  <c r="H122" i="4"/>
  <c r="U109" i="5"/>
  <c r="V109" i="5" s="1"/>
  <c r="U102" i="5"/>
  <c r="V102" i="5" s="1"/>
  <c r="U40" i="5"/>
  <c r="V40" i="5" s="1"/>
  <c r="X42" i="6"/>
  <c r="H37" i="4"/>
  <c r="U167" i="5"/>
  <c r="V167" i="5" s="1"/>
  <c r="X178" i="6"/>
  <c r="H173" i="4"/>
  <c r="H66" i="4"/>
  <c r="X71" i="6"/>
  <c r="X158" i="6"/>
  <c r="H153" i="4"/>
  <c r="X104" i="6"/>
  <c r="H99" i="4"/>
  <c r="U27" i="5"/>
  <c r="V27" i="5" s="1"/>
  <c r="H94" i="4"/>
  <c r="X99" i="6"/>
  <c r="X54" i="6"/>
  <c r="H49" i="4"/>
  <c r="X83" i="6"/>
  <c r="H78" i="4"/>
  <c r="H42" i="4"/>
  <c r="X47" i="6"/>
  <c r="X135" i="6"/>
  <c r="H130" i="4"/>
  <c r="X81" i="6"/>
  <c r="H76" i="4"/>
  <c r="U83" i="5"/>
  <c r="V83" i="5" s="1"/>
  <c r="U26" i="5"/>
  <c r="V26" i="5" s="1"/>
  <c r="X43" i="6"/>
  <c r="H38" i="4"/>
  <c r="U175" i="5"/>
  <c r="V175" i="5" s="1"/>
  <c r="X72" i="6"/>
  <c r="H67" i="4"/>
  <c r="U100" i="5"/>
  <c r="V100" i="5" s="1"/>
  <c r="X161" i="6"/>
  <c r="H156" i="4"/>
  <c r="U33" i="5"/>
  <c r="V33" i="5" s="1"/>
  <c r="X175" i="6"/>
  <c r="H170" i="4"/>
  <c r="U178" i="5"/>
  <c r="V178" i="5" s="1"/>
  <c r="H116" i="4"/>
  <c r="X121" i="6"/>
  <c r="X20" i="6"/>
  <c r="H15" i="4"/>
  <c r="X96" i="6"/>
  <c r="H91" i="4"/>
  <c r="X64" i="5"/>
  <c r="G59" i="4"/>
  <c r="X18" i="6"/>
  <c r="H13" i="4"/>
  <c r="X48" i="6"/>
  <c r="H43" i="4"/>
  <c r="X91" i="6"/>
  <c r="H86" i="4"/>
  <c r="X148" i="6"/>
  <c r="H143" i="4"/>
  <c r="X184" i="6"/>
  <c r="H179" i="4"/>
  <c r="H69" i="4"/>
  <c r="X74" i="6"/>
  <c r="X171" i="6"/>
  <c r="H166" i="4"/>
  <c r="H56" i="4"/>
  <c r="X61" i="6"/>
  <c r="H55" i="4"/>
  <c r="X60" i="6"/>
  <c r="X76" i="6"/>
  <c r="H71" i="4"/>
  <c r="U106" i="5"/>
  <c r="V106" i="5" s="1"/>
  <c r="H134" i="4"/>
  <c r="X139" i="6"/>
  <c r="H75" i="4"/>
  <c r="X80" i="6"/>
  <c r="X168" i="6"/>
  <c r="H163" i="4"/>
  <c r="X189" i="6"/>
  <c r="H184" i="4"/>
  <c r="X92" i="6"/>
  <c r="H87" i="4"/>
  <c r="U51" i="5"/>
  <c r="V51" i="5" s="1"/>
  <c r="H39" i="4"/>
  <c r="X44" i="6"/>
  <c r="U55" i="5"/>
  <c r="V55" i="5" s="1"/>
  <c r="X140" i="6"/>
  <c r="H135" i="4"/>
  <c r="U172" i="5"/>
  <c r="V172" i="5" s="1"/>
  <c r="H180" i="4"/>
  <c r="X185" i="6"/>
  <c r="U34" i="5"/>
  <c r="V34" i="5" s="1"/>
  <c r="H32" i="4"/>
  <c r="X37" i="6"/>
  <c r="U12" i="5"/>
  <c r="H161" i="4"/>
  <c r="X166" i="6"/>
  <c r="U177" i="5"/>
  <c r="V177" i="5" s="1"/>
  <c r="X162" i="6"/>
  <c r="H157" i="4"/>
  <c r="X62" i="6"/>
  <c r="H57" i="4"/>
  <c r="U120" i="5"/>
  <c r="V120" i="5" s="1"/>
  <c r="U32" i="5"/>
  <c r="V32" i="5" s="1"/>
  <c r="X188" i="6"/>
  <c r="H183" i="4"/>
  <c r="U52" i="5"/>
  <c r="V52" i="5" s="1"/>
  <c r="X190" i="6"/>
  <c r="H185" i="4"/>
  <c r="X100" i="6"/>
  <c r="H95" i="4"/>
  <c r="H120" i="4"/>
  <c r="X125" i="6"/>
  <c r="U107" i="5"/>
  <c r="V107" i="5" s="1"/>
  <c r="U121" i="5"/>
  <c r="V121" i="5" s="1"/>
  <c r="U36" i="5"/>
  <c r="V36" i="5" s="1"/>
  <c r="U24" i="5"/>
  <c r="V24" i="5" s="1"/>
  <c r="H177" i="4"/>
  <c r="X182" i="6"/>
  <c r="X19" i="6"/>
  <c r="H14" i="4"/>
  <c r="X25" i="6"/>
  <c r="H20" i="4"/>
  <c r="X33" i="6"/>
  <c r="H28" i="4"/>
  <c r="X181" i="6"/>
  <c r="H176" i="4"/>
  <c r="X163" i="6"/>
  <c r="H158" i="4"/>
  <c r="U137" i="5"/>
  <c r="V137" i="5" s="1"/>
  <c r="U150" i="5"/>
  <c r="V150" i="5" s="1"/>
  <c r="X106" i="6"/>
  <c r="H101" i="4"/>
  <c r="W121" i="6"/>
  <c r="W101" i="6"/>
  <c r="W81" i="6"/>
  <c r="W124" i="6"/>
  <c r="W104" i="6"/>
  <c r="W84" i="6"/>
  <c r="W127" i="6"/>
  <c r="W107" i="6"/>
  <c r="W87" i="6"/>
  <c r="X70" i="6"/>
  <c r="W110" i="6"/>
  <c r="W90" i="6"/>
  <c r="W70" i="6"/>
  <c r="W113" i="6"/>
  <c r="W123" i="6"/>
  <c r="W118" i="6"/>
  <c r="W92" i="6"/>
  <c r="W80" i="6"/>
  <c r="W116" i="6"/>
  <c r="W75" i="6"/>
  <c r="V129" i="6"/>
  <c r="W109" i="6"/>
  <c r="W102" i="6"/>
  <c r="W85" i="6"/>
  <c r="W73" i="6"/>
  <c r="W128" i="6"/>
  <c r="W114" i="6"/>
  <c r="W100" i="6"/>
  <c r="W117" i="6"/>
  <c r="W94" i="6"/>
  <c r="W79" i="6"/>
  <c r="W115" i="6"/>
  <c r="W77" i="6"/>
  <c r="W122" i="6"/>
  <c r="W78" i="6"/>
  <c r="W76" i="6"/>
  <c r="W74" i="6"/>
  <c r="W126" i="6"/>
  <c r="W120" i="6"/>
  <c r="W96" i="6"/>
  <c r="W72" i="6"/>
  <c r="W98" i="6"/>
  <c r="W83" i="6"/>
  <c r="W93" i="6"/>
  <c r="W91" i="6"/>
  <c r="W119" i="6"/>
  <c r="W106" i="6"/>
  <c r="W95" i="6"/>
  <c r="W89" i="6"/>
  <c r="W108" i="6"/>
  <c r="W112" i="6"/>
  <c r="W82" i="6"/>
  <c r="H65" i="4"/>
  <c r="W99" i="6"/>
  <c r="W125" i="6"/>
  <c r="W71" i="6"/>
  <c r="W97" i="6"/>
  <c r="W105" i="6"/>
  <c r="W103" i="6"/>
  <c r="W111" i="6"/>
  <c r="W88" i="6"/>
  <c r="W86" i="6"/>
  <c r="U73" i="5"/>
  <c r="V73" i="5" s="1"/>
  <c r="U77" i="5"/>
  <c r="V77" i="5" s="1"/>
  <c r="U25" i="5"/>
  <c r="V25" i="5" s="1"/>
  <c r="U53" i="5"/>
  <c r="V53" i="5" s="1"/>
  <c r="X23" i="6"/>
  <c r="H18" i="4"/>
  <c r="H83" i="4"/>
  <c r="X88" i="6"/>
  <c r="X139" i="5" l="1"/>
  <c r="G75" i="4"/>
  <c r="G77" i="4"/>
  <c r="G105" i="4"/>
  <c r="X146" i="5"/>
  <c r="G141" i="4"/>
  <c r="G113" i="4"/>
  <c r="X118" i="5"/>
  <c r="G72" i="4"/>
  <c r="X77" i="5"/>
  <c r="X27" i="5"/>
  <c r="G22" i="4"/>
  <c r="W125" i="5"/>
  <c r="W128" i="5"/>
  <c r="W108" i="5"/>
  <c r="W88" i="5"/>
  <c r="W91" i="5"/>
  <c r="W80" i="5"/>
  <c r="W124" i="5"/>
  <c r="W113" i="5"/>
  <c r="W102" i="5"/>
  <c r="W94" i="5"/>
  <c r="W83" i="5"/>
  <c r="V129" i="5"/>
  <c r="W86" i="5"/>
  <c r="W81" i="5"/>
  <c r="W71" i="5"/>
  <c r="W101" i="5"/>
  <c r="W106" i="5"/>
  <c r="W96" i="5"/>
  <c r="W107" i="5"/>
  <c r="W78" i="5"/>
  <c r="W105" i="5"/>
  <c r="W89" i="5"/>
  <c r="W82" i="5"/>
  <c r="W119" i="5"/>
  <c r="W73" i="5"/>
  <c r="W114" i="5"/>
  <c r="W112" i="5"/>
  <c r="W87" i="5"/>
  <c r="W127" i="5"/>
  <c r="W116" i="5"/>
  <c r="W100" i="5"/>
  <c r="W85" i="5"/>
  <c r="W77" i="5"/>
  <c r="W75" i="5"/>
  <c r="W123" i="5"/>
  <c r="W110" i="5"/>
  <c r="W98" i="5"/>
  <c r="W118" i="5"/>
  <c r="W103" i="5"/>
  <c r="W90" i="5"/>
  <c r="W109" i="5"/>
  <c r="W79" i="5"/>
  <c r="W126" i="5"/>
  <c r="G65" i="4"/>
  <c r="W84" i="5"/>
  <c r="W111" i="5"/>
  <c r="W115" i="5"/>
  <c r="W92" i="5"/>
  <c r="W121" i="5"/>
  <c r="W104" i="5"/>
  <c r="W117" i="5"/>
  <c r="W99" i="5"/>
  <c r="W120" i="5"/>
  <c r="X70" i="5"/>
  <c r="W72" i="5"/>
  <c r="W97" i="5"/>
  <c r="W93" i="5"/>
  <c r="W122" i="5"/>
  <c r="W76" i="5"/>
  <c r="W74" i="5"/>
  <c r="W95" i="5"/>
  <c r="W70" i="5"/>
  <c r="G52" i="4"/>
  <c r="X57" i="5"/>
  <c r="G130" i="4"/>
  <c r="X135" i="5"/>
  <c r="G177" i="4"/>
  <c r="X182" i="5"/>
  <c r="G122" i="4"/>
  <c r="X127" i="5"/>
  <c r="X162" i="5"/>
  <c r="G157" i="4"/>
  <c r="G102" i="4"/>
  <c r="X107" i="5"/>
  <c r="G178" i="4"/>
  <c r="X183" i="5"/>
  <c r="X34" i="5"/>
  <c r="G29" i="4"/>
  <c r="X184" i="5"/>
  <c r="G179" i="4"/>
  <c r="X150" i="5"/>
  <c r="G145" i="4"/>
  <c r="G79" i="4"/>
  <c r="X84" i="5"/>
  <c r="X83" i="5"/>
  <c r="G78" i="4"/>
  <c r="X79" i="5"/>
  <c r="G74" i="4"/>
  <c r="H188" i="4"/>
  <c r="X17" i="5"/>
  <c r="G12" i="4"/>
  <c r="X156" i="5"/>
  <c r="G151" i="4"/>
  <c r="X176" i="5"/>
  <c r="G171" i="4"/>
  <c r="X167" i="5"/>
  <c r="G162" i="4"/>
  <c r="X38" i="5"/>
  <c r="G33" i="4"/>
  <c r="X61" i="5"/>
  <c r="G56" i="4"/>
  <c r="X46" i="5"/>
  <c r="G41" i="4"/>
  <c r="W190" i="5"/>
  <c r="W170" i="5"/>
  <c r="W150" i="5"/>
  <c r="W173" i="5"/>
  <c r="W153" i="5"/>
  <c r="W176" i="5"/>
  <c r="W156" i="5"/>
  <c r="W136" i="5"/>
  <c r="W187" i="5"/>
  <c r="W177" i="5"/>
  <c r="W172" i="5"/>
  <c r="W144" i="5"/>
  <c r="W167" i="5"/>
  <c r="W157" i="5"/>
  <c r="W152" i="5"/>
  <c r="W185" i="5"/>
  <c r="W180" i="5"/>
  <c r="W142" i="5"/>
  <c r="W175" i="5"/>
  <c r="W147" i="5"/>
  <c r="W137" i="5"/>
  <c r="W178" i="5"/>
  <c r="W149" i="5"/>
  <c r="W158" i="5"/>
  <c r="W140" i="5"/>
  <c r="V193" i="5"/>
  <c r="W165" i="5"/>
  <c r="W169" i="5"/>
  <c r="W135" i="5"/>
  <c r="W188" i="5"/>
  <c r="W186" i="5"/>
  <c r="W148" i="5"/>
  <c r="W154" i="5"/>
  <c r="W146" i="5"/>
  <c r="X134" i="5"/>
  <c r="W163" i="5"/>
  <c r="W151" i="5"/>
  <c r="W134" i="5"/>
  <c r="W183" i="5"/>
  <c r="W155" i="5"/>
  <c r="W171" i="5"/>
  <c r="W138" i="5"/>
  <c r="W161" i="5"/>
  <c r="W159" i="5"/>
  <c r="W181" i="5"/>
  <c r="W174" i="5"/>
  <c r="G129" i="4"/>
  <c r="W192" i="5"/>
  <c r="W184" i="5"/>
  <c r="W168" i="5"/>
  <c r="W166" i="5"/>
  <c r="W164" i="5"/>
  <c r="W179" i="5"/>
  <c r="W182" i="5"/>
  <c r="W162" i="5"/>
  <c r="W160" i="5"/>
  <c r="W189" i="5"/>
  <c r="W139" i="5"/>
  <c r="W145" i="5"/>
  <c r="W141" i="5"/>
  <c r="W143" i="5"/>
  <c r="W191" i="5"/>
  <c r="G140" i="4"/>
  <c r="X145" i="5"/>
  <c r="X28" i="5"/>
  <c r="G23" i="4"/>
  <c r="X40" i="5"/>
  <c r="G35" i="4"/>
  <c r="G81" i="4"/>
  <c r="X86" i="5"/>
  <c r="X32" i="5"/>
  <c r="G27" i="4"/>
  <c r="X102" i="5"/>
  <c r="G97" i="4"/>
  <c r="X189" i="5"/>
  <c r="G184" i="4"/>
  <c r="G43" i="4"/>
  <c r="X48" i="5"/>
  <c r="X147" i="5"/>
  <c r="G142" i="4"/>
  <c r="X149" i="5"/>
  <c r="G144" i="4"/>
  <c r="X154" i="5"/>
  <c r="G149" i="4"/>
  <c r="X164" i="5"/>
  <c r="G159" i="4"/>
  <c r="G117" i="4"/>
  <c r="X122" i="5"/>
  <c r="G80" i="4"/>
  <c r="X85" i="5"/>
  <c r="X78" i="5"/>
  <c r="G73" i="4"/>
  <c r="X89" i="5"/>
  <c r="G84" i="4"/>
  <c r="X112" i="5"/>
  <c r="G107" i="4"/>
  <c r="X144" i="5"/>
  <c r="G139" i="4"/>
  <c r="G90" i="4"/>
  <c r="X95" i="5"/>
  <c r="G58" i="4"/>
  <c r="X63" i="5"/>
  <c r="G99" i="4"/>
  <c r="X104" i="5"/>
  <c r="X148" i="5"/>
  <c r="G143" i="4"/>
  <c r="X56" i="5"/>
  <c r="G51" i="4"/>
  <c r="X106" i="5"/>
  <c r="G101" i="4"/>
  <c r="X47" i="5"/>
  <c r="G42" i="4"/>
  <c r="G71" i="4"/>
  <c r="X76" i="5"/>
  <c r="X26" i="5"/>
  <c r="G21" i="4"/>
  <c r="X152" i="5"/>
  <c r="G147" i="4"/>
  <c r="X105" i="5"/>
  <c r="G100" i="4"/>
  <c r="X181" i="5"/>
  <c r="G176" i="4"/>
  <c r="X180" i="5"/>
  <c r="G175" i="4"/>
  <c r="G118" i="4"/>
  <c r="X123" i="5"/>
  <c r="G32" i="4"/>
  <c r="X37" i="5"/>
  <c r="G66" i="4"/>
  <c r="X71" i="5"/>
  <c r="G161" i="4"/>
  <c r="X166" i="5"/>
  <c r="X92" i="5"/>
  <c r="G87" i="4"/>
  <c r="G88" i="4"/>
  <c r="X93" i="5"/>
  <c r="X101" i="5"/>
  <c r="G96" i="4"/>
  <c r="X55" i="5"/>
  <c r="G50" i="4"/>
  <c r="G98" i="4"/>
  <c r="X103" i="5"/>
  <c r="X108" i="5"/>
  <c r="G103" i="4"/>
  <c r="G115" i="4"/>
  <c r="X120" i="5"/>
  <c r="X51" i="5"/>
  <c r="G46" i="4"/>
  <c r="X178" i="5"/>
  <c r="G173" i="4"/>
  <c r="X109" i="5"/>
  <c r="G104" i="4"/>
  <c r="G186" i="4"/>
  <c r="X191" i="5"/>
  <c r="X96" i="5"/>
  <c r="G91" i="4"/>
  <c r="G10" i="4"/>
  <c r="X15" i="5"/>
  <c r="G138" i="4"/>
  <c r="X143" i="5"/>
  <c r="X188" i="5"/>
  <c r="G183" i="4"/>
  <c r="X49" i="5"/>
  <c r="G44" i="4"/>
  <c r="X179" i="5"/>
  <c r="G174" i="4"/>
  <c r="G110" i="4"/>
  <c r="X115" i="5"/>
  <c r="G20" i="4"/>
  <c r="X25" i="5"/>
  <c r="G150" i="4"/>
  <c r="X155" i="5"/>
  <c r="X173" i="5"/>
  <c r="G168" i="4"/>
  <c r="X187" i="5"/>
  <c r="G182" i="4"/>
  <c r="X19" i="5"/>
  <c r="G14" i="4"/>
  <c r="X24" i="5"/>
  <c r="G19" i="4"/>
  <c r="X174" i="5"/>
  <c r="G169" i="4"/>
  <c r="X160" i="5"/>
  <c r="G155" i="4"/>
  <c r="X73" i="5"/>
  <c r="G68" i="4"/>
  <c r="G94" i="4"/>
  <c r="X99" i="5"/>
  <c r="X171" i="5"/>
  <c r="G166" i="4"/>
  <c r="G92" i="4"/>
  <c r="X97" i="5"/>
  <c r="G163" i="4"/>
  <c r="X168" i="5"/>
  <c r="X94" i="5"/>
  <c r="G89" i="4"/>
  <c r="G156" i="4"/>
  <c r="X161" i="5"/>
  <c r="G30" i="4"/>
  <c r="X35" i="5"/>
  <c r="W56" i="6"/>
  <c r="W36" i="6"/>
  <c r="W16" i="6"/>
  <c r="W59" i="6"/>
  <c r="W39" i="6"/>
  <c r="W19" i="6"/>
  <c r="W62" i="6"/>
  <c r="W42" i="6"/>
  <c r="W22" i="6"/>
  <c r="W60" i="6"/>
  <c r="W30" i="6"/>
  <c r="W15" i="6"/>
  <c r="W58" i="6"/>
  <c r="W43" i="6"/>
  <c r="W38" i="6"/>
  <c r="W53" i="6"/>
  <c r="W28" i="6"/>
  <c r="W63" i="6"/>
  <c r="W33" i="6"/>
  <c r="W23" i="6"/>
  <c r="W18" i="6"/>
  <c r="W32" i="6"/>
  <c r="W25" i="6"/>
  <c r="X12" i="6"/>
  <c r="C7" i="6" s="1"/>
  <c r="W41" i="6"/>
  <c r="W12" i="6"/>
  <c r="W35" i="6"/>
  <c r="W54" i="6"/>
  <c r="W50" i="6"/>
  <c r="W29" i="6"/>
  <c r="H7" i="4"/>
  <c r="H60" i="4" s="1"/>
  <c r="W27" i="6"/>
  <c r="W48" i="6"/>
  <c r="W46" i="6"/>
  <c r="W61" i="6"/>
  <c r="W57" i="6"/>
  <c r="W55" i="6"/>
  <c r="W20" i="6"/>
  <c r="W40" i="6"/>
  <c r="W14" i="6"/>
  <c r="W24" i="6"/>
  <c r="W17" i="6"/>
  <c r="W64" i="6"/>
  <c r="W34" i="6"/>
  <c r="W52" i="6"/>
  <c r="W44" i="6"/>
  <c r="W31" i="6"/>
  <c r="W21" i="6"/>
  <c r="V65" i="6"/>
  <c r="W45" i="6"/>
  <c r="W47" i="6"/>
  <c r="W51" i="6"/>
  <c r="W26" i="6"/>
  <c r="W13" i="6"/>
  <c r="W49" i="6"/>
  <c r="W37" i="6"/>
  <c r="X113" i="5"/>
  <c r="G108" i="4"/>
  <c r="X31" i="5"/>
  <c r="G26" i="4"/>
  <c r="G167" i="4"/>
  <c r="X172" i="5"/>
  <c r="G85" i="4"/>
  <c r="X90" i="5"/>
  <c r="X75" i="5"/>
  <c r="G70" i="4"/>
  <c r="X44" i="5"/>
  <c r="G39" i="4"/>
  <c r="G47" i="4"/>
  <c r="X52" i="5"/>
  <c r="X142" i="5"/>
  <c r="G137" i="4"/>
  <c r="X126" i="5"/>
  <c r="G121" i="4"/>
  <c r="X91" i="5"/>
  <c r="G86" i="4"/>
  <c r="H124" i="4"/>
  <c r="X20" i="5"/>
  <c r="G15" i="4"/>
  <c r="X136" i="5"/>
  <c r="G131" i="4"/>
  <c r="G136" i="4"/>
  <c r="X141" i="5"/>
  <c r="G158" i="4"/>
  <c r="X163" i="5"/>
  <c r="X151" i="5"/>
  <c r="G146" i="4"/>
  <c r="G82" i="4"/>
  <c r="X87" i="5"/>
  <c r="X114" i="5"/>
  <c r="G109" i="4"/>
  <c r="G48" i="4"/>
  <c r="X53" i="5"/>
  <c r="X98" i="5"/>
  <c r="G93" i="4"/>
  <c r="X41" i="5"/>
  <c r="G36" i="4"/>
  <c r="X185" i="5"/>
  <c r="G180" i="4"/>
  <c r="G45" i="4"/>
  <c r="X50" i="5"/>
  <c r="X121" i="5"/>
  <c r="G116" i="4"/>
  <c r="G37" i="4"/>
  <c r="X42" i="5"/>
  <c r="X175" i="5"/>
  <c r="G170" i="4"/>
  <c r="D8" i="6"/>
  <c r="X16" i="5"/>
  <c r="G11" i="4"/>
  <c r="G53" i="4"/>
  <c r="X58" i="5"/>
  <c r="X159" i="5"/>
  <c r="G154" i="4"/>
  <c r="X186" i="5"/>
  <c r="G181" i="4"/>
  <c r="G17" i="4"/>
  <c r="X22" i="5"/>
  <c r="X165" i="5"/>
  <c r="G160" i="4"/>
  <c r="G112" i="4"/>
  <c r="X117" i="5"/>
  <c r="X128" i="5"/>
  <c r="G123" i="4"/>
  <c r="G55" i="4"/>
  <c r="X60" i="5"/>
  <c r="X54" i="5"/>
  <c r="G49" i="4"/>
  <c r="X158" i="5"/>
  <c r="G153" i="4"/>
  <c r="G25" i="4"/>
  <c r="X30" i="5"/>
  <c r="X177" i="5"/>
  <c r="G172" i="4"/>
  <c r="X153" i="5"/>
  <c r="G148" i="4"/>
  <c r="G95" i="4"/>
  <c r="X100" i="5"/>
  <c r="X125" i="5"/>
  <c r="G120" i="4"/>
  <c r="X36" i="5"/>
  <c r="G31" i="4"/>
  <c r="G133" i="4"/>
  <c r="X138" i="5"/>
  <c r="X157" i="5"/>
  <c r="G152" i="4"/>
  <c r="X169" i="5"/>
  <c r="G164" i="4"/>
  <c r="X21" i="5"/>
  <c r="G16" i="4"/>
  <c r="X111" i="5"/>
  <c r="G106" i="4"/>
  <c r="X13" i="5"/>
  <c r="G8" i="4"/>
  <c r="V12" i="5"/>
  <c r="X29" i="5"/>
  <c r="G24" i="4"/>
  <c r="X45" i="5"/>
  <c r="G40" i="4"/>
  <c r="X116" i="5"/>
  <c r="G111" i="4"/>
  <c r="X137" i="5"/>
  <c r="G132" i="4"/>
  <c r="X33" i="5"/>
  <c r="G28" i="4"/>
  <c r="X140" i="5"/>
  <c r="G135" i="4"/>
  <c r="X72" i="5"/>
  <c r="G67" i="4"/>
  <c r="X18" i="5"/>
  <c r="G13" i="4"/>
  <c r="X23" i="5"/>
  <c r="G18" i="4"/>
  <c r="X62" i="5"/>
  <c r="G57" i="4"/>
  <c r="X43" i="5"/>
  <c r="G38" i="4"/>
  <c r="G188" i="4" l="1"/>
  <c r="D7" i="6"/>
  <c r="B23" i="1" s="1"/>
  <c r="F7" i="6"/>
  <c r="G7" i="6" s="1"/>
  <c r="D22" i="1" s="1"/>
  <c r="C22" i="1" s="1"/>
  <c r="D8" i="5"/>
  <c r="B31" i="1"/>
  <c r="C14" i="1" s="1"/>
  <c r="E8" i="6"/>
  <c r="W58" i="5"/>
  <c r="W38" i="5"/>
  <c r="W18" i="5"/>
  <c r="V65" i="5"/>
  <c r="W61" i="5"/>
  <c r="W41" i="5"/>
  <c r="W21" i="5"/>
  <c r="W44" i="5"/>
  <c r="W24" i="5"/>
  <c r="W51" i="5"/>
  <c r="W23" i="5"/>
  <c r="W56" i="5"/>
  <c r="W13" i="5"/>
  <c r="W46" i="5"/>
  <c r="W31" i="5"/>
  <c r="W63" i="5"/>
  <c r="W35" i="5"/>
  <c r="W26" i="5"/>
  <c r="W19" i="5"/>
  <c r="W12" i="5"/>
  <c r="W47" i="5"/>
  <c r="W40" i="5"/>
  <c r="W17" i="5"/>
  <c r="W54" i="5"/>
  <c r="W45" i="5"/>
  <c r="W33" i="5"/>
  <c r="W53" i="5"/>
  <c r="W36" i="5"/>
  <c r="W57" i="5"/>
  <c r="W55" i="5"/>
  <c r="W34" i="5"/>
  <c r="W30" i="5"/>
  <c r="W15" i="5"/>
  <c r="W32" i="5"/>
  <c r="W49" i="5"/>
  <c r="W52" i="5"/>
  <c r="W62" i="5"/>
  <c r="W60" i="5"/>
  <c r="W20" i="5"/>
  <c r="X12" i="5"/>
  <c r="C7" i="5" s="1"/>
  <c r="W14" i="5"/>
  <c r="W59" i="5"/>
  <c r="W16" i="5"/>
  <c r="W64" i="5"/>
  <c r="W39" i="5"/>
  <c r="W43" i="5"/>
  <c r="W28" i="5"/>
  <c r="W37" i="5"/>
  <c r="W22" i="5"/>
  <c r="W25" i="5"/>
  <c r="W42" i="5"/>
  <c r="W27" i="5"/>
  <c r="W29" i="5"/>
  <c r="W48" i="5"/>
  <c r="W50" i="5"/>
  <c r="G7" i="4"/>
  <c r="G60" i="4" s="1"/>
  <c r="B22" i="1"/>
  <c r="C12" i="1" s="1"/>
  <c r="E7" i="6"/>
  <c r="G124" i="4"/>
  <c r="F7" i="5" l="1"/>
  <c r="G7" i="5" s="1"/>
  <c r="D18" i="1" s="1"/>
  <c r="C18" i="1" s="1"/>
  <c r="D7" i="5"/>
  <c r="B19" i="1" s="1"/>
  <c r="E7" i="5"/>
  <c r="B18" i="1"/>
  <c r="C11" i="1" s="1"/>
  <c r="E8" i="5"/>
  <c r="B27" i="1"/>
  <c r="C13" i="1" s="1"/>
</calcChain>
</file>

<file path=xl/sharedStrings.xml><?xml version="1.0" encoding="utf-8"?>
<sst xmlns="http://schemas.openxmlformats.org/spreadsheetml/2006/main" count="17457" uniqueCount="202">
  <si>
    <t>Model:</t>
  </si>
  <si>
    <t>H045194</t>
  </si>
  <si>
    <t>Version:</t>
  </si>
  <si>
    <t>1.0.0.0</t>
  </si>
  <si>
    <t>Base Bet</t>
  </si>
  <si>
    <t>Coin in</t>
  </si>
  <si>
    <t>Price(x)</t>
  </si>
  <si>
    <t>Total RTP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</si>
  <si>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</si>
  <si>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</si>
  <si>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</si>
  <si>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</si>
  <si>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</si>
  <si>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</si>
  <si>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</si>
  <si>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</si>
  <si>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</si>
  <si>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</si>
  <si>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Reel #</t>
  </si>
  <si>
    <t>Visible Window Size</t>
  </si>
  <si>
    <t>Free Spins Setting</t>
  </si>
  <si>
    <t>C1 Num.</t>
  </si>
  <si>
    <t>The maximum of free spins is 50.</t>
  </si>
  <si>
    <t>Pay Table:</t>
  </si>
  <si>
    <t>All wins show for 100 credit bet.</t>
  </si>
  <si>
    <t>Symbol</t>
  </si>
  <si>
    <t>3</t>
  </si>
  <si>
    <t>4</t>
  </si>
  <si>
    <t>5</t>
  </si>
  <si>
    <t>Id</t>
  </si>
  <si>
    <t>WW1</t>
  </si>
  <si>
    <t>Wild 1</t>
  </si>
  <si>
    <t>WW2</t>
  </si>
  <si>
    <t>Wild 2 (Copy Wild)</t>
  </si>
  <si>
    <t>C1</t>
  </si>
  <si>
    <t>Scatter</t>
  </si>
  <si>
    <t>M1</t>
  </si>
  <si>
    <t>M2</t>
  </si>
  <si>
    <t>M3</t>
  </si>
  <si>
    <t>M4</t>
  </si>
  <si>
    <t>A</t>
  </si>
  <si>
    <t>K</t>
  </si>
  <si>
    <t>Q</t>
  </si>
  <si>
    <t>J</t>
  </si>
  <si>
    <t>M1G</t>
  </si>
  <si>
    <t>Golden M1</t>
  </si>
  <si>
    <t>M2G</t>
  </si>
  <si>
    <t>Golden M2</t>
  </si>
  <si>
    <t>M3G</t>
  </si>
  <si>
    <t>Golden M3</t>
  </si>
  <si>
    <t>M4G</t>
  </si>
  <si>
    <t>Golden M4</t>
  </si>
  <si>
    <t>AG</t>
  </si>
  <si>
    <t>Golden A</t>
  </si>
  <si>
    <t>KG</t>
  </si>
  <si>
    <t>Golden K</t>
  </si>
  <si>
    <t>QG</t>
  </si>
  <si>
    <t>Golden Q</t>
  </si>
  <si>
    <t>JG</t>
  </si>
  <si>
    <t>Golden J</t>
  </si>
  <si>
    <t>* Golden symbols (M1G-JG) pay as their base symbol; the pay table is identical.</t>
  </si>
  <si>
    <t>* WW1 / WW2 substitute for every symbol except C1 and have no pay of their own.</t>
  </si>
  <si>
    <t>* C1 is only counted to trigger the Free Game; there is no scatter pay.</t>
  </si>
  <si>
    <t>Feature:</t>
  </si>
  <si>
    <t>1. The Base Game is a 5 reel x 4 row, 1024 Ways board. Winning symbols are removed and the remaining symbols drop down, with new symbols drawn from the strip to refill the board.</t>
  </si>
  <si>
    <t>2. Each cascade within a spin raises the win multiplier: X1, X2, X3, X5, X10 in the Base Game and X2, X4, X6, X10, X20 in the Free Game.</t>
  </si>
  <si>
    <t>3. When a golden symbol is part of a win it turns into a WW1 in place, or - per the Random Wild weights - into a WW2 that copies itself to a further 2-4 positions.</t>
  </si>
  <si>
    <t>4. C1 can appear on any reel, including on refills after a cascade, and more than one C1 may appear on the same reel.</t>
  </si>
  <si>
    <t>5. Once all cascades finish the C1 on the board are counted: 3 or more triggers 10 free spins. 3 or more during the Free Game adds a fixed 5 spins, up to a maximum of 50.</t>
  </si>
  <si>
    <t>6. A Buy Feature is available at 40.5 x Bet. There is no Super Feature.</t>
  </si>
  <si>
    <t>1. Every Base Game spin draws repeatedly from the table selected by the card system (Multiplier_Weight) until the win falls inside the drawn range.</t>
  </si>
  <si>
    <t>Worksheet</t>
  </si>
  <si>
    <t>ID</t>
  </si>
  <si>
    <t>BG_Symbol</t>
  </si>
  <si>
    <t>B</t>
  </si>
  <si>
    <t>BG_Symbol (2)</t>
  </si>
  <si>
    <t>2. The starting board uses the 5 strips of the selected BG worksheet; the stop positions are drawn using that worksheet's Symbol Weight R1-R5.</t>
  </si>
  <si>
    <t>3. On a win the winning symbols are removed and the gaps are refilled by drawing new symbols with the same reel's weights.</t>
  </si>
  <si>
    <t>4. The win multiplier rises with the combo count: X1, X2, X3, X5, X10. It stays at X10 thereafter.</t>
  </si>
  <si>
    <t>5. Random wild evaluation:</t>
  </si>
  <si>
    <t>(1) The following is evaluated whenever at least one golden symbol (M1G-JG) is part of a win.</t>
  </si>
  <si>
    <t>(2) Each spin carries a flag for whether a random wild has already occurred. Until it is set, every combo that removes a golden symbol is evaluated once; after it is set no further combo in that spin is evaluated.</t>
  </si>
  <si>
    <t>(3) When a golden symbol is removed the Random Wild Weight in Parameter is rolled. On a 2-4 the cell becomes a WW2 and a further 2-4 WW2 replace random positions on R2-R5, never overwriting an existing C1, WW1 or WW2.</t>
  </si>
  <si>
    <t>(4) If several golden symbols are removed together the same evaluation applies, but at most one of them triggers the random wild; the rest become WW1.</t>
  </si>
  <si>
    <t>(5) Order of play: remove -&gt; refill -&gt; reveal all golden symbols -&gt; golden cells become WW1 or WW2 -&gt; if WW2 copies were rolled, resolve which positions they overwrite last.</t>
  </si>
  <si>
    <t>6. C1 may drop in on any refill, and more than one C1 may appear on the same reel.</t>
  </si>
  <si>
    <t>7. C1 never takes part in a win. Only once no further win is possible are the C1 on the board counted to decide whether the Free Spins are entered.</t>
  </si>
  <si>
    <t>1. On entering the Free Game the card system's group decides how many high- and low-table spins are awarded; their order is shuffled.</t>
  </si>
  <si>
    <t>Group</t>
  </si>
  <si>
    <t>High Spins</t>
  </si>
  <si>
    <t>Low Spins</t>
  </si>
  <si>
    <t>Weight</t>
  </si>
  <si>
    <t>D</t>
  </si>
  <si>
    <t>E</t>
  </si>
  <si>
    <t>* Every Free Game and Buy Feature card in Multiplier_Weight currently uses group E, i.e. a fixed 10 high-table spins.</t>
  </si>
  <si>
    <t>2. Each high-table spin picks its worksheet with the weights below; low-table spins always use FG_Symbol (5).</t>
  </si>
  <si>
    <t>High Strip</t>
  </si>
  <si>
    <t>FG_Symbol</t>
  </si>
  <si>
    <t>FG_Symbol (2)</t>
  </si>
  <si>
    <t>FG_Symbol (3)</t>
  </si>
  <si>
    <t>FG_Symbol (4)</t>
  </si>
  <si>
    <t>3. 3 or more C1 on a Free Game final board adds a fixed 5 spins - 1 high table and 4 low table - shuffled into the remaining order.</t>
  </si>
  <si>
    <t>4. On a win the winning symbols are removed and the gaps refilled with the same reel's weights.</t>
  </si>
  <si>
    <t>5. The win multiplier rises with the combo count: X2, X4, X6, X10, X20. It stays at X20 thereafter.</t>
  </si>
  <si>
    <t>6. Random wild evaluation is as in Base Game point 5, except the Free Game has no once-per-spin limit: every combo is evaluated.</t>
  </si>
  <si>
    <t>7. C1 may drop in on any refill, and more than one C1 may appear on the same reel.</t>
  </si>
  <si>
    <t>8. C1 never takes part in a win. Only once no further win is possible are the C1 on the board counted to decide whether the feature retriggers.</t>
  </si>
  <si>
    <t>9. The Free Game is capped at 50 spins.</t>
  </si>
  <si>
    <t>1. The price is 40.5 x Bet. The entry board is drawn from the BF_Symbol strips using that worksheet's Symbol Weight.</t>
  </si>
  <si>
    <t>2. Everything else follows Base Game points 2-7.</t>
  </si>
  <si>
    <t>3. Once the entry board's C1 trigger the Free Game, the card system's group decides the high- and low-table spin counts, shuffled into a random order.</t>
  </si>
  <si>
    <t>4. Everything else follows Free Game points 2-9.</t>
  </si>
  <si>
    <t>Notes</t>
  </si>
  <si>
    <t>1. This game has no Super Feature and no Super Free Game.</t>
  </si>
  <si>
    <t>2. Worksheet mapping: BG_Symbol = BG high table, BG_Symbol (2) = BG low table, FG_Symbol to FG_Symbol (4) = FG high tables A/K/Q/J, FG_Symbol (5) = FG low table, BF_Symbol = Buy Feature entry table.</t>
  </si>
  <si>
    <t>3. Random Wild Weight and the Win Multiplier Ladder live on the Parameter worksheet.</t>
  </si>
  <si>
    <t>4. The card system's range weights live on Multiplier_Weight_Newbie and Multiplier_Weight_Oldhand.</t>
  </si>
  <si>
    <t>5. Overview's Pay Back / Hit% / Pulls-Hit are linked by formula to the summary rows of Multiplier_Weight_*, so changing a Fix Num recalculates everything.</t>
  </si>
  <si>
    <t>Table Selection - Base Game</t>
  </si>
  <si>
    <t>Worksheet Name</t>
  </si>
  <si>
    <t>Base Game high table</t>
  </si>
  <si>
    <t>Base Game low table</t>
  </si>
  <si>
    <t>* The table actually used is set by the Table column of Multiplier_Weight_*; there is no separate table-selection draw.</t>
  </si>
  <si>
    <t>Random Wild Weight (Weight/Total)</t>
  </si>
  <si>
    <t>Worksheet Name \ Copies</t>
  </si>
  <si>
    <t>0</t>
  </si>
  <si>
    <t>2</t>
  </si>
  <si>
    <t>FG_Symbol (5)</t>
  </si>
  <si>
    <t>BF_Symbol</t>
  </si>
  <si>
    <t>* Rolling 0 means the golden symbol only becomes a WW1, with no WW2 copies.</t>
  </si>
  <si>
    <t>Win Multiplier Ladder</t>
  </si>
  <si>
    <t>Worksheet Name \ Cascade N</t>
  </si>
  <si>
    <t>1</t>
  </si>
  <si>
    <t>5+</t>
  </si>
  <si>
    <t>X1</t>
  </si>
  <si>
    <t>X2</t>
  </si>
  <si>
    <t>X3</t>
  </si>
  <si>
    <t>X5</t>
  </si>
  <si>
    <t>X10</t>
  </si>
  <si>
    <t>X4</t>
  </si>
  <si>
    <t>X6</t>
  </si>
  <si>
    <t>X20</t>
  </si>
  <si>
    <t>* The multiplier only advances within a spin; a new spin returns to that mode's first step.</t>
  </si>
  <si>
    <t>Free Game Table Mix Weight</t>
  </si>
  <si>
    <t>Free Game High Table Weight</t>
  </si>
  <si>
    <t>Feature Setting</t>
  </si>
  <si>
    <t>Item</t>
  </si>
  <si>
    <t>Value</t>
  </si>
  <si>
    <t>Free Spins</t>
  </si>
  <si>
    <t>Retrigger Spins</t>
  </si>
  <si>
    <t>Free Spin Cap</t>
  </si>
  <si>
    <t>Retrigger High Spins</t>
  </si>
  <si>
    <t>Retrigger Low Spins</t>
  </si>
  <si>
    <t>Buy Feature Price (x Bet)</t>
  </si>
  <si>
    <t>Scatter Trigger Count</t>
  </si>
  <si>
    <t>Reel Num</t>
  </si>
  <si>
    <t>Max Ways</t>
  </si>
  <si>
    <t>Threshold</t>
  </si>
  <si>
    <t>Base Game (Normal Bet)</t>
  </si>
  <si>
    <t>Lower</t>
  </si>
  <si>
    <t>Upper</t>
  </si>
  <si>
    <t>Range</t>
  </si>
  <si>
    <t>Table</t>
  </si>
  <si>
    <t>Rate</t>
  </si>
  <si>
    <t>Weight_Newbie</t>
  </si>
  <si>
    <t>Weight_Oldhand</t>
  </si>
  <si>
    <t>Total</t>
  </si>
  <si>
    <t>Profile</t>
  </si>
  <si>
    <t>Newbie</t>
  </si>
  <si>
    <t>Bet</t>
  </si>
  <si>
    <t>Hit Rate</t>
  </si>
  <si>
    <t>Simulator Cnt</t>
  </si>
  <si>
    <t>Simulator Pay</t>
  </si>
  <si>
    <t>Simulator Rate</t>
  </si>
  <si>
    <t>Simulator RTP</t>
  </si>
  <si>
    <t>C</t>
  </si>
  <si>
    <t>Fix Num</t>
  </si>
  <si>
    <t>Fix Rate</t>
  </si>
  <si>
    <t>Final Rate</t>
  </si>
  <si>
    <t>RTP</t>
  </si>
  <si>
    <t>FG Trigger</t>
  </si>
  <si>
    <t>F</t>
  </si>
  <si>
    <t>Oldhand</t>
  </si>
  <si>
    <t>Newbie (Normal Bet)</t>
  </si>
  <si>
    <t>Oldhand (Normal Bet)</t>
  </si>
  <si>
    <t>Counter</t>
  </si>
  <si>
    <t>Num</t>
  </si>
  <si>
    <t>Count</t>
  </si>
  <si>
    <t>bgC1Count</t>
  </si>
  <si>
    <t>fgC1Count</t>
  </si>
  <si>
    <t>SC Trig</t>
  </si>
  <si>
    <t>Symbol ID</t>
  </si>
  <si>
    <t>Symbol Weight</t>
  </si>
  <si>
    <t>R1</t>
  </si>
  <si>
    <t>R2</t>
  </si>
  <si>
    <t>R3</t>
  </si>
  <si>
    <t>R4</t>
  </si>
  <si>
    <t>R5</t>
  </si>
  <si>
    <t>Line #</t>
  </si>
  <si>
    <t>Wild1</t>
  </si>
  <si>
    <t>Wild2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</si>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</sst>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新細明體"/>
      <family val="2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5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3" borderId="2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/>
    <xf numFmtId="10" fontId="1" fillId="0" borderId="1" xfId="0" applyNumberFormat="1" applyFont="1" applyBorder="1" applyAlignment="1">
      <alignment horizontal="center" vertical="center"/>
    </xf>
    <xf numFmtId="0" fontId="0" fillId="0" borderId="3" xfId="0" applyBorder="1"/>
    <xf numFmtId="176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8"/>
  <sheetViews>
    <sheetView tabSelected="1" workbookViewId="0"/>
  </sheetViews>
  <sheetFormatPr defaultRowHeight="15" x14ac:dyDescent="0.3"/>
  <cols>
    <col min="1" max="1" width="28.25" customWidth="1"/>
    <col min="2" max="4" width="19.375" customWidth="1"/>
    <col min="5" max="5" width="37.375" customWidth="1"/>
    <col min="6" max="6" width="19.375" customWidth="1"/>
  </cols>
  <sheetData>
    <row r="2" spans="1:4" ht="15.6" customHeight="1" x14ac:dyDescent="0.3">
      <c r="A2" s="1" t="s">
        <v>0</v>
      </c>
      <c r="B2" s="2" t="s">
        <v>1</v>
      </c>
    </row>
    <row r="3" spans="1:4" ht="15.6" customHeight="1" x14ac:dyDescent="0.3">
      <c r="A3" s="1" t="s">
        <v>2</v>
      </c>
      <c r="B3" s="2" t="s">
        <v>3</v>
      </c>
    </row>
    <row r="6" spans="1:4" ht="15.6" customHeight="1" x14ac:dyDescent="0.3">
      <c r="A6" s="3" t="s">
        <v>4</v>
      </c>
    </row>
    <row r="7" spans="1:4" ht="15.6" customHeight="1" x14ac:dyDescent="0.3">
      <c r="A7" s="4">
        <v>100</v>
      </c>
    </row>
    <row r="10" spans="1:4" ht="15.6" customHeight="1" x14ac:dyDescent="0.3">
      <c r="A10" s="3" t="s">
        <v>5</v>
      </c>
      <c r="B10" s="3" t="s">
        <v>6</v>
      </c>
      <c r="C10" s="3" t="s">
        <v>7</v>
      </c>
      <c r="D10" s="3" t="s">
        <v>8</v>
      </c>
    </row>
    <row r="11" spans="1:4" ht="15.6" customHeight="1" x14ac:dyDescent="0.3">
      <c r="A11" s="7">
        <v>100</v>
      </c>
      <c r="B11" s="4">
        <v>1</v>
      </c>
      <c r="C11" s="6">
        <f>SUM(B18:B19)</f>
        <v>0.9299730909442967</v>
      </c>
      <c r="D11" s="7" t="s">
        <v>9</v>
      </c>
    </row>
    <row r="12" spans="1:4" ht="15.6" customHeight="1" x14ac:dyDescent="0.3">
      <c r="A12" s="7">
        <v>100</v>
      </c>
      <c r="B12" s="4">
        <v>1</v>
      </c>
      <c r="C12" s="6">
        <f>SUM(B22:B23)</f>
        <v>0.93993927839799896</v>
      </c>
      <c r="D12" s="7" t="s">
        <v>9</v>
      </c>
    </row>
    <row r="13" spans="1:4" ht="15.6" customHeight="1" x14ac:dyDescent="0.3">
      <c r="A13" s="7">
        <v>4050</v>
      </c>
      <c r="B13" s="4">
        <v>40.5</v>
      </c>
      <c r="C13" s="6">
        <f>SUM(B26:B27)</f>
        <v>0.92499739527901748</v>
      </c>
      <c r="D13" s="7" t="s">
        <v>10</v>
      </c>
    </row>
    <row r="14" spans="1:4" ht="15.6" customHeight="1" x14ac:dyDescent="0.3">
      <c r="A14" s="7">
        <v>4050</v>
      </c>
      <c r="B14" s="4">
        <v>40.5</v>
      </c>
      <c r="C14" s="6">
        <f>SUM(B30:B31)</f>
        <v>0.98529689197307357</v>
      </c>
      <c r="D14" s="7" t="s">
        <v>10</v>
      </c>
    </row>
    <row r="16" spans="1:4" ht="15.6" customHeight="1" x14ac:dyDescent="0.3">
      <c r="A16" s="1" t="s">
        <v>11</v>
      </c>
    </row>
    <row r="17" spans="1:5" ht="15.6" customHeight="1" x14ac:dyDescent="0.3">
      <c r="A17" s="3" t="s">
        <v>8</v>
      </c>
      <c r="B17" s="3" t="s">
        <v>12</v>
      </c>
      <c r="C17" s="3" t="s">
        <v>13</v>
      </c>
      <c r="D17" s="3" t="s">
        <v>14</v>
      </c>
      <c r="E17" s="3" t="s">
        <v>15</v>
      </c>
    </row>
    <row r="18" spans="1:5" ht="15.6" customHeight="1" x14ac:dyDescent="0.3">
      <c r="A18" s="14" t="s">
        <v>9</v>
      </c>
      <c r="B18" s="5">
        <f>Multiplier_Weight_Newbie!$C$7</f>
        <v>0.66318572168350154</v>
      </c>
      <c r="C18" s="11">
        <f>IF(D18=0,0,1/D18)</f>
        <v>8.4899999999999993E-3</v>
      </c>
      <c r="D18" s="13">
        <f>Multiplier_Weight_Newbie!$G$7</f>
        <v>117.78563015312133</v>
      </c>
      <c r="E18" s="7" t="s">
        <v>16</v>
      </c>
    </row>
    <row r="19" spans="1:5" ht="15.6" customHeight="1" x14ac:dyDescent="0.3">
      <c r="A19" s="12"/>
      <c r="B19" s="5">
        <f>Multiplier_Weight_Newbie!$D$7</f>
        <v>0.26678736926079516</v>
      </c>
      <c r="C19" s="12"/>
      <c r="D19" s="12"/>
      <c r="E19" s="7" t="s">
        <v>17</v>
      </c>
    </row>
    <row r="21" spans="1:5" ht="15.6" customHeight="1" x14ac:dyDescent="0.3">
      <c r="A21" s="3" t="s">
        <v>8</v>
      </c>
      <c r="B21" s="3" t="s">
        <v>12</v>
      </c>
      <c r="C21" s="3" t="s">
        <v>13</v>
      </c>
      <c r="D21" s="3" t="s">
        <v>14</v>
      </c>
      <c r="E21" s="3" t="s">
        <v>15</v>
      </c>
    </row>
    <row r="22" spans="1:5" ht="15.6" customHeight="1" x14ac:dyDescent="0.3">
      <c r="A22" s="14" t="s">
        <v>9</v>
      </c>
      <c r="B22" s="5">
        <f>Multiplier_Weight_Oldhand!$C$7</f>
        <v>0.66712158214433359</v>
      </c>
      <c r="C22" s="11">
        <f>IF(D22=0,0,1/D22)</f>
        <v>8.4899999999999993E-3</v>
      </c>
      <c r="D22" s="13">
        <f>Multiplier_Weight_Oldhand!$G$7</f>
        <v>117.78563015312133</v>
      </c>
      <c r="E22" s="7" t="s">
        <v>16</v>
      </c>
    </row>
    <row r="23" spans="1:5" ht="15.6" customHeight="1" x14ac:dyDescent="0.3">
      <c r="A23" s="12"/>
      <c r="B23" s="5">
        <f>Multiplier_Weight_Oldhand!$D$7</f>
        <v>0.27281769625366542</v>
      </c>
      <c r="C23" s="12"/>
      <c r="D23" s="12"/>
      <c r="E23" s="7" t="s">
        <v>17</v>
      </c>
    </row>
    <row r="25" spans="1:5" ht="15.6" customHeight="1" x14ac:dyDescent="0.3">
      <c r="A25" s="3" t="s">
        <v>8</v>
      </c>
      <c r="B25" s="3" t="s">
        <v>12</v>
      </c>
      <c r="C25" s="3" t="s">
        <v>13</v>
      </c>
      <c r="D25" s="3" t="s">
        <v>14</v>
      </c>
      <c r="E25" s="3" t="s">
        <v>15</v>
      </c>
    </row>
    <row r="26" spans="1:5" ht="15.6" customHeight="1" x14ac:dyDescent="0.3">
      <c r="A26" s="14" t="s">
        <v>10</v>
      </c>
      <c r="B26" s="5">
        <f>Multiplier_Weight_Newbie!$C$8</f>
        <v>0</v>
      </c>
      <c r="C26" s="11">
        <f>IF(D26=0,0,1/D26)</f>
        <v>1</v>
      </c>
      <c r="D26" s="13">
        <f>Multiplier_Weight_Newbie!$G$8</f>
        <v>1</v>
      </c>
      <c r="E26" s="7" t="s">
        <v>16</v>
      </c>
    </row>
    <row r="27" spans="1:5" ht="15.6" customHeight="1" x14ac:dyDescent="0.3">
      <c r="A27" s="12"/>
      <c r="B27" s="5">
        <f>Multiplier_Weight_Newbie!$D$8</f>
        <v>0.92499739527901748</v>
      </c>
      <c r="C27" s="12"/>
      <c r="D27" s="12"/>
      <c r="E27" s="7" t="s">
        <v>17</v>
      </c>
    </row>
    <row r="29" spans="1:5" ht="15.6" customHeight="1" x14ac:dyDescent="0.3">
      <c r="A29" s="3" t="s">
        <v>8</v>
      </c>
      <c r="B29" s="3" t="s">
        <v>12</v>
      </c>
      <c r="C29" s="3" t="s">
        <v>13</v>
      </c>
      <c r="D29" s="3" t="s">
        <v>14</v>
      </c>
      <c r="E29" s="3" t="s">
        <v>15</v>
      </c>
    </row>
    <row r="30" spans="1:5" ht="15.6" customHeight="1" x14ac:dyDescent="0.3">
      <c r="A30" s="14" t="s">
        <v>10</v>
      </c>
      <c r="B30" s="5">
        <f>Multiplier_Weight_Oldhand!$C$8</f>
        <v>0</v>
      </c>
      <c r="C30" s="11">
        <f>IF(D30=0,0,1/D30)</f>
        <v>1</v>
      </c>
      <c r="D30" s="13">
        <f>Multiplier_Weight_Oldhand!$G$8</f>
        <v>1</v>
      </c>
      <c r="E30" s="7" t="s">
        <v>16</v>
      </c>
    </row>
    <row r="31" spans="1:5" ht="15.6" customHeight="1" x14ac:dyDescent="0.3">
      <c r="A31" s="12"/>
      <c r="B31" s="5">
        <f>Multiplier_Weight_Oldhand!$D$8</f>
        <v>0.98529689197307357</v>
      </c>
      <c r="C31" s="12"/>
      <c r="D31" s="12"/>
      <c r="E31" s="7" t="s">
        <v>17</v>
      </c>
    </row>
    <row r="34" spans="1:6" ht="15.6" customHeight="1" x14ac:dyDescent="0.3">
      <c r="A34" s="3" t="s">
        <v>18</v>
      </c>
      <c r="B34" s="3">
        <v>1</v>
      </c>
      <c r="C34" s="3">
        <v>2</v>
      </c>
      <c r="D34" s="3">
        <v>3</v>
      </c>
      <c r="E34" s="3">
        <v>4</v>
      </c>
      <c r="F34" s="3">
        <v>5</v>
      </c>
    </row>
    <row r="35" spans="1:6" ht="15.6" customHeight="1" x14ac:dyDescent="0.3">
      <c r="A35" s="7" t="s">
        <v>19</v>
      </c>
      <c r="B35" s="7">
        <v>4</v>
      </c>
      <c r="C35" s="7">
        <v>4</v>
      </c>
      <c r="D35" s="7">
        <v>4</v>
      </c>
      <c r="E35" s="7">
        <v>4</v>
      </c>
      <c r="F35" s="7">
        <v>4</v>
      </c>
    </row>
    <row r="38" spans="1:6" ht="15.6" customHeight="1" x14ac:dyDescent="0.3">
      <c r="A38" s="1" t="s">
        <v>20</v>
      </c>
    </row>
    <row r="39" spans="1:6" ht="15.6" customHeight="1" x14ac:dyDescent="0.3">
      <c r="A39" s="3" t="s">
        <v>21</v>
      </c>
      <c r="B39" s="3" t="s">
        <v>16</v>
      </c>
      <c r="C39" s="3" t="s">
        <v>17</v>
      </c>
    </row>
    <row r="40" spans="1:6" ht="15.6" customHeight="1" x14ac:dyDescent="0.3">
      <c r="A40" s="7">
        <v>3</v>
      </c>
      <c r="B40" s="4">
        <v>10</v>
      </c>
      <c r="C40" s="4">
        <v>5</v>
      </c>
    </row>
    <row r="41" spans="1:6" ht="15.6" customHeight="1" x14ac:dyDescent="0.3">
      <c r="A41" s="7">
        <v>4</v>
      </c>
      <c r="B41" s="4">
        <v>10</v>
      </c>
      <c r="C41" s="4">
        <v>5</v>
      </c>
    </row>
    <row r="42" spans="1:6" ht="15.6" customHeight="1" x14ac:dyDescent="0.3">
      <c r="A42" s="7">
        <v>5</v>
      </c>
      <c r="B42" s="4">
        <v>10</v>
      </c>
      <c r="C42" s="4">
        <v>5</v>
      </c>
    </row>
    <row r="43" spans="1:6" ht="15.6" customHeight="1" x14ac:dyDescent="0.3">
      <c r="A43" s="7">
        <v>6</v>
      </c>
      <c r="B43" s="4">
        <v>10</v>
      </c>
      <c r="C43" s="4">
        <v>5</v>
      </c>
    </row>
    <row r="44" spans="1:6" ht="15.6" customHeight="1" x14ac:dyDescent="0.3">
      <c r="A44" s="1" t="s">
        <v>22</v>
      </c>
    </row>
    <row r="46" spans="1:6" ht="15.6" customHeight="1" x14ac:dyDescent="0.3">
      <c r="A46" s="1" t="s">
        <v>23</v>
      </c>
      <c r="B46" s="1" t="s">
        <v>24</v>
      </c>
    </row>
    <row r="47" spans="1:6" ht="15.6" customHeight="1" x14ac:dyDescent="0.3">
      <c r="A47" s="3" t="s">
        <v>25</v>
      </c>
      <c r="B47" s="3" t="s">
        <v>15</v>
      </c>
      <c r="C47" s="3" t="s">
        <v>26</v>
      </c>
      <c r="D47" s="3" t="s">
        <v>27</v>
      </c>
      <c r="E47" s="3" t="s">
        <v>28</v>
      </c>
      <c r="F47" s="3" t="s">
        <v>29</v>
      </c>
    </row>
    <row r="48" spans="1:6" ht="15.6" customHeight="1" x14ac:dyDescent="0.3">
      <c r="A48" s="7" t="s">
        <v>30</v>
      </c>
      <c r="B48" s="7" t="s">
        <v>31</v>
      </c>
      <c r="C48" s="7">
        <v>0</v>
      </c>
      <c r="D48" s="7">
        <v>0</v>
      </c>
      <c r="E48" s="7">
        <v>0</v>
      </c>
      <c r="F48" s="7">
        <v>0</v>
      </c>
    </row>
    <row r="49" spans="1:6" ht="15.6" customHeight="1" x14ac:dyDescent="0.3">
      <c r="A49" s="7" t="s">
        <v>32</v>
      </c>
      <c r="B49" s="7" t="s">
        <v>33</v>
      </c>
      <c r="C49" s="7">
        <v>0</v>
      </c>
      <c r="D49" s="7">
        <v>0</v>
      </c>
      <c r="E49" s="7">
        <v>0</v>
      </c>
      <c r="F49" s="7">
        <v>1</v>
      </c>
    </row>
    <row r="50" spans="1:6" ht="15.6" customHeight="1" x14ac:dyDescent="0.3">
      <c r="A50" s="7" t="s">
        <v>34</v>
      </c>
      <c r="B50" s="7" t="s">
        <v>35</v>
      </c>
      <c r="C50" s="7">
        <v>0</v>
      </c>
      <c r="D50" s="7">
        <v>0</v>
      </c>
      <c r="E50" s="7">
        <v>0</v>
      </c>
      <c r="F50" s="7">
        <v>2</v>
      </c>
    </row>
    <row r="51" spans="1:6" ht="15.6" customHeight="1" x14ac:dyDescent="0.3">
      <c r="A51" s="7" t="s">
        <v>36</v>
      </c>
      <c r="B51" s="7" t="s">
        <v>36</v>
      </c>
      <c r="C51" s="7">
        <v>50</v>
      </c>
      <c r="D51" s="7">
        <v>150</v>
      </c>
      <c r="E51" s="7">
        <v>250</v>
      </c>
      <c r="F51" s="7">
        <v>3</v>
      </c>
    </row>
    <row r="52" spans="1:6" ht="15.6" customHeight="1" x14ac:dyDescent="0.3">
      <c r="A52" s="7" t="s">
        <v>37</v>
      </c>
      <c r="B52" s="7" t="s">
        <v>37</v>
      </c>
      <c r="C52" s="7">
        <v>40</v>
      </c>
      <c r="D52" s="7">
        <v>120</v>
      </c>
      <c r="E52" s="7">
        <v>200</v>
      </c>
      <c r="F52" s="7">
        <v>4</v>
      </c>
    </row>
    <row r="53" spans="1:6" ht="15.6" customHeight="1" x14ac:dyDescent="0.3">
      <c r="A53" s="7" t="s">
        <v>38</v>
      </c>
      <c r="B53" s="7" t="s">
        <v>38</v>
      </c>
      <c r="C53" s="7">
        <v>30</v>
      </c>
      <c r="D53" s="7">
        <v>90</v>
      </c>
      <c r="E53" s="7">
        <v>150</v>
      </c>
      <c r="F53" s="7">
        <v>5</v>
      </c>
    </row>
    <row r="54" spans="1:6" ht="15.6" customHeight="1" x14ac:dyDescent="0.3">
      <c r="A54" s="7" t="s">
        <v>39</v>
      </c>
      <c r="B54" s="7" t="s">
        <v>39</v>
      </c>
      <c r="C54" s="7">
        <v>20</v>
      </c>
      <c r="D54" s="7">
        <v>60</v>
      </c>
      <c r="E54" s="7">
        <v>100</v>
      </c>
      <c r="F54" s="7">
        <v>6</v>
      </c>
    </row>
    <row r="55" spans="1:6" ht="15.6" customHeight="1" x14ac:dyDescent="0.3">
      <c r="A55" s="7" t="s">
        <v>40</v>
      </c>
      <c r="B55" s="7" t="s">
        <v>40</v>
      </c>
      <c r="C55" s="7">
        <v>10</v>
      </c>
      <c r="D55" s="7">
        <v>30</v>
      </c>
      <c r="E55" s="7">
        <v>50</v>
      </c>
      <c r="F55" s="7">
        <v>7</v>
      </c>
    </row>
    <row r="56" spans="1:6" ht="15.6" customHeight="1" x14ac:dyDescent="0.3">
      <c r="A56" s="7" t="s">
        <v>41</v>
      </c>
      <c r="B56" s="7" t="s">
        <v>41</v>
      </c>
      <c r="C56" s="7">
        <v>10</v>
      </c>
      <c r="D56" s="7">
        <v>30</v>
      </c>
      <c r="E56" s="7">
        <v>50</v>
      </c>
      <c r="F56" s="7">
        <v>8</v>
      </c>
    </row>
    <row r="57" spans="1:6" ht="15.6" customHeight="1" x14ac:dyDescent="0.3">
      <c r="A57" s="7" t="s">
        <v>42</v>
      </c>
      <c r="B57" s="7" t="s">
        <v>42</v>
      </c>
      <c r="C57" s="7">
        <v>5</v>
      </c>
      <c r="D57" s="7">
        <v>15</v>
      </c>
      <c r="E57" s="7">
        <v>25</v>
      </c>
      <c r="F57" s="7">
        <v>9</v>
      </c>
    </row>
    <row r="58" spans="1:6" ht="15.6" customHeight="1" x14ac:dyDescent="0.3">
      <c r="A58" s="7" t="s">
        <v>43</v>
      </c>
      <c r="B58" s="7" t="s">
        <v>43</v>
      </c>
      <c r="C58" s="7">
        <v>5</v>
      </c>
      <c r="D58" s="7">
        <v>15</v>
      </c>
      <c r="E58" s="7">
        <v>25</v>
      </c>
      <c r="F58" s="7">
        <v>10</v>
      </c>
    </row>
    <row r="59" spans="1:6" ht="15.6" customHeight="1" x14ac:dyDescent="0.3">
      <c r="A59" s="7" t="s">
        <v>44</v>
      </c>
      <c r="B59" s="7" t="s">
        <v>45</v>
      </c>
      <c r="C59" s="7">
        <v>50</v>
      </c>
      <c r="D59" s="7">
        <v>150</v>
      </c>
      <c r="E59" s="7">
        <v>250</v>
      </c>
      <c r="F59" s="7">
        <v>11</v>
      </c>
    </row>
    <row r="60" spans="1:6" ht="15.6" customHeight="1" x14ac:dyDescent="0.3">
      <c r="A60" s="7" t="s">
        <v>46</v>
      </c>
      <c r="B60" s="7" t="s">
        <v>47</v>
      </c>
      <c r="C60" s="7">
        <v>40</v>
      </c>
      <c r="D60" s="7">
        <v>120</v>
      </c>
      <c r="E60" s="7">
        <v>200</v>
      </c>
      <c r="F60" s="7">
        <v>12</v>
      </c>
    </row>
    <row r="61" spans="1:6" ht="15.6" customHeight="1" x14ac:dyDescent="0.3">
      <c r="A61" s="7" t="s">
        <v>48</v>
      </c>
      <c r="B61" s="7" t="s">
        <v>49</v>
      </c>
      <c r="C61" s="7">
        <v>30</v>
      </c>
      <c r="D61" s="7">
        <v>90</v>
      </c>
      <c r="E61" s="7">
        <v>150</v>
      </c>
      <c r="F61" s="7">
        <v>13</v>
      </c>
    </row>
    <row r="62" spans="1:6" ht="15.6" customHeight="1" x14ac:dyDescent="0.3">
      <c r="A62" s="7" t="s">
        <v>50</v>
      </c>
      <c r="B62" s="7" t="s">
        <v>51</v>
      </c>
      <c r="C62" s="7">
        <v>20</v>
      </c>
      <c r="D62" s="7">
        <v>60</v>
      </c>
      <c r="E62" s="7">
        <v>100</v>
      </c>
      <c r="F62" s="7">
        <v>14</v>
      </c>
    </row>
    <row r="63" spans="1:6" ht="15.6" customHeight="1" x14ac:dyDescent="0.3">
      <c r="A63" s="7" t="s">
        <v>52</v>
      </c>
      <c r="B63" s="7" t="s">
        <v>53</v>
      </c>
      <c r="C63" s="7">
        <v>10</v>
      </c>
      <c r="D63" s="7">
        <v>30</v>
      </c>
      <c r="E63" s="7">
        <v>50</v>
      </c>
      <c r="F63" s="7">
        <v>15</v>
      </c>
    </row>
    <row r="64" spans="1:6" ht="15.6" customHeight="1" x14ac:dyDescent="0.3">
      <c r="A64" s="7" t="s">
        <v>54</v>
      </c>
      <c r="B64" s="7" t="s">
        <v>55</v>
      </c>
      <c r="C64" s="7">
        <v>10</v>
      </c>
      <c r="D64" s="7">
        <v>30</v>
      </c>
      <c r="E64" s="7">
        <v>50</v>
      </c>
      <c r="F64" s="7">
        <v>16</v>
      </c>
    </row>
    <row r="65" spans="1:6" ht="15.6" customHeight="1" x14ac:dyDescent="0.3">
      <c r="A65" s="7" t="s">
        <v>56</v>
      </c>
      <c r="B65" s="7" t="s">
        <v>57</v>
      </c>
      <c r="C65" s="7">
        <v>5</v>
      </c>
      <c r="D65" s="7">
        <v>15</v>
      </c>
      <c r="E65" s="7">
        <v>25</v>
      </c>
      <c r="F65" s="7">
        <v>17</v>
      </c>
    </row>
    <row r="66" spans="1:6" ht="15.6" customHeight="1" x14ac:dyDescent="0.3">
      <c r="A66" s="7" t="s">
        <v>58</v>
      </c>
      <c r="B66" s="7" t="s">
        <v>59</v>
      </c>
      <c r="C66" s="7">
        <v>5</v>
      </c>
      <c r="D66" s="7">
        <v>15</v>
      </c>
      <c r="E66" s="7">
        <v>25</v>
      </c>
      <c r="F66" s="7">
        <v>18</v>
      </c>
    </row>
    <row r="68" spans="1:6" ht="15.6" customHeight="1" x14ac:dyDescent="0.3">
      <c r="A68" s="1" t="s">
        <v>60</v>
      </c>
    </row>
    <row r="69" spans="1:6" ht="15.6" customHeight="1" x14ac:dyDescent="0.3">
      <c r="A69" s="1" t="s">
        <v>61</v>
      </c>
    </row>
    <row r="70" spans="1:6" ht="15.6" customHeight="1" x14ac:dyDescent="0.3">
      <c r="A70" s="1" t="s">
        <v>62</v>
      </c>
    </row>
    <row r="72" spans="1:6" ht="15.6" customHeight="1" x14ac:dyDescent="0.3">
      <c r="A72" s="1" t="s">
        <v>63</v>
      </c>
    </row>
    <row r="73" spans="1:6" ht="15.6" customHeight="1" x14ac:dyDescent="0.3">
      <c r="A73" s="7" t="s">
        <v>64</v>
      </c>
    </row>
    <row r="74" spans="1:6" ht="15.6" customHeight="1" x14ac:dyDescent="0.3">
      <c r="A74" s="7" t="s">
        <v>65</v>
      </c>
    </row>
    <row r="75" spans="1:6" ht="15.6" customHeight="1" x14ac:dyDescent="0.3">
      <c r="A75" s="7" t="s">
        <v>66</v>
      </c>
    </row>
    <row r="76" spans="1:6" ht="15.6" customHeight="1" x14ac:dyDescent="0.3">
      <c r="A76" s="7" t="s">
        <v>67</v>
      </c>
    </row>
    <row r="77" spans="1:6" ht="15.6" customHeight="1" x14ac:dyDescent="0.3">
      <c r="A77" s="7" t="s">
        <v>68</v>
      </c>
    </row>
    <row r="78" spans="1:6" ht="15.6" customHeight="1" x14ac:dyDescent="0.3">
      <c r="A78" s="7" t="s">
        <v>69</v>
      </c>
    </row>
  </sheetData>
  <mergeCells count="12">
    <mergeCell ref="C30:C31"/>
    <mergeCell ref="D30:D31"/>
    <mergeCell ref="A22:A23"/>
    <mergeCell ref="D18:D19"/>
    <mergeCell ref="D26:D27"/>
    <mergeCell ref="A26:A27"/>
    <mergeCell ref="D22:D23"/>
    <mergeCell ref="C18:C19"/>
    <mergeCell ref="A18:A19"/>
    <mergeCell ref="C26:C27"/>
    <mergeCell ref="A30:A31"/>
    <mergeCell ref="C22:C23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60"/>
  <sheetViews>
    <sheetView workbookViewId="0"/>
  </sheetViews>
  <sheetFormatPr defaultRowHeight="15" x14ac:dyDescent="0.3"/>
  <cols>
    <col min="1" max="1" width="4" customWidth="1"/>
    <col min="2" max="2" width="118" customWidth="1"/>
    <col min="3" max="9" width="13" customWidth="1"/>
  </cols>
  <sheetData>
    <row r="2" spans="2:6" ht="15.6" customHeight="1" x14ac:dyDescent="0.3">
      <c r="B2" s="1" t="s">
        <v>16</v>
      </c>
    </row>
    <row r="3" spans="2:6" ht="15.6" customHeight="1" x14ac:dyDescent="0.3">
      <c r="B3" s="1" t="s">
        <v>70</v>
      </c>
    </row>
    <row r="4" spans="2:6" ht="15.6" customHeight="1" x14ac:dyDescent="0.3">
      <c r="C4" s="3" t="s">
        <v>71</v>
      </c>
      <c r="D4" s="3"/>
      <c r="E4" s="3"/>
      <c r="F4" s="3" t="s">
        <v>72</v>
      </c>
    </row>
    <row r="5" spans="2:6" ht="15.6" customHeight="1" x14ac:dyDescent="0.3">
      <c r="C5" s="7" t="s">
        <v>73</v>
      </c>
      <c r="F5" s="7" t="s">
        <v>74</v>
      </c>
    </row>
    <row r="6" spans="2:6" ht="15.6" customHeight="1" x14ac:dyDescent="0.3">
      <c r="C6" s="7" t="s">
        <v>75</v>
      </c>
      <c r="F6" s="7" t="s">
        <v>40</v>
      </c>
    </row>
    <row r="7" spans="2:6" ht="15.6" customHeight="1" x14ac:dyDescent="0.3">
      <c r="B7" s="1" t="s">
        <v>76</v>
      </c>
    </row>
    <row r="8" spans="2:6" ht="15.6" customHeight="1" x14ac:dyDescent="0.3">
      <c r="B8" s="1" t="s">
        <v>77</v>
      </c>
    </row>
    <row r="9" spans="2:6" ht="15.6" customHeight="1" x14ac:dyDescent="0.3">
      <c r="B9" s="1" t="s">
        <v>78</v>
      </c>
    </row>
    <row r="10" spans="2:6" ht="15.6" customHeight="1" x14ac:dyDescent="0.3">
      <c r="B10" s="1" t="s">
        <v>79</v>
      </c>
    </row>
    <row r="11" spans="2:6" ht="15.6" customHeight="1" x14ac:dyDescent="0.3">
      <c r="C11" s="1" t="s">
        <v>80</v>
      </c>
    </row>
    <row r="12" spans="2:6" ht="15.6" customHeight="1" x14ac:dyDescent="0.3">
      <c r="C12" s="1" t="s">
        <v>81</v>
      </c>
    </row>
    <row r="13" spans="2:6" ht="15.6" customHeight="1" x14ac:dyDescent="0.3">
      <c r="C13" s="1" t="s">
        <v>82</v>
      </c>
    </row>
    <row r="14" spans="2:6" ht="15.6" customHeight="1" x14ac:dyDescent="0.3">
      <c r="C14" s="1" t="s">
        <v>83</v>
      </c>
    </row>
    <row r="15" spans="2:6" ht="15.6" customHeight="1" x14ac:dyDescent="0.3">
      <c r="C15" s="1" t="s">
        <v>84</v>
      </c>
    </row>
    <row r="16" spans="2:6" ht="15.6" customHeight="1" x14ac:dyDescent="0.3">
      <c r="B16" s="1" t="s">
        <v>85</v>
      </c>
    </row>
    <row r="17" spans="2:6" ht="15.6" customHeight="1" x14ac:dyDescent="0.3">
      <c r="B17" s="1" t="s">
        <v>86</v>
      </c>
    </row>
    <row r="19" spans="2:6" ht="15.6" customHeight="1" x14ac:dyDescent="0.3">
      <c r="B19" s="1" t="s">
        <v>17</v>
      </c>
    </row>
    <row r="20" spans="2:6" ht="15.6" customHeight="1" x14ac:dyDescent="0.3">
      <c r="B20" s="1" t="s">
        <v>87</v>
      </c>
    </row>
    <row r="21" spans="2:6" ht="15.6" customHeight="1" x14ac:dyDescent="0.3">
      <c r="C21" s="3" t="s">
        <v>88</v>
      </c>
      <c r="D21" s="3" t="s">
        <v>89</v>
      </c>
      <c r="E21" s="3" t="s">
        <v>90</v>
      </c>
      <c r="F21" s="3" t="s">
        <v>91</v>
      </c>
    </row>
    <row r="22" spans="2:6" ht="15.6" customHeight="1" x14ac:dyDescent="0.3">
      <c r="C22" s="7" t="s">
        <v>92</v>
      </c>
      <c r="D22" s="7">
        <v>0</v>
      </c>
      <c r="E22" s="7">
        <v>10</v>
      </c>
      <c r="F22" s="7">
        <v>1</v>
      </c>
    </row>
    <row r="23" spans="2:6" ht="15.6" customHeight="1" x14ac:dyDescent="0.3">
      <c r="C23" s="7" t="s">
        <v>92</v>
      </c>
      <c r="D23" s="7">
        <v>3</v>
      </c>
      <c r="E23" s="7">
        <v>7</v>
      </c>
      <c r="F23" s="7">
        <v>0</v>
      </c>
    </row>
    <row r="24" spans="2:6" ht="15.6" customHeight="1" x14ac:dyDescent="0.3">
      <c r="C24" s="7" t="s">
        <v>92</v>
      </c>
      <c r="D24" s="7">
        <v>4</v>
      </c>
      <c r="E24" s="7">
        <v>6</v>
      </c>
      <c r="F24" s="7">
        <v>0</v>
      </c>
    </row>
    <row r="25" spans="2:6" ht="15.6" customHeight="1" x14ac:dyDescent="0.3">
      <c r="C25" s="7" t="s">
        <v>92</v>
      </c>
      <c r="D25" s="7">
        <v>5</v>
      </c>
      <c r="E25" s="7">
        <v>5</v>
      </c>
      <c r="F25" s="7">
        <v>0</v>
      </c>
    </row>
    <row r="26" spans="2:6" ht="15.6" customHeight="1" x14ac:dyDescent="0.3">
      <c r="C26" s="7" t="s">
        <v>92</v>
      </c>
      <c r="D26" s="7">
        <v>6</v>
      </c>
      <c r="E26" s="7">
        <v>4</v>
      </c>
      <c r="F26" s="7">
        <v>0</v>
      </c>
    </row>
    <row r="27" spans="2:6" ht="15.6" customHeight="1" x14ac:dyDescent="0.3">
      <c r="C27" s="7" t="s">
        <v>92</v>
      </c>
      <c r="D27" s="7">
        <v>10</v>
      </c>
      <c r="E27" s="7">
        <v>0</v>
      </c>
      <c r="F27" s="7">
        <v>0</v>
      </c>
    </row>
    <row r="28" spans="2:6" ht="15.6" customHeight="1" x14ac:dyDescent="0.3">
      <c r="C28" s="7" t="s">
        <v>93</v>
      </c>
      <c r="D28" s="7">
        <v>0</v>
      </c>
      <c r="E28" s="7">
        <v>10</v>
      </c>
      <c r="F28" s="7">
        <v>0</v>
      </c>
    </row>
    <row r="29" spans="2:6" ht="15.6" customHeight="1" x14ac:dyDescent="0.3">
      <c r="C29" s="7" t="s">
        <v>93</v>
      </c>
      <c r="D29" s="7">
        <v>3</v>
      </c>
      <c r="E29" s="7">
        <v>7</v>
      </c>
      <c r="F29" s="7">
        <v>0</v>
      </c>
    </row>
    <row r="30" spans="2:6" ht="15.6" customHeight="1" x14ac:dyDescent="0.3">
      <c r="C30" s="7" t="s">
        <v>93</v>
      </c>
      <c r="D30" s="7">
        <v>4</v>
      </c>
      <c r="E30" s="7">
        <v>6</v>
      </c>
      <c r="F30" s="7">
        <v>0</v>
      </c>
    </row>
    <row r="31" spans="2:6" ht="15.6" customHeight="1" x14ac:dyDescent="0.3">
      <c r="C31" s="7" t="s">
        <v>93</v>
      </c>
      <c r="D31" s="7">
        <v>5</v>
      </c>
      <c r="E31" s="7">
        <v>5</v>
      </c>
      <c r="F31" s="7">
        <v>0</v>
      </c>
    </row>
    <row r="32" spans="2:6" ht="15.6" customHeight="1" x14ac:dyDescent="0.3">
      <c r="C32" s="7" t="s">
        <v>93</v>
      </c>
      <c r="D32" s="7">
        <v>6</v>
      </c>
      <c r="E32" s="7">
        <v>4</v>
      </c>
      <c r="F32" s="7">
        <v>0</v>
      </c>
    </row>
    <row r="33" spans="2:6" ht="15.6" customHeight="1" x14ac:dyDescent="0.3">
      <c r="C33" s="7" t="s">
        <v>93</v>
      </c>
      <c r="D33" s="7">
        <v>10</v>
      </c>
      <c r="E33" s="7">
        <v>0</v>
      </c>
      <c r="F33" s="7">
        <v>1</v>
      </c>
    </row>
    <row r="34" spans="2:6" ht="15.6" customHeight="1" x14ac:dyDescent="0.3">
      <c r="B34" s="1" t="s">
        <v>94</v>
      </c>
    </row>
    <row r="35" spans="2:6" ht="15.6" customHeight="1" x14ac:dyDescent="0.3">
      <c r="B35" s="1" t="s">
        <v>95</v>
      </c>
    </row>
    <row r="36" spans="2:6" ht="15.6" customHeight="1" x14ac:dyDescent="0.3">
      <c r="C36" s="3" t="s">
        <v>71</v>
      </c>
      <c r="D36" s="3" t="s">
        <v>96</v>
      </c>
      <c r="E36" s="3" t="s">
        <v>91</v>
      </c>
    </row>
    <row r="37" spans="2:6" ht="15.6" customHeight="1" x14ac:dyDescent="0.3">
      <c r="C37" s="7" t="s">
        <v>97</v>
      </c>
      <c r="D37" s="7" t="s">
        <v>40</v>
      </c>
      <c r="E37" s="7">
        <v>1</v>
      </c>
    </row>
    <row r="38" spans="2:6" ht="15.6" customHeight="1" x14ac:dyDescent="0.3">
      <c r="C38" s="7" t="s">
        <v>98</v>
      </c>
      <c r="D38" s="7" t="s">
        <v>41</v>
      </c>
      <c r="E38" s="7">
        <v>1</v>
      </c>
    </row>
    <row r="39" spans="2:6" ht="15.6" customHeight="1" x14ac:dyDescent="0.3">
      <c r="C39" s="7" t="s">
        <v>99</v>
      </c>
      <c r="D39" s="7" t="s">
        <v>42</v>
      </c>
      <c r="E39" s="7">
        <v>1</v>
      </c>
    </row>
    <row r="40" spans="2:6" ht="15.6" customHeight="1" x14ac:dyDescent="0.3">
      <c r="C40" s="7" t="s">
        <v>100</v>
      </c>
      <c r="D40" s="7" t="s">
        <v>43</v>
      </c>
      <c r="E40" s="7">
        <v>1</v>
      </c>
    </row>
    <row r="41" spans="2:6" ht="15.6" customHeight="1" x14ac:dyDescent="0.3">
      <c r="B41" s="1" t="s">
        <v>101</v>
      </c>
    </row>
    <row r="42" spans="2:6" ht="15.6" customHeight="1" x14ac:dyDescent="0.3">
      <c r="B42" s="1" t="s">
        <v>102</v>
      </c>
    </row>
    <row r="43" spans="2:6" ht="15.6" customHeight="1" x14ac:dyDescent="0.3">
      <c r="B43" s="1" t="s">
        <v>103</v>
      </c>
    </row>
    <row r="44" spans="2:6" ht="15.6" customHeight="1" x14ac:dyDescent="0.3">
      <c r="B44" s="1" t="s">
        <v>104</v>
      </c>
    </row>
    <row r="45" spans="2:6" ht="15.6" customHeight="1" x14ac:dyDescent="0.3">
      <c r="B45" s="1" t="s">
        <v>105</v>
      </c>
    </row>
    <row r="46" spans="2:6" ht="15.6" customHeight="1" x14ac:dyDescent="0.3">
      <c r="B46" s="1" t="s">
        <v>106</v>
      </c>
    </row>
    <row r="47" spans="2:6" ht="15.6" customHeight="1" x14ac:dyDescent="0.3">
      <c r="B47" s="1" t="s">
        <v>107</v>
      </c>
    </row>
    <row r="49" spans="2:2" ht="15.6" customHeight="1" x14ac:dyDescent="0.3">
      <c r="B49" s="1" t="s">
        <v>10</v>
      </c>
    </row>
    <row r="50" spans="2:2" ht="15.6" customHeight="1" x14ac:dyDescent="0.3">
      <c r="B50" s="1" t="s">
        <v>108</v>
      </c>
    </row>
    <row r="51" spans="2:2" ht="15.6" customHeight="1" x14ac:dyDescent="0.3">
      <c r="B51" s="1" t="s">
        <v>109</v>
      </c>
    </row>
    <row r="52" spans="2:2" ht="15.6" customHeight="1" x14ac:dyDescent="0.3">
      <c r="B52" s="1" t="s">
        <v>110</v>
      </c>
    </row>
    <row r="53" spans="2:2" ht="15.6" customHeight="1" x14ac:dyDescent="0.3">
      <c r="B53" s="1" t="s">
        <v>111</v>
      </c>
    </row>
    <row r="55" spans="2:2" ht="15.6" customHeight="1" x14ac:dyDescent="0.3">
      <c r="B55" s="1" t="s">
        <v>112</v>
      </c>
    </row>
    <row r="56" spans="2:2" ht="15.6" customHeight="1" x14ac:dyDescent="0.3">
      <c r="B56" s="1" t="s">
        <v>113</v>
      </c>
    </row>
    <row r="57" spans="2:2" ht="15.6" customHeight="1" x14ac:dyDescent="0.3">
      <c r="B57" s="1" t="s">
        <v>114</v>
      </c>
    </row>
    <row r="58" spans="2:2" ht="15.6" customHeight="1" x14ac:dyDescent="0.3">
      <c r="B58" s="1" t="s">
        <v>115</v>
      </c>
    </row>
    <row r="59" spans="2:2" ht="15.6" customHeight="1" x14ac:dyDescent="0.3">
      <c r="B59" s="1" t="s">
        <v>116</v>
      </c>
    </row>
    <row r="60" spans="2:2" ht="15.6" customHeight="1" x14ac:dyDescent="0.3">
      <c r="B60" s="1" t="s">
        <v>117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5"/>
  <sheetViews>
    <sheetView workbookViewId="0"/>
  </sheetViews>
  <sheetFormatPr defaultRowHeight="15" x14ac:dyDescent="0.3"/>
  <cols>
    <col min="1" max="1" width="4" customWidth="1"/>
    <col min="2" max="2" width="30" customWidth="1"/>
    <col min="3" max="8" width="14" customWidth="1"/>
  </cols>
  <sheetData>
    <row r="2" spans="2:6" ht="15.6" customHeight="1" x14ac:dyDescent="0.3">
      <c r="B2" s="1" t="s">
        <v>118</v>
      </c>
    </row>
    <row r="3" spans="2:6" ht="15.6" customHeight="1" x14ac:dyDescent="0.3">
      <c r="B3" s="3" t="s">
        <v>119</v>
      </c>
      <c r="C3" s="3" t="s">
        <v>72</v>
      </c>
      <c r="D3" s="3" t="s">
        <v>15</v>
      </c>
    </row>
    <row r="4" spans="2:6" ht="15.6" customHeight="1" x14ac:dyDescent="0.3">
      <c r="B4" s="7" t="s">
        <v>73</v>
      </c>
      <c r="C4" s="7" t="s">
        <v>74</v>
      </c>
      <c r="D4" s="7" t="s">
        <v>120</v>
      </c>
    </row>
    <row r="5" spans="2:6" ht="15.6" customHeight="1" x14ac:dyDescent="0.3">
      <c r="B5" s="7" t="s">
        <v>75</v>
      </c>
      <c r="C5" s="7" t="s">
        <v>40</v>
      </c>
      <c r="D5" s="7" t="s">
        <v>121</v>
      </c>
    </row>
    <row r="6" spans="2:6" ht="15.6" customHeight="1" x14ac:dyDescent="0.3">
      <c r="B6" s="1" t="s">
        <v>122</v>
      </c>
    </row>
    <row r="8" spans="2:6" ht="15.6" customHeight="1" x14ac:dyDescent="0.3">
      <c r="B8" s="1" t="s">
        <v>123</v>
      </c>
    </row>
    <row r="9" spans="2:6" ht="15.6" customHeight="1" x14ac:dyDescent="0.3">
      <c r="B9" s="3" t="s">
        <v>124</v>
      </c>
      <c r="C9" s="3" t="s">
        <v>125</v>
      </c>
      <c r="D9" s="3" t="s">
        <v>126</v>
      </c>
      <c r="E9" s="3" t="s">
        <v>26</v>
      </c>
      <c r="F9" s="3" t="s">
        <v>27</v>
      </c>
    </row>
    <row r="10" spans="2:6" ht="15.6" customHeight="1" x14ac:dyDescent="0.3">
      <c r="B10" s="7" t="s">
        <v>73</v>
      </c>
      <c r="C10" s="4">
        <v>26128</v>
      </c>
      <c r="D10" s="4">
        <v>4404</v>
      </c>
      <c r="E10" s="4">
        <v>1101</v>
      </c>
      <c r="F10" s="4">
        <v>367</v>
      </c>
    </row>
    <row r="11" spans="2:6" ht="15.6" customHeight="1" x14ac:dyDescent="0.3">
      <c r="B11" s="7" t="s">
        <v>75</v>
      </c>
      <c r="C11" s="4">
        <v>1</v>
      </c>
      <c r="D11" s="4">
        <v>0</v>
      </c>
      <c r="E11" s="4">
        <v>0</v>
      </c>
      <c r="F11" s="4">
        <v>0</v>
      </c>
    </row>
    <row r="12" spans="2:6" ht="15.6" customHeight="1" x14ac:dyDescent="0.3">
      <c r="B12" s="7" t="s">
        <v>97</v>
      </c>
      <c r="C12" s="4">
        <v>13128</v>
      </c>
      <c r="D12" s="4">
        <v>2000</v>
      </c>
      <c r="E12" s="4">
        <v>500</v>
      </c>
      <c r="F12" s="4">
        <v>200</v>
      </c>
    </row>
    <row r="13" spans="2:6" ht="15.6" customHeight="1" x14ac:dyDescent="0.3">
      <c r="B13" s="7" t="s">
        <v>98</v>
      </c>
      <c r="C13" s="4">
        <v>13128</v>
      </c>
      <c r="D13" s="4">
        <v>2000</v>
      </c>
      <c r="E13" s="4">
        <v>500</v>
      </c>
      <c r="F13" s="4">
        <v>200</v>
      </c>
    </row>
    <row r="14" spans="2:6" ht="15.6" customHeight="1" x14ac:dyDescent="0.3">
      <c r="B14" s="7" t="s">
        <v>99</v>
      </c>
      <c r="C14" s="4">
        <v>13128</v>
      </c>
      <c r="D14" s="4">
        <v>2000</v>
      </c>
      <c r="E14" s="4">
        <v>500</v>
      </c>
      <c r="F14" s="4">
        <v>200</v>
      </c>
    </row>
    <row r="15" spans="2:6" ht="15.6" customHeight="1" x14ac:dyDescent="0.3">
      <c r="B15" s="7" t="s">
        <v>100</v>
      </c>
      <c r="C15" s="4">
        <v>13128</v>
      </c>
      <c r="D15" s="4">
        <v>2000</v>
      </c>
      <c r="E15" s="4">
        <v>500</v>
      </c>
      <c r="F15" s="4">
        <v>200</v>
      </c>
    </row>
    <row r="16" spans="2:6" ht="15.6" customHeight="1" x14ac:dyDescent="0.3">
      <c r="B16" s="7" t="s">
        <v>127</v>
      </c>
      <c r="C16" s="4">
        <v>13128</v>
      </c>
      <c r="D16" s="4">
        <v>2000</v>
      </c>
      <c r="E16" s="4">
        <v>500</v>
      </c>
      <c r="F16" s="4">
        <v>200</v>
      </c>
    </row>
    <row r="17" spans="2:7" ht="15.6" customHeight="1" x14ac:dyDescent="0.3">
      <c r="B17" s="7" t="s">
        <v>128</v>
      </c>
      <c r="C17" s="4">
        <v>1</v>
      </c>
      <c r="D17" s="4">
        <v>0</v>
      </c>
      <c r="E17" s="4">
        <v>0</v>
      </c>
      <c r="F17" s="4">
        <v>0</v>
      </c>
    </row>
    <row r="18" spans="2:7" ht="15.6" customHeight="1" x14ac:dyDescent="0.3">
      <c r="B18" s="1" t="s">
        <v>129</v>
      </c>
    </row>
    <row r="20" spans="2:7" ht="15.6" customHeight="1" x14ac:dyDescent="0.3">
      <c r="B20" s="1" t="s">
        <v>130</v>
      </c>
    </row>
    <row r="21" spans="2:7" ht="15.6" customHeight="1" x14ac:dyDescent="0.3">
      <c r="B21" s="3" t="s">
        <v>131</v>
      </c>
      <c r="C21" s="3" t="s">
        <v>132</v>
      </c>
      <c r="D21" s="3" t="s">
        <v>126</v>
      </c>
      <c r="E21" s="3" t="s">
        <v>26</v>
      </c>
      <c r="F21" s="3" t="s">
        <v>27</v>
      </c>
      <c r="G21" s="3" t="s">
        <v>133</v>
      </c>
    </row>
    <row r="22" spans="2:7" ht="15.6" customHeight="1" x14ac:dyDescent="0.3">
      <c r="B22" s="7" t="s">
        <v>73</v>
      </c>
      <c r="C22" s="4" t="s">
        <v>134</v>
      </c>
      <c r="D22" s="4" t="s">
        <v>135</v>
      </c>
      <c r="E22" s="4" t="s">
        <v>136</v>
      </c>
      <c r="F22" s="4" t="s">
        <v>137</v>
      </c>
      <c r="G22" s="4" t="s">
        <v>138</v>
      </c>
    </row>
    <row r="23" spans="2:7" ht="15.6" customHeight="1" x14ac:dyDescent="0.3">
      <c r="B23" s="7" t="s">
        <v>75</v>
      </c>
      <c r="C23" s="4" t="s">
        <v>134</v>
      </c>
      <c r="D23" s="4" t="s">
        <v>135</v>
      </c>
      <c r="E23" s="4" t="s">
        <v>136</v>
      </c>
      <c r="F23" s="4" t="s">
        <v>137</v>
      </c>
      <c r="G23" s="4" t="s">
        <v>138</v>
      </c>
    </row>
    <row r="24" spans="2:7" ht="15.6" customHeight="1" x14ac:dyDescent="0.3">
      <c r="B24" s="7" t="s">
        <v>97</v>
      </c>
      <c r="C24" s="4" t="s">
        <v>135</v>
      </c>
      <c r="D24" s="4" t="s">
        <v>139</v>
      </c>
      <c r="E24" s="4" t="s">
        <v>140</v>
      </c>
      <c r="F24" s="4" t="s">
        <v>138</v>
      </c>
      <c r="G24" s="4" t="s">
        <v>141</v>
      </c>
    </row>
    <row r="25" spans="2:7" ht="15.6" customHeight="1" x14ac:dyDescent="0.3">
      <c r="B25" s="7" t="s">
        <v>98</v>
      </c>
      <c r="C25" s="4" t="s">
        <v>135</v>
      </c>
      <c r="D25" s="4" t="s">
        <v>139</v>
      </c>
      <c r="E25" s="4" t="s">
        <v>140</v>
      </c>
      <c r="F25" s="4" t="s">
        <v>138</v>
      </c>
      <c r="G25" s="4" t="s">
        <v>141</v>
      </c>
    </row>
    <row r="26" spans="2:7" ht="15.6" customHeight="1" x14ac:dyDescent="0.3">
      <c r="B26" s="7" t="s">
        <v>99</v>
      </c>
      <c r="C26" s="4" t="s">
        <v>135</v>
      </c>
      <c r="D26" s="4" t="s">
        <v>139</v>
      </c>
      <c r="E26" s="4" t="s">
        <v>140</v>
      </c>
      <c r="F26" s="4" t="s">
        <v>138</v>
      </c>
      <c r="G26" s="4" t="s">
        <v>141</v>
      </c>
    </row>
    <row r="27" spans="2:7" ht="15.6" customHeight="1" x14ac:dyDescent="0.3">
      <c r="B27" s="7" t="s">
        <v>100</v>
      </c>
      <c r="C27" s="4" t="s">
        <v>135</v>
      </c>
      <c r="D27" s="4" t="s">
        <v>139</v>
      </c>
      <c r="E27" s="4" t="s">
        <v>140</v>
      </c>
      <c r="F27" s="4" t="s">
        <v>138</v>
      </c>
      <c r="G27" s="4" t="s">
        <v>141</v>
      </c>
    </row>
    <row r="28" spans="2:7" ht="15.6" customHeight="1" x14ac:dyDescent="0.3">
      <c r="B28" s="7" t="s">
        <v>127</v>
      </c>
      <c r="C28" s="4" t="s">
        <v>135</v>
      </c>
      <c r="D28" s="4" t="s">
        <v>139</v>
      </c>
      <c r="E28" s="4" t="s">
        <v>140</v>
      </c>
      <c r="F28" s="4" t="s">
        <v>138</v>
      </c>
      <c r="G28" s="4" t="s">
        <v>141</v>
      </c>
    </row>
    <row r="29" spans="2:7" ht="15.6" customHeight="1" x14ac:dyDescent="0.3">
      <c r="B29" s="7" t="s">
        <v>128</v>
      </c>
      <c r="C29" s="4" t="s">
        <v>134</v>
      </c>
      <c r="D29" s="4" t="s">
        <v>135</v>
      </c>
      <c r="E29" s="4" t="s">
        <v>136</v>
      </c>
      <c r="F29" s="4" t="s">
        <v>137</v>
      </c>
      <c r="G29" s="4" t="s">
        <v>138</v>
      </c>
    </row>
    <row r="30" spans="2:7" ht="15.6" customHeight="1" x14ac:dyDescent="0.3">
      <c r="B30" s="1" t="s">
        <v>142</v>
      </c>
    </row>
    <row r="32" spans="2:7" ht="15.6" customHeight="1" x14ac:dyDescent="0.3">
      <c r="B32" s="1" t="s">
        <v>143</v>
      </c>
    </row>
    <row r="33" spans="2:5" ht="15.6" customHeight="1" x14ac:dyDescent="0.3">
      <c r="B33" s="3" t="s">
        <v>88</v>
      </c>
      <c r="C33" s="3" t="s">
        <v>89</v>
      </c>
      <c r="D33" s="3" t="s">
        <v>90</v>
      </c>
      <c r="E33" s="3" t="s">
        <v>91</v>
      </c>
    </row>
    <row r="34" spans="2:5" ht="15.6" customHeight="1" x14ac:dyDescent="0.3">
      <c r="B34" s="7" t="s">
        <v>92</v>
      </c>
      <c r="C34" s="7">
        <v>0</v>
      </c>
      <c r="D34" s="7">
        <v>10</v>
      </c>
      <c r="E34" s="4">
        <v>1</v>
      </c>
    </row>
    <row r="35" spans="2:5" ht="15.6" customHeight="1" x14ac:dyDescent="0.3">
      <c r="B35" s="7" t="s">
        <v>92</v>
      </c>
      <c r="C35" s="7">
        <v>3</v>
      </c>
      <c r="D35" s="7">
        <v>7</v>
      </c>
      <c r="E35" s="4">
        <v>0</v>
      </c>
    </row>
    <row r="36" spans="2:5" ht="15.6" customHeight="1" x14ac:dyDescent="0.3">
      <c r="B36" s="7" t="s">
        <v>92</v>
      </c>
      <c r="C36" s="7">
        <v>4</v>
      </c>
      <c r="D36" s="7">
        <v>6</v>
      </c>
      <c r="E36" s="4">
        <v>0</v>
      </c>
    </row>
    <row r="37" spans="2:5" ht="15.6" customHeight="1" x14ac:dyDescent="0.3">
      <c r="B37" s="7" t="s">
        <v>92</v>
      </c>
      <c r="C37" s="7">
        <v>5</v>
      </c>
      <c r="D37" s="7">
        <v>5</v>
      </c>
      <c r="E37" s="4">
        <v>0</v>
      </c>
    </row>
    <row r="38" spans="2:5" ht="15.6" customHeight="1" x14ac:dyDescent="0.3">
      <c r="B38" s="7" t="s">
        <v>92</v>
      </c>
      <c r="C38" s="7">
        <v>6</v>
      </c>
      <c r="D38" s="7">
        <v>4</v>
      </c>
      <c r="E38" s="4">
        <v>0</v>
      </c>
    </row>
    <row r="39" spans="2:5" ht="15.6" customHeight="1" x14ac:dyDescent="0.3">
      <c r="B39" s="7" t="s">
        <v>92</v>
      </c>
      <c r="C39" s="7">
        <v>10</v>
      </c>
      <c r="D39" s="7">
        <v>0</v>
      </c>
      <c r="E39" s="4">
        <v>0</v>
      </c>
    </row>
    <row r="40" spans="2:5" ht="15.6" customHeight="1" x14ac:dyDescent="0.3">
      <c r="B40" s="7" t="s">
        <v>93</v>
      </c>
      <c r="C40" s="7">
        <v>0</v>
      </c>
      <c r="D40" s="7">
        <v>10</v>
      </c>
      <c r="E40" s="4">
        <v>0</v>
      </c>
    </row>
    <row r="41" spans="2:5" ht="15.6" customHeight="1" x14ac:dyDescent="0.3">
      <c r="B41" s="7" t="s">
        <v>93</v>
      </c>
      <c r="C41" s="7">
        <v>3</v>
      </c>
      <c r="D41" s="7">
        <v>7</v>
      </c>
      <c r="E41" s="4">
        <v>0</v>
      </c>
    </row>
    <row r="42" spans="2:5" ht="15.6" customHeight="1" x14ac:dyDescent="0.3">
      <c r="B42" s="7" t="s">
        <v>93</v>
      </c>
      <c r="C42" s="7">
        <v>4</v>
      </c>
      <c r="D42" s="7">
        <v>6</v>
      </c>
      <c r="E42" s="4">
        <v>0</v>
      </c>
    </row>
    <row r="43" spans="2:5" ht="15.6" customHeight="1" x14ac:dyDescent="0.3">
      <c r="B43" s="7" t="s">
        <v>93</v>
      </c>
      <c r="C43" s="7">
        <v>5</v>
      </c>
      <c r="D43" s="7">
        <v>5</v>
      </c>
      <c r="E43" s="4">
        <v>0</v>
      </c>
    </row>
    <row r="44" spans="2:5" ht="15.6" customHeight="1" x14ac:dyDescent="0.3">
      <c r="B44" s="7" t="s">
        <v>93</v>
      </c>
      <c r="C44" s="7">
        <v>6</v>
      </c>
      <c r="D44" s="7">
        <v>4</v>
      </c>
      <c r="E44" s="4">
        <v>0</v>
      </c>
    </row>
    <row r="45" spans="2:5" ht="15.6" customHeight="1" x14ac:dyDescent="0.3">
      <c r="B45" s="7" t="s">
        <v>93</v>
      </c>
      <c r="C45" s="7">
        <v>10</v>
      </c>
      <c r="D45" s="7">
        <v>0</v>
      </c>
      <c r="E45" s="4">
        <v>1</v>
      </c>
    </row>
    <row r="47" spans="2:5" ht="15.6" customHeight="1" x14ac:dyDescent="0.3">
      <c r="B47" s="1" t="s">
        <v>144</v>
      </c>
    </row>
    <row r="48" spans="2:5" ht="15.6" customHeight="1" x14ac:dyDescent="0.3">
      <c r="B48" s="3" t="s">
        <v>119</v>
      </c>
      <c r="C48" s="3" t="s">
        <v>96</v>
      </c>
      <c r="D48" s="3" t="s">
        <v>91</v>
      </c>
    </row>
    <row r="49" spans="2:4" ht="15.6" customHeight="1" x14ac:dyDescent="0.3">
      <c r="B49" s="7" t="s">
        <v>97</v>
      </c>
      <c r="C49" s="7" t="s">
        <v>40</v>
      </c>
      <c r="D49" s="4">
        <v>1</v>
      </c>
    </row>
    <row r="50" spans="2:4" ht="15.6" customHeight="1" x14ac:dyDescent="0.3">
      <c r="B50" s="7" t="s">
        <v>98</v>
      </c>
      <c r="C50" s="7" t="s">
        <v>41</v>
      </c>
      <c r="D50" s="4">
        <v>1</v>
      </c>
    </row>
    <row r="51" spans="2:4" ht="15.6" customHeight="1" x14ac:dyDescent="0.3">
      <c r="B51" s="7" t="s">
        <v>99</v>
      </c>
      <c r="C51" s="7" t="s">
        <v>42</v>
      </c>
      <c r="D51" s="4">
        <v>1</v>
      </c>
    </row>
    <row r="52" spans="2:4" ht="15.6" customHeight="1" x14ac:dyDescent="0.3">
      <c r="B52" s="7" t="s">
        <v>100</v>
      </c>
      <c r="C52" s="7" t="s">
        <v>43</v>
      </c>
      <c r="D52" s="4">
        <v>1</v>
      </c>
    </row>
    <row r="54" spans="2:4" ht="15.6" customHeight="1" x14ac:dyDescent="0.3">
      <c r="B54" s="1" t="s">
        <v>145</v>
      </c>
    </row>
    <row r="55" spans="2:4" ht="15.6" customHeight="1" x14ac:dyDescent="0.3">
      <c r="B55" s="3" t="s">
        <v>146</v>
      </c>
      <c r="C55" s="3" t="s">
        <v>147</v>
      </c>
    </row>
    <row r="56" spans="2:4" ht="15.6" customHeight="1" x14ac:dyDescent="0.3">
      <c r="B56" s="7" t="s">
        <v>148</v>
      </c>
      <c r="C56" s="4">
        <v>10</v>
      </c>
    </row>
    <row r="57" spans="2:4" ht="15.6" customHeight="1" x14ac:dyDescent="0.3">
      <c r="B57" s="7" t="s">
        <v>149</v>
      </c>
      <c r="C57" s="4">
        <v>5</v>
      </c>
    </row>
    <row r="58" spans="2:4" ht="15.6" customHeight="1" x14ac:dyDescent="0.3">
      <c r="B58" s="7" t="s">
        <v>150</v>
      </c>
      <c r="C58" s="4">
        <v>50</v>
      </c>
    </row>
    <row r="59" spans="2:4" ht="15.6" customHeight="1" x14ac:dyDescent="0.3">
      <c r="B59" s="7" t="s">
        <v>151</v>
      </c>
      <c r="C59" s="4">
        <v>1</v>
      </c>
    </row>
    <row r="60" spans="2:4" ht="15.6" customHeight="1" x14ac:dyDescent="0.3">
      <c r="B60" s="7" t="s">
        <v>152</v>
      </c>
      <c r="C60" s="4">
        <v>4</v>
      </c>
    </row>
    <row r="61" spans="2:4" ht="15.6" customHeight="1" x14ac:dyDescent="0.3">
      <c r="B61" s="7" t="s">
        <v>153</v>
      </c>
      <c r="C61" s="4">
        <v>40.5</v>
      </c>
    </row>
    <row r="62" spans="2:4" ht="15.6" customHeight="1" x14ac:dyDescent="0.3">
      <c r="B62" s="7" t="s">
        <v>154</v>
      </c>
      <c r="C62" s="4">
        <v>3</v>
      </c>
    </row>
    <row r="63" spans="2:4" ht="15.6" customHeight="1" x14ac:dyDescent="0.3">
      <c r="B63" s="7" t="s">
        <v>155</v>
      </c>
      <c r="C63" s="4">
        <v>5</v>
      </c>
    </row>
    <row r="64" spans="2:4" ht="15.6" customHeight="1" x14ac:dyDescent="0.3">
      <c r="B64" s="7" t="s">
        <v>19</v>
      </c>
      <c r="C64" s="4">
        <v>4</v>
      </c>
    </row>
    <row r="65" spans="2:3" ht="15.6" customHeight="1" x14ac:dyDescent="0.3">
      <c r="B65" s="7" t="s">
        <v>156</v>
      </c>
      <c r="C65" s="4">
        <v>1024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88"/>
  <sheetViews>
    <sheetView workbookViewId="0"/>
  </sheetViews>
  <sheetFormatPr defaultRowHeight="15" x14ac:dyDescent="0.3"/>
  <cols>
    <col min="1" max="1" width="4" customWidth="1"/>
    <col min="2" max="9" width="18" customWidth="1"/>
  </cols>
  <sheetData>
    <row r="2" spans="2:8" ht="15.6" customHeight="1" x14ac:dyDescent="0.3">
      <c r="B2" s="3" t="s">
        <v>157</v>
      </c>
      <c r="C2" s="4">
        <f>Multiplier_Weight_Newbie!$C$2</f>
        <v>1000000000</v>
      </c>
    </row>
    <row r="3" spans="2:8" ht="15.6" customHeight="1" x14ac:dyDescent="0.3">
      <c r="B3" s="3" t="s">
        <v>5</v>
      </c>
      <c r="C3" s="4">
        <f>Multiplier_Weight_Newbie!$C$3</f>
        <v>100</v>
      </c>
    </row>
    <row r="5" spans="2:8" ht="15.6" customHeight="1" x14ac:dyDescent="0.3">
      <c r="B5" s="1" t="s">
        <v>158</v>
      </c>
    </row>
    <row r="6" spans="2:8" ht="15.6" customHeight="1" x14ac:dyDescent="0.3">
      <c r="B6" s="3" t="s">
        <v>159</v>
      </c>
      <c r="C6" s="3" t="s">
        <v>160</v>
      </c>
      <c r="D6" s="3" t="s">
        <v>161</v>
      </c>
      <c r="E6" s="3" t="s">
        <v>162</v>
      </c>
      <c r="F6" s="3" t="s">
        <v>163</v>
      </c>
      <c r="G6" s="3" t="s">
        <v>164</v>
      </c>
      <c r="H6" s="3" t="s">
        <v>165</v>
      </c>
    </row>
    <row r="7" spans="2:8" ht="15.6" customHeight="1" x14ac:dyDescent="0.3">
      <c r="B7" s="7">
        <f>Multiplier_Weight_Newbie!B12</f>
        <v>-1</v>
      </c>
      <c r="C7" s="7">
        <f>Multiplier_Weight_Newbie!C12</f>
        <v>0</v>
      </c>
      <c r="D7" s="7" t="str">
        <f>Multiplier_Weight_Newbie!P12</f>
        <v>(-1, 0]</v>
      </c>
      <c r="E7" s="7" t="str">
        <f>Multiplier_Weight_Newbie!Q12</f>
        <v>B</v>
      </c>
      <c r="F7" s="7">
        <f>Multiplier_Weight_Newbie!R12</f>
        <v>0.44990450644964947</v>
      </c>
      <c r="G7" s="4">
        <f>Multiplier_Weight_Newbie!V12</f>
        <v>708422750</v>
      </c>
      <c r="H7" s="4">
        <f>Multiplier_Weight_Oldhand!V12</f>
        <v>745922560</v>
      </c>
    </row>
    <row r="8" spans="2:8" ht="15.6" customHeight="1" x14ac:dyDescent="0.3">
      <c r="B8" s="7">
        <f>Multiplier_Weight_Newbie!B13</f>
        <v>0</v>
      </c>
      <c r="C8" s="7">
        <f>Multiplier_Weight_Newbie!C13</f>
        <v>1</v>
      </c>
      <c r="D8" s="7" t="str">
        <f>Multiplier_Weight_Newbie!P13</f>
        <v>(0, 1]</v>
      </c>
      <c r="E8" s="7" t="str">
        <f>Multiplier_Weight_Newbie!Q13</f>
        <v>B</v>
      </c>
      <c r="F8" s="7">
        <f>Multiplier_Weight_Newbie!R13</f>
        <v>0.18569299692382266</v>
      </c>
      <c r="G8" s="4">
        <f>Multiplier_Weight_Newbie!V13</f>
        <v>147589383</v>
      </c>
      <c r="H8" s="4">
        <f>Multiplier_Weight_Oldhand!V13</f>
        <v>155717266</v>
      </c>
    </row>
    <row r="9" spans="2:8" ht="15.6" customHeight="1" x14ac:dyDescent="0.3">
      <c r="B9" s="7">
        <f>Multiplier_Weight_Newbie!B14</f>
        <v>1</v>
      </c>
      <c r="C9" s="7">
        <f>Multiplier_Weight_Newbie!C14</f>
        <v>2</v>
      </c>
      <c r="D9" s="7" t="str">
        <f>Multiplier_Weight_Newbie!P14</f>
        <v>(1, 2]</v>
      </c>
      <c r="E9" s="7" t="str">
        <f>Multiplier_Weight_Newbie!Q14</f>
        <v>B</v>
      </c>
      <c r="F9" s="7">
        <f>Multiplier_Weight_Newbie!R14</f>
        <v>4.619262114784238E-2</v>
      </c>
      <c r="G9" s="4">
        <f>Multiplier_Weight_Newbie!V14</f>
        <v>36714042</v>
      </c>
      <c r="H9" s="4">
        <f>Multiplier_Weight_Oldhand!V14</f>
        <v>25973216</v>
      </c>
    </row>
    <row r="10" spans="2:8" ht="15.6" customHeight="1" x14ac:dyDescent="0.3">
      <c r="B10" s="7">
        <f>Multiplier_Weight_Newbie!B15</f>
        <v>2</v>
      </c>
      <c r="C10" s="7">
        <f>Multiplier_Weight_Newbie!C15</f>
        <v>3</v>
      </c>
      <c r="D10" s="7" t="str">
        <f>Multiplier_Weight_Newbie!P15</f>
        <v>(2, 3]</v>
      </c>
      <c r="E10" s="7" t="str">
        <f>Multiplier_Weight_Newbie!Q15</f>
        <v>B</v>
      </c>
      <c r="F10" s="7">
        <f>Multiplier_Weight_Newbie!R15</f>
        <v>2.937164136539893E-2</v>
      </c>
      <c r="G10" s="4">
        <f>Multiplier_Weight_Newbie!V15</f>
        <v>23344673</v>
      </c>
      <c r="H10" s="4">
        <f>Multiplier_Weight_Oldhand!V15</f>
        <v>14806646</v>
      </c>
    </row>
    <row r="11" spans="2:8" ht="15.6" customHeight="1" x14ac:dyDescent="0.3">
      <c r="B11" s="7">
        <f>Multiplier_Weight_Newbie!B16</f>
        <v>3</v>
      </c>
      <c r="C11" s="7">
        <f>Multiplier_Weight_Newbie!C16</f>
        <v>4</v>
      </c>
      <c r="D11" s="7" t="str">
        <f>Multiplier_Weight_Newbie!P16</f>
        <v>(3, 4]</v>
      </c>
      <c r="E11" s="7" t="str">
        <f>Multiplier_Weight_Newbie!Q16</f>
        <v>B</v>
      </c>
      <c r="F11" s="7">
        <f>Multiplier_Weight_Newbie!R16</f>
        <v>2.0127638981393255E-2</v>
      </c>
      <c r="G11" s="4">
        <f>Multiplier_Weight_Newbie!V16</f>
        <v>16669406</v>
      </c>
      <c r="H11" s="4">
        <f>Multiplier_Weight_Oldhand!V16</f>
        <v>10341745</v>
      </c>
    </row>
    <row r="12" spans="2:8" ht="15.6" customHeight="1" x14ac:dyDescent="0.3">
      <c r="B12" s="7">
        <f>Multiplier_Weight_Newbie!B17</f>
        <v>4</v>
      </c>
      <c r="C12" s="7">
        <f>Multiplier_Weight_Newbie!C17</f>
        <v>5</v>
      </c>
      <c r="D12" s="7" t="str">
        <f>Multiplier_Weight_Newbie!P17</f>
        <v>(4, 5]</v>
      </c>
      <c r="E12" s="7" t="str">
        <f>Multiplier_Weight_Newbie!Q17</f>
        <v>B</v>
      </c>
      <c r="F12" s="7">
        <f>Multiplier_Weight_Newbie!R17</f>
        <v>1.8416169543312929E-2</v>
      </c>
      <c r="G12" s="4">
        <f>Multiplier_Weight_Newbie!V17</f>
        <v>11709784</v>
      </c>
      <c r="H12" s="4">
        <f>Multiplier_Weight_Oldhand!V17</f>
        <v>8926772</v>
      </c>
    </row>
    <row r="13" spans="2:8" ht="15.6" customHeight="1" x14ac:dyDescent="0.3">
      <c r="B13" s="7">
        <f>Multiplier_Weight_Newbie!B18</f>
        <v>5</v>
      </c>
      <c r="C13" s="7">
        <f>Multiplier_Weight_Newbie!C18</f>
        <v>6</v>
      </c>
      <c r="D13" s="7" t="str">
        <f>Multiplier_Weight_Newbie!P18</f>
        <v>(5, 6]</v>
      </c>
      <c r="E13" s="7" t="str">
        <f>Multiplier_Weight_Newbie!Q18</f>
        <v>B</v>
      </c>
      <c r="F13" s="7">
        <f>Multiplier_Weight_Newbie!R18</f>
        <v>1.4739623985207692E-2</v>
      </c>
      <c r="G13" s="4">
        <f>Multiplier_Weight_Newbie!V18</f>
        <v>11715099</v>
      </c>
      <c r="H13" s="4">
        <f>Multiplier_Weight_Oldhand!V18</f>
        <v>4286795</v>
      </c>
    </row>
    <row r="14" spans="2:8" ht="15.6" customHeight="1" x14ac:dyDescent="0.3">
      <c r="B14" s="7">
        <f>Multiplier_Weight_Newbie!B19</f>
        <v>6</v>
      </c>
      <c r="C14" s="7">
        <f>Multiplier_Weight_Newbie!C19</f>
        <v>7</v>
      </c>
      <c r="D14" s="7" t="str">
        <f>Multiplier_Weight_Newbie!P19</f>
        <v>(6, 7]</v>
      </c>
      <c r="E14" s="7" t="str">
        <f>Multiplier_Weight_Newbie!Q19</f>
        <v>B</v>
      </c>
      <c r="F14" s="7">
        <f>Multiplier_Weight_Newbie!R19</f>
        <v>1.3343814035132517E-2</v>
      </c>
      <c r="G14" s="4">
        <f>Multiplier_Weight_Newbie!V19</f>
        <v>8484564</v>
      </c>
      <c r="H14" s="4">
        <f>Multiplier_Weight_Oldhand!V19</f>
        <v>3880845</v>
      </c>
    </row>
    <row r="15" spans="2:8" ht="15.6" customHeight="1" x14ac:dyDescent="0.3">
      <c r="B15" s="7">
        <f>Multiplier_Weight_Newbie!B20</f>
        <v>7</v>
      </c>
      <c r="C15" s="7">
        <f>Multiplier_Weight_Newbie!C20</f>
        <v>8</v>
      </c>
      <c r="D15" s="7" t="str">
        <f>Multiplier_Weight_Newbie!P20</f>
        <v>(7, 8]</v>
      </c>
      <c r="E15" s="7" t="str">
        <f>Multiplier_Weight_Newbie!Q20</f>
        <v>B</v>
      </c>
      <c r="F15" s="7">
        <f>Multiplier_Weight_Newbie!R20</f>
        <v>1.1312156958564155E-2</v>
      </c>
      <c r="G15" s="4">
        <f>Multiplier_Weight_Newbie!V20</f>
        <v>8091844</v>
      </c>
      <c r="H15" s="4">
        <f>Multiplier_Weight_Oldhand!V20</f>
        <v>3289969</v>
      </c>
    </row>
    <row r="16" spans="2:8" ht="15.6" customHeight="1" x14ac:dyDescent="0.3">
      <c r="B16" s="7">
        <f>Multiplier_Weight_Newbie!B21</f>
        <v>8</v>
      </c>
      <c r="C16" s="7">
        <f>Multiplier_Weight_Newbie!C21</f>
        <v>9</v>
      </c>
      <c r="D16" s="7" t="str">
        <f>Multiplier_Weight_Newbie!P21</f>
        <v>(8, 9]</v>
      </c>
      <c r="E16" s="7" t="str">
        <f>Multiplier_Weight_Newbie!Q21</f>
        <v>B</v>
      </c>
      <c r="F16" s="7">
        <f>Multiplier_Weight_Newbie!R21</f>
        <v>1.0990033006283883E-2</v>
      </c>
      <c r="G16" s="4">
        <f>Multiplier_Weight_Newbie!V21</f>
        <v>6114439</v>
      </c>
      <c r="H16" s="4">
        <f>Multiplier_Weight_Oldhand!V21</f>
        <v>2983198</v>
      </c>
    </row>
    <row r="17" spans="2:8" ht="15.6" customHeight="1" x14ac:dyDescent="0.3">
      <c r="B17" s="7">
        <f>Multiplier_Weight_Newbie!B22</f>
        <v>9</v>
      </c>
      <c r="C17" s="7">
        <f>Multiplier_Weight_Newbie!C22</f>
        <v>10</v>
      </c>
      <c r="D17" s="7" t="str">
        <f>Multiplier_Weight_Newbie!P22</f>
        <v>(9, 10]</v>
      </c>
      <c r="E17" s="7" t="str">
        <f>Multiplier_Weight_Newbie!Q22</f>
        <v>B</v>
      </c>
      <c r="F17" s="7">
        <f>Multiplier_Weight_Newbie!R22</f>
        <v>9.5209456811337738E-3</v>
      </c>
      <c r="G17" s="4">
        <f>Multiplier_Weight_Newbie!V22</f>
        <v>3329602</v>
      </c>
      <c r="H17" s="4">
        <f>Multiplier_Weight_Oldhand!V22</f>
        <v>2953623</v>
      </c>
    </row>
    <row r="18" spans="2:8" ht="15.6" customHeight="1" x14ac:dyDescent="0.3">
      <c r="B18" s="7">
        <f>Multiplier_Weight_Newbie!B23</f>
        <v>10</v>
      </c>
      <c r="C18" s="7">
        <f>Multiplier_Weight_Newbie!C23</f>
        <v>15</v>
      </c>
      <c r="D18" s="7" t="str">
        <f>Multiplier_Weight_Newbie!P23</f>
        <v>(10, 15]</v>
      </c>
      <c r="E18" s="7" t="str">
        <f>Multiplier_Weight_Newbie!Q23</f>
        <v>B</v>
      </c>
      <c r="F18" s="7">
        <f>Multiplier_Weight_Newbie!R23</f>
        <v>3.7302792743365551E-2</v>
      </c>
      <c r="G18" s="4">
        <f>Multiplier_Weight_Newbie!V23</f>
        <v>9324414</v>
      </c>
      <c r="H18" s="4">
        <f>Multiplier_Weight_Oldhand!V23</f>
        <v>5001366</v>
      </c>
    </row>
    <row r="19" spans="2:8" ht="15.6" customHeight="1" x14ac:dyDescent="0.3">
      <c r="B19" s="7">
        <f>Multiplier_Weight_Newbie!B24</f>
        <v>15</v>
      </c>
      <c r="C19" s="7">
        <f>Multiplier_Weight_Newbie!C24</f>
        <v>20</v>
      </c>
      <c r="D19" s="7" t="str">
        <f>Multiplier_Weight_Newbie!P24</f>
        <v>(15, 20]</v>
      </c>
      <c r="E19" s="7" t="str">
        <f>Multiplier_Weight_Newbie!Q24</f>
        <v>B</v>
      </c>
      <c r="F19" s="7">
        <f>Multiplier_Weight_Newbie!R24</f>
        <v>2.644844289208554E-2</v>
      </c>
      <c r="G19" s="4">
        <f>Multiplier_Weight_Newbie!V24</f>
        <v>0</v>
      </c>
      <c r="H19" s="4">
        <f>Multiplier_Weight_Oldhand!V24</f>
        <v>2564042</v>
      </c>
    </row>
    <row r="20" spans="2:8" ht="15.6" customHeight="1" x14ac:dyDescent="0.3">
      <c r="B20" s="7">
        <f>Multiplier_Weight_Newbie!B25</f>
        <v>20</v>
      </c>
      <c r="C20" s="7">
        <f>Multiplier_Weight_Newbie!C25</f>
        <v>25</v>
      </c>
      <c r="D20" s="7" t="str">
        <f>Multiplier_Weight_Newbie!P25</f>
        <v>(20, 25]</v>
      </c>
      <c r="E20" s="7" t="str">
        <f>Multiplier_Weight_Newbie!Q25</f>
        <v>B</v>
      </c>
      <c r="F20" s="7">
        <f>Multiplier_Weight_Newbie!R25</f>
        <v>1.9924910961333205E-2</v>
      </c>
      <c r="G20" s="4">
        <f>Multiplier_Weight_Newbie!V25</f>
        <v>0</v>
      </c>
      <c r="H20" s="4">
        <f>Multiplier_Weight_Oldhand!V25</f>
        <v>1352133</v>
      </c>
    </row>
    <row r="21" spans="2:8" ht="15.6" customHeight="1" x14ac:dyDescent="0.3">
      <c r="B21" s="7">
        <f>Multiplier_Weight_Newbie!B26</f>
        <v>25</v>
      </c>
      <c r="C21" s="7">
        <f>Multiplier_Weight_Newbie!C26</f>
        <v>30</v>
      </c>
      <c r="D21" s="7" t="str">
        <f>Multiplier_Weight_Newbie!P26</f>
        <v>(25, 30]</v>
      </c>
      <c r="E21" s="7" t="str">
        <f>Multiplier_Weight_Newbie!Q26</f>
        <v>B</v>
      </c>
      <c r="F21" s="7">
        <f>Multiplier_Weight_Newbie!R26</f>
        <v>1.5718491116989034E-2</v>
      </c>
      <c r="G21" s="4">
        <f>Multiplier_Weight_Newbie!V26</f>
        <v>0</v>
      </c>
      <c r="H21" s="4">
        <f>Multiplier_Weight_Oldhand!V26</f>
        <v>761914</v>
      </c>
    </row>
    <row r="22" spans="2:8" ht="15.6" customHeight="1" x14ac:dyDescent="0.3">
      <c r="B22" s="7">
        <f>Multiplier_Weight_Newbie!B27</f>
        <v>30</v>
      </c>
      <c r="C22" s="7">
        <f>Multiplier_Weight_Newbie!C27</f>
        <v>35</v>
      </c>
      <c r="D22" s="7" t="str">
        <f>Multiplier_Weight_Newbie!P27</f>
        <v>(30, 35]</v>
      </c>
      <c r="E22" s="7" t="str">
        <f>Multiplier_Weight_Newbie!Q27</f>
        <v>B</v>
      </c>
      <c r="F22" s="7">
        <f>Multiplier_Weight_Newbie!R27</f>
        <v>1.2637372134964056E-2</v>
      </c>
      <c r="G22" s="4">
        <f>Multiplier_Weight_Newbie!V27</f>
        <v>0</v>
      </c>
      <c r="H22" s="4">
        <f>Multiplier_Weight_Oldhand!V27</f>
        <v>612564</v>
      </c>
    </row>
    <row r="23" spans="2:8" ht="15.6" customHeight="1" x14ac:dyDescent="0.3">
      <c r="B23" s="7">
        <f>Multiplier_Weight_Newbie!B28</f>
        <v>35</v>
      </c>
      <c r="C23" s="7">
        <f>Multiplier_Weight_Newbie!C28</f>
        <v>40</v>
      </c>
      <c r="D23" s="7" t="str">
        <f>Multiplier_Weight_Newbie!P28</f>
        <v>(35, 40]</v>
      </c>
      <c r="E23" s="7" t="str">
        <f>Multiplier_Weight_Newbie!Q28</f>
        <v>B</v>
      </c>
      <c r="F23" s="7">
        <f>Multiplier_Weight_Newbie!R28</f>
        <v>1.0396088920450804E-2</v>
      </c>
      <c r="G23" s="4">
        <f>Multiplier_Weight_Newbie!V28</f>
        <v>0</v>
      </c>
      <c r="H23" s="4">
        <f>Multiplier_Weight_Oldhand!V28</f>
        <v>302354</v>
      </c>
    </row>
    <row r="24" spans="2:8" ht="15.6" customHeight="1" x14ac:dyDescent="0.3">
      <c r="B24" s="7">
        <f>Multiplier_Weight_Newbie!B29</f>
        <v>40</v>
      </c>
      <c r="C24" s="7">
        <f>Multiplier_Weight_Newbie!C29</f>
        <v>45</v>
      </c>
      <c r="D24" s="7" t="str">
        <f>Multiplier_Weight_Newbie!P29</f>
        <v>(40, 45]</v>
      </c>
      <c r="E24" s="7" t="str">
        <f>Multiplier_Weight_Newbie!Q29</f>
        <v>B</v>
      </c>
      <c r="F24" s="7">
        <f>Multiplier_Weight_Newbie!R29</f>
        <v>8.6796475933102052E-3</v>
      </c>
      <c r="G24" s="4">
        <f>Multiplier_Weight_Newbie!V29</f>
        <v>0</v>
      </c>
      <c r="H24" s="4">
        <f>Multiplier_Weight_Oldhand!V29</f>
        <v>168289</v>
      </c>
    </row>
    <row r="25" spans="2:8" ht="15.6" customHeight="1" x14ac:dyDescent="0.3">
      <c r="B25" s="7">
        <f>Multiplier_Weight_Newbie!B30</f>
        <v>45</v>
      </c>
      <c r="C25" s="7">
        <f>Multiplier_Weight_Newbie!C30</f>
        <v>50</v>
      </c>
      <c r="D25" s="7" t="str">
        <f>Multiplier_Weight_Newbie!P30</f>
        <v>(45, 50]</v>
      </c>
      <c r="E25" s="7" t="str">
        <f>Multiplier_Weight_Newbie!Q30</f>
        <v>B</v>
      </c>
      <c r="F25" s="7">
        <f>Multiplier_Weight_Newbie!R30</f>
        <v>7.2537138448110251E-3</v>
      </c>
      <c r="G25" s="4">
        <f>Multiplier_Weight_Newbie!V30</f>
        <v>0</v>
      </c>
      <c r="H25" s="4">
        <f>Multiplier_Weight_Oldhand!V30</f>
        <v>351605</v>
      </c>
    </row>
    <row r="26" spans="2:8" ht="15.6" customHeight="1" x14ac:dyDescent="0.3">
      <c r="B26" s="7">
        <f>Multiplier_Weight_Newbie!B31</f>
        <v>50</v>
      </c>
      <c r="C26" s="7">
        <f>Multiplier_Weight_Newbie!C31</f>
        <v>60</v>
      </c>
      <c r="D26" s="7" t="str">
        <f>Multiplier_Weight_Newbie!P31</f>
        <v>(50, 60]</v>
      </c>
      <c r="E26" s="7" t="str">
        <f>Multiplier_Weight_Newbie!Q31</f>
        <v>B</v>
      </c>
      <c r="F26" s="7">
        <f>Multiplier_Weight_Newbie!R31</f>
        <v>1.156720579088525E-2</v>
      </c>
      <c r="G26" s="4">
        <f>Multiplier_Weight_Newbie!V31</f>
        <v>0</v>
      </c>
      <c r="H26" s="4">
        <f>Multiplier_Weight_Oldhand!V31</f>
        <v>112138</v>
      </c>
    </row>
    <row r="27" spans="2:8" ht="15.6" customHeight="1" x14ac:dyDescent="0.3">
      <c r="B27" s="7">
        <f>Multiplier_Weight_Newbie!B32</f>
        <v>60</v>
      </c>
      <c r="C27" s="7">
        <f>Multiplier_Weight_Newbie!C32</f>
        <v>70</v>
      </c>
      <c r="D27" s="7" t="str">
        <f>Multiplier_Weight_Newbie!P32</f>
        <v>(60, 70]</v>
      </c>
      <c r="E27" s="7" t="str">
        <f>Multiplier_Weight_Newbie!Q32</f>
        <v>B</v>
      </c>
      <c r="F27" s="7">
        <f>Multiplier_Weight_Newbie!R32</f>
        <v>8.5788987663079214E-3</v>
      </c>
      <c r="G27" s="4">
        <f>Multiplier_Weight_Newbie!V32</f>
        <v>0</v>
      </c>
      <c r="H27" s="4">
        <f>Multiplier_Weight_Oldhand!V32</f>
        <v>166336</v>
      </c>
    </row>
    <row r="28" spans="2:8" ht="15.6" customHeight="1" x14ac:dyDescent="0.3">
      <c r="B28" s="7">
        <f>Multiplier_Weight_Newbie!B33</f>
        <v>70</v>
      </c>
      <c r="C28" s="7">
        <f>Multiplier_Weight_Newbie!C33</f>
        <v>80</v>
      </c>
      <c r="D28" s="7" t="str">
        <f>Multiplier_Weight_Newbie!P33</f>
        <v>(70, 80]</v>
      </c>
      <c r="E28" s="7" t="str">
        <f>Multiplier_Weight_Newbie!Q33</f>
        <v>B</v>
      </c>
      <c r="F28" s="7">
        <f>Multiplier_Weight_Newbie!R33</f>
        <v>6.5210913685767053E-3</v>
      </c>
      <c r="G28" s="4">
        <f>Multiplier_Weight_Newbie!V33</f>
        <v>0</v>
      </c>
      <c r="H28" s="4">
        <f>Multiplier_Weight_Oldhand!V33</f>
        <v>252874</v>
      </c>
    </row>
    <row r="29" spans="2:8" ht="15.6" customHeight="1" x14ac:dyDescent="0.3">
      <c r="B29" s="7">
        <f>Multiplier_Weight_Newbie!B34</f>
        <v>80</v>
      </c>
      <c r="C29" s="7">
        <f>Multiplier_Weight_Newbie!C34</f>
        <v>90</v>
      </c>
      <c r="D29" s="7" t="str">
        <f>Multiplier_Weight_Newbie!P34</f>
        <v>(80, 90]</v>
      </c>
      <c r="E29" s="7" t="str">
        <f>Multiplier_Weight_Newbie!Q34</f>
        <v>B</v>
      </c>
      <c r="F29" s="7">
        <f>Multiplier_Weight_Newbie!R34</f>
        <v>4.9933599564377807E-3</v>
      </c>
      <c r="G29" s="4">
        <f>Multiplier_Weight_Newbie!V34</f>
        <v>0</v>
      </c>
      <c r="H29" s="4">
        <f>Multiplier_Weight_Oldhand!V34</f>
        <v>193632</v>
      </c>
    </row>
    <row r="30" spans="2:8" ht="15.6" customHeight="1" x14ac:dyDescent="0.3">
      <c r="B30" s="7">
        <f>Multiplier_Weight_Newbie!B35</f>
        <v>90</v>
      </c>
      <c r="C30" s="7">
        <f>Multiplier_Weight_Newbie!C35</f>
        <v>100</v>
      </c>
      <c r="D30" s="7" t="str">
        <f>Multiplier_Weight_Newbie!P35</f>
        <v>(90, 100]</v>
      </c>
      <c r="E30" s="7" t="str">
        <f>Multiplier_Weight_Newbie!Q35</f>
        <v>B</v>
      </c>
      <c r="F30" s="7">
        <f>Multiplier_Weight_Newbie!R35</f>
        <v>3.8827125521400394E-3</v>
      </c>
      <c r="G30" s="4">
        <f>Multiplier_Weight_Newbie!V35</f>
        <v>0</v>
      </c>
      <c r="H30" s="4">
        <f>Multiplier_Weight_Oldhand!V35</f>
        <v>376409</v>
      </c>
    </row>
    <row r="31" spans="2:8" ht="15.6" customHeight="1" x14ac:dyDescent="0.3">
      <c r="B31" s="7">
        <f>Multiplier_Weight_Newbie!B36</f>
        <v>100</v>
      </c>
      <c r="C31" s="7">
        <f>Multiplier_Weight_Newbie!C36</f>
        <v>120</v>
      </c>
      <c r="D31" s="7" t="str">
        <f>Multiplier_Weight_Newbie!P36</f>
        <v>(100, 120]</v>
      </c>
      <c r="E31" s="7" t="str">
        <f>Multiplier_Weight_Newbie!Q36</f>
        <v>B</v>
      </c>
      <c r="F31" s="7">
        <f>Multiplier_Weight_Newbie!R36</f>
        <v>5.5000892418788933E-3</v>
      </c>
      <c r="G31" s="4">
        <f>Multiplier_Weight_Newbie!V36</f>
        <v>0</v>
      </c>
      <c r="H31" s="4">
        <f>Multiplier_Weight_Oldhand!V36</f>
        <v>106641</v>
      </c>
    </row>
    <row r="32" spans="2:8" ht="15.6" customHeight="1" x14ac:dyDescent="0.3">
      <c r="B32" s="7">
        <f>Multiplier_Weight_Newbie!B37</f>
        <v>120</v>
      </c>
      <c r="C32" s="7">
        <f>Multiplier_Weight_Newbie!C37</f>
        <v>140</v>
      </c>
      <c r="D32" s="7" t="str">
        <f>Multiplier_Weight_Newbie!P37</f>
        <v>(120, 140]</v>
      </c>
      <c r="E32" s="7" t="str">
        <f>Multiplier_Weight_Newbie!Q37</f>
        <v>B</v>
      </c>
      <c r="F32" s="7">
        <f>Multiplier_Weight_Newbie!R37</f>
        <v>3.5102141863586249E-3</v>
      </c>
      <c r="G32" s="4">
        <f>Multiplier_Weight_Newbie!V37</f>
        <v>0</v>
      </c>
      <c r="H32" s="4">
        <f>Multiplier_Weight_Oldhand!V37</f>
        <v>99026</v>
      </c>
    </row>
    <row r="33" spans="2:8" ht="15.6" customHeight="1" x14ac:dyDescent="0.3">
      <c r="B33" s="7">
        <f>Multiplier_Weight_Newbie!B38</f>
        <v>140</v>
      </c>
      <c r="C33" s="7">
        <f>Multiplier_Weight_Newbie!C38</f>
        <v>160</v>
      </c>
      <c r="D33" s="7" t="str">
        <f>Multiplier_Weight_Newbie!P38</f>
        <v>(140, 160]</v>
      </c>
      <c r="E33" s="7" t="str">
        <f>Multiplier_Weight_Newbie!Q38</f>
        <v>B</v>
      </c>
      <c r="F33" s="7">
        <f>Multiplier_Weight_Newbie!R38</f>
        <v>2.2817239348615166E-3</v>
      </c>
      <c r="G33" s="4">
        <f>Multiplier_Weight_Newbie!V38</f>
        <v>0</v>
      </c>
      <c r="H33" s="4">
        <f>Multiplier_Weight_Oldhand!V38</f>
        <v>2212</v>
      </c>
    </row>
    <row r="34" spans="2:8" ht="15.6" customHeight="1" x14ac:dyDescent="0.3">
      <c r="B34" s="7">
        <f>Multiplier_Weight_Newbie!B39</f>
        <v>160</v>
      </c>
      <c r="C34" s="7">
        <f>Multiplier_Weight_Newbie!C39</f>
        <v>180</v>
      </c>
      <c r="D34" s="7" t="str">
        <f>Multiplier_Weight_Newbie!P39</f>
        <v>(160, 180]</v>
      </c>
      <c r="E34" s="7" t="str">
        <f>Multiplier_Weight_Newbie!Q39</f>
        <v>B</v>
      </c>
      <c r="F34" s="7">
        <f>Multiplier_Weight_Newbie!R39</f>
        <v>1.5091448167269918E-3</v>
      </c>
      <c r="G34" s="4">
        <f>Multiplier_Weight_Newbie!V39</f>
        <v>0</v>
      </c>
      <c r="H34" s="4">
        <f>Multiplier_Weight_Oldhand!V39</f>
        <v>1463</v>
      </c>
    </row>
    <row r="35" spans="2:8" ht="15.6" customHeight="1" x14ac:dyDescent="0.3">
      <c r="B35" s="7">
        <f>Multiplier_Weight_Newbie!B40</f>
        <v>180</v>
      </c>
      <c r="C35" s="7">
        <f>Multiplier_Weight_Newbie!C40</f>
        <v>200</v>
      </c>
      <c r="D35" s="7" t="str">
        <f>Multiplier_Weight_Newbie!P40</f>
        <v>(180, 200]</v>
      </c>
      <c r="E35" s="7" t="str">
        <f>Multiplier_Weight_Newbie!Q40</f>
        <v>B</v>
      </c>
      <c r="F35" s="7">
        <f>Multiplier_Weight_Newbie!R40</f>
        <v>1.0412729117102832E-3</v>
      </c>
      <c r="G35" s="4">
        <f>Multiplier_Weight_Newbie!V40</f>
        <v>0</v>
      </c>
      <c r="H35" s="4">
        <f>Multiplier_Weight_Oldhand!V40</f>
        <v>1009</v>
      </c>
    </row>
    <row r="36" spans="2:8" ht="15.6" customHeight="1" x14ac:dyDescent="0.3">
      <c r="B36" s="7">
        <f>Multiplier_Weight_Newbie!B41</f>
        <v>200</v>
      </c>
      <c r="C36" s="7">
        <f>Multiplier_Weight_Newbie!C41</f>
        <v>250</v>
      </c>
      <c r="D36" s="7" t="str">
        <f>Multiplier_Weight_Newbie!P41</f>
        <v>(200, 250]</v>
      </c>
      <c r="E36" s="7" t="str">
        <f>Multiplier_Weight_Newbie!Q41</f>
        <v>B</v>
      </c>
      <c r="F36" s="7">
        <f>Multiplier_Weight_Newbie!R41</f>
        <v>1.4012860875188421E-3</v>
      </c>
      <c r="G36" s="4">
        <f>Multiplier_Weight_Newbie!V41</f>
        <v>0</v>
      </c>
      <c r="H36" s="4">
        <f>Multiplier_Weight_Oldhand!V41</f>
        <v>1358</v>
      </c>
    </row>
    <row r="37" spans="2:8" ht="15.6" customHeight="1" x14ac:dyDescent="0.3">
      <c r="B37" s="7">
        <f>Multiplier_Weight_Newbie!B42</f>
        <v>250</v>
      </c>
      <c r="C37" s="7">
        <f>Multiplier_Weight_Newbie!C42</f>
        <v>300</v>
      </c>
      <c r="D37" s="7" t="str">
        <f>Multiplier_Weight_Newbie!P42</f>
        <v>(250, 300]</v>
      </c>
      <c r="E37" s="7" t="str">
        <f>Multiplier_Weight_Newbie!Q42</f>
        <v>B</v>
      </c>
      <c r="F37" s="7">
        <f>Multiplier_Weight_Newbie!R42</f>
        <v>6.130248446607388E-4</v>
      </c>
      <c r="G37" s="4">
        <f>Multiplier_Weight_Newbie!V42</f>
        <v>0</v>
      </c>
      <c r="H37" s="4">
        <f>Multiplier_Weight_Oldhand!V42</f>
        <v>0</v>
      </c>
    </row>
    <row r="38" spans="2:8" ht="15.6" customHeight="1" x14ac:dyDescent="0.3">
      <c r="B38" s="7">
        <f>Multiplier_Weight_Newbie!B43</f>
        <v>300</v>
      </c>
      <c r="C38" s="7">
        <f>Multiplier_Weight_Newbie!C43</f>
        <v>350</v>
      </c>
      <c r="D38" s="7" t="str">
        <f>Multiplier_Weight_Newbie!P43</f>
        <v>(300, 350]</v>
      </c>
      <c r="E38" s="7" t="str">
        <f>Multiplier_Weight_Newbie!Q43</f>
        <v>B</v>
      </c>
      <c r="F38" s="7">
        <f>Multiplier_Weight_Newbie!R43</f>
        <v>2.8585840854651796E-4</v>
      </c>
      <c r="G38" s="4">
        <f>Multiplier_Weight_Newbie!V43</f>
        <v>0</v>
      </c>
      <c r="H38" s="4">
        <f>Multiplier_Weight_Oldhand!V43</f>
        <v>0</v>
      </c>
    </row>
    <row r="39" spans="2:8" ht="15.6" customHeight="1" x14ac:dyDescent="0.3">
      <c r="B39" s="7">
        <f>Multiplier_Weight_Newbie!B44</f>
        <v>350</v>
      </c>
      <c r="C39" s="7">
        <f>Multiplier_Weight_Newbie!C44</f>
        <v>400</v>
      </c>
      <c r="D39" s="7" t="str">
        <f>Multiplier_Weight_Newbie!P44</f>
        <v>(350, 400]</v>
      </c>
      <c r="E39" s="7" t="str">
        <f>Multiplier_Weight_Newbie!Q44</f>
        <v>B</v>
      </c>
      <c r="F39" s="7">
        <f>Multiplier_Weight_Newbie!R44</f>
        <v>1.4404359320056151E-4</v>
      </c>
      <c r="G39" s="4">
        <f>Multiplier_Weight_Newbie!V44</f>
        <v>0</v>
      </c>
      <c r="H39" s="4">
        <f>Multiplier_Weight_Oldhand!V44</f>
        <v>0</v>
      </c>
    </row>
    <row r="40" spans="2:8" ht="15.6" customHeight="1" x14ac:dyDescent="0.3">
      <c r="B40" s="7">
        <f>Multiplier_Weight_Newbie!B45</f>
        <v>400</v>
      </c>
      <c r="C40" s="7">
        <f>Multiplier_Weight_Newbie!C45</f>
        <v>450</v>
      </c>
      <c r="D40" s="7" t="str">
        <f>Multiplier_Weight_Newbie!P45</f>
        <v>(400, 450]</v>
      </c>
      <c r="E40" s="7" t="str">
        <f>Multiplier_Weight_Newbie!Q45</f>
        <v>B</v>
      </c>
      <c r="F40" s="7">
        <f>Multiplier_Weight_Newbie!R45</f>
        <v>7.6585244470003783E-5</v>
      </c>
      <c r="G40" s="4">
        <f>Multiplier_Weight_Newbie!V45</f>
        <v>0</v>
      </c>
      <c r="H40" s="4">
        <f>Multiplier_Weight_Oldhand!V45</f>
        <v>0</v>
      </c>
    </row>
    <row r="41" spans="2:8" ht="15.6" customHeight="1" x14ac:dyDescent="0.3">
      <c r="B41" s="7">
        <f>Multiplier_Weight_Newbie!B46</f>
        <v>450</v>
      </c>
      <c r="C41" s="7">
        <f>Multiplier_Weight_Newbie!C46</f>
        <v>500</v>
      </c>
      <c r="D41" s="7" t="str">
        <f>Multiplier_Weight_Newbie!P46</f>
        <v>(450, 500]</v>
      </c>
      <c r="E41" s="7" t="str">
        <f>Multiplier_Weight_Newbie!Q46</f>
        <v>B</v>
      </c>
      <c r="F41" s="7">
        <f>Multiplier_Weight_Newbie!R46</f>
        <v>4.3143491683259967E-5</v>
      </c>
      <c r="G41" s="4">
        <f>Multiplier_Weight_Newbie!V46</f>
        <v>0</v>
      </c>
      <c r="H41" s="4">
        <f>Multiplier_Weight_Oldhand!V46</f>
        <v>0</v>
      </c>
    </row>
    <row r="42" spans="2:8" ht="15.6" customHeight="1" x14ac:dyDescent="0.3">
      <c r="B42" s="7">
        <f>Multiplier_Weight_Newbie!B47</f>
        <v>500</v>
      </c>
      <c r="C42" s="7">
        <f>Multiplier_Weight_Newbie!C47</f>
        <v>550</v>
      </c>
      <c r="D42" s="7" t="str">
        <f>Multiplier_Weight_Newbie!P47</f>
        <v>(500, 550]</v>
      </c>
      <c r="E42" s="7" t="str">
        <f>Multiplier_Weight_Newbie!Q47</f>
        <v>B</v>
      </c>
      <c r="F42" s="7">
        <f>Multiplier_Weight_Newbie!R47</f>
        <v>2.6099896324515381E-5</v>
      </c>
      <c r="G42" s="4">
        <f>Multiplier_Weight_Newbie!V47</f>
        <v>0</v>
      </c>
      <c r="H42" s="4">
        <f>Multiplier_Weight_Oldhand!V47</f>
        <v>0</v>
      </c>
    </row>
    <row r="43" spans="2:8" ht="15.6" customHeight="1" x14ac:dyDescent="0.3">
      <c r="B43" s="7">
        <f>Multiplier_Weight_Newbie!B48</f>
        <v>550</v>
      </c>
      <c r="C43" s="7">
        <f>Multiplier_Weight_Newbie!C48</f>
        <v>600</v>
      </c>
      <c r="D43" s="7" t="str">
        <f>Multiplier_Weight_Newbie!P48</f>
        <v>(550, 600]</v>
      </c>
      <c r="E43" s="7" t="str">
        <f>Multiplier_Weight_Newbie!Q48</f>
        <v>B</v>
      </c>
      <c r="F43" s="7">
        <f>Multiplier_Weight_Newbie!R48</f>
        <v>1.6962915617401418E-5</v>
      </c>
      <c r="G43" s="4">
        <f>Multiplier_Weight_Newbie!V48</f>
        <v>0</v>
      </c>
      <c r="H43" s="4">
        <f>Multiplier_Weight_Oldhand!V48</f>
        <v>0</v>
      </c>
    </row>
    <row r="44" spans="2:8" ht="15.6" customHeight="1" x14ac:dyDescent="0.3">
      <c r="B44" s="7">
        <f>Multiplier_Weight_Newbie!B49</f>
        <v>600</v>
      </c>
      <c r="C44" s="7">
        <f>Multiplier_Weight_Newbie!C49</f>
        <v>650</v>
      </c>
      <c r="D44" s="7" t="str">
        <f>Multiplier_Weight_Newbie!P49</f>
        <v>(600, 650]</v>
      </c>
      <c r="E44" s="7" t="str">
        <f>Multiplier_Weight_Newbie!Q49</f>
        <v>B</v>
      </c>
      <c r="F44" s="7">
        <f>Multiplier_Weight_Newbie!R49</f>
        <v>1.0024457861888829E-5</v>
      </c>
      <c r="G44" s="4">
        <f>Multiplier_Weight_Newbie!V49</f>
        <v>0</v>
      </c>
      <c r="H44" s="4">
        <f>Multiplier_Weight_Oldhand!V49</f>
        <v>0</v>
      </c>
    </row>
    <row r="45" spans="2:8" ht="15.6" customHeight="1" x14ac:dyDescent="0.3">
      <c r="B45" s="7">
        <f>Multiplier_Weight_Newbie!B50</f>
        <v>650</v>
      </c>
      <c r="C45" s="7">
        <f>Multiplier_Weight_Newbie!C50</f>
        <v>700</v>
      </c>
      <c r="D45" s="7" t="str">
        <f>Multiplier_Weight_Newbie!P50</f>
        <v>(650, 700]</v>
      </c>
      <c r="E45" s="7" t="str">
        <f>Multiplier_Weight_Newbie!Q50</f>
        <v>B</v>
      </c>
      <c r="F45" s="7">
        <f>Multiplier_Weight_Newbie!R50</f>
        <v>6.3535296307746095E-6</v>
      </c>
      <c r="G45" s="4">
        <f>Multiplier_Weight_Newbie!V50</f>
        <v>0</v>
      </c>
      <c r="H45" s="4">
        <f>Multiplier_Weight_Oldhand!V50</f>
        <v>0</v>
      </c>
    </row>
    <row r="46" spans="2:8" ht="15.6" customHeight="1" x14ac:dyDescent="0.3">
      <c r="B46" s="7">
        <f>Multiplier_Weight_Newbie!B51</f>
        <v>700</v>
      </c>
      <c r="C46" s="7">
        <f>Multiplier_Weight_Newbie!C51</f>
        <v>750</v>
      </c>
      <c r="D46" s="7" t="str">
        <f>Multiplier_Weight_Newbie!P51</f>
        <v>(700, 750]</v>
      </c>
      <c r="E46" s="7" t="str">
        <f>Multiplier_Weight_Newbie!Q51</f>
        <v>B</v>
      </c>
      <c r="F46" s="7">
        <f>Multiplier_Weight_Newbie!R51</f>
        <v>4.4978955798817078E-6</v>
      </c>
      <c r="G46" s="4">
        <f>Multiplier_Weight_Newbie!V51</f>
        <v>0</v>
      </c>
      <c r="H46" s="4">
        <f>Multiplier_Weight_Oldhand!V51</f>
        <v>0</v>
      </c>
    </row>
    <row r="47" spans="2:8" ht="15.6" customHeight="1" x14ac:dyDescent="0.3">
      <c r="B47" s="7">
        <f>Multiplier_Weight_Newbie!B52</f>
        <v>750</v>
      </c>
      <c r="C47" s="7">
        <f>Multiplier_Weight_Newbie!C52</f>
        <v>800</v>
      </c>
      <c r="D47" s="7" t="str">
        <f>Multiplier_Weight_Newbie!P52</f>
        <v>(750, 800]</v>
      </c>
      <c r="E47" s="7" t="str">
        <f>Multiplier_Weight_Newbie!Q52</f>
        <v>B</v>
      </c>
      <c r="F47" s="7">
        <f>Multiplier_Weight_Newbie!R52</f>
        <v>4.033987067158482E-6</v>
      </c>
      <c r="G47" s="4">
        <f>Multiplier_Weight_Newbie!V52</f>
        <v>0</v>
      </c>
      <c r="H47" s="4">
        <f>Multiplier_Weight_Oldhand!V52</f>
        <v>0</v>
      </c>
    </row>
    <row r="48" spans="2:8" ht="15.6" customHeight="1" x14ac:dyDescent="0.3">
      <c r="B48" s="7">
        <f>Multiplier_Weight_Newbie!B53</f>
        <v>800</v>
      </c>
      <c r="C48" s="7">
        <f>Multiplier_Weight_Newbie!C53</f>
        <v>850</v>
      </c>
      <c r="D48" s="7" t="str">
        <f>Multiplier_Weight_Newbie!P53</f>
        <v>(800, 850]</v>
      </c>
      <c r="E48" s="7" t="str">
        <f>Multiplier_Weight_Newbie!Q53</f>
        <v>B</v>
      </c>
      <c r="F48" s="7">
        <f>Multiplier_Weight_Newbie!R53</f>
        <v>2.2388628222729575E-6</v>
      </c>
      <c r="G48" s="4">
        <f>Multiplier_Weight_Newbie!V53</f>
        <v>0</v>
      </c>
      <c r="H48" s="4">
        <f>Multiplier_Weight_Oldhand!V53</f>
        <v>0</v>
      </c>
    </row>
    <row r="49" spans="2:8" ht="15.6" customHeight="1" x14ac:dyDescent="0.3">
      <c r="B49" s="7">
        <f>Multiplier_Weight_Newbie!B54</f>
        <v>850</v>
      </c>
      <c r="C49" s="7">
        <f>Multiplier_Weight_Newbie!C54</f>
        <v>900</v>
      </c>
      <c r="D49" s="7" t="str">
        <f>Multiplier_Weight_Newbie!P54</f>
        <v>(850, 900]</v>
      </c>
      <c r="E49" s="7" t="str">
        <f>Multiplier_Weight_Newbie!Q54</f>
        <v>B</v>
      </c>
      <c r="F49" s="7">
        <f>Multiplier_Weight_Newbie!R54</f>
        <v>1.421980441173365E-6</v>
      </c>
      <c r="G49" s="4">
        <f>Multiplier_Weight_Newbie!V54</f>
        <v>0</v>
      </c>
      <c r="H49" s="4">
        <f>Multiplier_Weight_Oldhand!V54</f>
        <v>0</v>
      </c>
    </row>
    <row r="50" spans="2:8" ht="15.6" customHeight="1" x14ac:dyDescent="0.3">
      <c r="B50" s="7">
        <f>Multiplier_Weight_Newbie!B55</f>
        <v>900</v>
      </c>
      <c r="C50" s="7">
        <f>Multiplier_Weight_Newbie!C55</f>
        <v>950</v>
      </c>
      <c r="D50" s="7" t="str">
        <f>Multiplier_Weight_Newbie!P55</f>
        <v>(900, 950]</v>
      </c>
      <c r="E50" s="7" t="str">
        <f>Multiplier_Weight_Newbie!Q55</f>
        <v>B</v>
      </c>
      <c r="F50" s="7">
        <f>Multiplier_Weight_Newbie!R55</f>
        <v>1.1396013464722713E-6</v>
      </c>
      <c r="G50" s="4">
        <f>Multiplier_Weight_Newbie!V55</f>
        <v>0</v>
      </c>
      <c r="H50" s="4">
        <f>Multiplier_Weight_Oldhand!V55</f>
        <v>0</v>
      </c>
    </row>
    <row r="51" spans="2:8" ht="15.6" customHeight="1" x14ac:dyDescent="0.3">
      <c r="B51" s="7">
        <f>Multiplier_Weight_Newbie!B56</f>
        <v>950</v>
      </c>
      <c r="C51" s="7">
        <f>Multiplier_Weight_Newbie!C56</f>
        <v>1000</v>
      </c>
      <c r="D51" s="7" t="str">
        <f>Multiplier_Weight_Newbie!P56</f>
        <v>(950, 1000]</v>
      </c>
      <c r="E51" s="7" t="str">
        <f>Multiplier_Weight_Newbie!Q56</f>
        <v>B</v>
      </c>
      <c r="F51" s="7">
        <f>Multiplier_Weight_Newbie!R56</f>
        <v>9.0764709011065854E-7</v>
      </c>
      <c r="G51" s="4">
        <f>Multiplier_Weight_Newbie!V56</f>
        <v>0</v>
      </c>
      <c r="H51" s="4">
        <f>Multiplier_Weight_Oldhand!V56</f>
        <v>0</v>
      </c>
    </row>
    <row r="52" spans="2:8" ht="15.6" customHeight="1" x14ac:dyDescent="0.3">
      <c r="B52" s="7">
        <f>Multiplier_Weight_Newbie!B57</f>
        <v>1000</v>
      </c>
      <c r="C52" s="7">
        <f>Multiplier_Weight_Newbie!C57</f>
        <v>2000</v>
      </c>
      <c r="D52" s="7" t="str">
        <f>Multiplier_Weight_Newbie!P57</f>
        <v>(1000, 2000]</v>
      </c>
      <c r="E52" s="7" t="str">
        <f>Multiplier_Weight_Newbie!Q57</f>
        <v>B</v>
      </c>
      <c r="F52" s="7">
        <f>Multiplier_Weight_Newbie!R57</f>
        <v>3.0456602357046541E-6</v>
      </c>
      <c r="G52" s="4">
        <f>Multiplier_Weight_Newbie!V57</f>
        <v>0</v>
      </c>
      <c r="H52" s="4">
        <f>Multiplier_Weight_Oldhand!V57</f>
        <v>0</v>
      </c>
    </row>
    <row r="53" spans="2:8" ht="15.6" customHeight="1" x14ac:dyDescent="0.3">
      <c r="B53" s="7">
        <f>Multiplier_Weight_Newbie!B58</f>
        <v>2000</v>
      </c>
      <c r="C53" s="7">
        <f>Multiplier_Weight_Newbie!C58</f>
        <v>3000</v>
      </c>
      <c r="D53" s="7" t="str">
        <f>Multiplier_Weight_Newbie!P58</f>
        <v>(2000, 3000]</v>
      </c>
      <c r="E53" s="7" t="str">
        <f>Multiplier_Weight_Newbie!Q58</f>
        <v>B</v>
      </c>
      <c r="F53" s="7">
        <f>Multiplier_Weight_Newbie!R58</f>
        <v>1.0084967667896206E-8</v>
      </c>
      <c r="G53" s="4">
        <f>Multiplier_Weight_Newbie!V58</f>
        <v>0</v>
      </c>
      <c r="H53" s="4">
        <f>Multiplier_Weight_Oldhand!V58</f>
        <v>0</v>
      </c>
    </row>
    <row r="54" spans="2:8" ht="15.6" customHeight="1" x14ac:dyDescent="0.3">
      <c r="B54" s="7">
        <f>Multiplier_Weight_Newbie!B59</f>
        <v>3000</v>
      </c>
      <c r="C54" s="7">
        <f>Multiplier_Weight_Newbie!C59</f>
        <v>4000</v>
      </c>
      <c r="D54" s="7" t="str">
        <f>Multiplier_Weight_Newbie!P59</f>
        <v>(3000, 4000]</v>
      </c>
      <c r="E54" s="7" t="str">
        <f>Multiplier_Weight_Newbie!Q59</f>
        <v>B</v>
      </c>
      <c r="F54" s="7">
        <f>Multiplier_Weight_Newbie!R59</f>
        <v>0</v>
      </c>
      <c r="G54" s="4">
        <f>Multiplier_Weight_Newbie!V59</f>
        <v>0</v>
      </c>
      <c r="H54" s="4">
        <f>Multiplier_Weight_Oldhand!V59</f>
        <v>0</v>
      </c>
    </row>
    <row r="55" spans="2:8" ht="15.6" customHeight="1" x14ac:dyDescent="0.3">
      <c r="B55" s="7">
        <f>Multiplier_Weight_Newbie!B60</f>
        <v>4000</v>
      </c>
      <c r="C55" s="7">
        <f>Multiplier_Weight_Newbie!C60</f>
        <v>5000</v>
      </c>
      <c r="D55" s="7" t="str">
        <f>Multiplier_Weight_Newbie!P60</f>
        <v>(4000, 5000]</v>
      </c>
      <c r="E55" s="7" t="str">
        <f>Multiplier_Weight_Newbie!Q60</f>
        <v>B</v>
      </c>
      <c r="F55" s="7">
        <f>Multiplier_Weight_Newbie!R60</f>
        <v>0</v>
      </c>
      <c r="G55" s="4">
        <f>Multiplier_Weight_Newbie!V60</f>
        <v>0</v>
      </c>
      <c r="H55" s="4">
        <f>Multiplier_Weight_Oldhand!V60</f>
        <v>0</v>
      </c>
    </row>
    <row r="56" spans="2:8" ht="15.6" customHeight="1" x14ac:dyDescent="0.3">
      <c r="B56" s="7">
        <f>Multiplier_Weight_Newbie!B61</f>
        <v>5000</v>
      </c>
      <c r="C56" s="7">
        <f>Multiplier_Weight_Newbie!C61</f>
        <v>6000</v>
      </c>
      <c r="D56" s="7" t="str">
        <f>Multiplier_Weight_Newbie!P61</f>
        <v>(5000, 6000]</v>
      </c>
      <c r="E56" s="7" t="str">
        <f>Multiplier_Weight_Newbie!Q61</f>
        <v>B</v>
      </c>
      <c r="F56" s="7">
        <f>Multiplier_Weight_Newbie!R61</f>
        <v>0</v>
      </c>
      <c r="G56" s="4">
        <f>Multiplier_Weight_Newbie!V61</f>
        <v>0</v>
      </c>
      <c r="H56" s="4">
        <f>Multiplier_Weight_Oldhand!V61</f>
        <v>0</v>
      </c>
    </row>
    <row r="57" spans="2:8" ht="15.6" customHeight="1" x14ac:dyDescent="0.3">
      <c r="B57" s="7">
        <f>Multiplier_Weight_Newbie!B62</f>
        <v>6000</v>
      </c>
      <c r="C57" s="7">
        <f>Multiplier_Weight_Newbie!C62</f>
        <v>7000</v>
      </c>
      <c r="D57" s="7" t="str">
        <f>Multiplier_Weight_Newbie!P62</f>
        <v>(6000, 7000]</v>
      </c>
      <c r="E57" s="7" t="str">
        <f>Multiplier_Weight_Newbie!Q62</f>
        <v>B</v>
      </c>
      <c r="F57" s="7">
        <f>Multiplier_Weight_Newbie!R62</f>
        <v>0</v>
      </c>
      <c r="G57" s="4">
        <f>Multiplier_Weight_Newbie!V62</f>
        <v>0</v>
      </c>
      <c r="H57" s="4">
        <f>Multiplier_Weight_Oldhand!V62</f>
        <v>0</v>
      </c>
    </row>
    <row r="58" spans="2:8" ht="15.6" customHeight="1" x14ac:dyDescent="0.3">
      <c r="B58" s="7">
        <f>Multiplier_Weight_Newbie!B63</f>
        <v>7000</v>
      </c>
      <c r="C58" s="7">
        <f>Multiplier_Weight_Newbie!C63</f>
        <v>8000</v>
      </c>
      <c r="D58" s="7" t="str">
        <f>Multiplier_Weight_Newbie!P63</f>
        <v>(7000, 8000]</v>
      </c>
      <c r="E58" s="7" t="str">
        <f>Multiplier_Weight_Newbie!Q63</f>
        <v>B</v>
      </c>
      <c r="F58" s="7">
        <f>Multiplier_Weight_Newbie!R63</f>
        <v>0</v>
      </c>
      <c r="G58" s="4">
        <f>Multiplier_Weight_Newbie!V63</f>
        <v>0</v>
      </c>
      <c r="H58" s="4">
        <f>Multiplier_Weight_Oldhand!V63</f>
        <v>0</v>
      </c>
    </row>
    <row r="59" spans="2:8" ht="15.6" customHeight="1" x14ac:dyDescent="0.3">
      <c r="B59" s="7" t="str">
        <f>Multiplier_Weight_Newbie!B64</f>
        <v>FG Trigger</v>
      </c>
      <c r="C59" s="7">
        <f>Multiplier_Weight_Newbie!C64</f>
        <v>1.010016E-2</v>
      </c>
      <c r="D59" s="7" t="str">
        <f>Multiplier_Weight_Newbie!P64</f>
        <v>(FG Trigger, 0.01010016]</v>
      </c>
      <c r="E59" s="7" t="str">
        <f>Multiplier_Weight_Newbie!Q64</f>
        <v>A</v>
      </c>
      <c r="F59" s="7">
        <f>Multiplier_Weight_Newbie!R64</f>
        <v>8.4899999999999993E-3</v>
      </c>
      <c r="G59" s="4">
        <f>Multiplier_Weight_Newbie!V64</f>
        <v>8490000</v>
      </c>
      <c r="H59" s="4">
        <f>Multiplier_Weight_Oldhand!V64</f>
        <v>8490000</v>
      </c>
    </row>
    <row r="60" spans="2:8" ht="15.6" customHeight="1" x14ac:dyDescent="0.3">
      <c r="B60" s="3" t="s">
        <v>166</v>
      </c>
      <c r="G60" s="4">
        <f>SUM(G7:G59)</f>
        <v>1000000000</v>
      </c>
      <c r="H60" s="4">
        <f>SUM(H7:H59)</f>
        <v>1000000000</v>
      </c>
    </row>
    <row r="63" spans="2:8" ht="15.6" customHeight="1" x14ac:dyDescent="0.3">
      <c r="B63" s="1" t="s">
        <v>17</v>
      </c>
    </row>
    <row r="64" spans="2:8" ht="15.6" customHeight="1" x14ac:dyDescent="0.3">
      <c r="B64" s="3" t="s">
        <v>159</v>
      </c>
      <c r="C64" s="3" t="s">
        <v>160</v>
      </c>
      <c r="D64" s="3" t="s">
        <v>161</v>
      </c>
      <c r="E64" s="3" t="s">
        <v>162</v>
      </c>
      <c r="F64" s="3" t="s">
        <v>163</v>
      </c>
      <c r="G64" s="3" t="s">
        <v>164</v>
      </c>
      <c r="H64" s="3" t="s">
        <v>165</v>
      </c>
    </row>
    <row r="65" spans="2:8" ht="15.6" customHeight="1" x14ac:dyDescent="0.3">
      <c r="B65" s="7">
        <f>Multiplier_Weight_Newbie!B70</f>
        <v>-1</v>
      </c>
      <c r="C65" s="7">
        <f>Multiplier_Weight_Newbie!C70</f>
        <v>0</v>
      </c>
      <c r="D65" s="7" t="str">
        <f>Multiplier_Weight_Newbie!P70</f>
        <v>(-1, 0]</v>
      </c>
      <c r="E65" s="7" t="str">
        <f>Multiplier_Weight_Newbie!Q70</f>
        <v>E</v>
      </c>
      <c r="F65" s="7">
        <f>Multiplier_Weight_Newbie!R70</f>
        <v>3.128663308304027E-4</v>
      </c>
      <c r="G65" s="4">
        <f>Multiplier_Weight_Newbie!V70</f>
        <v>0</v>
      </c>
      <c r="H65" s="4">
        <f>Multiplier_Weight_Oldhand!V70</f>
        <v>0</v>
      </c>
    </row>
    <row r="66" spans="2:8" ht="15.6" customHeight="1" x14ac:dyDescent="0.3">
      <c r="B66" s="7">
        <f>Multiplier_Weight_Newbie!B71</f>
        <v>0</v>
      </c>
      <c r="C66" s="7">
        <f>Multiplier_Weight_Newbie!C71</f>
        <v>1</v>
      </c>
      <c r="D66" s="7" t="str">
        <f>Multiplier_Weight_Newbie!P71</f>
        <v>(0, 1]</v>
      </c>
      <c r="E66" s="7" t="str">
        <f>Multiplier_Weight_Newbie!Q71</f>
        <v>E</v>
      </c>
      <c r="F66" s="7">
        <f>Multiplier_Weight_Newbie!R71</f>
        <v>2.1999651490669453E-3</v>
      </c>
      <c r="G66" s="4">
        <f>Multiplier_Weight_Newbie!V71</f>
        <v>0</v>
      </c>
      <c r="H66" s="4">
        <f>Multiplier_Weight_Oldhand!V71</f>
        <v>0</v>
      </c>
    </row>
    <row r="67" spans="2:8" ht="15.6" customHeight="1" x14ac:dyDescent="0.3">
      <c r="B67" s="7">
        <f>Multiplier_Weight_Newbie!B72</f>
        <v>1</v>
      </c>
      <c r="C67" s="7">
        <f>Multiplier_Weight_Newbie!C72</f>
        <v>2</v>
      </c>
      <c r="D67" s="7" t="str">
        <f>Multiplier_Weight_Newbie!P72</f>
        <v>(1, 2]</v>
      </c>
      <c r="E67" s="7" t="str">
        <f>Multiplier_Weight_Newbie!Q72</f>
        <v>E</v>
      </c>
      <c r="F67" s="7">
        <f>Multiplier_Weight_Newbie!R72</f>
        <v>2.7286696448373094E-3</v>
      </c>
      <c r="G67" s="4">
        <f>Multiplier_Weight_Newbie!V72</f>
        <v>0</v>
      </c>
      <c r="H67" s="4">
        <f>Multiplier_Weight_Oldhand!V72</f>
        <v>0</v>
      </c>
    </row>
    <row r="68" spans="2:8" ht="15.6" customHeight="1" x14ac:dyDescent="0.3">
      <c r="B68" s="7">
        <f>Multiplier_Weight_Newbie!B73</f>
        <v>2</v>
      </c>
      <c r="C68" s="7">
        <f>Multiplier_Weight_Newbie!C73</f>
        <v>3</v>
      </c>
      <c r="D68" s="7" t="str">
        <f>Multiplier_Weight_Newbie!P73</f>
        <v>(2, 3]</v>
      </c>
      <c r="E68" s="7" t="str">
        <f>Multiplier_Weight_Newbie!Q73</f>
        <v>E</v>
      </c>
      <c r="F68" s="7">
        <f>Multiplier_Weight_Newbie!R73</f>
        <v>2.9930218927224916E-3</v>
      </c>
      <c r="G68" s="4">
        <f>Multiplier_Weight_Newbie!V73</f>
        <v>0</v>
      </c>
      <c r="H68" s="4">
        <f>Multiplier_Weight_Oldhand!V73</f>
        <v>0</v>
      </c>
    </row>
    <row r="69" spans="2:8" ht="15.6" customHeight="1" x14ac:dyDescent="0.3">
      <c r="B69" s="7">
        <f>Multiplier_Weight_Newbie!B74</f>
        <v>3</v>
      </c>
      <c r="C69" s="7">
        <f>Multiplier_Weight_Newbie!C74</f>
        <v>4</v>
      </c>
      <c r="D69" s="7" t="str">
        <f>Multiplier_Weight_Newbie!P74</f>
        <v>(3, 4]</v>
      </c>
      <c r="E69" s="7" t="str">
        <f>Multiplier_Weight_Newbie!Q74</f>
        <v>E</v>
      </c>
      <c r="F69" s="7">
        <f>Multiplier_Weight_Newbie!R74</f>
        <v>3.0643078921522037E-3</v>
      </c>
      <c r="G69" s="4">
        <f>Multiplier_Weight_Newbie!V74</f>
        <v>0</v>
      </c>
      <c r="H69" s="4">
        <f>Multiplier_Weight_Oldhand!V74</f>
        <v>0</v>
      </c>
    </row>
    <row r="70" spans="2:8" ht="15.6" customHeight="1" x14ac:dyDescent="0.3">
      <c r="B70" s="7">
        <f>Multiplier_Weight_Newbie!B75</f>
        <v>4</v>
      </c>
      <c r="C70" s="7">
        <f>Multiplier_Weight_Newbie!C75</f>
        <v>5</v>
      </c>
      <c r="D70" s="7" t="str">
        <f>Multiplier_Weight_Newbie!P75</f>
        <v>(4, 5]</v>
      </c>
      <c r="E70" s="7" t="str">
        <f>Multiplier_Weight_Newbie!Q75</f>
        <v>E</v>
      </c>
      <c r="F70" s="7">
        <f>Multiplier_Weight_Newbie!R75</f>
        <v>3.0375756423660616E-3</v>
      </c>
      <c r="G70" s="4">
        <f>Multiplier_Weight_Newbie!V75</f>
        <v>0</v>
      </c>
      <c r="H70" s="4">
        <f>Multiplier_Weight_Oldhand!V75</f>
        <v>0</v>
      </c>
    </row>
    <row r="71" spans="2:8" ht="15.6" customHeight="1" x14ac:dyDescent="0.3">
      <c r="B71" s="7">
        <f>Multiplier_Weight_Newbie!B76</f>
        <v>5</v>
      </c>
      <c r="C71" s="7">
        <f>Multiplier_Weight_Newbie!C76</f>
        <v>6</v>
      </c>
      <c r="D71" s="7" t="str">
        <f>Multiplier_Weight_Newbie!P76</f>
        <v>(5, 6]</v>
      </c>
      <c r="E71" s="7" t="str">
        <f>Multiplier_Weight_Newbie!Q76</f>
        <v>E</v>
      </c>
      <c r="F71" s="7">
        <f>Multiplier_Weight_Newbie!R76</f>
        <v>3.1534153914393437E-3</v>
      </c>
      <c r="G71" s="4">
        <f>Multiplier_Weight_Newbie!V76</f>
        <v>0</v>
      </c>
      <c r="H71" s="4">
        <f>Multiplier_Weight_Oldhand!V76</f>
        <v>0</v>
      </c>
    </row>
    <row r="72" spans="2:8" ht="15.6" customHeight="1" x14ac:dyDescent="0.3">
      <c r="B72" s="7">
        <f>Multiplier_Weight_Newbie!B77</f>
        <v>6</v>
      </c>
      <c r="C72" s="7">
        <f>Multiplier_Weight_Newbie!C77</f>
        <v>7</v>
      </c>
      <c r="D72" s="7" t="str">
        <f>Multiplier_Weight_Newbie!P77</f>
        <v>(6, 7]</v>
      </c>
      <c r="E72" s="7" t="str">
        <f>Multiplier_Weight_Newbie!Q77</f>
        <v>E</v>
      </c>
      <c r="F72" s="7">
        <f>Multiplier_Weight_Newbie!R77</f>
        <v>3.1831178912017236E-3</v>
      </c>
      <c r="G72" s="4">
        <f>Multiplier_Weight_Newbie!V77</f>
        <v>0</v>
      </c>
      <c r="H72" s="4">
        <f>Multiplier_Weight_Oldhand!V77</f>
        <v>0</v>
      </c>
    </row>
    <row r="73" spans="2:8" ht="15.6" customHeight="1" x14ac:dyDescent="0.3">
      <c r="B73" s="7">
        <f>Multiplier_Weight_Newbie!B78</f>
        <v>7</v>
      </c>
      <c r="C73" s="7">
        <f>Multiplier_Weight_Newbie!C78</f>
        <v>8</v>
      </c>
      <c r="D73" s="7" t="str">
        <f>Multiplier_Weight_Newbie!P78</f>
        <v>(7, 8]</v>
      </c>
      <c r="E73" s="7" t="str">
        <f>Multiplier_Weight_Newbie!Q78</f>
        <v>E</v>
      </c>
      <c r="F73" s="7">
        <f>Multiplier_Weight_Newbie!R78</f>
        <v>3.024704559135697E-3</v>
      </c>
      <c r="G73" s="4">
        <f>Multiplier_Weight_Newbie!V78</f>
        <v>0</v>
      </c>
      <c r="H73" s="4">
        <f>Multiplier_Weight_Oldhand!V78</f>
        <v>0</v>
      </c>
    </row>
    <row r="74" spans="2:8" ht="15.6" customHeight="1" x14ac:dyDescent="0.3">
      <c r="B74" s="7">
        <f>Multiplier_Weight_Newbie!B79</f>
        <v>8</v>
      </c>
      <c r="C74" s="7">
        <f>Multiplier_Weight_Newbie!C79</f>
        <v>9</v>
      </c>
      <c r="D74" s="7" t="str">
        <f>Multiplier_Weight_Newbie!P79</f>
        <v>(8, 9]</v>
      </c>
      <c r="E74" s="7" t="str">
        <f>Multiplier_Weight_Newbie!Q79</f>
        <v>E</v>
      </c>
      <c r="F74" s="7">
        <f>Multiplier_Weight_Newbie!R79</f>
        <v>3.1237128916769634E-3</v>
      </c>
      <c r="G74" s="4">
        <f>Multiplier_Weight_Newbie!V79</f>
        <v>0</v>
      </c>
      <c r="H74" s="4">
        <f>Multiplier_Weight_Oldhand!V79</f>
        <v>0</v>
      </c>
    </row>
    <row r="75" spans="2:8" ht="15.6" customHeight="1" x14ac:dyDescent="0.3">
      <c r="B75" s="7">
        <f>Multiplier_Weight_Newbie!B80</f>
        <v>9</v>
      </c>
      <c r="C75" s="7">
        <f>Multiplier_Weight_Newbie!C80</f>
        <v>10</v>
      </c>
      <c r="D75" s="7" t="str">
        <f>Multiplier_Weight_Newbie!P80</f>
        <v>(9, 10]</v>
      </c>
      <c r="E75" s="7" t="str">
        <f>Multiplier_Weight_Newbie!Q80</f>
        <v>E</v>
      </c>
      <c r="F75" s="7">
        <f>Multiplier_Weight_Newbie!R80</f>
        <v>3.2563840572822607E-3</v>
      </c>
      <c r="G75" s="4">
        <f>Multiplier_Weight_Newbie!V80</f>
        <v>0</v>
      </c>
      <c r="H75" s="4">
        <f>Multiplier_Weight_Oldhand!V80</f>
        <v>0</v>
      </c>
    </row>
    <row r="76" spans="2:8" ht="15.6" customHeight="1" x14ac:dyDescent="0.3">
      <c r="B76" s="7">
        <f>Multiplier_Weight_Newbie!B81</f>
        <v>10</v>
      </c>
      <c r="C76" s="7">
        <f>Multiplier_Weight_Newbie!C81</f>
        <v>15</v>
      </c>
      <c r="D76" s="7" t="str">
        <f>Multiplier_Weight_Newbie!P81</f>
        <v>(10, 15]</v>
      </c>
      <c r="E76" s="7" t="str">
        <f>Multiplier_Weight_Newbie!Q81</f>
        <v>E</v>
      </c>
      <c r="F76" s="7">
        <f>Multiplier_Weight_Newbie!R81</f>
        <v>1.626112853657764E-2</v>
      </c>
      <c r="G76" s="4">
        <f>Multiplier_Weight_Newbie!V81</f>
        <v>0</v>
      </c>
      <c r="H76" s="4">
        <f>Multiplier_Weight_Oldhand!V81</f>
        <v>106801961</v>
      </c>
    </row>
    <row r="77" spans="2:8" ht="15.6" customHeight="1" x14ac:dyDescent="0.3">
      <c r="B77" s="7">
        <f>Multiplier_Weight_Newbie!B82</f>
        <v>15</v>
      </c>
      <c r="C77" s="7">
        <f>Multiplier_Weight_Newbie!C82</f>
        <v>20</v>
      </c>
      <c r="D77" s="7" t="str">
        <f>Multiplier_Weight_Newbie!P82</f>
        <v>(15, 20]</v>
      </c>
      <c r="E77" s="7" t="str">
        <f>Multiplier_Weight_Newbie!Q82</f>
        <v>E</v>
      </c>
      <c r="F77" s="7">
        <f>Multiplier_Weight_Newbie!R82</f>
        <v>1.7140322529544085E-2</v>
      </c>
      <c r="G77" s="4">
        <f>Multiplier_Weight_Newbie!V82</f>
        <v>0</v>
      </c>
      <c r="H77" s="4">
        <f>Multiplier_Weight_Oldhand!V82</f>
        <v>116516621</v>
      </c>
    </row>
    <row r="78" spans="2:8" ht="15.6" customHeight="1" x14ac:dyDescent="0.3">
      <c r="B78" s="7">
        <f>Multiplier_Weight_Newbie!B83</f>
        <v>20</v>
      </c>
      <c r="C78" s="7">
        <f>Multiplier_Weight_Newbie!C83</f>
        <v>25</v>
      </c>
      <c r="D78" s="7" t="str">
        <f>Multiplier_Weight_Newbie!P83</f>
        <v>(20, 25]</v>
      </c>
      <c r="E78" s="7" t="str">
        <f>Multiplier_Weight_Newbie!Q83</f>
        <v>E</v>
      </c>
      <c r="F78" s="7">
        <f>Multiplier_Weight_Newbie!R83</f>
        <v>1.7578929442701896E-2</v>
      </c>
      <c r="G78" s="4">
        <f>Multiplier_Weight_Newbie!V83</f>
        <v>145300187</v>
      </c>
      <c r="H78" s="4">
        <f>Multiplier_Weight_Oldhand!V83</f>
        <v>138548623</v>
      </c>
    </row>
    <row r="79" spans="2:8" ht="15.6" customHeight="1" x14ac:dyDescent="0.3">
      <c r="B79" s="7">
        <f>Multiplier_Weight_Newbie!B84</f>
        <v>25</v>
      </c>
      <c r="C79" s="7">
        <f>Multiplier_Weight_Newbie!C84</f>
        <v>30</v>
      </c>
      <c r="D79" s="7" t="str">
        <f>Multiplier_Weight_Newbie!P84</f>
        <v>(25, 30]</v>
      </c>
      <c r="E79" s="7" t="str">
        <f>Multiplier_Weight_Newbie!Q84</f>
        <v>E</v>
      </c>
      <c r="F79" s="7">
        <f>Multiplier_Weight_Newbie!R84</f>
        <v>1.8071990938757405E-2</v>
      </c>
      <c r="G79" s="4">
        <f>Multiplier_Weight_Newbie!V84</f>
        <v>298751261</v>
      </c>
      <c r="H79" s="4">
        <f>Multiplier_Weight_Oldhand!V84</f>
        <v>142434695</v>
      </c>
    </row>
    <row r="80" spans="2:8" ht="15.6" customHeight="1" x14ac:dyDescent="0.3">
      <c r="B80" s="7">
        <f>Multiplier_Weight_Newbie!B85</f>
        <v>30</v>
      </c>
      <c r="C80" s="7">
        <f>Multiplier_Weight_Newbie!C85</f>
        <v>35</v>
      </c>
      <c r="D80" s="7" t="str">
        <f>Multiplier_Weight_Newbie!P85</f>
        <v>(30, 35]</v>
      </c>
      <c r="E80" s="7" t="str">
        <f>Multiplier_Weight_Newbie!Q85</f>
        <v>E</v>
      </c>
      <c r="F80" s="7">
        <f>Multiplier_Weight_Newbie!R85</f>
        <v>1.8152187688115832E-2</v>
      </c>
      <c r="G80" s="4">
        <f>Multiplier_Weight_Newbie!V85</f>
        <v>300077007</v>
      </c>
      <c r="H80" s="4">
        <f>Multiplier_Weight_Oldhand!V85</f>
        <v>143066767</v>
      </c>
    </row>
    <row r="81" spans="2:8" ht="15.6" customHeight="1" x14ac:dyDescent="0.3">
      <c r="B81" s="7">
        <f>Multiplier_Weight_Newbie!B86</f>
        <v>35</v>
      </c>
      <c r="C81" s="7">
        <f>Multiplier_Weight_Newbie!C86</f>
        <v>40</v>
      </c>
      <c r="D81" s="7" t="str">
        <f>Multiplier_Weight_Newbie!P86</f>
        <v>(35, 40]</v>
      </c>
      <c r="E81" s="7" t="str">
        <f>Multiplier_Weight_Newbie!Q86</f>
        <v>E</v>
      </c>
      <c r="F81" s="7">
        <f>Multiplier_Weight_Newbie!R86</f>
        <v>1.8142286854861706E-2</v>
      </c>
      <c r="G81" s="4">
        <f>Multiplier_Weight_Newbie!V86</f>
        <v>149956667</v>
      </c>
      <c r="H81" s="4">
        <f>Multiplier_Weight_Oldhand!V86</f>
        <v>142988733</v>
      </c>
    </row>
    <row r="82" spans="2:8" ht="15.6" customHeight="1" x14ac:dyDescent="0.3">
      <c r="B82" s="7">
        <f>Multiplier_Weight_Newbie!B87</f>
        <v>40</v>
      </c>
      <c r="C82" s="7">
        <f>Multiplier_Weight_Newbie!C87</f>
        <v>45</v>
      </c>
      <c r="D82" s="7" t="str">
        <f>Multiplier_Weight_Newbie!P87</f>
        <v>(40, 45]</v>
      </c>
      <c r="E82" s="7" t="str">
        <f>Multiplier_Weight_Newbie!Q87</f>
        <v>E</v>
      </c>
      <c r="F82" s="7">
        <f>Multiplier_Weight_Newbie!R87</f>
        <v>1.8305650603554796E-2</v>
      </c>
      <c r="G82" s="4">
        <f>Multiplier_Weight_Newbie!V87</f>
        <v>105914875</v>
      </c>
      <c r="H82" s="4">
        <f>Multiplier_Weight_Oldhand!V87</f>
        <v>60115119</v>
      </c>
    </row>
    <row r="83" spans="2:8" ht="15.6" customHeight="1" x14ac:dyDescent="0.3">
      <c r="B83" s="7">
        <f>Multiplier_Weight_Newbie!B88</f>
        <v>45</v>
      </c>
      <c r="C83" s="7">
        <f>Multiplier_Weight_Newbie!C88</f>
        <v>50</v>
      </c>
      <c r="D83" s="7" t="str">
        <f>Multiplier_Weight_Newbie!P88</f>
        <v>(45, 50]</v>
      </c>
      <c r="E83" s="7" t="str">
        <f>Multiplier_Weight_Newbie!Q88</f>
        <v>E</v>
      </c>
      <c r="F83" s="7">
        <f>Multiplier_Weight_Newbie!R88</f>
        <v>1.8339313436618827E-2</v>
      </c>
      <c r="G83" s="4">
        <f>Multiplier_Weight_Newbie!V88</f>
        <v>0</v>
      </c>
      <c r="H83" s="4">
        <f>Multiplier_Weight_Oldhand!V88</f>
        <v>12045133</v>
      </c>
    </row>
    <row r="84" spans="2:8" ht="15.6" customHeight="1" x14ac:dyDescent="0.3">
      <c r="B84" s="7">
        <f>Multiplier_Weight_Newbie!B89</f>
        <v>50</v>
      </c>
      <c r="C84" s="7">
        <f>Multiplier_Weight_Newbie!C89</f>
        <v>60</v>
      </c>
      <c r="D84" s="7" t="str">
        <f>Multiplier_Weight_Newbie!P89</f>
        <v>(50, 60]</v>
      </c>
      <c r="E84" s="7" t="str">
        <f>Multiplier_Weight_Newbie!Q89</f>
        <v>E</v>
      </c>
      <c r="F84" s="7">
        <f>Multiplier_Weight_Newbie!R89</f>
        <v>3.6662785540031051E-2</v>
      </c>
      <c r="G84" s="4">
        <f>Multiplier_Weight_Newbie!V89</f>
        <v>0</v>
      </c>
      <c r="H84" s="4">
        <f>Multiplier_Weight_Oldhand!V89</f>
        <v>96319450</v>
      </c>
    </row>
    <row r="85" spans="2:8" ht="15.6" customHeight="1" x14ac:dyDescent="0.3">
      <c r="B85" s="7">
        <f>Multiplier_Weight_Newbie!B90</f>
        <v>60</v>
      </c>
      <c r="C85" s="7">
        <f>Multiplier_Weight_Newbie!C90</f>
        <v>70</v>
      </c>
      <c r="D85" s="7" t="str">
        <f>Multiplier_Weight_Newbie!P90</f>
        <v>(60, 70]</v>
      </c>
      <c r="E85" s="7" t="str">
        <f>Multiplier_Weight_Newbie!Q90</f>
        <v>E</v>
      </c>
      <c r="F85" s="7">
        <f>Multiplier_Weight_Newbie!R90</f>
        <v>3.6057844628203911E-2</v>
      </c>
      <c r="G85" s="4">
        <f>Multiplier_Weight_Newbie!V90</f>
        <v>0</v>
      </c>
      <c r="H85" s="4">
        <f>Multiplier_Weight_Oldhand!V90</f>
        <v>23682541</v>
      </c>
    </row>
    <row r="86" spans="2:8" ht="15.6" customHeight="1" x14ac:dyDescent="0.3">
      <c r="B86" s="7">
        <f>Multiplier_Weight_Newbie!B91</f>
        <v>70</v>
      </c>
      <c r="C86" s="7">
        <f>Multiplier_Weight_Newbie!C91</f>
        <v>80</v>
      </c>
      <c r="D86" s="7" t="str">
        <f>Multiplier_Weight_Newbie!P91</f>
        <v>(70, 80]</v>
      </c>
      <c r="E86" s="7" t="str">
        <f>Multiplier_Weight_Newbie!Q91</f>
        <v>E</v>
      </c>
      <c r="F86" s="7">
        <f>Multiplier_Weight_Newbie!R91</f>
        <v>3.4833111554668443E-2</v>
      </c>
      <c r="G86" s="4">
        <f>Multiplier_Weight_Newbie!V91</f>
        <v>0</v>
      </c>
      <c r="H86" s="4">
        <f>Multiplier_Weight_Oldhand!V91</f>
        <v>4575629</v>
      </c>
    </row>
    <row r="87" spans="2:8" ht="15.6" customHeight="1" x14ac:dyDescent="0.3">
      <c r="B87" s="7">
        <f>Multiplier_Weight_Newbie!B92</f>
        <v>80</v>
      </c>
      <c r="C87" s="7">
        <f>Multiplier_Weight_Newbie!C92</f>
        <v>90</v>
      </c>
      <c r="D87" s="7" t="str">
        <f>Multiplier_Weight_Newbie!P92</f>
        <v>(80, 90]</v>
      </c>
      <c r="E87" s="7" t="str">
        <f>Multiplier_Weight_Newbie!Q92</f>
        <v>E</v>
      </c>
      <c r="F87" s="7">
        <f>Multiplier_Weight_Newbie!R92</f>
        <v>3.3876691062319803E-2</v>
      </c>
      <c r="G87" s="4">
        <f>Multiplier_Weight_Newbie!V92</f>
        <v>0</v>
      </c>
      <c r="H87" s="4">
        <f>Multiplier_Weight_Oldhand!V92</f>
        <v>2224997</v>
      </c>
    </row>
    <row r="88" spans="2:8" ht="15.6" customHeight="1" x14ac:dyDescent="0.3">
      <c r="B88" s="7">
        <f>Multiplier_Weight_Newbie!B93</f>
        <v>90</v>
      </c>
      <c r="C88" s="7">
        <f>Multiplier_Weight_Newbie!C93</f>
        <v>100</v>
      </c>
      <c r="D88" s="7" t="str">
        <f>Multiplier_Weight_Newbie!P93</f>
        <v>(90, 100]</v>
      </c>
      <c r="E88" s="7" t="str">
        <f>Multiplier_Weight_Newbie!Q93</f>
        <v>E</v>
      </c>
      <c r="F88" s="7">
        <f>Multiplier_Weight_Newbie!R93</f>
        <v>3.2252954408643029E-2</v>
      </c>
      <c r="G88" s="4">
        <f>Multiplier_Weight_Newbie!V93</f>
        <v>0</v>
      </c>
      <c r="H88" s="4">
        <f>Multiplier_Weight_Oldhand!V93</f>
        <v>2118351</v>
      </c>
    </row>
    <row r="89" spans="2:8" ht="15.6" customHeight="1" x14ac:dyDescent="0.3">
      <c r="B89" s="7">
        <f>Multiplier_Weight_Newbie!B94</f>
        <v>100</v>
      </c>
      <c r="C89" s="7">
        <f>Multiplier_Weight_Newbie!C94</f>
        <v>120</v>
      </c>
      <c r="D89" s="7" t="str">
        <f>Multiplier_Weight_Newbie!P94</f>
        <v>(100, 120]</v>
      </c>
      <c r="E89" s="7" t="str">
        <f>Multiplier_Weight_Newbie!Q94</f>
        <v>E</v>
      </c>
      <c r="F89" s="7">
        <f>Multiplier_Weight_Newbie!R94</f>
        <v>6.15544704242309E-2</v>
      </c>
      <c r="G89" s="4">
        <f>Multiplier_Weight_Newbie!V94</f>
        <v>0</v>
      </c>
      <c r="H89" s="4">
        <f>Multiplier_Weight_Oldhand!V94</f>
        <v>8085709</v>
      </c>
    </row>
    <row r="90" spans="2:8" ht="15.6" customHeight="1" x14ac:dyDescent="0.3">
      <c r="B90" s="7">
        <f>Multiplier_Weight_Newbie!B95</f>
        <v>120</v>
      </c>
      <c r="C90" s="7">
        <f>Multiplier_Weight_Newbie!C95</f>
        <v>140</v>
      </c>
      <c r="D90" s="7" t="str">
        <f>Multiplier_Weight_Newbie!P95</f>
        <v>(120, 140]</v>
      </c>
      <c r="E90" s="7" t="str">
        <f>Multiplier_Weight_Newbie!Q95</f>
        <v>E</v>
      </c>
      <c r="F90" s="7">
        <f>Multiplier_Weight_Newbie!R95</f>
        <v>5.7145629376168301E-2</v>
      </c>
      <c r="G90" s="4">
        <f>Multiplier_Weight_Newbie!V95</f>
        <v>0</v>
      </c>
      <c r="H90" s="4">
        <f>Multiplier_Weight_Oldhand!V95</f>
        <v>375328</v>
      </c>
    </row>
    <row r="91" spans="2:8" ht="15.6" customHeight="1" x14ac:dyDescent="0.3">
      <c r="B91" s="7">
        <f>Multiplier_Weight_Newbie!B96</f>
        <v>140</v>
      </c>
      <c r="C91" s="7">
        <f>Multiplier_Weight_Newbie!C96</f>
        <v>160</v>
      </c>
      <c r="D91" s="7" t="str">
        <f>Multiplier_Weight_Newbie!P96</f>
        <v>(140, 160]</v>
      </c>
      <c r="E91" s="7" t="str">
        <f>Multiplier_Weight_Newbie!Q96</f>
        <v>E</v>
      </c>
      <c r="F91" s="7">
        <f>Multiplier_Weight_Newbie!R96</f>
        <v>5.1730863669486427E-2</v>
      </c>
      <c r="G91" s="4">
        <f>Multiplier_Weight_Newbie!V96</f>
        <v>0</v>
      </c>
      <c r="H91" s="4">
        <f>Multiplier_Weight_Oldhand!V96</f>
        <v>33976</v>
      </c>
    </row>
    <row r="92" spans="2:8" ht="15.6" customHeight="1" x14ac:dyDescent="0.3">
      <c r="B92" s="7">
        <f>Multiplier_Weight_Newbie!B97</f>
        <v>160</v>
      </c>
      <c r="C92" s="7">
        <f>Multiplier_Weight_Newbie!C97</f>
        <v>180</v>
      </c>
      <c r="D92" s="7" t="str">
        <f>Multiplier_Weight_Newbie!P97</f>
        <v>(160, 180]</v>
      </c>
      <c r="E92" s="7" t="str">
        <f>Multiplier_Weight_Newbie!Q97</f>
        <v>E</v>
      </c>
      <c r="F92" s="7">
        <f>Multiplier_Weight_Newbie!R97</f>
        <v>4.7550731869594146E-2</v>
      </c>
      <c r="G92" s="4">
        <f>Multiplier_Weight_Newbie!V97</f>
        <v>0</v>
      </c>
      <c r="H92" s="4">
        <f>Multiplier_Weight_Oldhand!V97</f>
        <v>31230</v>
      </c>
    </row>
    <row r="93" spans="2:8" ht="15.6" customHeight="1" x14ac:dyDescent="0.3">
      <c r="B93" s="7">
        <f>Multiplier_Weight_Newbie!B98</f>
        <v>180</v>
      </c>
      <c r="C93" s="7">
        <f>Multiplier_Weight_Newbie!C98</f>
        <v>200</v>
      </c>
      <c r="D93" s="7" t="str">
        <f>Multiplier_Weight_Newbie!P98</f>
        <v>(180, 200]</v>
      </c>
      <c r="E93" s="7" t="str">
        <f>Multiplier_Weight_Newbie!Q98</f>
        <v>E</v>
      </c>
      <c r="F93" s="7">
        <f>Multiplier_Weight_Newbie!R98</f>
        <v>4.3213176820961249E-2</v>
      </c>
      <c r="G93" s="4">
        <f>Multiplier_Weight_Newbie!V98</f>
        <v>0</v>
      </c>
      <c r="H93" s="4">
        <f>Multiplier_Weight_Oldhand!V98</f>
        <v>28382</v>
      </c>
    </row>
    <row r="94" spans="2:8" ht="15.6" customHeight="1" x14ac:dyDescent="0.3">
      <c r="B94" s="7">
        <f>Multiplier_Weight_Newbie!B99</f>
        <v>200</v>
      </c>
      <c r="C94" s="7">
        <f>Multiplier_Weight_Newbie!C99</f>
        <v>250</v>
      </c>
      <c r="D94" s="7" t="str">
        <f>Multiplier_Weight_Newbie!P99</f>
        <v>(200, 250]</v>
      </c>
      <c r="E94" s="7" t="str">
        <f>Multiplier_Weight_Newbie!Q99</f>
        <v>E</v>
      </c>
      <c r="F94" s="7">
        <f>Multiplier_Weight_Newbie!R99</f>
        <v>9.0327281944048404E-2</v>
      </c>
      <c r="G94" s="4">
        <f>Multiplier_Weight_Newbie!V99</f>
        <v>0</v>
      </c>
      <c r="H94" s="4">
        <f>Multiplier_Weight_Oldhand!V99</f>
        <v>5932</v>
      </c>
    </row>
    <row r="95" spans="2:8" ht="15.6" customHeight="1" x14ac:dyDescent="0.3">
      <c r="B95" s="7">
        <f>Multiplier_Weight_Newbie!B100</f>
        <v>250</v>
      </c>
      <c r="C95" s="7">
        <f>Multiplier_Weight_Newbie!C100</f>
        <v>300</v>
      </c>
      <c r="D95" s="7" t="str">
        <f>Multiplier_Weight_Newbie!P100</f>
        <v>(250, 300]</v>
      </c>
      <c r="E95" s="7" t="str">
        <f>Multiplier_Weight_Newbie!Q100</f>
        <v>E</v>
      </c>
      <c r="F95" s="7">
        <f>Multiplier_Weight_Newbie!R100</f>
        <v>6.9947406773754078E-2</v>
      </c>
      <c r="G95" s="4">
        <f>Multiplier_Weight_Newbie!V100</f>
        <v>0</v>
      </c>
      <c r="H95" s="4">
        <f>Multiplier_Weight_Oldhand!V100</f>
        <v>459</v>
      </c>
    </row>
    <row r="96" spans="2:8" ht="15.6" customHeight="1" x14ac:dyDescent="0.3">
      <c r="B96" s="7">
        <f>Multiplier_Weight_Newbie!B101</f>
        <v>300</v>
      </c>
      <c r="C96" s="7">
        <f>Multiplier_Weight_Newbie!C101</f>
        <v>350</v>
      </c>
      <c r="D96" s="7" t="str">
        <f>Multiplier_Weight_Newbie!P101</f>
        <v>(300, 350]</v>
      </c>
      <c r="E96" s="7" t="str">
        <f>Multiplier_Weight_Newbie!Q101</f>
        <v>E</v>
      </c>
      <c r="F96" s="7">
        <f>Multiplier_Weight_Newbie!R101</f>
        <v>5.398231315147483E-2</v>
      </c>
      <c r="G96" s="4">
        <f>Multiplier_Weight_Newbie!V101</f>
        <v>0</v>
      </c>
      <c r="H96" s="4">
        <f>Multiplier_Weight_Oldhand!V101</f>
        <v>354</v>
      </c>
    </row>
    <row r="97" spans="2:8" ht="15.6" customHeight="1" x14ac:dyDescent="0.3">
      <c r="B97" s="7">
        <f>Multiplier_Weight_Newbie!B102</f>
        <v>350</v>
      </c>
      <c r="C97" s="7">
        <f>Multiplier_Weight_Newbie!C102</f>
        <v>400</v>
      </c>
      <c r="D97" s="7" t="str">
        <f>Multiplier_Weight_Newbie!P102</f>
        <v>(350, 400]</v>
      </c>
      <c r="E97" s="7" t="str">
        <f>Multiplier_Weight_Newbie!Q102</f>
        <v>E</v>
      </c>
      <c r="F97" s="7">
        <f>Multiplier_Weight_Newbie!R102</f>
        <v>4.1055785254887053E-2</v>
      </c>
      <c r="G97" s="4">
        <f>Multiplier_Weight_Newbie!V102</f>
        <v>0</v>
      </c>
      <c r="H97" s="4">
        <f>Multiplier_Weight_Oldhand!V102</f>
        <v>0</v>
      </c>
    </row>
    <row r="98" spans="2:8" ht="15.6" customHeight="1" x14ac:dyDescent="0.3">
      <c r="B98" s="7">
        <f>Multiplier_Weight_Newbie!B103</f>
        <v>400</v>
      </c>
      <c r="C98" s="7">
        <f>Multiplier_Weight_Newbie!C103</f>
        <v>450</v>
      </c>
      <c r="D98" s="7" t="str">
        <f>Multiplier_Weight_Newbie!P103</f>
        <v>(400, 450]</v>
      </c>
      <c r="E98" s="7" t="str">
        <f>Multiplier_Weight_Newbie!Q103</f>
        <v>E</v>
      </c>
      <c r="F98" s="7">
        <f>Multiplier_Weight_Newbie!R103</f>
        <v>3.1751972245984222E-2</v>
      </c>
      <c r="G98" s="4">
        <f>Multiplier_Weight_Newbie!V103</f>
        <v>0</v>
      </c>
      <c r="H98" s="4">
        <f>Multiplier_Weight_Oldhand!V103</f>
        <v>0</v>
      </c>
    </row>
    <row r="99" spans="2:8" ht="15.6" customHeight="1" x14ac:dyDescent="0.3">
      <c r="B99" s="7">
        <f>Multiplier_Weight_Newbie!B104</f>
        <v>450</v>
      </c>
      <c r="C99" s="7">
        <f>Multiplier_Weight_Newbie!C104</f>
        <v>500</v>
      </c>
      <c r="D99" s="7" t="str">
        <f>Multiplier_Weight_Newbie!P104</f>
        <v>(450, 500]</v>
      </c>
      <c r="E99" s="7" t="str">
        <f>Multiplier_Weight_Newbie!Q104</f>
        <v>E</v>
      </c>
      <c r="F99" s="7">
        <f>Multiplier_Weight_Newbie!R104</f>
        <v>2.4456048221018281E-2</v>
      </c>
      <c r="G99" s="4">
        <f>Multiplier_Weight_Newbie!V104</f>
        <v>0</v>
      </c>
      <c r="H99" s="4">
        <f>Multiplier_Weight_Oldhand!V104</f>
        <v>0</v>
      </c>
    </row>
    <row r="100" spans="2:8" ht="15.6" customHeight="1" x14ac:dyDescent="0.3">
      <c r="B100" s="7">
        <f>Multiplier_Weight_Newbie!B105</f>
        <v>500</v>
      </c>
      <c r="C100" s="7">
        <f>Multiplier_Weight_Newbie!C105</f>
        <v>550</v>
      </c>
      <c r="D100" s="7" t="str">
        <f>Multiplier_Weight_Newbie!P105</f>
        <v>(500, 550]</v>
      </c>
      <c r="E100" s="7" t="str">
        <f>Multiplier_Weight_Newbie!Q105</f>
        <v>E</v>
      </c>
      <c r="F100" s="7">
        <f>Multiplier_Weight_Newbie!R105</f>
        <v>1.850762760193898E-2</v>
      </c>
      <c r="G100" s="4">
        <f>Multiplier_Weight_Newbie!V105</f>
        <v>0</v>
      </c>
      <c r="H100" s="4">
        <f>Multiplier_Weight_Oldhand!V105</f>
        <v>0</v>
      </c>
    </row>
    <row r="101" spans="2:8" ht="15.6" customHeight="1" x14ac:dyDescent="0.3">
      <c r="B101" s="7">
        <f>Multiplier_Weight_Newbie!B106</f>
        <v>550</v>
      </c>
      <c r="C101" s="7">
        <f>Multiplier_Weight_Newbie!C106</f>
        <v>600</v>
      </c>
      <c r="D101" s="7" t="str">
        <f>Multiplier_Weight_Newbie!P106</f>
        <v>(550, 600]</v>
      </c>
      <c r="E101" s="7" t="str">
        <f>Multiplier_Weight_Newbie!Q106</f>
        <v>E</v>
      </c>
      <c r="F101" s="7">
        <f>Multiplier_Weight_Newbie!R106</f>
        <v>1.4239378386084973E-2</v>
      </c>
      <c r="G101" s="4">
        <f>Multiplier_Weight_Newbie!V106</f>
        <v>0</v>
      </c>
      <c r="H101" s="4">
        <f>Multiplier_Weight_Oldhand!V106</f>
        <v>0</v>
      </c>
    </row>
    <row r="102" spans="2:8" ht="15.6" customHeight="1" x14ac:dyDescent="0.3">
      <c r="B102" s="7">
        <f>Multiplier_Weight_Newbie!B107</f>
        <v>600</v>
      </c>
      <c r="C102" s="7">
        <f>Multiplier_Weight_Newbie!C107</f>
        <v>650</v>
      </c>
      <c r="D102" s="7" t="str">
        <f>Multiplier_Weight_Newbie!P107</f>
        <v>(600, 650]</v>
      </c>
      <c r="E102" s="7" t="str">
        <f>Multiplier_Weight_Newbie!Q107</f>
        <v>E</v>
      </c>
      <c r="F102" s="7">
        <f>Multiplier_Weight_Newbie!R107</f>
        <v>1.0908738079396763E-2</v>
      </c>
      <c r="G102" s="4">
        <f>Multiplier_Weight_Newbie!V107</f>
        <v>0</v>
      </c>
      <c r="H102" s="4">
        <f>Multiplier_Weight_Oldhand!V107</f>
        <v>0</v>
      </c>
    </row>
    <row r="103" spans="2:8" ht="15.6" customHeight="1" x14ac:dyDescent="0.3">
      <c r="B103" s="7">
        <f>Multiplier_Weight_Newbie!B108</f>
        <v>650</v>
      </c>
      <c r="C103" s="7">
        <f>Multiplier_Weight_Newbie!C108</f>
        <v>700</v>
      </c>
      <c r="D103" s="7" t="str">
        <f>Multiplier_Weight_Newbie!P108</f>
        <v>(650, 700]</v>
      </c>
      <c r="E103" s="7" t="str">
        <f>Multiplier_Weight_Newbie!Q108</f>
        <v>E</v>
      </c>
      <c r="F103" s="7">
        <f>Multiplier_Weight_Newbie!R108</f>
        <v>8.4404603491429839E-3</v>
      </c>
      <c r="G103" s="4">
        <f>Multiplier_Weight_Newbie!V108</f>
        <v>0</v>
      </c>
      <c r="H103" s="4">
        <f>Multiplier_Weight_Oldhand!V108</f>
        <v>0</v>
      </c>
    </row>
    <row r="104" spans="2:8" ht="15.6" customHeight="1" x14ac:dyDescent="0.3">
      <c r="B104" s="7">
        <f>Multiplier_Weight_Newbie!B109</f>
        <v>700</v>
      </c>
      <c r="C104" s="7">
        <f>Multiplier_Weight_Newbie!C109</f>
        <v>750</v>
      </c>
      <c r="D104" s="7" t="str">
        <f>Multiplier_Weight_Newbie!P109</f>
        <v>(700, 750]</v>
      </c>
      <c r="E104" s="7" t="str">
        <f>Multiplier_Weight_Newbie!Q109</f>
        <v>E</v>
      </c>
      <c r="F104" s="7">
        <f>Multiplier_Weight_Newbie!R109</f>
        <v>6.4880160314292048E-3</v>
      </c>
      <c r="G104" s="4">
        <f>Multiplier_Weight_Newbie!V109</f>
        <v>0</v>
      </c>
      <c r="H104" s="4">
        <f>Multiplier_Weight_Oldhand!V109</f>
        <v>0</v>
      </c>
    </row>
    <row r="105" spans="2:8" ht="15.6" customHeight="1" x14ac:dyDescent="0.3">
      <c r="B105" s="7">
        <f>Multiplier_Weight_Newbie!B110</f>
        <v>750</v>
      </c>
      <c r="C105" s="7">
        <f>Multiplier_Weight_Newbie!C110</f>
        <v>800</v>
      </c>
      <c r="D105" s="7" t="str">
        <f>Multiplier_Weight_Newbie!P110</f>
        <v>(750, 800]</v>
      </c>
      <c r="E105" s="7" t="str">
        <f>Multiplier_Weight_Newbie!Q110</f>
        <v>E</v>
      </c>
      <c r="F105" s="7">
        <f>Multiplier_Weight_Newbie!R110</f>
        <v>4.9652678769445237E-3</v>
      </c>
      <c r="G105" s="4">
        <f>Multiplier_Weight_Newbie!V110</f>
        <v>0</v>
      </c>
      <c r="H105" s="4">
        <f>Multiplier_Weight_Oldhand!V110</f>
        <v>0</v>
      </c>
    </row>
    <row r="106" spans="2:8" ht="15.6" customHeight="1" x14ac:dyDescent="0.3">
      <c r="B106" s="7">
        <f>Multiplier_Weight_Newbie!B111</f>
        <v>800</v>
      </c>
      <c r="C106" s="7">
        <f>Multiplier_Weight_Newbie!C111</f>
        <v>850</v>
      </c>
      <c r="D106" s="7" t="str">
        <f>Multiplier_Weight_Newbie!P111</f>
        <v>(800, 850]</v>
      </c>
      <c r="E106" s="7" t="str">
        <f>Multiplier_Weight_Newbie!Q111</f>
        <v>E</v>
      </c>
      <c r="F106" s="7">
        <f>Multiplier_Weight_Newbie!R111</f>
        <v>3.8524142191806864E-3</v>
      </c>
      <c r="G106" s="4">
        <f>Multiplier_Weight_Newbie!V111</f>
        <v>0</v>
      </c>
      <c r="H106" s="4">
        <f>Multiplier_Weight_Oldhand!V111</f>
        <v>0</v>
      </c>
    </row>
    <row r="107" spans="2:8" ht="15.6" customHeight="1" x14ac:dyDescent="0.3">
      <c r="B107" s="7">
        <f>Multiplier_Weight_Newbie!B112</f>
        <v>850</v>
      </c>
      <c r="C107" s="7">
        <f>Multiplier_Weight_Newbie!C112</f>
        <v>900</v>
      </c>
      <c r="D107" s="7" t="str">
        <f>Multiplier_Weight_Newbie!P112</f>
        <v>(850, 900]</v>
      </c>
      <c r="E107" s="7" t="str">
        <f>Multiplier_Weight_Newbie!Q112</f>
        <v>E</v>
      </c>
      <c r="F107" s="7">
        <f>Multiplier_Weight_Newbie!R112</f>
        <v>2.9959921426987294E-3</v>
      </c>
      <c r="G107" s="4">
        <f>Multiplier_Weight_Newbie!V112</f>
        <v>0</v>
      </c>
      <c r="H107" s="4">
        <f>Multiplier_Weight_Oldhand!V112</f>
        <v>0</v>
      </c>
    </row>
    <row r="108" spans="2:8" ht="15.6" customHeight="1" x14ac:dyDescent="0.3">
      <c r="B108" s="7">
        <f>Multiplier_Weight_Newbie!B113</f>
        <v>900</v>
      </c>
      <c r="C108" s="7">
        <f>Multiplier_Weight_Newbie!C113</f>
        <v>950</v>
      </c>
      <c r="D108" s="7" t="str">
        <f>Multiplier_Weight_Newbie!P113</f>
        <v>(900, 950]</v>
      </c>
      <c r="E108" s="7" t="str">
        <f>Multiplier_Weight_Newbie!Q113</f>
        <v>E</v>
      </c>
      <c r="F108" s="7">
        <f>Multiplier_Weight_Newbie!R113</f>
        <v>2.25738998194088E-3</v>
      </c>
      <c r="G108" s="4">
        <f>Multiplier_Weight_Newbie!V113</f>
        <v>0</v>
      </c>
      <c r="H108" s="4">
        <f>Multiplier_Weight_Oldhand!V113</f>
        <v>0</v>
      </c>
    </row>
    <row r="109" spans="2:8" ht="15.6" customHeight="1" x14ac:dyDescent="0.3">
      <c r="B109" s="7">
        <f>Multiplier_Weight_Newbie!B114</f>
        <v>950</v>
      </c>
      <c r="C109" s="7">
        <f>Multiplier_Weight_Newbie!C114</f>
        <v>1000</v>
      </c>
      <c r="D109" s="7" t="str">
        <f>Multiplier_Weight_Newbie!P114</f>
        <v>(950, 1000]</v>
      </c>
      <c r="E109" s="7" t="str">
        <f>Multiplier_Weight_Newbie!Q114</f>
        <v>E</v>
      </c>
      <c r="F109" s="7">
        <f>Multiplier_Weight_Newbie!R114</f>
        <v>1.8870988182365428E-3</v>
      </c>
      <c r="G109" s="4">
        <f>Multiplier_Weight_Newbie!V114</f>
        <v>0</v>
      </c>
      <c r="H109" s="4">
        <f>Multiplier_Weight_Oldhand!V114</f>
        <v>0</v>
      </c>
    </row>
    <row r="110" spans="2:8" ht="15.6" customHeight="1" x14ac:dyDescent="0.3">
      <c r="B110" s="7">
        <f>Multiplier_Weight_Newbie!B115</f>
        <v>1000</v>
      </c>
      <c r="C110" s="7">
        <f>Multiplier_Weight_Newbie!C115</f>
        <v>2000</v>
      </c>
      <c r="D110" s="7" t="str">
        <f>Multiplier_Weight_Newbie!P115</f>
        <v>(1000, 2000]</v>
      </c>
      <c r="E110" s="7" t="str">
        <f>Multiplier_Weight_Newbie!Q115</f>
        <v>E</v>
      </c>
      <c r="F110" s="7">
        <f>Multiplier_Weight_Newbie!R115</f>
        <v>6.8335551119982256E-3</v>
      </c>
      <c r="G110" s="4">
        <f>Multiplier_Weight_Newbie!V115</f>
        <v>0</v>
      </c>
      <c r="H110" s="4">
        <f>Multiplier_Weight_Oldhand!V115</f>
        <v>0</v>
      </c>
    </row>
    <row r="111" spans="2:8" ht="15.6" customHeight="1" x14ac:dyDescent="0.3">
      <c r="B111" s="7">
        <f>Multiplier_Weight_Newbie!B116</f>
        <v>2000</v>
      </c>
      <c r="C111" s="7">
        <f>Multiplier_Weight_Newbie!C116</f>
        <v>3000</v>
      </c>
      <c r="D111" s="7" t="str">
        <f>Multiplier_Weight_Newbie!P116</f>
        <v>(2000, 3000]</v>
      </c>
      <c r="E111" s="7" t="str">
        <f>Multiplier_Weight_Newbie!Q116</f>
        <v>E</v>
      </c>
      <c r="F111" s="7">
        <f>Multiplier_Weight_Newbie!R116</f>
        <v>1.4158191553401134E-4</v>
      </c>
      <c r="G111" s="4">
        <f>Multiplier_Weight_Newbie!V116</f>
        <v>0</v>
      </c>
      <c r="H111" s="4">
        <f>Multiplier_Weight_Oldhand!V116</f>
        <v>0</v>
      </c>
    </row>
    <row r="112" spans="2:8" ht="15.6" customHeight="1" x14ac:dyDescent="0.3">
      <c r="B112" s="7">
        <f>Multiplier_Weight_Newbie!B117</f>
        <v>3000</v>
      </c>
      <c r="C112" s="7">
        <f>Multiplier_Weight_Newbie!C117</f>
        <v>4000</v>
      </c>
      <c r="D112" s="7" t="str">
        <f>Multiplier_Weight_Newbie!P117</f>
        <v>(3000, 4000]</v>
      </c>
      <c r="E112" s="7" t="str">
        <f>Multiplier_Weight_Newbie!Q117</f>
        <v>E</v>
      </c>
      <c r="F112" s="7">
        <f>Multiplier_Weight_Newbie!R117</f>
        <v>1.3861166555777333E-5</v>
      </c>
      <c r="G112" s="4">
        <f>Multiplier_Weight_Newbie!V117</f>
        <v>0</v>
      </c>
      <c r="H112" s="4">
        <f>Multiplier_Weight_Oldhand!V117</f>
        <v>0</v>
      </c>
    </row>
    <row r="113" spans="2:8" ht="15.6" customHeight="1" x14ac:dyDescent="0.3">
      <c r="B113" s="7">
        <f>Multiplier_Weight_Newbie!B118</f>
        <v>4000</v>
      </c>
      <c r="C113" s="7">
        <f>Multiplier_Weight_Newbie!C118</f>
        <v>5000</v>
      </c>
      <c r="D113" s="7" t="str">
        <f>Multiplier_Weight_Newbie!P118</f>
        <v>(4000, 5000]</v>
      </c>
      <c r="E113" s="7" t="str">
        <f>Multiplier_Weight_Newbie!Q118</f>
        <v>E</v>
      </c>
      <c r="F113" s="7">
        <f>Multiplier_Weight_Newbie!R118</f>
        <v>0</v>
      </c>
      <c r="G113" s="4">
        <f>Multiplier_Weight_Newbie!V118</f>
        <v>0</v>
      </c>
      <c r="H113" s="4">
        <f>Multiplier_Weight_Oldhand!V118</f>
        <v>0</v>
      </c>
    </row>
    <row r="114" spans="2:8" ht="15.6" customHeight="1" x14ac:dyDescent="0.3">
      <c r="B114" s="7">
        <f>Multiplier_Weight_Newbie!B119</f>
        <v>5000</v>
      </c>
      <c r="C114" s="7">
        <f>Multiplier_Weight_Newbie!C119</f>
        <v>6000</v>
      </c>
      <c r="D114" s="7" t="str">
        <f>Multiplier_Weight_Newbie!P119</f>
        <v>(5000, 6000]</v>
      </c>
      <c r="E114" s="7" t="str">
        <f>Multiplier_Weight_Newbie!Q119</f>
        <v>E</v>
      </c>
      <c r="F114" s="7">
        <f>Multiplier_Weight_Newbie!R119</f>
        <v>0</v>
      </c>
      <c r="G114" s="4">
        <f>Multiplier_Weight_Newbie!V119</f>
        <v>0</v>
      </c>
      <c r="H114" s="4">
        <f>Multiplier_Weight_Oldhand!V119</f>
        <v>0</v>
      </c>
    </row>
    <row r="115" spans="2:8" ht="15.6" customHeight="1" x14ac:dyDescent="0.3">
      <c r="B115" s="7">
        <f>Multiplier_Weight_Newbie!B120</f>
        <v>6000</v>
      </c>
      <c r="C115" s="7">
        <f>Multiplier_Weight_Newbie!C120</f>
        <v>7000</v>
      </c>
      <c r="D115" s="7" t="str">
        <f>Multiplier_Weight_Newbie!P120</f>
        <v>(6000, 7000]</v>
      </c>
      <c r="E115" s="7" t="str">
        <f>Multiplier_Weight_Newbie!Q120</f>
        <v>E</v>
      </c>
      <c r="F115" s="7">
        <f>Multiplier_Weight_Newbie!R120</f>
        <v>0</v>
      </c>
      <c r="G115" s="4">
        <f>Multiplier_Weight_Newbie!V120</f>
        <v>0</v>
      </c>
      <c r="H115" s="4">
        <f>Multiplier_Weight_Oldhand!V120</f>
        <v>0</v>
      </c>
    </row>
    <row r="116" spans="2:8" ht="15.6" customHeight="1" x14ac:dyDescent="0.3">
      <c r="B116" s="7">
        <f>Multiplier_Weight_Newbie!B121</f>
        <v>7000</v>
      </c>
      <c r="C116" s="7">
        <f>Multiplier_Weight_Newbie!C121</f>
        <v>8000</v>
      </c>
      <c r="D116" s="7" t="str">
        <f>Multiplier_Weight_Newbie!P121</f>
        <v>(7000, 8000]</v>
      </c>
      <c r="E116" s="7" t="str">
        <f>Multiplier_Weight_Newbie!Q121</f>
        <v>E</v>
      </c>
      <c r="F116" s="7">
        <f>Multiplier_Weight_Newbie!R121</f>
        <v>0</v>
      </c>
      <c r="G116" s="4">
        <f>Multiplier_Weight_Newbie!V121</f>
        <v>0</v>
      </c>
      <c r="H116" s="4">
        <f>Multiplier_Weight_Oldhand!V121</f>
        <v>0</v>
      </c>
    </row>
    <row r="117" spans="2:8" ht="15.6" customHeight="1" x14ac:dyDescent="0.3">
      <c r="B117" s="7">
        <f>Multiplier_Weight_Newbie!B122</f>
        <v>0</v>
      </c>
      <c r="C117" s="7">
        <f>Multiplier_Weight_Newbie!C122</f>
        <v>0</v>
      </c>
      <c r="D117" s="7" t="str">
        <f>Multiplier_Weight_Newbie!P122</f>
        <v>(, ]</v>
      </c>
      <c r="E117" s="7" t="str">
        <f>Multiplier_Weight_Newbie!Q122</f>
        <v>E</v>
      </c>
      <c r="F117" s="7">
        <f>Multiplier_Weight_Newbie!R122</f>
        <v>0</v>
      </c>
      <c r="G117" s="4">
        <f>Multiplier_Weight_Newbie!V122</f>
        <v>0</v>
      </c>
      <c r="H117" s="4">
        <f>Multiplier_Weight_Oldhand!V122</f>
        <v>0</v>
      </c>
    </row>
    <row r="118" spans="2:8" ht="15.6" customHeight="1" x14ac:dyDescent="0.3">
      <c r="B118" s="7">
        <f>Multiplier_Weight_Newbie!B123</f>
        <v>0</v>
      </c>
      <c r="C118" s="7">
        <f>Multiplier_Weight_Newbie!C123</f>
        <v>0</v>
      </c>
      <c r="D118" s="7" t="str">
        <f>Multiplier_Weight_Newbie!P123</f>
        <v>(, ]</v>
      </c>
      <c r="E118" s="7" t="str">
        <f>Multiplier_Weight_Newbie!Q123</f>
        <v>E</v>
      </c>
      <c r="F118" s="7">
        <f>Multiplier_Weight_Newbie!R123</f>
        <v>0</v>
      </c>
      <c r="G118" s="4">
        <f>Multiplier_Weight_Newbie!V123</f>
        <v>0</v>
      </c>
      <c r="H118" s="4">
        <f>Multiplier_Weight_Oldhand!V123</f>
        <v>0</v>
      </c>
    </row>
    <row r="119" spans="2:8" ht="15.6" customHeight="1" x14ac:dyDescent="0.3">
      <c r="B119" s="7">
        <f>Multiplier_Weight_Newbie!B124</f>
        <v>0</v>
      </c>
      <c r="C119" s="7">
        <f>Multiplier_Weight_Newbie!C124</f>
        <v>0</v>
      </c>
      <c r="D119" s="7" t="str">
        <f>Multiplier_Weight_Newbie!P124</f>
        <v>(, ]</v>
      </c>
      <c r="E119" s="7" t="str">
        <f>Multiplier_Weight_Newbie!Q124</f>
        <v>E</v>
      </c>
      <c r="F119" s="7">
        <f>Multiplier_Weight_Newbie!R124</f>
        <v>0</v>
      </c>
      <c r="G119" s="4">
        <f>Multiplier_Weight_Newbie!V124</f>
        <v>0</v>
      </c>
      <c r="H119" s="4">
        <f>Multiplier_Weight_Oldhand!V124</f>
        <v>0</v>
      </c>
    </row>
    <row r="120" spans="2:8" ht="15.6" customHeight="1" x14ac:dyDescent="0.3">
      <c r="B120" s="7">
        <f>Multiplier_Weight_Newbie!B125</f>
        <v>0</v>
      </c>
      <c r="C120" s="7">
        <f>Multiplier_Weight_Newbie!C125</f>
        <v>0</v>
      </c>
      <c r="D120" s="7" t="str">
        <f>Multiplier_Weight_Newbie!P125</f>
        <v>(, ]</v>
      </c>
      <c r="E120" s="7" t="str">
        <f>Multiplier_Weight_Newbie!Q125</f>
        <v>E</v>
      </c>
      <c r="F120" s="7">
        <f>Multiplier_Weight_Newbie!R125</f>
        <v>0</v>
      </c>
      <c r="G120" s="4">
        <f>Multiplier_Weight_Newbie!V125</f>
        <v>0</v>
      </c>
      <c r="H120" s="4">
        <f>Multiplier_Weight_Oldhand!V125</f>
        <v>0</v>
      </c>
    </row>
    <row r="121" spans="2:8" ht="15.6" customHeight="1" x14ac:dyDescent="0.3">
      <c r="B121" s="7">
        <f>Multiplier_Weight_Newbie!B126</f>
        <v>0</v>
      </c>
      <c r="C121" s="7">
        <f>Multiplier_Weight_Newbie!C126</f>
        <v>0</v>
      </c>
      <c r="D121" s="7" t="str">
        <f>Multiplier_Weight_Newbie!P126</f>
        <v>(, ]</v>
      </c>
      <c r="E121" s="7" t="str">
        <f>Multiplier_Weight_Newbie!Q126</f>
        <v>E</v>
      </c>
      <c r="F121" s="7">
        <f>Multiplier_Weight_Newbie!R126</f>
        <v>0</v>
      </c>
      <c r="G121" s="4">
        <f>Multiplier_Weight_Newbie!V126</f>
        <v>0</v>
      </c>
      <c r="H121" s="4">
        <f>Multiplier_Weight_Oldhand!V126</f>
        <v>0</v>
      </c>
    </row>
    <row r="122" spans="2:8" ht="15.6" customHeight="1" x14ac:dyDescent="0.3">
      <c r="B122" s="7">
        <f>Multiplier_Weight_Newbie!B127</f>
        <v>0</v>
      </c>
      <c r="C122" s="7">
        <f>Multiplier_Weight_Newbie!C127</f>
        <v>0</v>
      </c>
      <c r="D122" s="7" t="str">
        <f>Multiplier_Weight_Newbie!P127</f>
        <v>(, ]</v>
      </c>
      <c r="E122" s="7" t="str">
        <f>Multiplier_Weight_Newbie!Q127</f>
        <v>E</v>
      </c>
      <c r="F122" s="7">
        <f>Multiplier_Weight_Newbie!R127</f>
        <v>0</v>
      </c>
      <c r="G122" s="4">
        <f>Multiplier_Weight_Newbie!V127</f>
        <v>0</v>
      </c>
      <c r="H122" s="4">
        <f>Multiplier_Weight_Oldhand!V127</f>
        <v>0</v>
      </c>
    </row>
    <row r="123" spans="2:8" ht="15.6" customHeight="1" x14ac:dyDescent="0.3">
      <c r="B123" s="7">
        <f>Multiplier_Weight_Newbie!B128</f>
        <v>0</v>
      </c>
      <c r="C123" s="7">
        <f>Multiplier_Weight_Newbie!C128</f>
        <v>0</v>
      </c>
      <c r="D123" s="7" t="str">
        <f>Multiplier_Weight_Newbie!P128</f>
        <v>(, ]</v>
      </c>
      <c r="E123" s="7" t="str">
        <f>Multiplier_Weight_Newbie!Q128</f>
        <v>E</v>
      </c>
      <c r="F123" s="7">
        <f>Multiplier_Weight_Newbie!R128</f>
        <v>0</v>
      </c>
      <c r="G123" s="4">
        <f>Multiplier_Weight_Newbie!V128</f>
        <v>0</v>
      </c>
      <c r="H123" s="4">
        <f>Multiplier_Weight_Oldhand!V128</f>
        <v>0</v>
      </c>
    </row>
    <row r="124" spans="2:8" ht="15.6" customHeight="1" x14ac:dyDescent="0.3">
      <c r="B124" s="3" t="s">
        <v>166</v>
      </c>
      <c r="G124" s="4">
        <f>SUM(G65:G123)</f>
        <v>999999997</v>
      </c>
      <c r="H124" s="4">
        <f>SUM(H65:H123)</f>
        <v>999999990</v>
      </c>
    </row>
    <row r="127" spans="2:8" ht="15.6" customHeight="1" x14ac:dyDescent="0.3">
      <c r="B127" s="1" t="s">
        <v>10</v>
      </c>
    </row>
    <row r="128" spans="2:8" ht="15.6" customHeight="1" x14ac:dyDescent="0.3">
      <c r="B128" s="3" t="s">
        <v>159</v>
      </c>
      <c r="C128" s="3" t="s">
        <v>160</v>
      </c>
      <c r="D128" s="3" t="s">
        <v>161</v>
      </c>
      <c r="E128" s="3" t="s">
        <v>162</v>
      </c>
      <c r="F128" s="3" t="s">
        <v>163</v>
      </c>
      <c r="G128" s="3" t="s">
        <v>164</v>
      </c>
      <c r="H128" s="3" t="s">
        <v>165</v>
      </c>
    </row>
    <row r="129" spans="2:8" ht="15.6" customHeight="1" x14ac:dyDescent="0.3">
      <c r="B129" s="7">
        <f>Multiplier_Weight_Newbie!B134</f>
        <v>-1</v>
      </c>
      <c r="C129" s="7">
        <f>Multiplier_Weight_Newbie!C134</f>
        <v>0</v>
      </c>
      <c r="D129" s="7" t="str">
        <f>Multiplier_Weight_Newbie!P134</f>
        <v>(-1, 0]</v>
      </c>
      <c r="E129" s="7" t="str">
        <f>Multiplier_Weight_Newbie!Q134</f>
        <v>E</v>
      </c>
      <c r="F129" s="7">
        <f>Multiplier_Weight_Newbie!R134</f>
        <v>3.128663308304027E-4</v>
      </c>
      <c r="G129" s="4">
        <f>Multiplier_Weight_Newbie!V134</f>
        <v>0</v>
      </c>
      <c r="H129" s="4">
        <f>Multiplier_Weight_Oldhand!V134</f>
        <v>0</v>
      </c>
    </row>
    <row r="130" spans="2:8" ht="15.6" customHeight="1" x14ac:dyDescent="0.3">
      <c r="B130" s="7">
        <f>Multiplier_Weight_Newbie!B135</f>
        <v>0</v>
      </c>
      <c r="C130" s="7">
        <f>Multiplier_Weight_Newbie!C135</f>
        <v>1</v>
      </c>
      <c r="D130" s="7" t="str">
        <f>Multiplier_Weight_Newbie!P135</f>
        <v>(0, 1]</v>
      </c>
      <c r="E130" s="7" t="str">
        <f>Multiplier_Weight_Newbie!Q135</f>
        <v>E</v>
      </c>
      <c r="F130" s="7">
        <f>Multiplier_Weight_Newbie!R135</f>
        <v>2.1999651490669453E-3</v>
      </c>
      <c r="G130" s="4">
        <f>Multiplier_Weight_Newbie!V135</f>
        <v>0</v>
      </c>
      <c r="H130" s="4">
        <f>Multiplier_Weight_Oldhand!V135</f>
        <v>0</v>
      </c>
    </row>
    <row r="131" spans="2:8" ht="15.6" customHeight="1" x14ac:dyDescent="0.3">
      <c r="B131" s="7">
        <f>Multiplier_Weight_Newbie!B136</f>
        <v>1</v>
      </c>
      <c r="C131" s="7">
        <f>Multiplier_Weight_Newbie!C136</f>
        <v>2</v>
      </c>
      <c r="D131" s="7" t="str">
        <f>Multiplier_Weight_Newbie!P136</f>
        <v>(1, 2]</v>
      </c>
      <c r="E131" s="7" t="str">
        <f>Multiplier_Weight_Newbie!Q136</f>
        <v>E</v>
      </c>
      <c r="F131" s="7">
        <f>Multiplier_Weight_Newbie!R136</f>
        <v>2.7286696448373094E-3</v>
      </c>
      <c r="G131" s="4">
        <f>Multiplier_Weight_Newbie!V136</f>
        <v>0</v>
      </c>
      <c r="H131" s="4">
        <f>Multiplier_Weight_Oldhand!V136</f>
        <v>0</v>
      </c>
    </row>
    <row r="132" spans="2:8" ht="15.6" customHeight="1" x14ac:dyDescent="0.3">
      <c r="B132" s="7">
        <f>Multiplier_Weight_Newbie!B137</f>
        <v>2</v>
      </c>
      <c r="C132" s="7">
        <f>Multiplier_Weight_Newbie!C137</f>
        <v>3</v>
      </c>
      <c r="D132" s="7" t="str">
        <f>Multiplier_Weight_Newbie!P137</f>
        <v>(2, 3]</v>
      </c>
      <c r="E132" s="7" t="str">
        <f>Multiplier_Weight_Newbie!Q137</f>
        <v>E</v>
      </c>
      <c r="F132" s="7">
        <f>Multiplier_Weight_Newbie!R137</f>
        <v>2.9930218927224916E-3</v>
      </c>
      <c r="G132" s="4">
        <f>Multiplier_Weight_Newbie!V137</f>
        <v>0</v>
      </c>
      <c r="H132" s="4">
        <f>Multiplier_Weight_Oldhand!V137</f>
        <v>0</v>
      </c>
    </row>
    <row r="133" spans="2:8" ht="15.6" customHeight="1" x14ac:dyDescent="0.3">
      <c r="B133" s="7">
        <f>Multiplier_Weight_Newbie!B138</f>
        <v>3</v>
      </c>
      <c r="C133" s="7">
        <f>Multiplier_Weight_Newbie!C138</f>
        <v>4</v>
      </c>
      <c r="D133" s="7" t="str">
        <f>Multiplier_Weight_Newbie!P138</f>
        <v>(3, 4]</v>
      </c>
      <c r="E133" s="7" t="str">
        <f>Multiplier_Weight_Newbie!Q138</f>
        <v>E</v>
      </c>
      <c r="F133" s="7">
        <f>Multiplier_Weight_Newbie!R138</f>
        <v>3.0643078921522037E-3</v>
      </c>
      <c r="G133" s="4">
        <f>Multiplier_Weight_Newbie!V138</f>
        <v>0</v>
      </c>
      <c r="H133" s="4">
        <f>Multiplier_Weight_Oldhand!V138</f>
        <v>0</v>
      </c>
    </row>
    <row r="134" spans="2:8" ht="15.6" customHeight="1" x14ac:dyDescent="0.3">
      <c r="B134" s="7">
        <f>Multiplier_Weight_Newbie!B139</f>
        <v>4</v>
      </c>
      <c r="C134" s="7">
        <f>Multiplier_Weight_Newbie!C139</f>
        <v>5</v>
      </c>
      <c r="D134" s="7" t="str">
        <f>Multiplier_Weight_Newbie!P139</f>
        <v>(4, 5]</v>
      </c>
      <c r="E134" s="7" t="str">
        <f>Multiplier_Weight_Newbie!Q139</f>
        <v>E</v>
      </c>
      <c r="F134" s="7">
        <f>Multiplier_Weight_Newbie!R139</f>
        <v>3.0375756423660616E-3</v>
      </c>
      <c r="G134" s="4">
        <f>Multiplier_Weight_Newbie!V139</f>
        <v>8991493</v>
      </c>
      <c r="H134" s="4">
        <f>Multiplier_Weight_Oldhand!V139</f>
        <v>77956</v>
      </c>
    </row>
    <row r="135" spans="2:8" ht="15.6" customHeight="1" x14ac:dyDescent="0.3">
      <c r="B135" s="7">
        <f>Multiplier_Weight_Newbie!B140</f>
        <v>5</v>
      </c>
      <c r="C135" s="7">
        <f>Multiplier_Weight_Newbie!C140</f>
        <v>6</v>
      </c>
      <c r="D135" s="7" t="str">
        <f>Multiplier_Weight_Newbie!P140</f>
        <v>(5, 6]</v>
      </c>
      <c r="E135" s="7" t="str">
        <f>Multiplier_Weight_Newbie!Q140</f>
        <v>E</v>
      </c>
      <c r="F135" s="7">
        <f>Multiplier_Weight_Newbie!R140</f>
        <v>3.1534153914393437E-3</v>
      </c>
      <c r="G135" s="4">
        <f>Multiplier_Weight_Newbie!V140</f>
        <v>22402535</v>
      </c>
      <c r="H135" s="4">
        <f>Multiplier_Weight_Oldhand!V140</f>
        <v>647439</v>
      </c>
    </row>
    <row r="136" spans="2:8" ht="15.6" customHeight="1" x14ac:dyDescent="0.3">
      <c r="B136" s="7">
        <f>Multiplier_Weight_Newbie!B141</f>
        <v>6</v>
      </c>
      <c r="C136" s="7">
        <f>Multiplier_Weight_Newbie!C141</f>
        <v>7</v>
      </c>
      <c r="D136" s="7" t="str">
        <f>Multiplier_Weight_Newbie!P141</f>
        <v>(6, 7]</v>
      </c>
      <c r="E136" s="7" t="str">
        <f>Multiplier_Weight_Newbie!Q141</f>
        <v>E</v>
      </c>
      <c r="F136" s="7">
        <f>Multiplier_Weight_Newbie!R141</f>
        <v>3.1831178912017236E-3</v>
      </c>
      <c r="G136" s="4">
        <f>Multiplier_Weight_Newbie!V141</f>
        <v>28266935</v>
      </c>
      <c r="H136" s="4">
        <f>Multiplier_Weight_Oldhand!V141</f>
        <v>857768</v>
      </c>
    </row>
    <row r="137" spans="2:8" ht="15.6" customHeight="1" x14ac:dyDescent="0.3">
      <c r="B137" s="7">
        <f>Multiplier_Weight_Newbie!B142</f>
        <v>7</v>
      </c>
      <c r="C137" s="7">
        <f>Multiplier_Weight_Newbie!C142</f>
        <v>8</v>
      </c>
      <c r="D137" s="7" t="str">
        <f>Multiplier_Weight_Newbie!P142</f>
        <v>(7, 8]</v>
      </c>
      <c r="E137" s="7" t="str">
        <f>Multiplier_Weight_Newbie!Q142</f>
        <v>E</v>
      </c>
      <c r="F137" s="7">
        <f>Multiplier_Weight_Newbie!R142</f>
        <v>3.024704559135697E-3</v>
      </c>
      <c r="G137" s="4">
        <f>Multiplier_Weight_Newbie!V142</f>
        <v>26860182</v>
      </c>
      <c r="H137" s="4">
        <f>Multiplier_Weight_Oldhand!V142</f>
        <v>983271</v>
      </c>
    </row>
    <row r="138" spans="2:8" ht="15.6" customHeight="1" x14ac:dyDescent="0.3">
      <c r="B138" s="7">
        <f>Multiplier_Weight_Newbie!B143</f>
        <v>8</v>
      </c>
      <c r="C138" s="7">
        <f>Multiplier_Weight_Newbie!C143</f>
        <v>9</v>
      </c>
      <c r="D138" s="7" t="str">
        <f>Multiplier_Weight_Newbie!P143</f>
        <v>(8, 9]</v>
      </c>
      <c r="E138" s="7" t="str">
        <f>Multiplier_Weight_Newbie!Q143</f>
        <v>E</v>
      </c>
      <c r="F138" s="7">
        <f>Multiplier_Weight_Newbie!R143</f>
        <v>3.1237128916769634E-3</v>
      </c>
      <c r="G138" s="4">
        <f>Multiplier_Weight_Newbie!V143</f>
        <v>27739402</v>
      </c>
      <c r="H138" s="4">
        <f>Multiplier_Weight_Oldhand!V143</f>
        <v>1135708</v>
      </c>
    </row>
    <row r="139" spans="2:8" ht="15.6" customHeight="1" x14ac:dyDescent="0.3">
      <c r="B139" s="7">
        <f>Multiplier_Weight_Newbie!B144</f>
        <v>9</v>
      </c>
      <c r="C139" s="7">
        <f>Multiplier_Weight_Newbie!C144</f>
        <v>10</v>
      </c>
      <c r="D139" s="7" t="str">
        <f>Multiplier_Weight_Newbie!P144</f>
        <v>(9, 10]</v>
      </c>
      <c r="E139" s="7" t="str">
        <f>Multiplier_Weight_Newbie!Q144</f>
        <v>E</v>
      </c>
      <c r="F139" s="7">
        <f>Multiplier_Weight_Newbie!R144</f>
        <v>3.2563840572822607E-3</v>
      </c>
      <c r="G139" s="4">
        <f>Multiplier_Weight_Newbie!V144</f>
        <v>28917558</v>
      </c>
      <c r="H139" s="4">
        <f>Multiplier_Weight_Oldhand!V144</f>
        <v>1434661</v>
      </c>
    </row>
    <row r="140" spans="2:8" ht="15.6" customHeight="1" x14ac:dyDescent="0.3">
      <c r="B140" s="7">
        <f>Multiplier_Weight_Newbie!B145</f>
        <v>10</v>
      </c>
      <c r="C140" s="7">
        <f>Multiplier_Weight_Newbie!C145</f>
        <v>15</v>
      </c>
      <c r="D140" s="7" t="str">
        <f>Multiplier_Weight_Newbie!P145</f>
        <v>(10, 15]</v>
      </c>
      <c r="E140" s="7" t="str">
        <f>Multiplier_Weight_Newbie!Q145</f>
        <v>E</v>
      </c>
      <c r="F140" s="7">
        <f>Multiplier_Weight_Newbie!R145</f>
        <v>1.626112853657764E-2</v>
      </c>
      <c r="G140" s="4">
        <f>Multiplier_Weight_Newbie!V145</f>
        <v>128216463</v>
      </c>
      <c r="H140" s="4">
        <f>Multiplier_Weight_Oldhand!V145</f>
        <v>9480325</v>
      </c>
    </row>
    <row r="141" spans="2:8" ht="15.6" customHeight="1" x14ac:dyDescent="0.3">
      <c r="B141" s="7">
        <f>Multiplier_Weight_Newbie!B146</f>
        <v>15</v>
      </c>
      <c r="C141" s="7">
        <f>Multiplier_Weight_Newbie!C146</f>
        <v>20</v>
      </c>
      <c r="D141" s="7" t="str">
        <f>Multiplier_Weight_Newbie!P146</f>
        <v>(15, 20]</v>
      </c>
      <c r="E141" s="7" t="str">
        <f>Multiplier_Weight_Newbie!Q146</f>
        <v>E</v>
      </c>
      <c r="F141" s="7">
        <f>Multiplier_Weight_Newbie!R146</f>
        <v>1.7140322529544085E-2</v>
      </c>
      <c r="G141" s="4">
        <f>Multiplier_Weight_Newbie!V146</f>
        <v>108738589</v>
      </c>
      <c r="H141" s="4">
        <f>Multiplier_Weight_Oldhand!V146</f>
        <v>13196787</v>
      </c>
    </row>
    <row r="142" spans="2:8" ht="15.6" customHeight="1" x14ac:dyDescent="0.3">
      <c r="B142" s="7">
        <f>Multiplier_Weight_Newbie!B147</f>
        <v>20</v>
      </c>
      <c r="C142" s="7">
        <f>Multiplier_Weight_Newbie!C147</f>
        <v>25</v>
      </c>
      <c r="D142" s="7" t="str">
        <f>Multiplier_Weight_Newbie!P147</f>
        <v>(20, 25]</v>
      </c>
      <c r="E142" s="7" t="str">
        <f>Multiplier_Weight_Newbie!Q147</f>
        <v>E</v>
      </c>
      <c r="F142" s="7">
        <f>Multiplier_Weight_Newbie!R147</f>
        <v>1.7578929442701896E-2</v>
      </c>
      <c r="G142" s="4">
        <f>Multiplier_Weight_Newbie!V147</f>
        <v>92841061</v>
      </c>
      <c r="H142" s="4">
        <f>Multiplier_Weight_Oldhand!V147</f>
        <v>19549808</v>
      </c>
    </row>
    <row r="143" spans="2:8" ht="15.6" customHeight="1" x14ac:dyDescent="0.3">
      <c r="B143" s="7">
        <f>Multiplier_Weight_Newbie!B148</f>
        <v>25</v>
      </c>
      <c r="C143" s="7">
        <f>Multiplier_Weight_Newbie!C148</f>
        <v>30</v>
      </c>
      <c r="D143" s="7" t="str">
        <f>Multiplier_Weight_Newbie!P148</f>
        <v>(25, 30]</v>
      </c>
      <c r="E143" s="7" t="str">
        <f>Multiplier_Weight_Newbie!Q148</f>
        <v>E</v>
      </c>
      <c r="F143" s="7">
        <f>Multiplier_Weight_Newbie!R148</f>
        <v>1.8071990938757405E-2</v>
      </c>
      <c r="G143" s="4">
        <f>Multiplier_Weight_Newbie!V148</f>
        <v>82520360</v>
      </c>
      <c r="H143" s="4">
        <f>Multiplier_Weight_Oldhand!V148</f>
        <v>24736184</v>
      </c>
    </row>
    <row r="144" spans="2:8" ht="15.6" customHeight="1" x14ac:dyDescent="0.3">
      <c r="B144" s="7">
        <f>Multiplier_Weight_Newbie!B149</f>
        <v>30</v>
      </c>
      <c r="C144" s="7">
        <f>Multiplier_Weight_Newbie!C149</f>
        <v>35</v>
      </c>
      <c r="D144" s="7" t="str">
        <f>Multiplier_Weight_Newbie!P149</f>
        <v>(30, 35]</v>
      </c>
      <c r="E144" s="7" t="str">
        <f>Multiplier_Weight_Newbie!Q149</f>
        <v>E</v>
      </c>
      <c r="F144" s="7">
        <f>Multiplier_Weight_Newbie!R149</f>
        <v>1.8152187688115832E-2</v>
      </c>
      <c r="G144" s="4">
        <f>Multiplier_Weight_Newbie!V149</f>
        <v>73203394</v>
      </c>
      <c r="H144" s="4">
        <f>Multiplier_Weight_Oldhand!V149</f>
        <v>434804197</v>
      </c>
    </row>
    <row r="145" spans="2:8" ht="15.6" customHeight="1" x14ac:dyDescent="0.3">
      <c r="B145" s="7">
        <f>Multiplier_Weight_Newbie!B150</f>
        <v>35</v>
      </c>
      <c r="C145" s="7">
        <f>Multiplier_Weight_Newbie!C150</f>
        <v>40</v>
      </c>
      <c r="D145" s="7" t="str">
        <f>Multiplier_Weight_Newbie!P150</f>
        <v>(35, 40]</v>
      </c>
      <c r="E145" s="7" t="str">
        <f>Multiplier_Weight_Newbie!Q150</f>
        <v>E</v>
      </c>
      <c r="F145" s="7">
        <f>Multiplier_Weight_Newbie!R150</f>
        <v>1.8142286854861706E-2</v>
      </c>
      <c r="G145" s="4">
        <f>Multiplier_Weight_Newbie!V150</f>
        <v>63127430</v>
      </c>
      <c r="H145" s="4">
        <f>Multiplier_Weight_Oldhand!V150</f>
        <v>214179469</v>
      </c>
    </row>
    <row r="146" spans="2:8" ht="15.6" customHeight="1" x14ac:dyDescent="0.3">
      <c r="B146" s="7">
        <f>Multiplier_Weight_Newbie!B151</f>
        <v>40</v>
      </c>
      <c r="C146" s="7">
        <f>Multiplier_Weight_Newbie!C151</f>
        <v>45</v>
      </c>
      <c r="D146" s="7" t="str">
        <f>Multiplier_Weight_Newbie!P151</f>
        <v>(40, 45]</v>
      </c>
      <c r="E146" s="7" t="str">
        <f>Multiplier_Weight_Newbie!Q151</f>
        <v>E</v>
      </c>
      <c r="F146" s="7">
        <f>Multiplier_Weight_Newbie!R151</f>
        <v>1.8305650603554796E-2</v>
      </c>
      <c r="G146" s="4">
        <f>Multiplier_Weight_Newbie!V151</f>
        <v>55509928</v>
      </c>
      <c r="H146" s="4">
        <f>Multiplier_Weight_Oldhand!V151</f>
        <v>117450036</v>
      </c>
    </row>
    <row r="147" spans="2:8" ht="15.6" customHeight="1" x14ac:dyDescent="0.3">
      <c r="B147" s="7">
        <f>Multiplier_Weight_Newbie!B152</f>
        <v>45</v>
      </c>
      <c r="C147" s="7">
        <f>Multiplier_Weight_Newbie!C152</f>
        <v>50</v>
      </c>
      <c r="D147" s="7" t="str">
        <f>Multiplier_Weight_Newbie!P152</f>
        <v>(45, 50]</v>
      </c>
      <c r="E147" s="7" t="str">
        <f>Multiplier_Weight_Newbie!Q152</f>
        <v>E</v>
      </c>
      <c r="F147" s="7">
        <f>Multiplier_Weight_Newbie!R152</f>
        <v>1.8339313436618827E-2</v>
      </c>
      <c r="G147" s="4">
        <f>Multiplier_Weight_Newbie!V152</f>
        <v>49823996</v>
      </c>
      <c r="H147" s="4">
        <f>Multiplier_Weight_Oldhand!V152</f>
        <v>68560067</v>
      </c>
    </row>
    <row r="148" spans="2:8" ht="15.6" customHeight="1" x14ac:dyDescent="0.3">
      <c r="B148" s="7">
        <f>Multiplier_Weight_Newbie!B153</f>
        <v>50</v>
      </c>
      <c r="C148" s="7">
        <f>Multiplier_Weight_Newbie!C153</f>
        <v>60</v>
      </c>
      <c r="D148" s="7" t="str">
        <f>Multiplier_Weight_Newbie!P153</f>
        <v>(50, 60]</v>
      </c>
      <c r="E148" s="7" t="str">
        <f>Multiplier_Weight_Newbie!Q153</f>
        <v>E</v>
      </c>
      <c r="F148" s="7">
        <f>Multiplier_Weight_Newbie!R153</f>
        <v>3.6662785540031051E-2</v>
      </c>
      <c r="G148" s="4">
        <f>Multiplier_Weight_Newbie!V153</f>
        <v>48836295</v>
      </c>
      <c r="H148" s="4">
        <f>Multiplier_Weight_Oldhand!V153</f>
        <v>42341471</v>
      </c>
    </row>
    <row r="149" spans="2:8" ht="15.6" customHeight="1" x14ac:dyDescent="0.3">
      <c r="B149" s="7">
        <f>Multiplier_Weight_Newbie!B154</f>
        <v>60</v>
      </c>
      <c r="C149" s="7">
        <f>Multiplier_Weight_Newbie!C154</f>
        <v>70</v>
      </c>
      <c r="D149" s="7" t="str">
        <f>Multiplier_Weight_Newbie!P154</f>
        <v>(60, 70]</v>
      </c>
      <c r="E149" s="7" t="str">
        <f>Multiplier_Weight_Newbie!Q154</f>
        <v>E</v>
      </c>
      <c r="F149" s="7">
        <f>Multiplier_Weight_Newbie!R154</f>
        <v>3.6057844628203911E-2</v>
      </c>
      <c r="G149" s="4">
        <f>Multiplier_Weight_Newbie!V154</f>
        <v>36652107</v>
      </c>
      <c r="H149" s="4">
        <f>Multiplier_Weight_Oldhand!V154</f>
        <v>18507925</v>
      </c>
    </row>
    <row r="150" spans="2:8" ht="15.6" customHeight="1" x14ac:dyDescent="0.3">
      <c r="B150" s="7">
        <f>Multiplier_Weight_Newbie!B155</f>
        <v>70</v>
      </c>
      <c r="C150" s="7">
        <f>Multiplier_Weight_Newbie!C155</f>
        <v>80</v>
      </c>
      <c r="D150" s="7" t="str">
        <f>Multiplier_Weight_Newbie!P155</f>
        <v>(70, 80]</v>
      </c>
      <c r="E150" s="7" t="str">
        <f>Multiplier_Weight_Newbie!Q155</f>
        <v>E</v>
      </c>
      <c r="F150" s="7">
        <f>Multiplier_Weight_Newbie!R155</f>
        <v>3.4833111554668443E-2</v>
      </c>
      <c r="G150" s="4">
        <f>Multiplier_Weight_Newbie!V155</f>
        <v>30932731</v>
      </c>
      <c r="H150" s="4">
        <f>Multiplier_Weight_Oldhand!V155</f>
        <v>9833608</v>
      </c>
    </row>
    <row r="151" spans="2:8" ht="15.6" customHeight="1" x14ac:dyDescent="0.3">
      <c r="B151" s="7">
        <f>Multiplier_Weight_Newbie!B156</f>
        <v>80</v>
      </c>
      <c r="C151" s="7">
        <f>Multiplier_Weight_Newbie!C156</f>
        <v>90</v>
      </c>
      <c r="D151" s="7" t="str">
        <f>Multiplier_Weight_Newbie!P156</f>
        <v>(80, 90]</v>
      </c>
      <c r="E151" s="7" t="str">
        <f>Multiplier_Weight_Newbie!Q156</f>
        <v>E</v>
      </c>
      <c r="F151" s="7">
        <f>Multiplier_Weight_Newbie!R156</f>
        <v>3.3876691062319803E-2</v>
      </c>
      <c r="G151" s="4">
        <f>Multiplier_Weight_Newbie!V156</f>
        <v>19052822</v>
      </c>
      <c r="H151" s="4">
        <f>Multiplier_Weight_Oldhand!V156</f>
        <v>5796124</v>
      </c>
    </row>
    <row r="152" spans="2:8" ht="15.6" customHeight="1" x14ac:dyDescent="0.3">
      <c r="B152" s="7">
        <f>Multiplier_Weight_Newbie!B157</f>
        <v>90</v>
      </c>
      <c r="C152" s="7">
        <f>Multiplier_Weight_Newbie!C157</f>
        <v>100</v>
      </c>
      <c r="D152" s="7" t="str">
        <f>Multiplier_Weight_Newbie!P157</f>
        <v>(90, 100]</v>
      </c>
      <c r="E152" s="7" t="str">
        <f>Multiplier_Weight_Newbie!Q157</f>
        <v>E</v>
      </c>
      <c r="F152" s="7">
        <f>Multiplier_Weight_Newbie!R157</f>
        <v>3.2252954408643029E-2</v>
      </c>
      <c r="G152" s="4">
        <f>Multiplier_Weight_Newbie!V157</f>
        <v>15752815</v>
      </c>
      <c r="H152" s="4">
        <f>Multiplier_Weight_Oldhand!V157</f>
        <v>3724860</v>
      </c>
    </row>
    <row r="153" spans="2:8" ht="15.6" customHeight="1" x14ac:dyDescent="0.3">
      <c r="B153" s="7">
        <f>Multiplier_Weight_Newbie!B158</f>
        <v>100</v>
      </c>
      <c r="C153" s="7">
        <f>Multiplier_Weight_Newbie!C158</f>
        <v>120</v>
      </c>
      <c r="D153" s="7" t="str">
        <f>Multiplier_Weight_Newbie!P158</f>
        <v>(100, 120]</v>
      </c>
      <c r="E153" s="7" t="str">
        <f>Multiplier_Weight_Newbie!Q158</f>
        <v>E</v>
      </c>
      <c r="F153" s="7">
        <f>Multiplier_Weight_Newbie!R158</f>
        <v>6.15544704242309E-2</v>
      </c>
      <c r="G153" s="4">
        <f>Multiplier_Weight_Newbie!V158</f>
        <v>23805305</v>
      </c>
      <c r="H153" s="4">
        <f>Multiplier_Weight_Oldhand!V158</f>
        <v>3001519</v>
      </c>
    </row>
    <row r="154" spans="2:8" ht="15.6" customHeight="1" x14ac:dyDescent="0.3">
      <c r="B154" s="7">
        <f>Multiplier_Weight_Newbie!B159</f>
        <v>120</v>
      </c>
      <c r="C154" s="7">
        <f>Multiplier_Weight_Newbie!C159</f>
        <v>140</v>
      </c>
      <c r="D154" s="7" t="str">
        <f>Multiplier_Weight_Newbie!P159</f>
        <v>(120, 140]</v>
      </c>
      <c r="E154" s="7" t="str">
        <f>Multiplier_Weight_Newbie!Q159</f>
        <v>E</v>
      </c>
      <c r="F154" s="7">
        <f>Multiplier_Weight_Newbie!R159</f>
        <v>5.7145629376168301E-2</v>
      </c>
      <c r="G154" s="4">
        <f>Multiplier_Weight_Newbie!V159</f>
        <v>8271735</v>
      </c>
      <c r="H154" s="4">
        <f>Multiplier_Weight_Oldhand!V159</f>
        <v>1789249</v>
      </c>
    </row>
    <row r="155" spans="2:8" ht="15.6" customHeight="1" x14ac:dyDescent="0.3">
      <c r="B155" s="7">
        <f>Multiplier_Weight_Newbie!B160</f>
        <v>140</v>
      </c>
      <c r="C155" s="7">
        <f>Multiplier_Weight_Newbie!C160</f>
        <v>160</v>
      </c>
      <c r="D155" s="7" t="str">
        <f>Multiplier_Weight_Newbie!P160</f>
        <v>(140, 160]</v>
      </c>
      <c r="E155" s="7" t="str">
        <f>Multiplier_Weight_Newbie!Q160</f>
        <v>E</v>
      </c>
      <c r="F155" s="7">
        <f>Multiplier_Weight_Newbie!R160</f>
        <v>5.1730863669486427E-2</v>
      </c>
      <c r="G155" s="4">
        <f>Multiplier_Weight_Newbie!V160</f>
        <v>3828198</v>
      </c>
      <c r="H155" s="4">
        <f>Multiplier_Weight_Oldhand!V160</f>
        <v>1172741</v>
      </c>
    </row>
    <row r="156" spans="2:8" ht="15.6" customHeight="1" x14ac:dyDescent="0.3">
      <c r="B156" s="7">
        <f>Multiplier_Weight_Newbie!B161</f>
        <v>160</v>
      </c>
      <c r="C156" s="7">
        <f>Multiplier_Weight_Newbie!C161</f>
        <v>180</v>
      </c>
      <c r="D156" s="7" t="str">
        <f>Multiplier_Weight_Newbie!P161</f>
        <v>(160, 180]</v>
      </c>
      <c r="E156" s="7" t="str">
        <f>Multiplier_Weight_Newbie!Q161</f>
        <v>E</v>
      </c>
      <c r="F156" s="7">
        <f>Multiplier_Weight_Newbie!R161</f>
        <v>4.7550731869594146E-2</v>
      </c>
      <c r="G156" s="4">
        <f>Multiplier_Weight_Newbie!V161</f>
        <v>2463201</v>
      </c>
      <c r="H156" s="4">
        <f>Multiplier_Weight_Oldhand!V161</f>
        <v>732211</v>
      </c>
    </row>
    <row r="157" spans="2:8" ht="15.6" customHeight="1" x14ac:dyDescent="0.3">
      <c r="B157" s="7">
        <f>Multiplier_Weight_Newbie!B162</f>
        <v>180</v>
      </c>
      <c r="C157" s="7">
        <f>Multiplier_Weight_Newbie!C162</f>
        <v>200</v>
      </c>
      <c r="D157" s="7" t="str">
        <f>Multiplier_Weight_Newbie!P162</f>
        <v>(180, 200]</v>
      </c>
      <c r="E157" s="7" t="str">
        <f>Multiplier_Weight_Newbie!Q162</f>
        <v>E</v>
      </c>
      <c r="F157" s="7">
        <f>Multiplier_Weight_Newbie!R162</f>
        <v>4.3213176820961249E-2</v>
      </c>
      <c r="G157" s="4">
        <f>Multiplier_Weight_Newbie!V162</f>
        <v>1877789</v>
      </c>
      <c r="H157" s="4">
        <f>Multiplier_Weight_Oldhand!V162</f>
        <v>665419</v>
      </c>
    </row>
    <row r="158" spans="2:8" ht="15.6" customHeight="1" x14ac:dyDescent="0.3">
      <c r="B158" s="7">
        <f>Multiplier_Weight_Newbie!B163</f>
        <v>200</v>
      </c>
      <c r="C158" s="7">
        <f>Multiplier_Weight_Newbie!C163</f>
        <v>250</v>
      </c>
      <c r="D158" s="7" t="str">
        <f>Multiplier_Weight_Newbie!P163</f>
        <v>(200, 250]</v>
      </c>
      <c r="E158" s="7" t="str">
        <f>Multiplier_Weight_Newbie!Q163</f>
        <v>E</v>
      </c>
      <c r="F158" s="7">
        <f>Multiplier_Weight_Newbie!R163</f>
        <v>9.0327281944048404E-2</v>
      </c>
      <c r="G158" s="4">
        <f>Multiplier_Weight_Newbie!V163</f>
        <v>4244606</v>
      </c>
      <c r="H158" s="4">
        <f>Multiplier_Weight_Oldhand!V163</f>
        <v>1159089</v>
      </c>
    </row>
    <row r="159" spans="2:8" ht="15.6" customHeight="1" x14ac:dyDescent="0.3">
      <c r="B159" s="7">
        <f>Multiplier_Weight_Newbie!B164</f>
        <v>250</v>
      </c>
      <c r="C159" s="7">
        <f>Multiplier_Weight_Newbie!C164</f>
        <v>300</v>
      </c>
      <c r="D159" s="7" t="str">
        <f>Multiplier_Weight_Newbie!P164</f>
        <v>(250, 300]</v>
      </c>
      <c r="E159" s="7" t="str">
        <f>Multiplier_Weight_Newbie!Q164</f>
        <v>E</v>
      </c>
      <c r="F159" s="7">
        <f>Multiplier_Weight_Newbie!R164</f>
        <v>6.9947406773754078E-2</v>
      </c>
      <c r="G159" s="4">
        <f>Multiplier_Weight_Newbie!V164</f>
        <v>2070505</v>
      </c>
      <c r="H159" s="4">
        <f>Multiplier_Weight_Oldhand!V164</f>
        <v>1077087</v>
      </c>
    </row>
    <row r="160" spans="2:8" ht="15.6" customHeight="1" x14ac:dyDescent="0.3">
      <c r="B160" s="7">
        <f>Multiplier_Weight_Newbie!B165</f>
        <v>300</v>
      </c>
      <c r="C160" s="7">
        <f>Multiplier_Weight_Newbie!C165</f>
        <v>350</v>
      </c>
      <c r="D160" s="7" t="str">
        <f>Multiplier_Weight_Newbie!P165</f>
        <v>(300, 350]</v>
      </c>
      <c r="E160" s="7" t="str">
        <f>Multiplier_Weight_Newbie!Q165</f>
        <v>E</v>
      </c>
      <c r="F160" s="7">
        <f>Multiplier_Weight_Newbie!R165</f>
        <v>5.398231315147483E-2</v>
      </c>
      <c r="G160" s="4">
        <f>Multiplier_Weight_Newbie!V165</f>
        <v>2077301</v>
      </c>
      <c r="H160" s="4">
        <f>Multiplier_Weight_Oldhand!V165</f>
        <v>808157</v>
      </c>
    </row>
    <row r="161" spans="2:8" ht="15.6" customHeight="1" x14ac:dyDescent="0.3">
      <c r="B161" s="7">
        <f>Multiplier_Weight_Newbie!B166</f>
        <v>350</v>
      </c>
      <c r="C161" s="7">
        <f>Multiplier_Weight_Newbie!C166</f>
        <v>400</v>
      </c>
      <c r="D161" s="7" t="str">
        <f>Multiplier_Weight_Newbie!P166</f>
        <v>(350, 400]</v>
      </c>
      <c r="E161" s="7" t="str">
        <f>Multiplier_Weight_Newbie!Q166</f>
        <v>E</v>
      </c>
      <c r="F161" s="7">
        <f>Multiplier_Weight_Newbie!R166</f>
        <v>4.1055785254887053E-2</v>
      </c>
      <c r="G161" s="4">
        <f>Multiplier_Weight_Newbie!V166</f>
        <v>1215287</v>
      </c>
      <c r="H161" s="4">
        <f>Multiplier_Weight_Oldhand!V166</f>
        <v>632198</v>
      </c>
    </row>
    <row r="162" spans="2:8" ht="15.6" customHeight="1" x14ac:dyDescent="0.3">
      <c r="B162" s="7">
        <f>Multiplier_Weight_Newbie!B167</f>
        <v>400</v>
      </c>
      <c r="C162" s="7">
        <f>Multiplier_Weight_Newbie!C167</f>
        <v>450</v>
      </c>
      <c r="D162" s="7" t="str">
        <f>Multiplier_Weight_Newbie!P167</f>
        <v>(400, 450]</v>
      </c>
      <c r="E162" s="7" t="str">
        <f>Multiplier_Weight_Newbie!Q167</f>
        <v>E</v>
      </c>
      <c r="F162" s="7">
        <f>Multiplier_Weight_Newbie!R167</f>
        <v>3.1751972245984222E-2</v>
      </c>
      <c r="G162" s="4">
        <f>Multiplier_Weight_Newbie!V167</f>
        <v>939886</v>
      </c>
      <c r="H162" s="4">
        <f>Multiplier_Weight_Oldhand!V167</f>
        <v>679074</v>
      </c>
    </row>
    <row r="163" spans="2:8" ht="15.6" customHeight="1" x14ac:dyDescent="0.3">
      <c r="B163" s="7">
        <f>Multiplier_Weight_Newbie!B168</f>
        <v>450</v>
      </c>
      <c r="C163" s="7">
        <f>Multiplier_Weight_Newbie!C168</f>
        <v>500</v>
      </c>
      <c r="D163" s="7" t="str">
        <f>Multiplier_Weight_Newbie!P168</f>
        <v>(450, 500]</v>
      </c>
      <c r="E163" s="7" t="str">
        <f>Multiplier_Weight_Newbie!Q168</f>
        <v>E</v>
      </c>
      <c r="F163" s="7">
        <f>Multiplier_Weight_Newbie!R168</f>
        <v>2.4456048221018281E-2</v>
      </c>
      <c r="G163" s="4">
        <f>Multiplier_Weight_Newbie!V168</f>
        <v>361960</v>
      </c>
      <c r="H163" s="4">
        <f>Multiplier_Weight_Oldhand!V168</f>
        <v>732252</v>
      </c>
    </row>
    <row r="164" spans="2:8" ht="15.6" customHeight="1" x14ac:dyDescent="0.3">
      <c r="B164" s="7">
        <f>Multiplier_Weight_Newbie!B169</f>
        <v>500</v>
      </c>
      <c r="C164" s="7">
        <f>Multiplier_Weight_Newbie!C169</f>
        <v>550</v>
      </c>
      <c r="D164" s="7" t="str">
        <f>Multiplier_Weight_Newbie!P169</f>
        <v>(500, 550]</v>
      </c>
      <c r="E164" s="7" t="str">
        <f>Multiplier_Weight_Newbie!Q169</f>
        <v>E</v>
      </c>
      <c r="F164" s="7">
        <f>Multiplier_Weight_Newbie!R169</f>
        <v>1.850762760193898E-2</v>
      </c>
      <c r="G164" s="4">
        <f>Multiplier_Weight_Newbie!V169</f>
        <v>268442</v>
      </c>
      <c r="H164" s="4">
        <f>Multiplier_Weight_Oldhand!V169</f>
        <v>253324</v>
      </c>
    </row>
    <row r="165" spans="2:8" ht="15.6" customHeight="1" x14ac:dyDescent="0.3">
      <c r="B165" s="7">
        <f>Multiplier_Weight_Newbie!B170</f>
        <v>550</v>
      </c>
      <c r="C165" s="7">
        <f>Multiplier_Weight_Newbie!C170</f>
        <v>600</v>
      </c>
      <c r="D165" s="7" t="str">
        <f>Multiplier_Weight_Newbie!P170</f>
        <v>(550, 600]</v>
      </c>
      <c r="E165" s="7" t="str">
        <f>Multiplier_Weight_Newbie!Q170</f>
        <v>E</v>
      </c>
      <c r="F165" s="7">
        <f>Multiplier_Weight_Newbie!R170</f>
        <v>1.4239378386084973E-2</v>
      </c>
      <c r="G165" s="4">
        <f>Multiplier_Weight_Newbie!V170</f>
        <v>189674</v>
      </c>
      <c r="H165" s="4">
        <f>Multiplier_Weight_Oldhand!V170</f>
        <v>0</v>
      </c>
    </row>
    <row r="166" spans="2:8" ht="15.6" customHeight="1" x14ac:dyDescent="0.3">
      <c r="B166" s="7">
        <f>Multiplier_Weight_Newbie!B171</f>
        <v>600</v>
      </c>
      <c r="C166" s="7">
        <f>Multiplier_Weight_Newbie!C171</f>
        <v>650</v>
      </c>
      <c r="D166" s="7" t="str">
        <f>Multiplier_Weight_Newbie!P171</f>
        <v>(600, 650]</v>
      </c>
      <c r="E166" s="7" t="str">
        <f>Multiplier_Weight_Newbie!Q171</f>
        <v>E</v>
      </c>
      <c r="F166" s="7">
        <f>Multiplier_Weight_Newbie!R171</f>
        <v>1.0908738079396763E-2</v>
      </c>
      <c r="G166" s="4">
        <f>Multiplier_Weight_Newbie!V171</f>
        <v>0</v>
      </c>
      <c r="H166" s="4">
        <f>Multiplier_Weight_Oldhand!V171</f>
        <v>0</v>
      </c>
    </row>
    <row r="167" spans="2:8" ht="15.6" customHeight="1" x14ac:dyDescent="0.3">
      <c r="B167" s="7">
        <f>Multiplier_Weight_Newbie!B172</f>
        <v>650</v>
      </c>
      <c r="C167" s="7">
        <f>Multiplier_Weight_Newbie!C172</f>
        <v>700</v>
      </c>
      <c r="D167" s="7" t="str">
        <f>Multiplier_Weight_Newbie!P172</f>
        <v>(650, 700]</v>
      </c>
      <c r="E167" s="7" t="str">
        <f>Multiplier_Weight_Newbie!Q172</f>
        <v>E</v>
      </c>
      <c r="F167" s="7">
        <f>Multiplier_Weight_Newbie!R172</f>
        <v>8.4404603491429839E-3</v>
      </c>
      <c r="G167" s="4">
        <f>Multiplier_Weight_Newbie!V172</f>
        <v>0</v>
      </c>
      <c r="H167" s="4">
        <f>Multiplier_Weight_Oldhand!V172</f>
        <v>0</v>
      </c>
    </row>
    <row r="168" spans="2:8" ht="15.6" customHeight="1" x14ac:dyDescent="0.3">
      <c r="B168" s="7">
        <f>Multiplier_Weight_Newbie!B173</f>
        <v>700</v>
      </c>
      <c r="C168" s="7">
        <f>Multiplier_Weight_Newbie!C173</f>
        <v>750</v>
      </c>
      <c r="D168" s="7" t="str">
        <f>Multiplier_Weight_Newbie!P173</f>
        <v>(700, 750]</v>
      </c>
      <c r="E168" s="7" t="str">
        <f>Multiplier_Weight_Newbie!Q173</f>
        <v>E</v>
      </c>
      <c r="F168" s="7">
        <f>Multiplier_Weight_Newbie!R173</f>
        <v>6.4880160314292048E-3</v>
      </c>
      <c r="G168" s="4">
        <f>Multiplier_Weight_Newbie!V173</f>
        <v>0</v>
      </c>
      <c r="H168" s="4">
        <f>Multiplier_Weight_Oldhand!V173</f>
        <v>0</v>
      </c>
    </row>
    <row r="169" spans="2:8" ht="15.6" customHeight="1" x14ac:dyDescent="0.3">
      <c r="B169" s="7">
        <f>Multiplier_Weight_Newbie!B174</f>
        <v>750</v>
      </c>
      <c r="C169" s="7">
        <f>Multiplier_Weight_Newbie!C174</f>
        <v>800</v>
      </c>
      <c r="D169" s="7" t="str">
        <f>Multiplier_Weight_Newbie!P174</f>
        <v>(750, 800]</v>
      </c>
      <c r="E169" s="7" t="str">
        <f>Multiplier_Weight_Newbie!Q174</f>
        <v>E</v>
      </c>
      <c r="F169" s="7">
        <f>Multiplier_Weight_Newbie!R174</f>
        <v>4.9652678769445237E-3</v>
      </c>
      <c r="G169" s="4">
        <f>Multiplier_Weight_Newbie!V174</f>
        <v>0</v>
      </c>
      <c r="H169" s="4">
        <f>Multiplier_Weight_Oldhand!V174</f>
        <v>0</v>
      </c>
    </row>
    <row r="170" spans="2:8" ht="15.6" customHeight="1" x14ac:dyDescent="0.3">
      <c r="B170" s="7">
        <f>Multiplier_Weight_Newbie!B175</f>
        <v>800</v>
      </c>
      <c r="C170" s="7">
        <f>Multiplier_Weight_Newbie!C175</f>
        <v>850</v>
      </c>
      <c r="D170" s="7" t="str">
        <f>Multiplier_Weight_Newbie!P175</f>
        <v>(800, 850]</v>
      </c>
      <c r="E170" s="7" t="str">
        <f>Multiplier_Weight_Newbie!Q175</f>
        <v>E</v>
      </c>
      <c r="F170" s="7">
        <f>Multiplier_Weight_Newbie!R175</f>
        <v>3.8524142191806864E-3</v>
      </c>
      <c r="G170" s="4">
        <f>Multiplier_Weight_Newbie!V175</f>
        <v>0</v>
      </c>
      <c r="H170" s="4">
        <f>Multiplier_Weight_Oldhand!V175</f>
        <v>0</v>
      </c>
    </row>
    <row r="171" spans="2:8" ht="15.6" customHeight="1" x14ac:dyDescent="0.3">
      <c r="B171" s="7">
        <f>Multiplier_Weight_Newbie!B176</f>
        <v>850</v>
      </c>
      <c r="C171" s="7">
        <f>Multiplier_Weight_Newbie!C176</f>
        <v>900</v>
      </c>
      <c r="D171" s="7" t="str">
        <f>Multiplier_Weight_Newbie!P176</f>
        <v>(850, 900]</v>
      </c>
      <c r="E171" s="7" t="str">
        <f>Multiplier_Weight_Newbie!Q176</f>
        <v>E</v>
      </c>
      <c r="F171" s="7">
        <f>Multiplier_Weight_Newbie!R176</f>
        <v>2.9959921426987294E-3</v>
      </c>
      <c r="G171" s="4">
        <f>Multiplier_Weight_Newbie!V176</f>
        <v>0</v>
      </c>
      <c r="H171" s="4">
        <f>Multiplier_Weight_Oldhand!V176</f>
        <v>0</v>
      </c>
    </row>
    <row r="172" spans="2:8" ht="15.6" customHeight="1" x14ac:dyDescent="0.3">
      <c r="B172" s="7">
        <f>Multiplier_Weight_Newbie!B177</f>
        <v>900</v>
      </c>
      <c r="C172" s="7">
        <f>Multiplier_Weight_Newbie!C177</f>
        <v>950</v>
      </c>
      <c r="D172" s="7" t="str">
        <f>Multiplier_Weight_Newbie!P177</f>
        <v>(900, 950]</v>
      </c>
      <c r="E172" s="7" t="str">
        <f>Multiplier_Weight_Newbie!Q177</f>
        <v>E</v>
      </c>
      <c r="F172" s="7">
        <f>Multiplier_Weight_Newbie!R177</f>
        <v>2.25738998194088E-3</v>
      </c>
      <c r="G172" s="4">
        <f>Multiplier_Weight_Newbie!V177</f>
        <v>0</v>
      </c>
      <c r="H172" s="4">
        <f>Multiplier_Weight_Oldhand!V177</f>
        <v>0</v>
      </c>
    </row>
    <row r="173" spans="2:8" ht="15.6" customHeight="1" x14ac:dyDescent="0.3">
      <c r="B173" s="7">
        <f>Multiplier_Weight_Newbie!B178</f>
        <v>950</v>
      </c>
      <c r="C173" s="7">
        <f>Multiplier_Weight_Newbie!C178</f>
        <v>1000</v>
      </c>
      <c r="D173" s="7" t="str">
        <f>Multiplier_Weight_Newbie!P178</f>
        <v>(950, 1000]</v>
      </c>
      <c r="E173" s="7" t="str">
        <f>Multiplier_Weight_Newbie!Q178</f>
        <v>E</v>
      </c>
      <c r="F173" s="7">
        <f>Multiplier_Weight_Newbie!R178</f>
        <v>1.8870988182365428E-3</v>
      </c>
      <c r="G173" s="4">
        <f>Multiplier_Weight_Newbie!V178</f>
        <v>0</v>
      </c>
      <c r="H173" s="4">
        <f>Multiplier_Weight_Oldhand!V178</f>
        <v>0</v>
      </c>
    </row>
    <row r="174" spans="2:8" ht="15.6" customHeight="1" x14ac:dyDescent="0.3">
      <c r="B174" s="7">
        <f>Multiplier_Weight_Newbie!B179</f>
        <v>1000</v>
      </c>
      <c r="C174" s="7">
        <f>Multiplier_Weight_Newbie!C179</f>
        <v>2000</v>
      </c>
      <c r="D174" s="7" t="str">
        <f>Multiplier_Weight_Newbie!P179</f>
        <v>(1000, 2000]</v>
      </c>
      <c r="E174" s="7" t="str">
        <f>Multiplier_Weight_Newbie!Q179</f>
        <v>E</v>
      </c>
      <c r="F174" s="7">
        <f>Multiplier_Weight_Newbie!R179</f>
        <v>6.8335551119982256E-3</v>
      </c>
      <c r="G174" s="4">
        <f>Multiplier_Weight_Newbie!V179</f>
        <v>0</v>
      </c>
      <c r="H174" s="4">
        <f>Multiplier_Weight_Oldhand!V179</f>
        <v>0</v>
      </c>
    </row>
    <row r="175" spans="2:8" ht="15.6" customHeight="1" x14ac:dyDescent="0.3">
      <c r="B175" s="7">
        <f>Multiplier_Weight_Newbie!B180</f>
        <v>2000</v>
      </c>
      <c r="C175" s="7">
        <f>Multiplier_Weight_Newbie!C180</f>
        <v>3000</v>
      </c>
      <c r="D175" s="7" t="str">
        <f>Multiplier_Weight_Newbie!P180</f>
        <v>(2000, 3000]</v>
      </c>
      <c r="E175" s="7" t="str">
        <f>Multiplier_Weight_Newbie!Q180</f>
        <v>E</v>
      </c>
      <c r="F175" s="7">
        <f>Multiplier_Weight_Newbie!R180</f>
        <v>1.4158191553401134E-4</v>
      </c>
      <c r="G175" s="4">
        <f>Multiplier_Weight_Newbie!V180</f>
        <v>0</v>
      </c>
      <c r="H175" s="4">
        <f>Multiplier_Weight_Oldhand!V180</f>
        <v>0</v>
      </c>
    </row>
    <row r="176" spans="2:8" ht="15.6" customHeight="1" x14ac:dyDescent="0.3">
      <c r="B176" s="7">
        <f>Multiplier_Weight_Newbie!B181</f>
        <v>3000</v>
      </c>
      <c r="C176" s="7">
        <f>Multiplier_Weight_Newbie!C181</f>
        <v>4000</v>
      </c>
      <c r="D176" s="7" t="str">
        <f>Multiplier_Weight_Newbie!P181</f>
        <v>(3000, 4000]</v>
      </c>
      <c r="E176" s="7" t="str">
        <f>Multiplier_Weight_Newbie!Q181</f>
        <v>E</v>
      </c>
      <c r="F176" s="7">
        <f>Multiplier_Weight_Newbie!R181</f>
        <v>1.3861166555777333E-5</v>
      </c>
      <c r="G176" s="4">
        <f>Multiplier_Weight_Newbie!V181</f>
        <v>0</v>
      </c>
      <c r="H176" s="4">
        <f>Multiplier_Weight_Oldhand!V181</f>
        <v>0</v>
      </c>
    </row>
    <row r="177" spans="2:8" ht="15.6" customHeight="1" x14ac:dyDescent="0.3">
      <c r="B177" s="7">
        <f>Multiplier_Weight_Newbie!B182</f>
        <v>4000</v>
      </c>
      <c r="C177" s="7">
        <f>Multiplier_Weight_Newbie!C182</f>
        <v>5000</v>
      </c>
      <c r="D177" s="7" t="str">
        <f>Multiplier_Weight_Newbie!P182</f>
        <v>(4000, 5000]</v>
      </c>
      <c r="E177" s="7" t="str">
        <f>Multiplier_Weight_Newbie!Q182</f>
        <v>E</v>
      </c>
      <c r="F177" s="7">
        <f>Multiplier_Weight_Newbie!R182</f>
        <v>0</v>
      </c>
      <c r="G177" s="4">
        <f>Multiplier_Weight_Newbie!V182</f>
        <v>0</v>
      </c>
      <c r="H177" s="4">
        <f>Multiplier_Weight_Oldhand!V182</f>
        <v>0</v>
      </c>
    </row>
    <row r="178" spans="2:8" ht="15.6" customHeight="1" x14ac:dyDescent="0.3">
      <c r="B178" s="7">
        <f>Multiplier_Weight_Newbie!B183</f>
        <v>5000</v>
      </c>
      <c r="C178" s="7">
        <f>Multiplier_Weight_Newbie!C183</f>
        <v>6000</v>
      </c>
      <c r="D178" s="7" t="str">
        <f>Multiplier_Weight_Newbie!P183</f>
        <v>(5000, 6000]</v>
      </c>
      <c r="E178" s="7" t="str">
        <f>Multiplier_Weight_Newbie!Q183</f>
        <v>E</v>
      </c>
      <c r="F178" s="7">
        <f>Multiplier_Weight_Newbie!R183</f>
        <v>0</v>
      </c>
      <c r="G178" s="4">
        <f>Multiplier_Weight_Newbie!V183</f>
        <v>0</v>
      </c>
      <c r="H178" s="4">
        <f>Multiplier_Weight_Oldhand!V183</f>
        <v>0</v>
      </c>
    </row>
    <row r="179" spans="2:8" ht="15.6" customHeight="1" x14ac:dyDescent="0.3">
      <c r="B179" s="7">
        <f>Multiplier_Weight_Newbie!B184</f>
        <v>6000</v>
      </c>
      <c r="C179" s="7">
        <f>Multiplier_Weight_Newbie!C184</f>
        <v>7000</v>
      </c>
      <c r="D179" s="7" t="str">
        <f>Multiplier_Weight_Newbie!P184</f>
        <v>(6000, 7000]</v>
      </c>
      <c r="E179" s="7" t="str">
        <f>Multiplier_Weight_Newbie!Q184</f>
        <v>E</v>
      </c>
      <c r="F179" s="7">
        <f>Multiplier_Weight_Newbie!R184</f>
        <v>0</v>
      </c>
      <c r="G179" s="4">
        <f>Multiplier_Weight_Newbie!V184</f>
        <v>0</v>
      </c>
      <c r="H179" s="4">
        <f>Multiplier_Weight_Oldhand!V184</f>
        <v>0</v>
      </c>
    </row>
    <row r="180" spans="2:8" ht="15.6" customHeight="1" x14ac:dyDescent="0.3">
      <c r="B180" s="7">
        <f>Multiplier_Weight_Newbie!B185</f>
        <v>7000</v>
      </c>
      <c r="C180" s="7">
        <f>Multiplier_Weight_Newbie!C185</f>
        <v>8000</v>
      </c>
      <c r="D180" s="7" t="str">
        <f>Multiplier_Weight_Newbie!P185</f>
        <v>(7000, 8000]</v>
      </c>
      <c r="E180" s="7" t="str">
        <f>Multiplier_Weight_Newbie!Q185</f>
        <v>E</v>
      </c>
      <c r="F180" s="7">
        <f>Multiplier_Weight_Newbie!R185</f>
        <v>0</v>
      </c>
      <c r="G180" s="4">
        <f>Multiplier_Weight_Newbie!V185</f>
        <v>0</v>
      </c>
      <c r="H180" s="4">
        <f>Multiplier_Weight_Oldhand!V185</f>
        <v>0</v>
      </c>
    </row>
    <row r="181" spans="2:8" ht="15.6" customHeight="1" x14ac:dyDescent="0.3">
      <c r="B181" s="7">
        <f>Multiplier_Weight_Newbie!B186</f>
        <v>0</v>
      </c>
      <c r="C181" s="7">
        <f>Multiplier_Weight_Newbie!C186</f>
        <v>0</v>
      </c>
      <c r="D181" s="7" t="str">
        <f>Multiplier_Weight_Newbie!P186</f>
        <v>(, ]</v>
      </c>
      <c r="E181" s="7" t="str">
        <f>Multiplier_Weight_Newbie!Q186</f>
        <v>E</v>
      </c>
      <c r="F181" s="7">
        <f>Multiplier_Weight_Newbie!R186</f>
        <v>0</v>
      </c>
      <c r="G181" s="4">
        <f>Multiplier_Weight_Newbie!V186</f>
        <v>0</v>
      </c>
      <c r="H181" s="4">
        <f>Multiplier_Weight_Oldhand!V186</f>
        <v>0</v>
      </c>
    </row>
    <row r="182" spans="2:8" ht="15.6" customHeight="1" x14ac:dyDescent="0.3">
      <c r="B182" s="7">
        <f>Multiplier_Weight_Newbie!B187</f>
        <v>0</v>
      </c>
      <c r="C182" s="7">
        <f>Multiplier_Weight_Newbie!C187</f>
        <v>0</v>
      </c>
      <c r="D182" s="7" t="str">
        <f>Multiplier_Weight_Newbie!P187</f>
        <v>(, ]</v>
      </c>
      <c r="E182" s="7" t="str">
        <f>Multiplier_Weight_Newbie!Q187</f>
        <v>E</v>
      </c>
      <c r="F182" s="7">
        <f>Multiplier_Weight_Newbie!R187</f>
        <v>0</v>
      </c>
      <c r="G182" s="4">
        <f>Multiplier_Weight_Newbie!V187</f>
        <v>0</v>
      </c>
      <c r="H182" s="4">
        <f>Multiplier_Weight_Oldhand!V187</f>
        <v>0</v>
      </c>
    </row>
    <row r="183" spans="2:8" ht="15.6" customHeight="1" x14ac:dyDescent="0.3">
      <c r="B183" s="7">
        <f>Multiplier_Weight_Newbie!B188</f>
        <v>0</v>
      </c>
      <c r="C183" s="7">
        <f>Multiplier_Weight_Newbie!C188</f>
        <v>0</v>
      </c>
      <c r="D183" s="7" t="str">
        <f>Multiplier_Weight_Newbie!P188</f>
        <v>(, ]</v>
      </c>
      <c r="E183" s="7" t="str">
        <f>Multiplier_Weight_Newbie!Q188</f>
        <v>E</v>
      </c>
      <c r="F183" s="7">
        <f>Multiplier_Weight_Newbie!R188</f>
        <v>0</v>
      </c>
      <c r="G183" s="4">
        <f>Multiplier_Weight_Newbie!V188</f>
        <v>0</v>
      </c>
      <c r="H183" s="4">
        <f>Multiplier_Weight_Oldhand!V188</f>
        <v>0</v>
      </c>
    </row>
    <row r="184" spans="2:8" ht="15.6" customHeight="1" x14ac:dyDescent="0.3">
      <c r="B184" s="7">
        <f>Multiplier_Weight_Newbie!B189</f>
        <v>0</v>
      </c>
      <c r="C184" s="7">
        <f>Multiplier_Weight_Newbie!C189</f>
        <v>0</v>
      </c>
      <c r="D184" s="7" t="str">
        <f>Multiplier_Weight_Newbie!P189</f>
        <v>(, ]</v>
      </c>
      <c r="E184" s="7" t="str">
        <f>Multiplier_Weight_Newbie!Q189</f>
        <v>E</v>
      </c>
      <c r="F184" s="7">
        <f>Multiplier_Weight_Newbie!R189</f>
        <v>0</v>
      </c>
      <c r="G184" s="4">
        <f>Multiplier_Weight_Newbie!V189</f>
        <v>0</v>
      </c>
      <c r="H184" s="4">
        <f>Multiplier_Weight_Oldhand!V189</f>
        <v>0</v>
      </c>
    </row>
    <row r="185" spans="2:8" ht="15.6" customHeight="1" x14ac:dyDescent="0.3">
      <c r="B185" s="7">
        <f>Multiplier_Weight_Newbie!B190</f>
        <v>0</v>
      </c>
      <c r="C185" s="7">
        <f>Multiplier_Weight_Newbie!C190</f>
        <v>0</v>
      </c>
      <c r="D185" s="7" t="str">
        <f>Multiplier_Weight_Newbie!P190</f>
        <v>(, ]</v>
      </c>
      <c r="E185" s="7" t="str">
        <f>Multiplier_Weight_Newbie!Q190</f>
        <v>E</v>
      </c>
      <c r="F185" s="7">
        <f>Multiplier_Weight_Newbie!R190</f>
        <v>0</v>
      </c>
      <c r="G185" s="4">
        <f>Multiplier_Weight_Newbie!V190</f>
        <v>0</v>
      </c>
      <c r="H185" s="4">
        <f>Multiplier_Weight_Oldhand!V190</f>
        <v>0</v>
      </c>
    </row>
    <row r="186" spans="2:8" ht="15.6" customHeight="1" x14ac:dyDescent="0.3">
      <c r="B186" s="7">
        <f>Multiplier_Weight_Newbie!B191</f>
        <v>0</v>
      </c>
      <c r="C186" s="7">
        <f>Multiplier_Weight_Newbie!C191</f>
        <v>0</v>
      </c>
      <c r="D186" s="7" t="str">
        <f>Multiplier_Weight_Newbie!P191</f>
        <v>(, ]</v>
      </c>
      <c r="E186" s="7" t="str">
        <f>Multiplier_Weight_Newbie!Q191</f>
        <v>E</v>
      </c>
      <c r="F186" s="7">
        <f>Multiplier_Weight_Newbie!R191</f>
        <v>0</v>
      </c>
      <c r="G186" s="4">
        <f>Multiplier_Weight_Newbie!V191</f>
        <v>0</v>
      </c>
      <c r="H186" s="4">
        <f>Multiplier_Weight_Oldhand!V191</f>
        <v>0</v>
      </c>
    </row>
    <row r="187" spans="2:8" ht="15.6" customHeight="1" x14ac:dyDescent="0.3">
      <c r="B187" s="7">
        <f>Multiplier_Weight_Newbie!B192</f>
        <v>0</v>
      </c>
      <c r="C187" s="7">
        <f>Multiplier_Weight_Newbie!C192</f>
        <v>0</v>
      </c>
      <c r="D187" s="7" t="str">
        <f>Multiplier_Weight_Newbie!P192</f>
        <v>(, ]</v>
      </c>
      <c r="E187" s="7" t="str">
        <f>Multiplier_Weight_Newbie!Q192</f>
        <v>E</v>
      </c>
      <c r="F187" s="7">
        <f>Multiplier_Weight_Newbie!R192</f>
        <v>0</v>
      </c>
      <c r="G187" s="4">
        <f>Multiplier_Weight_Newbie!V192</f>
        <v>0</v>
      </c>
      <c r="H187" s="4">
        <f>Multiplier_Weight_Oldhand!V192</f>
        <v>0</v>
      </c>
    </row>
    <row r="188" spans="2:8" ht="15.6" customHeight="1" x14ac:dyDescent="0.3">
      <c r="B188" s="3" t="s">
        <v>166</v>
      </c>
      <c r="G188" s="4">
        <f>SUM(G129:G187)</f>
        <v>999999985</v>
      </c>
      <c r="H188" s="4">
        <f>SUM(H129:H187)</f>
        <v>999999984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X193"/>
  <sheetViews>
    <sheetView workbookViewId="0"/>
  </sheetViews>
  <sheetFormatPr defaultRowHeight="15" x14ac:dyDescent="0.3"/>
  <cols>
    <col min="1" max="1" width="4" customWidth="1"/>
    <col min="2" max="24" width="15" customWidth="1"/>
  </cols>
  <sheetData>
    <row r="2" spans="2:24" ht="15.6" customHeight="1" x14ac:dyDescent="0.3">
      <c r="B2" s="3" t="s">
        <v>157</v>
      </c>
      <c r="C2" s="4">
        <f>10^9</f>
        <v>1000000000</v>
      </c>
    </row>
    <row r="3" spans="2:24" ht="15.6" customHeight="1" x14ac:dyDescent="0.3">
      <c r="B3" s="3" t="s">
        <v>5</v>
      </c>
      <c r="C3" s="4">
        <v>100</v>
      </c>
    </row>
    <row r="4" spans="2:24" ht="15.6" customHeight="1" x14ac:dyDescent="0.3">
      <c r="B4" s="3" t="s">
        <v>167</v>
      </c>
      <c r="C4" s="7" t="s">
        <v>168</v>
      </c>
    </row>
    <row r="6" spans="2:24" ht="15.6" customHeight="1" x14ac:dyDescent="0.3">
      <c r="B6" s="3" t="s">
        <v>169</v>
      </c>
      <c r="C6" s="3" t="s">
        <v>16</v>
      </c>
      <c r="D6" s="3" t="s">
        <v>17</v>
      </c>
      <c r="E6" s="3" t="s">
        <v>166</v>
      </c>
      <c r="F6" s="3" t="s">
        <v>170</v>
      </c>
      <c r="G6" s="3" t="s">
        <v>14</v>
      </c>
    </row>
    <row r="7" spans="2:24" ht="15.6" customHeight="1" x14ac:dyDescent="0.3">
      <c r="B7" s="7" t="s">
        <v>9</v>
      </c>
      <c r="C7" s="6">
        <f>SUM(X12:X64)</f>
        <v>0.66318572168350154</v>
      </c>
      <c r="D7" s="6">
        <f>SUM(X70:X128)*W64</f>
        <v>0.26678736926079516</v>
      </c>
      <c r="E7" s="6">
        <f>C7+W64*(SUM(X70:X128)+X64)</f>
        <v>0.92999946179831472</v>
      </c>
      <c r="F7" s="6">
        <f>W64</f>
        <v>8.4899999999999993E-3</v>
      </c>
      <c r="G7" s="8">
        <f>IF(F7=0,0,1/F7)</f>
        <v>117.78563015312133</v>
      </c>
    </row>
    <row r="8" spans="2:24" ht="15.6" customHeight="1" x14ac:dyDescent="0.3">
      <c r="B8" s="7" t="s">
        <v>10</v>
      </c>
      <c r="C8" s="6">
        <v>0</v>
      </c>
      <c r="D8" s="6">
        <f>SUM(X134:X192)/Parameter!$C$61</f>
        <v>0.92499739527901748</v>
      </c>
      <c r="E8" s="6">
        <f>C8+D8</f>
        <v>0.92499739527901748</v>
      </c>
      <c r="F8" s="6">
        <v>1</v>
      </c>
      <c r="G8" s="8">
        <v>1</v>
      </c>
    </row>
    <row r="10" spans="2:24" ht="15.6" customHeight="1" x14ac:dyDescent="0.3">
      <c r="B10" s="1" t="s">
        <v>158</v>
      </c>
      <c r="D10" s="3" t="s">
        <v>171</v>
      </c>
      <c r="G10" s="3" t="s">
        <v>172</v>
      </c>
      <c r="J10" s="3" t="s">
        <v>173</v>
      </c>
      <c r="M10" s="3" t="s">
        <v>174</v>
      </c>
    </row>
    <row r="11" spans="2:24" ht="15.6" customHeight="1" x14ac:dyDescent="0.3">
      <c r="B11" s="3" t="s">
        <v>159</v>
      </c>
      <c r="C11" s="3" t="s">
        <v>160</v>
      </c>
      <c r="D11" s="3" t="s">
        <v>40</v>
      </c>
      <c r="E11" s="3" t="s">
        <v>74</v>
      </c>
      <c r="F11" s="3" t="s">
        <v>175</v>
      </c>
      <c r="G11" s="3" t="s">
        <v>40</v>
      </c>
      <c r="H11" s="3" t="s">
        <v>74</v>
      </c>
      <c r="I11" s="3" t="s">
        <v>175</v>
      </c>
      <c r="J11" s="3" t="s">
        <v>40</v>
      </c>
      <c r="K11" s="3" t="s">
        <v>74</v>
      </c>
      <c r="L11" s="3" t="s">
        <v>175</v>
      </c>
      <c r="M11" s="3" t="s">
        <v>40</v>
      </c>
      <c r="N11" s="3" t="s">
        <v>74</v>
      </c>
      <c r="O11" s="3" t="s">
        <v>175</v>
      </c>
      <c r="P11" s="3" t="s">
        <v>161</v>
      </c>
      <c r="Q11" s="3" t="s">
        <v>162</v>
      </c>
      <c r="R11" s="3" t="s">
        <v>163</v>
      </c>
      <c r="S11" s="3" t="s">
        <v>176</v>
      </c>
      <c r="T11" s="3" t="s">
        <v>177</v>
      </c>
      <c r="U11" s="3" t="s">
        <v>178</v>
      </c>
      <c r="V11" s="3" t="s">
        <v>91</v>
      </c>
      <c r="W11" s="3" t="s">
        <v>170</v>
      </c>
      <c r="X11" s="3" t="s">
        <v>179</v>
      </c>
    </row>
    <row r="12" spans="2:24" ht="15.6" customHeight="1" x14ac:dyDescent="0.3">
      <c r="B12" s="7">
        <v>-1</v>
      </c>
      <c r="C12" s="7">
        <v>0</v>
      </c>
      <c r="D12" s="4">
        <v>81444439</v>
      </c>
      <c r="E12" s="4">
        <v>44611398</v>
      </c>
      <c r="F12" s="4">
        <v>0</v>
      </c>
      <c r="G12" s="4">
        <v>0</v>
      </c>
      <c r="H12" s="4">
        <v>0</v>
      </c>
      <c r="I12" s="4">
        <v>0</v>
      </c>
      <c r="J12" s="7">
        <f t="shared" ref="J12:J43" si="0">IF(SUM(D$12:D$63)=0,0,D12/SUM(D$12:D$63))</f>
        <v>0.82275434047953777</v>
      </c>
      <c r="K12" s="7">
        <f t="shared" ref="K12:K43" si="1">IF(SUM(E$12:E$63)=0,0,E12/SUM(E$12:E$63))</f>
        <v>0.44990450644964947</v>
      </c>
      <c r="L12" s="7">
        <f t="shared" ref="L12:L43" si="2">IF(SUM(F$12:F$63)=0,0,F12/SUM(F$12:F$63))</f>
        <v>0</v>
      </c>
      <c r="M12" s="7">
        <f t="shared" ref="M12:M43" si="3">IF(D12=0,0,G12/D12/$C$3/5)</f>
        <v>0</v>
      </c>
      <c r="N12" s="7">
        <f t="shared" ref="N12:N43" si="4">IF(E12=0,0,H12/E12/$C$3/5)</f>
        <v>0</v>
      </c>
      <c r="O12" s="7">
        <f t="shared" ref="O12:O43" si="5">IF(F12=0,0,I12/F12/$C$3/5)</f>
        <v>0</v>
      </c>
      <c r="P12" s="7" t="str">
        <f t="shared" ref="P12:P43" si="6">"("&amp;B12&amp;", "&amp;C12&amp;"]"</f>
        <v>(-1, 0]</v>
      </c>
      <c r="Q12" s="7" t="s">
        <v>74</v>
      </c>
      <c r="R12" s="7">
        <f t="shared" ref="R12:R43" si="7">IFERROR(INDEX($J12:$L12,MATCH($Q12,$J$11:$L$11,0)),0)</f>
        <v>0.44990450644964947</v>
      </c>
      <c r="S12" s="4">
        <v>1.986</v>
      </c>
      <c r="T12" s="7">
        <f t="shared" ref="T12:T43" si="8">$R12*$S12</f>
        <v>0.89351034980900379</v>
      </c>
      <c r="U12" s="7">
        <f t="shared" ref="U12:U43" si="9">IF(SUM(T$12:T$64)=0,0,T12/SUM(T$12:T$64))</f>
        <v>0.71016486477833163</v>
      </c>
      <c r="V12" s="4">
        <f>INT($C$2-SUM(V13:V$64))</f>
        <v>708422750</v>
      </c>
      <c r="W12" s="7">
        <f t="shared" ref="W12:W43" si="10">IF(SUM(V$12:V$64)=0,0,V12/SUM(V$12:V$64))</f>
        <v>0.70842274999999999</v>
      </c>
      <c r="X12" s="7">
        <f t="shared" ref="X12:X43" si="11">IFERROR(INDEX($M12:$O12,MATCH($Q12,$M$11:$O$11,0)),0)*V12/$C$2</f>
        <v>0</v>
      </c>
    </row>
    <row r="13" spans="2:24" ht="15.6" customHeight="1" x14ac:dyDescent="0.3">
      <c r="B13" s="7">
        <v>0</v>
      </c>
      <c r="C13" s="7">
        <v>1</v>
      </c>
      <c r="D13" s="4">
        <v>13113310</v>
      </c>
      <c r="E13" s="4">
        <v>18412850</v>
      </c>
      <c r="F13" s="4">
        <v>0</v>
      </c>
      <c r="G13" s="4">
        <v>2531346475</v>
      </c>
      <c r="H13" s="4">
        <v>3398022375</v>
      </c>
      <c r="I13" s="4">
        <v>0</v>
      </c>
      <c r="J13" s="7">
        <f t="shared" si="0"/>
        <v>0.13247107909422431</v>
      </c>
      <c r="K13" s="7">
        <f t="shared" si="1"/>
        <v>0.18569299692382266</v>
      </c>
      <c r="L13" s="7">
        <f t="shared" si="2"/>
        <v>0</v>
      </c>
      <c r="M13" s="7">
        <f t="shared" si="3"/>
        <v>0.38607284888407273</v>
      </c>
      <c r="N13" s="7">
        <f t="shared" si="4"/>
        <v>0.36909249518678527</v>
      </c>
      <c r="O13" s="7">
        <f t="shared" si="5"/>
        <v>0</v>
      </c>
      <c r="P13" s="7" t="str">
        <f t="shared" si="6"/>
        <v>(0, 1]</v>
      </c>
      <c r="Q13" s="7" t="s">
        <v>74</v>
      </c>
      <c r="R13" s="7">
        <f t="shared" si="7"/>
        <v>0.18569299692382266</v>
      </c>
      <c r="S13" s="4">
        <v>1</v>
      </c>
      <c r="T13" s="7">
        <f t="shared" si="8"/>
        <v>0.18569299692382266</v>
      </c>
      <c r="U13" s="7">
        <f t="shared" si="9"/>
        <v>0.14758938391578641</v>
      </c>
      <c r="V13" s="4">
        <f t="shared" ref="V13:V44" si="12">INT(U13*$C$2)</f>
        <v>147589383</v>
      </c>
      <c r="W13" s="7">
        <f t="shared" si="10"/>
        <v>0.14758938299999999</v>
      </c>
      <c r="X13" s="7">
        <f t="shared" si="11"/>
        <v>5.4474133634548103E-2</v>
      </c>
    </row>
    <row r="14" spans="2:24" ht="15.6" customHeight="1" x14ac:dyDescent="0.3">
      <c r="B14" s="7">
        <v>1</v>
      </c>
      <c r="C14" s="7">
        <v>2</v>
      </c>
      <c r="D14" s="4">
        <v>2076337</v>
      </c>
      <c r="E14" s="4">
        <v>4580344</v>
      </c>
      <c r="F14" s="4">
        <v>0</v>
      </c>
      <c r="G14" s="4">
        <v>1560262150</v>
      </c>
      <c r="H14" s="4">
        <v>3412133350</v>
      </c>
      <c r="I14" s="4">
        <v>0</v>
      </c>
      <c r="J14" s="7">
        <f t="shared" si="0"/>
        <v>2.0975223109441051E-2</v>
      </c>
      <c r="K14" s="7">
        <f t="shared" si="1"/>
        <v>4.619262114784238E-2</v>
      </c>
      <c r="L14" s="7">
        <f t="shared" si="2"/>
        <v>0</v>
      </c>
      <c r="M14" s="7">
        <f t="shared" si="3"/>
        <v>1.5028987587275091</v>
      </c>
      <c r="N14" s="7">
        <f t="shared" si="4"/>
        <v>1.4899026579663013</v>
      </c>
      <c r="O14" s="7">
        <f t="shared" si="5"/>
        <v>0</v>
      </c>
      <c r="P14" s="7" t="str">
        <f t="shared" si="6"/>
        <v>(1, 2]</v>
      </c>
      <c r="Q14" s="7" t="s">
        <v>74</v>
      </c>
      <c r="R14" s="7">
        <f t="shared" si="7"/>
        <v>4.619262114784238E-2</v>
      </c>
      <c r="S14" s="4">
        <v>1</v>
      </c>
      <c r="T14" s="7">
        <f t="shared" si="8"/>
        <v>4.619262114784238E-2</v>
      </c>
      <c r="U14" s="7">
        <f t="shared" si="9"/>
        <v>3.6714042045765255E-2</v>
      </c>
      <c r="V14" s="4">
        <f t="shared" si="12"/>
        <v>36714042</v>
      </c>
      <c r="W14" s="7">
        <f t="shared" si="10"/>
        <v>3.6714042000000002E-2</v>
      </c>
      <c r="X14" s="7">
        <f t="shared" si="11"/>
        <v>5.470034876048642E-2</v>
      </c>
    </row>
    <row r="15" spans="2:24" ht="15.6" customHeight="1" x14ac:dyDescent="0.3">
      <c r="B15" s="7">
        <v>2</v>
      </c>
      <c r="C15" s="7">
        <v>3</v>
      </c>
      <c r="D15" s="4">
        <v>894630</v>
      </c>
      <c r="E15" s="4">
        <v>2912418</v>
      </c>
      <c r="F15" s="4">
        <v>0</v>
      </c>
      <c r="G15" s="4">
        <v>1126665375</v>
      </c>
      <c r="H15" s="4">
        <v>3666796450</v>
      </c>
      <c r="I15" s="4">
        <v>0</v>
      </c>
      <c r="J15" s="7">
        <f t="shared" si="0"/>
        <v>9.0375810142569579E-3</v>
      </c>
      <c r="K15" s="7">
        <f t="shared" si="1"/>
        <v>2.937164136539893E-2</v>
      </c>
      <c r="L15" s="7">
        <f t="shared" si="2"/>
        <v>0</v>
      </c>
      <c r="M15" s="7">
        <f t="shared" si="3"/>
        <v>2.5187292511988195</v>
      </c>
      <c r="N15" s="7">
        <f t="shared" si="4"/>
        <v>2.5180427054083583</v>
      </c>
      <c r="O15" s="7">
        <f t="shared" si="5"/>
        <v>0</v>
      </c>
      <c r="P15" s="7" t="str">
        <f t="shared" si="6"/>
        <v>(2, 3]</v>
      </c>
      <c r="Q15" s="7" t="s">
        <v>74</v>
      </c>
      <c r="R15" s="7">
        <f t="shared" si="7"/>
        <v>2.937164136539893E-2</v>
      </c>
      <c r="S15" s="4">
        <v>1</v>
      </c>
      <c r="T15" s="7">
        <f t="shared" si="8"/>
        <v>2.937164136539893E-2</v>
      </c>
      <c r="U15" s="7">
        <f t="shared" si="9"/>
        <v>2.3344673873150912E-2</v>
      </c>
      <c r="V15" s="4">
        <f t="shared" si="12"/>
        <v>23344673</v>
      </c>
      <c r="W15" s="7">
        <f t="shared" si="10"/>
        <v>2.3344673E-2</v>
      </c>
      <c r="X15" s="7">
        <f t="shared" si="11"/>
        <v>5.8782883557793451E-2</v>
      </c>
    </row>
    <row r="16" spans="2:24" ht="15.6" customHeight="1" x14ac:dyDescent="0.3">
      <c r="B16" s="7">
        <v>3</v>
      </c>
      <c r="C16" s="7">
        <v>4</v>
      </c>
      <c r="D16" s="4">
        <v>457771</v>
      </c>
      <c r="E16" s="4">
        <v>1995806</v>
      </c>
      <c r="F16" s="4">
        <v>0</v>
      </c>
      <c r="G16" s="4">
        <v>815422300</v>
      </c>
      <c r="H16" s="4">
        <v>3530115825</v>
      </c>
      <c r="I16" s="4">
        <v>0</v>
      </c>
      <c r="J16" s="7">
        <f t="shared" si="0"/>
        <v>4.6244173551942391E-3</v>
      </c>
      <c r="K16" s="7">
        <f t="shared" si="1"/>
        <v>2.0127638981393255E-2</v>
      </c>
      <c r="L16" s="7">
        <f t="shared" si="2"/>
        <v>0</v>
      </c>
      <c r="M16" s="7">
        <f t="shared" si="3"/>
        <v>3.5625773585482698</v>
      </c>
      <c r="N16" s="7">
        <f t="shared" si="4"/>
        <v>3.5375340338690235</v>
      </c>
      <c r="O16" s="7">
        <f t="shared" si="5"/>
        <v>0</v>
      </c>
      <c r="P16" s="7" t="str">
        <f t="shared" si="6"/>
        <v>(3, 4]</v>
      </c>
      <c r="Q16" s="7" t="s">
        <v>74</v>
      </c>
      <c r="R16" s="7">
        <f t="shared" si="7"/>
        <v>2.0127638981393255E-2</v>
      </c>
      <c r="S16" s="4">
        <v>1.042</v>
      </c>
      <c r="T16" s="7">
        <f t="shared" si="8"/>
        <v>2.0972999818611771E-2</v>
      </c>
      <c r="U16" s="7">
        <f t="shared" si="9"/>
        <v>1.6669406888643424E-2</v>
      </c>
      <c r="V16" s="4">
        <f t="shared" si="12"/>
        <v>16669406</v>
      </c>
      <c r="W16" s="7">
        <f t="shared" si="10"/>
        <v>1.6669406000000001E-2</v>
      </c>
      <c r="X16" s="7">
        <f t="shared" si="11"/>
        <v>5.89685910493805E-2</v>
      </c>
    </row>
    <row r="17" spans="2:24" ht="15.6" customHeight="1" x14ac:dyDescent="0.3">
      <c r="B17" s="7">
        <v>4</v>
      </c>
      <c r="C17" s="7">
        <v>5</v>
      </c>
      <c r="D17" s="4">
        <v>297012</v>
      </c>
      <c r="E17" s="4">
        <v>1826101</v>
      </c>
      <c r="F17" s="4">
        <v>0</v>
      </c>
      <c r="G17" s="4">
        <v>670352000</v>
      </c>
      <c r="H17" s="4">
        <v>4129988800</v>
      </c>
      <c r="I17" s="4">
        <v>0</v>
      </c>
      <c r="J17" s="7">
        <f t="shared" si="0"/>
        <v>3.0004247702474624E-3</v>
      </c>
      <c r="K17" s="7">
        <f t="shared" si="1"/>
        <v>1.8416169543312929E-2</v>
      </c>
      <c r="L17" s="7">
        <f t="shared" si="2"/>
        <v>0</v>
      </c>
      <c r="M17" s="7">
        <f t="shared" si="3"/>
        <v>4.5139724994276325</v>
      </c>
      <c r="N17" s="7">
        <f t="shared" si="4"/>
        <v>4.5232862804412246</v>
      </c>
      <c r="O17" s="7">
        <f t="shared" si="5"/>
        <v>0</v>
      </c>
      <c r="P17" s="7" t="str">
        <f t="shared" si="6"/>
        <v>(4, 5]</v>
      </c>
      <c r="Q17" s="7" t="s">
        <v>74</v>
      </c>
      <c r="R17" s="7">
        <f t="shared" si="7"/>
        <v>1.8416169543312929E-2</v>
      </c>
      <c r="S17" s="4">
        <v>0.8</v>
      </c>
      <c r="T17" s="7">
        <f t="shared" si="8"/>
        <v>1.4732935634650344E-2</v>
      </c>
      <c r="U17" s="7">
        <f t="shared" si="9"/>
        <v>1.170978405007379E-2</v>
      </c>
      <c r="V17" s="4">
        <f t="shared" si="12"/>
        <v>11709784</v>
      </c>
      <c r="W17" s="7">
        <f t="shared" si="10"/>
        <v>1.1709784000000001E-2</v>
      </c>
      <c r="X17" s="7">
        <f t="shared" si="11"/>
        <v>5.2966705314130162E-2</v>
      </c>
    </row>
    <row r="18" spans="2:24" ht="15.6" customHeight="1" x14ac:dyDescent="0.3">
      <c r="B18" s="7">
        <v>5</v>
      </c>
      <c r="C18" s="7">
        <v>6</v>
      </c>
      <c r="D18" s="4">
        <v>177151</v>
      </c>
      <c r="E18" s="4">
        <v>1461544</v>
      </c>
      <c r="F18" s="4">
        <v>0</v>
      </c>
      <c r="G18" s="4">
        <v>491783775</v>
      </c>
      <c r="H18" s="4">
        <v>4037335500</v>
      </c>
      <c r="I18" s="4">
        <v>0</v>
      </c>
      <c r="J18" s="7">
        <f t="shared" si="0"/>
        <v>1.7895850958012075E-3</v>
      </c>
      <c r="K18" s="7">
        <f t="shared" si="1"/>
        <v>1.4739623985207692E-2</v>
      </c>
      <c r="L18" s="7">
        <f t="shared" si="2"/>
        <v>0</v>
      </c>
      <c r="M18" s="7">
        <f t="shared" si="3"/>
        <v>5.5521422402357308</v>
      </c>
      <c r="N18" s="7">
        <f t="shared" si="4"/>
        <v>5.5247539588271035</v>
      </c>
      <c r="O18" s="7">
        <f t="shared" si="5"/>
        <v>0</v>
      </c>
      <c r="P18" s="7" t="str">
        <f t="shared" si="6"/>
        <v>(5, 6]</v>
      </c>
      <c r="Q18" s="7" t="s">
        <v>74</v>
      </c>
      <c r="R18" s="7">
        <f t="shared" si="7"/>
        <v>1.4739623985207692E-2</v>
      </c>
      <c r="S18" s="4">
        <v>1</v>
      </c>
      <c r="T18" s="7">
        <f t="shared" si="8"/>
        <v>1.4739623985207692E-2</v>
      </c>
      <c r="U18" s="7">
        <f t="shared" si="9"/>
        <v>1.1715099972346167E-2</v>
      </c>
      <c r="V18" s="4">
        <f t="shared" si="12"/>
        <v>11715099</v>
      </c>
      <c r="W18" s="7">
        <f t="shared" si="10"/>
        <v>1.1715099E-2</v>
      </c>
      <c r="X18" s="7">
        <f t="shared" si="11"/>
        <v>6.4723039578301444E-2</v>
      </c>
    </row>
    <row r="19" spans="2:24" ht="15.6" customHeight="1" x14ac:dyDescent="0.3">
      <c r="B19" s="7">
        <v>6</v>
      </c>
      <c r="C19" s="7">
        <v>7</v>
      </c>
      <c r="D19" s="4">
        <v>124646</v>
      </c>
      <c r="E19" s="4">
        <v>1323139</v>
      </c>
      <c r="F19" s="4">
        <v>0</v>
      </c>
      <c r="G19" s="4">
        <v>405090625</v>
      </c>
      <c r="H19" s="4">
        <v>4311237575</v>
      </c>
      <c r="I19" s="4">
        <v>0</v>
      </c>
      <c r="J19" s="7">
        <f t="shared" si="0"/>
        <v>1.2591778982406947E-3</v>
      </c>
      <c r="K19" s="7">
        <f t="shared" si="1"/>
        <v>1.3343814035132517E-2</v>
      </c>
      <c r="L19" s="7">
        <f t="shared" si="2"/>
        <v>0</v>
      </c>
      <c r="M19" s="7">
        <f t="shared" si="3"/>
        <v>6.4998575967138947</v>
      </c>
      <c r="N19" s="7">
        <f t="shared" si="4"/>
        <v>6.5166812783842065</v>
      </c>
      <c r="O19" s="7">
        <f t="shared" si="5"/>
        <v>0</v>
      </c>
      <c r="P19" s="7" t="str">
        <f t="shared" si="6"/>
        <v>(6, 7]</v>
      </c>
      <c r="Q19" s="7" t="s">
        <v>74</v>
      </c>
      <c r="R19" s="7">
        <f t="shared" si="7"/>
        <v>1.3343814035132517E-2</v>
      </c>
      <c r="S19" s="4">
        <v>0.8</v>
      </c>
      <c r="T19" s="7">
        <f t="shared" si="8"/>
        <v>1.0675051228106015E-2</v>
      </c>
      <c r="U19" s="7">
        <f t="shared" si="9"/>
        <v>8.484564631545892E-3</v>
      </c>
      <c r="V19" s="4">
        <f t="shared" si="12"/>
        <v>8484564</v>
      </c>
      <c r="W19" s="7">
        <f t="shared" si="10"/>
        <v>8.484564E-3</v>
      </c>
      <c r="X19" s="7">
        <f t="shared" si="11"/>
        <v>5.5291199374052614E-2</v>
      </c>
    </row>
    <row r="20" spans="2:24" ht="15.6" customHeight="1" x14ac:dyDescent="0.3">
      <c r="B20" s="7">
        <v>7</v>
      </c>
      <c r="C20" s="7">
        <v>8</v>
      </c>
      <c r="D20" s="4">
        <v>84482</v>
      </c>
      <c r="E20" s="4">
        <v>1121685</v>
      </c>
      <c r="F20" s="4">
        <v>0</v>
      </c>
      <c r="G20" s="4">
        <v>319837600</v>
      </c>
      <c r="H20" s="4">
        <v>4225509550</v>
      </c>
      <c r="I20" s="4">
        <v>0</v>
      </c>
      <c r="J20" s="7">
        <f t="shared" si="0"/>
        <v>8.5343987933163019E-4</v>
      </c>
      <c r="K20" s="7">
        <f t="shared" si="1"/>
        <v>1.1312156958564155E-2</v>
      </c>
      <c r="L20" s="7">
        <f t="shared" si="2"/>
        <v>0</v>
      </c>
      <c r="M20" s="7">
        <f t="shared" si="3"/>
        <v>7.5717336237304993</v>
      </c>
      <c r="N20" s="7">
        <f t="shared" si="4"/>
        <v>7.5342178062468523</v>
      </c>
      <c r="O20" s="7">
        <f t="shared" si="5"/>
        <v>0</v>
      </c>
      <c r="P20" s="7" t="str">
        <f t="shared" si="6"/>
        <v>(7, 8]</v>
      </c>
      <c r="Q20" s="7" t="s">
        <v>74</v>
      </c>
      <c r="R20" s="7">
        <f t="shared" si="7"/>
        <v>1.1312156958564155E-2</v>
      </c>
      <c r="S20" s="4">
        <v>0.9</v>
      </c>
      <c r="T20" s="7">
        <f t="shared" si="8"/>
        <v>1.018094126270774E-2</v>
      </c>
      <c r="U20" s="7">
        <f t="shared" si="9"/>
        <v>8.0918444612225141E-3</v>
      </c>
      <c r="V20" s="4">
        <f t="shared" si="12"/>
        <v>8091844</v>
      </c>
      <c r="W20" s="7">
        <f t="shared" si="10"/>
        <v>8.0918440000000008E-3</v>
      </c>
      <c r="X20" s="7">
        <f t="shared" si="11"/>
        <v>6.0965715150171754E-2</v>
      </c>
    </row>
    <row r="21" spans="2:24" ht="15.6" customHeight="1" x14ac:dyDescent="0.3">
      <c r="B21" s="7">
        <v>8</v>
      </c>
      <c r="C21" s="7">
        <v>9</v>
      </c>
      <c r="D21" s="4">
        <v>71204</v>
      </c>
      <c r="E21" s="4">
        <v>1089744</v>
      </c>
      <c r="F21" s="4">
        <v>0</v>
      </c>
      <c r="G21" s="4">
        <v>303032850</v>
      </c>
      <c r="H21" s="4">
        <v>4639783525</v>
      </c>
      <c r="I21" s="4">
        <v>0</v>
      </c>
      <c r="J21" s="7">
        <f t="shared" si="0"/>
        <v>7.1930509656411299E-4</v>
      </c>
      <c r="K21" s="7">
        <f t="shared" si="1"/>
        <v>1.0990033006283883E-2</v>
      </c>
      <c r="L21" s="7">
        <f t="shared" si="2"/>
        <v>0</v>
      </c>
      <c r="M21" s="7">
        <f t="shared" si="3"/>
        <v>8.5116805235660919</v>
      </c>
      <c r="N21" s="7">
        <f t="shared" si="4"/>
        <v>8.5153642048040634</v>
      </c>
      <c r="O21" s="7">
        <f t="shared" si="5"/>
        <v>0</v>
      </c>
      <c r="P21" s="7" t="str">
        <f t="shared" si="6"/>
        <v>(8, 9]</v>
      </c>
      <c r="Q21" s="7" t="s">
        <v>74</v>
      </c>
      <c r="R21" s="7">
        <f t="shared" si="7"/>
        <v>1.0990033006283883E-2</v>
      </c>
      <c r="S21" s="4">
        <v>0.7</v>
      </c>
      <c r="T21" s="7">
        <f t="shared" si="8"/>
        <v>7.6930231043987173E-3</v>
      </c>
      <c r="U21" s="7">
        <f t="shared" si="9"/>
        <v>6.1144392046938584E-3</v>
      </c>
      <c r="V21" s="4">
        <f t="shared" si="12"/>
        <v>6114439</v>
      </c>
      <c r="W21" s="7">
        <f t="shared" si="10"/>
        <v>6.1144390000000002E-3</v>
      </c>
      <c r="X21" s="7">
        <f t="shared" si="11"/>
        <v>5.2066674993057949E-2</v>
      </c>
    </row>
    <row r="22" spans="2:24" ht="15.6" customHeight="1" x14ac:dyDescent="0.3">
      <c r="B22" s="7">
        <v>9</v>
      </c>
      <c r="C22" s="7">
        <v>10</v>
      </c>
      <c r="D22" s="4">
        <v>48023</v>
      </c>
      <c r="E22" s="4">
        <v>944073</v>
      </c>
      <c r="F22" s="4">
        <v>0</v>
      </c>
      <c r="G22" s="4">
        <v>228958500</v>
      </c>
      <c r="H22" s="4">
        <v>4499878525</v>
      </c>
      <c r="I22" s="4">
        <v>0</v>
      </c>
      <c r="J22" s="7">
        <f t="shared" si="0"/>
        <v>4.8512988950478059E-4</v>
      </c>
      <c r="K22" s="7">
        <f t="shared" si="1"/>
        <v>9.5209456811337738E-3</v>
      </c>
      <c r="L22" s="7">
        <f t="shared" si="2"/>
        <v>0</v>
      </c>
      <c r="M22" s="7">
        <f t="shared" si="3"/>
        <v>9.5353684692751397</v>
      </c>
      <c r="N22" s="7">
        <f t="shared" si="4"/>
        <v>9.5329037585017264</v>
      </c>
      <c r="O22" s="7">
        <f t="shared" si="5"/>
        <v>0</v>
      </c>
      <c r="P22" s="7" t="str">
        <f t="shared" si="6"/>
        <v>(9, 10]</v>
      </c>
      <c r="Q22" s="7" t="s">
        <v>74</v>
      </c>
      <c r="R22" s="7">
        <f t="shared" si="7"/>
        <v>9.5209456811337738E-3</v>
      </c>
      <c r="S22" s="4">
        <v>0.44</v>
      </c>
      <c r="T22" s="7">
        <f t="shared" si="8"/>
        <v>4.1892160996988602E-3</v>
      </c>
      <c r="U22" s="7">
        <f t="shared" si="9"/>
        <v>3.3296022654978673E-3</v>
      </c>
      <c r="V22" s="4">
        <f t="shared" si="12"/>
        <v>3329602</v>
      </c>
      <c r="W22" s="7">
        <f t="shared" si="10"/>
        <v>3.3296020000000001E-3</v>
      </c>
      <c r="X22" s="7">
        <f t="shared" si="11"/>
        <v>3.1740775420114865E-2</v>
      </c>
    </row>
    <row r="23" spans="2:24" ht="15.6" customHeight="1" x14ac:dyDescent="0.3">
      <c r="B23" s="7">
        <v>10</v>
      </c>
      <c r="C23" s="7">
        <v>15</v>
      </c>
      <c r="D23" s="4">
        <v>117843</v>
      </c>
      <c r="E23" s="4">
        <v>3698851</v>
      </c>
      <c r="F23" s="4">
        <v>0</v>
      </c>
      <c r="G23" s="4">
        <v>711361275</v>
      </c>
      <c r="H23" s="4">
        <v>22888608900</v>
      </c>
      <c r="I23" s="4">
        <v>0</v>
      </c>
      <c r="J23" s="7">
        <f t="shared" si="0"/>
        <v>1.1904537735858206E-3</v>
      </c>
      <c r="K23" s="7">
        <f t="shared" si="1"/>
        <v>3.7302792743365551E-2</v>
      </c>
      <c r="L23" s="7">
        <f t="shared" si="2"/>
        <v>0</v>
      </c>
      <c r="M23" s="7">
        <f t="shared" si="3"/>
        <v>12.07303403681169</v>
      </c>
      <c r="N23" s="7">
        <f t="shared" si="4"/>
        <v>12.376064296723495</v>
      </c>
      <c r="O23" s="7">
        <f t="shared" si="5"/>
        <v>0</v>
      </c>
      <c r="P23" s="7" t="str">
        <f t="shared" si="6"/>
        <v>(10, 15]</v>
      </c>
      <c r="Q23" s="7" t="s">
        <v>74</v>
      </c>
      <c r="R23" s="7">
        <f t="shared" si="7"/>
        <v>3.7302792743365551E-2</v>
      </c>
      <c r="S23" s="4">
        <v>0.3145</v>
      </c>
      <c r="T23" s="7">
        <f t="shared" si="8"/>
        <v>1.1731728317788466E-2</v>
      </c>
      <c r="U23" s="7">
        <f t="shared" si="9"/>
        <v>9.3244149395687436E-3</v>
      </c>
      <c r="V23" s="4">
        <f t="shared" si="12"/>
        <v>9324414</v>
      </c>
      <c r="W23" s="7">
        <f t="shared" si="10"/>
        <v>9.3244139999999996E-3</v>
      </c>
      <c r="X23" s="7">
        <f t="shared" si="11"/>
        <v>0.11539954719326871</v>
      </c>
    </row>
    <row r="24" spans="2:24" ht="15.6" customHeight="1" x14ac:dyDescent="0.3">
      <c r="B24" s="7">
        <v>15</v>
      </c>
      <c r="C24" s="7">
        <v>20</v>
      </c>
      <c r="D24" s="4">
        <v>45036</v>
      </c>
      <c r="E24" s="4">
        <v>2622561</v>
      </c>
      <c r="F24" s="4">
        <v>0</v>
      </c>
      <c r="G24" s="4">
        <v>386935925</v>
      </c>
      <c r="H24" s="4">
        <v>22832281425</v>
      </c>
      <c r="I24" s="4">
        <v>0</v>
      </c>
      <c r="J24" s="7">
        <f t="shared" si="0"/>
        <v>4.5495511949976674E-4</v>
      </c>
      <c r="K24" s="7">
        <f t="shared" si="1"/>
        <v>2.644844289208554E-2</v>
      </c>
      <c r="L24" s="7">
        <f t="shared" si="2"/>
        <v>0</v>
      </c>
      <c r="M24" s="7">
        <f t="shared" si="3"/>
        <v>17.183405497823962</v>
      </c>
      <c r="N24" s="7">
        <f t="shared" si="4"/>
        <v>17.412202366312929</v>
      </c>
      <c r="O24" s="7">
        <f t="shared" si="5"/>
        <v>0</v>
      </c>
      <c r="P24" s="7" t="str">
        <f t="shared" si="6"/>
        <v>(15, 20]</v>
      </c>
      <c r="Q24" s="7" t="s">
        <v>74</v>
      </c>
      <c r="R24" s="7">
        <f t="shared" si="7"/>
        <v>2.644844289208554E-2</v>
      </c>
      <c r="S24" s="4">
        <v>0</v>
      </c>
      <c r="T24" s="7">
        <f t="shared" si="8"/>
        <v>0</v>
      </c>
      <c r="U24" s="7">
        <f t="shared" si="9"/>
        <v>0</v>
      </c>
      <c r="V24" s="4">
        <f t="shared" si="12"/>
        <v>0</v>
      </c>
      <c r="W24" s="7">
        <f t="shared" si="10"/>
        <v>0</v>
      </c>
      <c r="X24" s="7">
        <f t="shared" si="11"/>
        <v>0</v>
      </c>
    </row>
    <row r="25" spans="2:24" ht="15.6" customHeight="1" x14ac:dyDescent="0.3">
      <c r="B25" s="7">
        <v>20</v>
      </c>
      <c r="C25" s="7">
        <v>25</v>
      </c>
      <c r="D25" s="4">
        <v>17393</v>
      </c>
      <c r="E25" s="4">
        <v>1975704</v>
      </c>
      <c r="F25" s="4">
        <v>0</v>
      </c>
      <c r="G25" s="4">
        <v>193861550</v>
      </c>
      <c r="H25" s="4">
        <v>22152755175</v>
      </c>
      <c r="I25" s="4">
        <v>0</v>
      </c>
      <c r="J25" s="7">
        <f t="shared" si="0"/>
        <v>1.7570464502752117E-4</v>
      </c>
      <c r="K25" s="7">
        <f t="shared" si="1"/>
        <v>1.9924910961333205E-2</v>
      </c>
      <c r="L25" s="7">
        <f t="shared" si="2"/>
        <v>0</v>
      </c>
      <c r="M25" s="7">
        <f t="shared" si="3"/>
        <v>22.291904789283045</v>
      </c>
      <c r="N25" s="7">
        <f t="shared" si="4"/>
        <v>22.425176215667932</v>
      </c>
      <c r="O25" s="7">
        <f t="shared" si="5"/>
        <v>0</v>
      </c>
      <c r="P25" s="7" t="str">
        <f t="shared" si="6"/>
        <v>(20, 25]</v>
      </c>
      <c r="Q25" s="7" t="s">
        <v>74</v>
      </c>
      <c r="R25" s="7">
        <f t="shared" si="7"/>
        <v>1.9924910961333205E-2</v>
      </c>
      <c r="S25" s="4">
        <v>0</v>
      </c>
      <c r="T25" s="7">
        <f t="shared" si="8"/>
        <v>0</v>
      </c>
      <c r="U25" s="7">
        <f t="shared" si="9"/>
        <v>0</v>
      </c>
      <c r="V25" s="4">
        <f t="shared" si="12"/>
        <v>0</v>
      </c>
      <c r="W25" s="7">
        <f t="shared" si="10"/>
        <v>0</v>
      </c>
      <c r="X25" s="7">
        <f t="shared" si="11"/>
        <v>0</v>
      </c>
    </row>
    <row r="26" spans="2:24" ht="15.6" customHeight="1" x14ac:dyDescent="0.3">
      <c r="B26" s="7">
        <v>25</v>
      </c>
      <c r="C26" s="7">
        <v>30</v>
      </c>
      <c r="D26" s="4">
        <v>8628</v>
      </c>
      <c r="E26" s="4">
        <v>1558606</v>
      </c>
      <c r="F26" s="4">
        <v>0</v>
      </c>
      <c r="G26" s="4">
        <v>117153050</v>
      </c>
      <c r="H26" s="4">
        <v>21369570800</v>
      </c>
      <c r="I26" s="4">
        <v>0</v>
      </c>
      <c r="J26" s="7">
        <f t="shared" si="0"/>
        <v>8.7160333312105603E-5</v>
      </c>
      <c r="K26" s="7">
        <f t="shared" si="1"/>
        <v>1.5718491116989034E-2</v>
      </c>
      <c r="L26" s="7">
        <f t="shared" si="2"/>
        <v>0</v>
      </c>
      <c r="M26" s="7">
        <f t="shared" si="3"/>
        <v>27.156478905887809</v>
      </c>
      <c r="N26" s="7">
        <f t="shared" si="4"/>
        <v>27.421389113092083</v>
      </c>
      <c r="O26" s="7">
        <f t="shared" si="5"/>
        <v>0</v>
      </c>
      <c r="P26" s="7" t="str">
        <f t="shared" si="6"/>
        <v>(25, 30]</v>
      </c>
      <c r="Q26" s="7" t="s">
        <v>74</v>
      </c>
      <c r="R26" s="7">
        <f t="shared" si="7"/>
        <v>1.5718491116989034E-2</v>
      </c>
      <c r="S26" s="4">
        <v>0</v>
      </c>
      <c r="T26" s="7">
        <f t="shared" si="8"/>
        <v>0</v>
      </c>
      <c r="U26" s="7">
        <f t="shared" si="9"/>
        <v>0</v>
      </c>
      <c r="V26" s="4">
        <f t="shared" si="12"/>
        <v>0</v>
      </c>
      <c r="W26" s="7">
        <f t="shared" si="10"/>
        <v>0</v>
      </c>
      <c r="X26" s="7">
        <f t="shared" si="11"/>
        <v>0</v>
      </c>
    </row>
    <row r="27" spans="2:24" ht="15.6" customHeight="1" x14ac:dyDescent="0.3">
      <c r="B27" s="7">
        <v>30</v>
      </c>
      <c r="C27" s="7">
        <v>35</v>
      </c>
      <c r="D27" s="4">
        <v>4711</v>
      </c>
      <c r="E27" s="4">
        <v>1253090</v>
      </c>
      <c r="F27" s="4">
        <v>0</v>
      </c>
      <c r="G27" s="4">
        <v>76265200</v>
      </c>
      <c r="H27" s="4">
        <v>20329815100</v>
      </c>
      <c r="I27" s="4">
        <v>0</v>
      </c>
      <c r="J27" s="7">
        <f t="shared" si="0"/>
        <v>4.7590673416009442E-5</v>
      </c>
      <c r="K27" s="7">
        <f t="shared" si="1"/>
        <v>1.2637372134964056E-2</v>
      </c>
      <c r="L27" s="7">
        <f t="shared" si="2"/>
        <v>0</v>
      </c>
      <c r="M27" s="7">
        <f t="shared" si="3"/>
        <v>32.377499469327105</v>
      </c>
      <c r="N27" s="7">
        <f t="shared" si="4"/>
        <v>32.447493954943383</v>
      </c>
      <c r="O27" s="7">
        <f t="shared" si="5"/>
        <v>0</v>
      </c>
      <c r="P27" s="7" t="str">
        <f t="shared" si="6"/>
        <v>(30, 35]</v>
      </c>
      <c r="Q27" s="7" t="s">
        <v>74</v>
      </c>
      <c r="R27" s="7">
        <f t="shared" si="7"/>
        <v>1.2637372134964056E-2</v>
      </c>
      <c r="S27" s="4">
        <v>0</v>
      </c>
      <c r="T27" s="7">
        <f t="shared" si="8"/>
        <v>0</v>
      </c>
      <c r="U27" s="7">
        <f t="shared" si="9"/>
        <v>0</v>
      </c>
      <c r="V27" s="4">
        <f t="shared" si="12"/>
        <v>0</v>
      </c>
      <c r="W27" s="7">
        <f t="shared" si="10"/>
        <v>0</v>
      </c>
      <c r="X27" s="7">
        <f t="shared" si="11"/>
        <v>0</v>
      </c>
    </row>
    <row r="28" spans="2:24" ht="15.6" customHeight="1" x14ac:dyDescent="0.3">
      <c r="B28" s="7">
        <v>35</v>
      </c>
      <c r="C28" s="7">
        <v>40</v>
      </c>
      <c r="D28" s="4">
        <v>2768</v>
      </c>
      <c r="E28" s="4">
        <v>1030850</v>
      </c>
      <c r="F28" s="4">
        <v>0</v>
      </c>
      <c r="G28" s="4">
        <v>51641600</v>
      </c>
      <c r="H28" s="4">
        <v>19308552850</v>
      </c>
      <c r="I28" s="4">
        <v>0</v>
      </c>
      <c r="J28" s="7">
        <f t="shared" si="0"/>
        <v>2.7962424966146069E-5</v>
      </c>
      <c r="K28" s="7">
        <f t="shared" si="1"/>
        <v>1.0396088920450804E-2</v>
      </c>
      <c r="L28" s="7">
        <f t="shared" si="2"/>
        <v>0</v>
      </c>
      <c r="M28" s="7">
        <f t="shared" si="3"/>
        <v>37.313294797687867</v>
      </c>
      <c r="N28" s="7">
        <f t="shared" si="4"/>
        <v>37.461420866275404</v>
      </c>
      <c r="O28" s="7">
        <f t="shared" si="5"/>
        <v>0</v>
      </c>
      <c r="P28" s="7" t="str">
        <f t="shared" si="6"/>
        <v>(35, 40]</v>
      </c>
      <c r="Q28" s="7" t="s">
        <v>74</v>
      </c>
      <c r="R28" s="7">
        <f t="shared" si="7"/>
        <v>1.0396088920450804E-2</v>
      </c>
      <c r="S28" s="4">
        <v>0</v>
      </c>
      <c r="T28" s="7">
        <f t="shared" si="8"/>
        <v>0</v>
      </c>
      <c r="U28" s="7">
        <f t="shared" si="9"/>
        <v>0</v>
      </c>
      <c r="V28" s="4">
        <f t="shared" si="12"/>
        <v>0</v>
      </c>
      <c r="W28" s="7">
        <f t="shared" si="10"/>
        <v>0</v>
      </c>
      <c r="X28" s="7">
        <f t="shared" si="11"/>
        <v>0</v>
      </c>
    </row>
    <row r="29" spans="2:24" ht="15.6" customHeight="1" x14ac:dyDescent="0.3">
      <c r="B29" s="7">
        <v>40</v>
      </c>
      <c r="C29" s="7">
        <v>45</v>
      </c>
      <c r="D29" s="4">
        <v>1437</v>
      </c>
      <c r="E29" s="4">
        <v>860652</v>
      </c>
      <c r="F29" s="4">
        <v>0</v>
      </c>
      <c r="G29" s="4">
        <v>30360475</v>
      </c>
      <c r="H29" s="4">
        <v>18266719850</v>
      </c>
      <c r="I29" s="4">
        <v>0</v>
      </c>
      <c r="J29" s="7">
        <f t="shared" si="0"/>
        <v>1.4516620186543317E-5</v>
      </c>
      <c r="K29" s="7">
        <f t="shared" si="1"/>
        <v>8.6796475933102052E-3</v>
      </c>
      <c r="L29" s="7">
        <f t="shared" si="2"/>
        <v>0</v>
      </c>
      <c r="M29" s="7">
        <f t="shared" si="3"/>
        <v>42.255358385525405</v>
      </c>
      <c r="N29" s="7">
        <f t="shared" si="4"/>
        <v>42.448561904230743</v>
      </c>
      <c r="O29" s="7">
        <f t="shared" si="5"/>
        <v>0</v>
      </c>
      <c r="P29" s="7" t="str">
        <f t="shared" si="6"/>
        <v>(40, 45]</v>
      </c>
      <c r="Q29" s="7" t="s">
        <v>74</v>
      </c>
      <c r="R29" s="7">
        <f t="shared" si="7"/>
        <v>8.6796475933102052E-3</v>
      </c>
      <c r="S29" s="4">
        <v>0</v>
      </c>
      <c r="T29" s="7">
        <f t="shared" si="8"/>
        <v>0</v>
      </c>
      <c r="U29" s="7">
        <f t="shared" si="9"/>
        <v>0</v>
      </c>
      <c r="V29" s="4">
        <f t="shared" si="12"/>
        <v>0</v>
      </c>
      <c r="W29" s="7">
        <f t="shared" si="10"/>
        <v>0</v>
      </c>
      <c r="X29" s="7">
        <f t="shared" si="11"/>
        <v>0</v>
      </c>
    </row>
    <row r="30" spans="2:24" ht="15.6" customHeight="1" x14ac:dyDescent="0.3">
      <c r="B30" s="7">
        <v>45</v>
      </c>
      <c r="C30" s="7">
        <v>50</v>
      </c>
      <c r="D30" s="4">
        <v>1011</v>
      </c>
      <c r="E30" s="4">
        <v>719260</v>
      </c>
      <c r="F30" s="4">
        <v>0</v>
      </c>
      <c r="G30" s="4">
        <v>24137650</v>
      </c>
      <c r="H30" s="4">
        <v>17073945075</v>
      </c>
      <c r="I30" s="4">
        <v>0</v>
      </c>
      <c r="J30" s="7">
        <f t="shared" si="0"/>
        <v>1.0213154494499161E-5</v>
      </c>
      <c r="K30" s="7">
        <f t="shared" si="1"/>
        <v>7.2537138448110251E-3</v>
      </c>
      <c r="L30" s="7">
        <f t="shared" si="2"/>
        <v>0</v>
      </c>
      <c r="M30" s="7">
        <f t="shared" si="3"/>
        <v>47.750049455984175</v>
      </c>
      <c r="N30" s="7">
        <f t="shared" si="4"/>
        <v>47.476420418207603</v>
      </c>
      <c r="O30" s="7">
        <f t="shared" si="5"/>
        <v>0</v>
      </c>
      <c r="P30" s="7" t="str">
        <f t="shared" si="6"/>
        <v>(45, 50]</v>
      </c>
      <c r="Q30" s="7" t="s">
        <v>74</v>
      </c>
      <c r="R30" s="7">
        <f t="shared" si="7"/>
        <v>7.2537138448110251E-3</v>
      </c>
      <c r="S30" s="4">
        <v>0</v>
      </c>
      <c r="T30" s="7">
        <f t="shared" si="8"/>
        <v>0</v>
      </c>
      <c r="U30" s="7">
        <f t="shared" si="9"/>
        <v>0</v>
      </c>
      <c r="V30" s="4">
        <f t="shared" si="12"/>
        <v>0</v>
      </c>
      <c r="W30" s="7">
        <f t="shared" si="10"/>
        <v>0</v>
      </c>
      <c r="X30" s="7">
        <f t="shared" si="11"/>
        <v>0</v>
      </c>
    </row>
    <row r="31" spans="2:24" ht="15.6" customHeight="1" x14ac:dyDescent="0.3">
      <c r="B31" s="7">
        <v>50</v>
      </c>
      <c r="C31" s="7">
        <v>60</v>
      </c>
      <c r="D31" s="4">
        <v>1066</v>
      </c>
      <c r="E31" s="4">
        <v>1146975</v>
      </c>
      <c r="F31" s="4">
        <v>0</v>
      </c>
      <c r="G31" s="4">
        <v>28788300</v>
      </c>
      <c r="H31" s="4">
        <v>31400833225</v>
      </c>
      <c r="I31" s="4">
        <v>0</v>
      </c>
      <c r="J31" s="7">
        <f t="shared" si="0"/>
        <v>1.0768766262251341E-5</v>
      </c>
      <c r="K31" s="7">
        <f t="shared" si="1"/>
        <v>1.156720579088525E-2</v>
      </c>
      <c r="L31" s="7">
        <f t="shared" si="2"/>
        <v>0</v>
      </c>
      <c r="M31" s="7">
        <f t="shared" si="3"/>
        <v>54.011819887429645</v>
      </c>
      <c r="N31" s="7">
        <f t="shared" si="4"/>
        <v>54.754172017698728</v>
      </c>
      <c r="O31" s="7">
        <f t="shared" si="5"/>
        <v>0</v>
      </c>
      <c r="P31" s="7" t="str">
        <f t="shared" si="6"/>
        <v>(50, 60]</v>
      </c>
      <c r="Q31" s="7" t="s">
        <v>74</v>
      </c>
      <c r="R31" s="7">
        <f t="shared" si="7"/>
        <v>1.156720579088525E-2</v>
      </c>
      <c r="S31" s="4">
        <v>0</v>
      </c>
      <c r="T31" s="7">
        <f t="shared" si="8"/>
        <v>0</v>
      </c>
      <c r="U31" s="7">
        <f t="shared" si="9"/>
        <v>0</v>
      </c>
      <c r="V31" s="4">
        <f t="shared" si="12"/>
        <v>0</v>
      </c>
      <c r="W31" s="7">
        <f t="shared" si="10"/>
        <v>0</v>
      </c>
      <c r="X31" s="7">
        <f t="shared" si="11"/>
        <v>0</v>
      </c>
    </row>
    <row r="32" spans="2:24" ht="15.6" customHeight="1" x14ac:dyDescent="0.3">
      <c r="B32" s="7">
        <v>60</v>
      </c>
      <c r="C32" s="7">
        <v>70</v>
      </c>
      <c r="D32" s="4">
        <v>484</v>
      </c>
      <c r="E32" s="4">
        <v>850662</v>
      </c>
      <c r="F32" s="4">
        <v>0</v>
      </c>
      <c r="G32" s="4">
        <v>15675575</v>
      </c>
      <c r="H32" s="4">
        <v>27559464775</v>
      </c>
      <c r="I32" s="4">
        <v>0</v>
      </c>
      <c r="J32" s="7">
        <f t="shared" si="0"/>
        <v>4.8893835562191827E-6</v>
      </c>
      <c r="K32" s="7">
        <f t="shared" si="1"/>
        <v>8.5788987663079214E-3</v>
      </c>
      <c r="L32" s="7">
        <f t="shared" si="2"/>
        <v>0</v>
      </c>
      <c r="M32" s="7">
        <f t="shared" si="3"/>
        <v>64.775103305785123</v>
      </c>
      <c r="N32" s="7">
        <f t="shared" si="4"/>
        <v>64.795335338830228</v>
      </c>
      <c r="O32" s="7">
        <f t="shared" si="5"/>
        <v>0</v>
      </c>
      <c r="P32" s="7" t="str">
        <f t="shared" si="6"/>
        <v>(60, 70]</v>
      </c>
      <c r="Q32" s="7" t="s">
        <v>74</v>
      </c>
      <c r="R32" s="7">
        <f t="shared" si="7"/>
        <v>8.5788987663079214E-3</v>
      </c>
      <c r="S32" s="4">
        <v>0</v>
      </c>
      <c r="T32" s="7">
        <f t="shared" si="8"/>
        <v>0</v>
      </c>
      <c r="U32" s="7">
        <f t="shared" si="9"/>
        <v>0</v>
      </c>
      <c r="V32" s="4">
        <f t="shared" si="12"/>
        <v>0</v>
      </c>
      <c r="W32" s="7">
        <f t="shared" si="10"/>
        <v>0</v>
      </c>
      <c r="X32" s="7">
        <f t="shared" si="11"/>
        <v>0</v>
      </c>
    </row>
    <row r="33" spans="2:24" ht="15.6" customHeight="1" x14ac:dyDescent="0.3">
      <c r="B33" s="7">
        <v>70</v>
      </c>
      <c r="C33" s="7">
        <v>80</v>
      </c>
      <c r="D33" s="4">
        <v>241</v>
      </c>
      <c r="E33" s="4">
        <v>646615</v>
      </c>
      <c r="F33" s="4">
        <v>0</v>
      </c>
      <c r="G33" s="4">
        <v>8984075</v>
      </c>
      <c r="H33" s="4">
        <v>24189460400</v>
      </c>
      <c r="I33" s="4">
        <v>0</v>
      </c>
      <c r="J33" s="7">
        <f t="shared" si="0"/>
        <v>2.4345897459686427E-6</v>
      </c>
      <c r="K33" s="7">
        <f t="shared" si="1"/>
        <v>6.5210913685767053E-3</v>
      </c>
      <c r="L33" s="7">
        <f t="shared" si="2"/>
        <v>0</v>
      </c>
      <c r="M33" s="7">
        <f t="shared" si="3"/>
        <v>74.556639004149375</v>
      </c>
      <c r="N33" s="7">
        <f t="shared" si="4"/>
        <v>74.818741909791754</v>
      </c>
      <c r="O33" s="7">
        <f t="shared" si="5"/>
        <v>0</v>
      </c>
      <c r="P33" s="7" t="str">
        <f t="shared" si="6"/>
        <v>(70, 80]</v>
      </c>
      <c r="Q33" s="7" t="s">
        <v>74</v>
      </c>
      <c r="R33" s="7">
        <f t="shared" si="7"/>
        <v>6.5210913685767053E-3</v>
      </c>
      <c r="S33" s="4">
        <v>0</v>
      </c>
      <c r="T33" s="7">
        <f t="shared" si="8"/>
        <v>0</v>
      </c>
      <c r="U33" s="7">
        <f t="shared" si="9"/>
        <v>0</v>
      </c>
      <c r="V33" s="4">
        <f t="shared" si="12"/>
        <v>0</v>
      </c>
      <c r="W33" s="7">
        <f t="shared" si="10"/>
        <v>0</v>
      </c>
      <c r="X33" s="7">
        <f t="shared" si="11"/>
        <v>0</v>
      </c>
    </row>
    <row r="34" spans="2:24" ht="15.6" customHeight="1" x14ac:dyDescent="0.3">
      <c r="B34" s="7">
        <v>80</v>
      </c>
      <c r="C34" s="7">
        <v>90</v>
      </c>
      <c r="D34" s="4">
        <v>119</v>
      </c>
      <c r="E34" s="4">
        <v>495129</v>
      </c>
      <c r="F34" s="4">
        <v>0</v>
      </c>
      <c r="G34" s="4">
        <v>5018625</v>
      </c>
      <c r="H34" s="4">
        <v>20992885025</v>
      </c>
      <c r="I34" s="4">
        <v>0</v>
      </c>
      <c r="J34" s="7">
        <f t="shared" si="0"/>
        <v>1.2021418247728983E-6</v>
      </c>
      <c r="K34" s="7">
        <f t="shared" si="1"/>
        <v>4.9933599564377807E-3</v>
      </c>
      <c r="L34" s="7">
        <f t="shared" si="2"/>
        <v>0</v>
      </c>
      <c r="M34" s="7">
        <f t="shared" si="3"/>
        <v>84.346638655462186</v>
      </c>
      <c r="N34" s="7">
        <f t="shared" si="4"/>
        <v>84.797638696178169</v>
      </c>
      <c r="O34" s="7">
        <f t="shared" si="5"/>
        <v>0</v>
      </c>
      <c r="P34" s="7" t="str">
        <f t="shared" si="6"/>
        <v>(80, 90]</v>
      </c>
      <c r="Q34" s="7" t="s">
        <v>74</v>
      </c>
      <c r="R34" s="7">
        <f t="shared" si="7"/>
        <v>4.9933599564377807E-3</v>
      </c>
      <c r="S34" s="4">
        <v>0</v>
      </c>
      <c r="T34" s="7">
        <f t="shared" si="8"/>
        <v>0</v>
      </c>
      <c r="U34" s="7">
        <f t="shared" si="9"/>
        <v>0</v>
      </c>
      <c r="V34" s="4">
        <f t="shared" si="12"/>
        <v>0</v>
      </c>
      <c r="W34" s="7">
        <f t="shared" si="10"/>
        <v>0</v>
      </c>
      <c r="X34" s="7">
        <f t="shared" si="11"/>
        <v>0</v>
      </c>
    </row>
    <row r="35" spans="2:24" ht="15.6" customHeight="1" x14ac:dyDescent="0.3">
      <c r="B35" s="7">
        <v>90</v>
      </c>
      <c r="C35" s="7">
        <v>100</v>
      </c>
      <c r="D35" s="4">
        <v>102</v>
      </c>
      <c r="E35" s="4">
        <v>385000</v>
      </c>
      <c r="F35" s="4">
        <v>0</v>
      </c>
      <c r="G35" s="4">
        <v>4862575</v>
      </c>
      <c r="H35" s="4">
        <v>18256876250</v>
      </c>
      <c r="I35" s="4">
        <v>0</v>
      </c>
      <c r="J35" s="7">
        <f t="shared" si="0"/>
        <v>1.0304072783767698E-6</v>
      </c>
      <c r="K35" s="7">
        <f t="shared" si="1"/>
        <v>3.8827125521400394E-3</v>
      </c>
      <c r="L35" s="7">
        <f t="shared" si="2"/>
        <v>0</v>
      </c>
      <c r="M35" s="7">
        <f t="shared" si="3"/>
        <v>95.344607843137254</v>
      </c>
      <c r="N35" s="7">
        <f t="shared" si="4"/>
        <v>94.840915584415583</v>
      </c>
      <c r="O35" s="7">
        <f t="shared" si="5"/>
        <v>0</v>
      </c>
      <c r="P35" s="7" t="str">
        <f t="shared" si="6"/>
        <v>(90, 100]</v>
      </c>
      <c r="Q35" s="7" t="s">
        <v>74</v>
      </c>
      <c r="R35" s="7">
        <f t="shared" si="7"/>
        <v>3.8827125521400394E-3</v>
      </c>
      <c r="S35" s="4">
        <v>0</v>
      </c>
      <c r="T35" s="7">
        <f t="shared" si="8"/>
        <v>0</v>
      </c>
      <c r="U35" s="7">
        <f t="shared" si="9"/>
        <v>0</v>
      </c>
      <c r="V35" s="4">
        <f t="shared" si="12"/>
        <v>0</v>
      </c>
      <c r="W35" s="7">
        <f t="shared" si="10"/>
        <v>0</v>
      </c>
      <c r="X35" s="7">
        <f t="shared" si="11"/>
        <v>0</v>
      </c>
    </row>
    <row r="36" spans="2:24" ht="15.6" customHeight="1" x14ac:dyDescent="0.3">
      <c r="B36" s="7">
        <v>100</v>
      </c>
      <c r="C36" s="7">
        <v>120</v>
      </c>
      <c r="D36" s="4">
        <v>61</v>
      </c>
      <c r="E36" s="4">
        <v>545375</v>
      </c>
      <c r="F36" s="4">
        <v>0</v>
      </c>
      <c r="G36" s="4">
        <v>3279425</v>
      </c>
      <c r="H36" s="4">
        <v>29785818575</v>
      </c>
      <c r="I36" s="4">
        <v>0</v>
      </c>
      <c r="J36" s="7">
        <f t="shared" si="0"/>
        <v>6.1622396059787218E-7</v>
      </c>
      <c r="K36" s="7">
        <f t="shared" si="1"/>
        <v>5.5000892418788933E-3</v>
      </c>
      <c r="L36" s="7">
        <f t="shared" si="2"/>
        <v>0</v>
      </c>
      <c r="M36" s="7">
        <f t="shared" si="3"/>
        <v>107.52213114754099</v>
      </c>
      <c r="N36" s="7">
        <f t="shared" si="4"/>
        <v>109.23059757047903</v>
      </c>
      <c r="O36" s="7">
        <f t="shared" si="5"/>
        <v>0</v>
      </c>
      <c r="P36" s="7" t="str">
        <f t="shared" si="6"/>
        <v>(100, 120]</v>
      </c>
      <c r="Q36" s="7" t="s">
        <v>74</v>
      </c>
      <c r="R36" s="7">
        <f t="shared" si="7"/>
        <v>5.5000892418788933E-3</v>
      </c>
      <c r="S36" s="4">
        <v>0</v>
      </c>
      <c r="T36" s="7">
        <f t="shared" si="8"/>
        <v>0</v>
      </c>
      <c r="U36" s="7">
        <f t="shared" si="9"/>
        <v>0</v>
      </c>
      <c r="V36" s="4">
        <f t="shared" si="12"/>
        <v>0</v>
      </c>
      <c r="W36" s="7">
        <f t="shared" si="10"/>
        <v>0</v>
      </c>
      <c r="X36" s="7">
        <f t="shared" si="11"/>
        <v>0</v>
      </c>
    </row>
    <row r="37" spans="2:24" ht="15.6" customHeight="1" x14ac:dyDescent="0.3">
      <c r="B37" s="7">
        <v>120</v>
      </c>
      <c r="C37" s="7">
        <v>140</v>
      </c>
      <c r="D37" s="4">
        <v>41</v>
      </c>
      <c r="E37" s="4">
        <v>348064</v>
      </c>
      <c r="F37" s="4">
        <v>0</v>
      </c>
      <c r="G37" s="4">
        <v>2624725</v>
      </c>
      <c r="H37" s="4">
        <v>22505607075</v>
      </c>
      <c r="I37" s="4">
        <v>0</v>
      </c>
      <c r="J37" s="7">
        <f t="shared" si="0"/>
        <v>4.1418331777889771E-7</v>
      </c>
      <c r="K37" s="7">
        <f t="shared" si="1"/>
        <v>3.5102141863586249E-3</v>
      </c>
      <c r="L37" s="7">
        <f t="shared" si="2"/>
        <v>0</v>
      </c>
      <c r="M37" s="7">
        <f t="shared" si="3"/>
        <v>128.03536585365856</v>
      </c>
      <c r="N37" s="7">
        <f t="shared" si="4"/>
        <v>129.31878663119426</v>
      </c>
      <c r="O37" s="7">
        <f t="shared" si="5"/>
        <v>0</v>
      </c>
      <c r="P37" s="7" t="str">
        <f t="shared" si="6"/>
        <v>(120, 140]</v>
      </c>
      <c r="Q37" s="7" t="s">
        <v>74</v>
      </c>
      <c r="R37" s="7">
        <f t="shared" si="7"/>
        <v>3.5102141863586249E-3</v>
      </c>
      <c r="S37" s="4">
        <v>0</v>
      </c>
      <c r="T37" s="7">
        <f t="shared" si="8"/>
        <v>0</v>
      </c>
      <c r="U37" s="7">
        <f t="shared" si="9"/>
        <v>0</v>
      </c>
      <c r="V37" s="4">
        <f t="shared" si="12"/>
        <v>0</v>
      </c>
      <c r="W37" s="7">
        <f t="shared" si="10"/>
        <v>0</v>
      </c>
      <c r="X37" s="7">
        <f t="shared" si="11"/>
        <v>0</v>
      </c>
    </row>
    <row r="38" spans="2:24" ht="15.6" customHeight="1" x14ac:dyDescent="0.3">
      <c r="B38" s="7">
        <v>140</v>
      </c>
      <c r="C38" s="7">
        <v>160</v>
      </c>
      <c r="D38" s="4">
        <v>17</v>
      </c>
      <c r="E38" s="4">
        <v>226250</v>
      </c>
      <c r="F38" s="4">
        <v>0</v>
      </c>
      <c r="G38" s="4">
        <v>1265925</v>
      </c>
      <c r="H38" s="4">
        <v>16890949325</v>
      </c>
      <c r="I38" s="4">
        <v>0</v>
      </c>
      <c r="J38" s="7">
        <f t="shared" si="0"/>
        <v>1.7173454639612831E-7</v>
      </c>
      <c r="K38" s="7">
        <f t="shared" si="1"/>
        <v>2.2817239348615166E-3</v>
      </c>
      <c r="L38" s="7">
        <f t="shared" si="2"/>
        <v>0</v>
      </c>
      <c r="M38" s="7">
        <f t="shared" si="3"/>
        <v>148.93235294117648</v>
      </c>
      <c r="N38" s="7">
        <f t="shared" si="4"/>
        <v>149.3122592265193</v>
      </c>
      <c r="O38" s="7">
        <f t="shared" si="5"/>
        <v>0</v>
      </c>
      <c r="P38" s="7" t="str">
        <f t="shared" si="6"/>
        <v>(140, 160]</v>
      </c>
      <c r="Q38" s="7" t="s">
        <v>74</v>
      </c>
      <c r="R38" s="7">
        <f t="shared" si="7"/>
        <v>2.2817239348615166E-3</v>
      </c>
      <c r="S38" s="4">
        <v>0</v>
      </c>
      <c r="T38" s="7">
        <f t="shared" si="8"/>
        <v>0</v>
      </c>
      <c r="U38" s="7">
        <f t="shared" si="9"/>
        <v>0</v>
      </c>
      <c r="V38" s="4">
        <f t="shared" si="12"/>
        <v>0</v>
      </c>
      <c r="W38" s="7">
        <f t="shared" si="10"/>
        <v>0</v>
      </c>
      <c r="X38" s="7">
        <f t="shared" si="11"/>
        <v>0</v>
      </c>
    </row>
    <row r="39" spans="2:24" ht="15.6" customHeight="1" x14ac:dyDescent="0.3">
      <c r="B39" s="7">
        <v>160</v>
      </c>
      <c r="C39" s="7">
        <v>180</v>
      </c>
      <c r="D39" s="4">
        <v>8</v>
      </c>
      <c r="E39" s="4">
        <v>149643</v>
      </c>
      <c r="F39" s="4">
        <v>0</v>
      </c>
      <c r="G39" s="4">
        <v>667550</v>
      </c>
      <c r="H39" s="4">
        <v>12668913150</v>
      </c>
      <c r="I39" s="4">
        <v>0</v>
      </c>
      <c r="J39" s="7">
        <f t="shared" si="0"/>
        <v>8.0816257127589797E-8</v>
      </c>
      <c r="K39" s="7">
        <f t="shared" si="1"/>
        <v>1.5091448167269918E-3</v>
      </c>
      <c r="L39" s="7">
        <f t="shared" si="2"/>
        <v>0</v>
      </c>
      <c r="M39" s="7">
        <f t="shared" si="3"/>
        <v>166.88749999999999</v>
      </c>
      <c r="N39" s="7">
        <f t="shared" si="4"/>
        <v>169.32182795052225</v>
      </c>
      <c r="O39" s="7">
        <f t="shared" si="5"/>
        <v>0</v>
      </c>
      <c r="P39" s="7" t="str">
        <f t="shared" si="6"/>
        <v>(160, 180]</v>
      </c>
      <c r="Q39" s="7" t="s">
        <v>74</v>
      </c>
      <c r="R39" s="7">
        <f t="shared" si="7"/>
        <v>1.5091448167269918E-3</v>
      </c>
      <c r="S39" s="4">
        <v>0</v>
      </c>
      <c r="T39" s="7">
        <f t="shared" si="8"/>
        <v>0</v>
      </c>
      <c r="U39" s="7">
        <f t="shared" si="9"/>
        <v>0</v>
      </c>
      <c r="V39" s="4">
        <f t="shared" si="12"/>
        <v>0</v>
      </c>
      <c r="W39" s="7">
        <f t="shared" si="10"/>
        <v>0</v>
      </c>
      <c r="X39" s="7">
        <f t="shared" si="11"/>
        <v>0</v>
      </c>
    </row>
    <row r="40" spans="2:24" ht="15.6" customHeight="1" x14ac:dyDescent="0.3">
      <c r="B40" s="7">
        <v>180</v>
      </c>
      <c r="C40" s="7">
        <v>200</v>
      </c>
      <c r="D40" s="4">
        <v>7</v>
      </c>
      <c r="E40" s="4">
        <v>103250</v>
      </c>
      <c r="F40" s="4">
        <v>0</v>
      </c>
      <c r="G40" s="4">
        <v>652650</v>
      </c>
      <c r="H40" s="4">
        <v>9780306500</v>
      </c>
      <c r="I40" s="4">
        <v>0</v>
      </c>
      <c r="J40" s="7">
        <f t="shared" si="0"/>
        <v>7.0714224986641075E-8</v>
      </c>
      <c r="K40" s="7">
        <f t="shared" si="1"/>
        <v>1.0412729117102832E-3</v>
      </c>
      <c r="L40" s="7">
        <f t="shared" si="2"/>
        <v>0</v>
      </c>
      <c r="M40" s="7">
        <f t="shared" si="3"/>
        <v>186.47142857142859</v>
      </c>
      <c r="N40" s="7">
        <f t="shared" si="4"/>
        <v>189.44903631961259</v>
      </c>
      <c r="O40" s="7">
        <f t="shared" si="5"/>
        <v>0</v>
      </c>
      <c r="P40" s="7" t="str">
        <f t="shared" si="6"/>
        <v>(180, 200]</v>
      </c>
      <c r="Q40" s="7" t="s">
        <v>74</v>
      </c>
      <c r="R40" s="7">
        <f t="shared" si="7"/>
        <v>1.0412729117102832E-3</v>
      </c>
      <c r="S40" s="4">
        <v>0</v>
      </c>
      <c r="T40" s="7">
        <f t="shared" si="8"/>
        <v>0</v>
      </c>
      <c r="U40" s="7">
        <f t="shared" si="9"/>
        <v>0</v>
      </c>
      <c r="V40" s="4">
        <f t="shared" si="12"/>
        <v>0</v>
      </c>
      <c r="W40" s="7">
        <f t="shared" si="10"/>
        <v>0</v>
      </c>
      <c r="X40" s="7">
        <f t="shared" si="11"/>
        <v>0</v>
      </c>
    </row>
    <row r="41" spans="2:24" ht="15.6" customHeight="1" x14ac:dyDescent="0.3">
      <c r="B41" s="7">
        <v>200</v>
      </c>
      <c r="C41" s="7">
        <v>250</v>
      </c>
      <c r="D41" s="4">
        <v>4</v>
      </c>
      <c r="E41" s="4">
        <v>138948</v>
      </c>
      <c r="F41" s="4">
        <v>0</v>
      </c>
      <c r="G41" s="4">
        <v>442675</v>
      </c>
      <c r="H41" s="4">
        <v>15369865225</v>
      </c>
      <c r="I41" s="4">
        <v>0</v>
      </c>
      <c r="J41" s="7">
        <f t="shared" si="0"/>
        <v>4.0408128563794898E-8</v>
      </c>
      <c r="K41" s="7">
        <f t="shared" si="1"/>
        <v>1.4012860875188421E-3</v>
      </c>
      <c r="L41" s="7">
        <f t="shared" si="2"/>
        <v>0</v>
      </c>
      <c r="M41" s="7">
        <f t="shared" si="3"/>
        <v>221.33750000000001</v>
      </c>
      <c r="N41" s="7">
        <f t="shared" si="4"/>
        <v>221.23190294210787</v>
      </c>
      <c r="O41" s="7">
        <f t="shared" si="5"/>
        <v>0</v>
      </c>
      <c r="P41" s="7" t="str">
        <f t="shared" si="6"/>
        <v>(200, 250]</v>
      </c>
      <c r="Q41" s="7" t="s">
        <v>74</v>
      </c>
      <c r="R41" s="7">
        <f t="shared" si="7"/>
        <v>1.4012860875188421E-3</v>
      </c>
      <c r="S41" s="4">
        <v>0</v>
      </c>
      <c r="T41" s="7">
        <f t="shared" si="8"/>
        <v>0</v>
      </c>
      <c r="U41" s="7">
        <f t="shared" si="9"/>
        <v>0</v>
      </c>
      <c r="V41" s="4">
        <f t="shared" si="12"/>
        <v>0</v>
      </c>
      <c r="W41" s="7">
        <f t="shared" si="10"/>
        <v>0</v>
      </c>
      <c r="X41" s="7">
        <f t="shared" si="11"/>
        <v>0</v>
      </c>
    </row>
    <row r="42" spans="2:24" ht="15.6" customHeight="1" x14ac:dyDescent="0.3">
      <c r="B42" s="7">
        <v>250</v>
      </c>
      <c r="C42" s="7">
        <v>300</v>
      </c>
      <c r="D42" s="4">
        <v>2</v>
      </c>
      <c r="E42" s="4">
        <v>60786</v>
      </c>
      <c r="F42" s="4">
        <v>0</v>
      </c>
      <c r="G42" s="4">
        <v>267175</v>
      </c>
      <c r="H42" s="4">
        <v>8260336800</v>
      </c>
      <c r="I42" s="4">
        <v>0</v>
      </c>
      <c r="J42" s="7">
        <f t="shared" si="0"/>
        <v>2.0204064281897449E-8</v>
      </c>
      <c r="K42" s="7">
        <f t="shared" si="1"/>
        <v>6.130248446607388E-4</v>
      </c>
      <c r="L42" s="7">
        <f t="shared" si="2"/>
        <v>0</v>
      </c>
      <c r="M42" s="7">
        <f t="shared" si="3"/>
        <v>267.17500000000001</v>
      </c>
      <c r="N42" s="7">
        <f t="shared" si="4"/>
        <v>271.78418714835652</v>
      </c>
      <c r="O42" s="7">
        <f t="shared" si="5"/>
        <v>0</v>
      </c>
      <c r="P42" s="7" t="str">
        <f t="shared" si="6"/>
        <v>(250, 300]</v>
      </c>
      <c r="Q42" s="7" t="s">
        <v>74</v>
      </c>
      <c r="R42" s="7">
        <f t="shared" si="7"/>
        <v>6.130248446607388E-4</v>
      </c>
      <c r="S42" s="4">
        <v>0</v>
      </c>
      <c r="T42" s="7">
        <f t="shared" si="8"/>
        <v>0</v>
      </c>
      <c r="U42" s="7">
        <f t="shared" si="9"/>
        <v>0</v>
      </c>
      <c r="V42" s="4">
        <f t="shared" si="12"/>
        <v>0</v>
      </c>
      <c r="W42" s="7">
        <f t="shared" si="10"/>
        <v>0</v>
      </c>
      <c r="X42" s="7">
        <f t="shared" si="11"/>
        <v>0</v>
      </c>
    </row>
    <row r="43" spans="2:24" ht="15.6" customHeight="1" x14ac:dyDescent="0.3">
      <c r="B43" s="7">
        <v>300</v>
      </c>
      <c r="C43" s="7">
        <v>350</v>
      </c>
      <c r="D43" s="4">
        <v>0</v>
      </c>
      <c r="E43" s="4">
        <v>28345</v>
      </c>
      <c r="F43" s="4">
        <v>0</v>
      </c>
      <c r="G43" s="4">
        <v>0</v>
      </c>
      <c r="H43" s="4">
        <v>4564465400</v>
      </c>
      <c r="I43" s="4">
        <v>0</v>
      </c>
      <c r="J43" s="7">
        <f t="shared" si="0"/>
        <v>0</v>
      </c>
      <c r="K43" s="7">
        <f t="shared" si="1"/>
        <v>2.8585840854651796E-4</v>
      </c>
      <c r="L43" s="7">
        <f t="shared" si="2"/>
        <v>0</v>
      </c>
      <c r="M43" s="7">
        <f t="shared" si="3"/>
        <v>0</v>
      </c>
      <c r="N43" s="7">
        <f t="shared" si="4"/>
        <v>322.06494267066506</v>
      </c>
      <c r="O43" s="7">
        <f t="shared" si="5"/>
        <v>0</v>
      </c>
      <c r="P43" s="7" t="str">
        <f t="shared" si="6"/>
        <v>(300, 350]</v>
      </c>
      <c r="Q43" s="7" t="s">
        <v>74</v>
      </c>
      <c r="R43" s="7">
        <f t="shared" si="7"/>
        <v>2.8585840854651796E-4</v>
      </c>
      <c r="S43" s="4">
        <v>0</v>
      </c>
      <c r="T43" s="7">
        <f t="shared" si="8"/>
        <v>0</v>
      </c>
      <c r="U43" s="7">
        <f t="shared" si="9"/>
        <v>0</v>
      </c>
      <c r="V43" s="4">
        <f t="shared" si="12"/>
        <v>0</v>
      </c>
      <c r="W43" s="7">
        <f t="shared" si="10"/>
        <v>0</v>
      </c>
      <c r="X43" s="7">
        <f t="shared" si="11"/>
        <v>0</v>
      </c>
    </row>
    <row r="44" spans="2:24" ht="15.6" customHeight="1" x14ac:dyDescent="0.3">
      <c r="B44" s="7">
        <v>350</v>
      </c>
      <c r="C44" s="7">
        <v>400</v>
      </c>
      <c r="D44" s="4">
        <v>0</v>
      </c>
      <c r="E44" s="4">
        <v>14283</v>
      </c>
      <c r="F44" s="4">
        <v>0</v>
      </c>
      <c r="G44" s="4">
        <v>0</v>
      </c>
      <c r="H44" s="4">
        <v>2664886025</v>
      </c>
      <c r="I44" s="4">
        <v>0</v>
      </c>
      <c r="J44" s="7">
        <f t="shared" ref="J44:J64" si="13">IF(SUM(D$12:D$63)=0,0,D44/SUM(D$12:D$63))</f>
        <v>0</v>
      </c>
      <c r="K44" s="7">
        <f t="shared" ref="K44:K64" si="14">IF(SUM(E$12:E$63)=0,0,E44/SUM(E$12:E$63))</f>
        <v>1.4404359320056151E-4</v>
      </c>
      <c r="L44" s="7">
        <f t="shared" ref="L44:L64" si="15">IF(SUM(F$12:F$63)=0,0,F44/SUM(F$12:F$63))</f>
        <v>0</v>
      </c>
      <c r="M44" s="7">
        <f t="shared" ref="M44:M64" si="16">IF(D44=0,0,G44/D44/$C$3/5)</f>
        <v>0</v>
      </c>
      <c r="N44" s="7">
        <f t="shared" ref="N44:N64" si="17">IF(E44=0,0,H44/E44/$C$3/5)</f>
        <v>373.15494293915839</v>
      </c>
      <c r="O44" s="7">
        <f t="shared" ref="O44:O64" si="18">IF(F44=0,0,I44/F44/$C$3/5)</f>
        <v>0</v>
      </c>
      <c r="P44" s="7" t="str">
        <f t="shared" ref="P44:P64" si="19">"("&amp;B44&amp;", "&amp;C44&amp;"]"</f>
        <v>(350, 400]</v>
      </c>
      <c r="Q44" s="7" t="s">
        <v>74</v>
      </c>
      <c r="R44" s="7">
        <f t="shared" ref="R44:R63" si="20">IFERROR(INDEX($J44:$L44,MATCH($Q44,$J$11:$L$11,0)),0)</f>
        <v>1.4404359320056151E-4</v>
      </c>
      <c r="S44" s="4">
        <v>0</v>
      </c>
      <c r="T44" s="7">
        <f t="shared" ref="T44:T64" si="21">$R44*$S44</f>
        <v>0</v>
      </c>
      <c r="U44" s="7">
        <f t="shared" ref="U44:U75" si="22">IF(SUM(T$12:T$64)=0,0,T44/SUM(T$12:T$64))</f>
        <v>0</v>
      </c>
      <c r="V44" s="4">
        <f t="shared" si="12"/>
        <v>0</v>
      </c>
      <c r="W44" s="7">
        <f t="shared" ref="W44:W75" si="23">IF(SUM(V$12:V$64)=0,0,V44/SUM(V$12:V$64))</f>
        <v>0</v>
      </c>
      <c r="X44" s="7">
        <f t="shared" ref="X44:X64" si="24">IFERROR(INDEX($M44:$O44,MATCH($Q44,$M$11:$O$11,0)),0)*V44/$C$2</f>
        <v>0</v>
      </c>
    </row>
    <row r="45" spans="2:24" ht="15.6" customHeight="1" x14ac:dyDescent="0.3">
      <c r="B45" s="7">
        <v>400</v>
      </c>
      <c r="C45" s="7">
        <v>450</v>
      </c>
      <c r="D45" s="4">
        <v>0</v>
      </c>
      <c r="E45" s="4">
        <v>7594</v>
      </c>
      <c r="F45" s="4">
        <v>0</v>
      </c>
      <c r="G45" s="4">
        <v>0</v>
      </c>
      <c r="H45" s="4">
        <v>1604572700</v>
      </c>
      <c r="I45" s="4">
        <v>0</v>
      </c>
      <c r="J45" s="7">
        <f t="shared" si="13"/>
        <v>0</v>
      </c>
      <c r="K45" s="7">
        <f t="shared" si="14"/>
        <v>7.6585244470003783E-5</v>
      </c>
      <c r="L45" s="7">
        <f t="shared" si="15"/>
        <v>0</v>
      </c>
      <c r="M45" s="7">
        <f t="shared" si="16"/>
        <v>0</v>
      </c>
      <c r="N45" s="7">
        <f t="shared" si="17"/>
        <v>422.58959705030293</v>
      </c>
      <c r="O45" s="7">
        <f t="shared" si="18"/>
        <v>0</v>
      </c>
      <c r="P45" s="7" t="str">
        <f t="shared" si="19"/>
        <v>(400, 450]</v>
      </c>
      <c r="Q45" s="7" t="s">
        <v>74</v>
      </c>
      <c r="R45" s="7">
        <f t="shared" si="20"/>
        <v>7.6585244470003783E-5</v>
      </c>
      <c r="S45" s="4">
        <v>0</v>
      </c>
      <c r="T45" s="7">
        <f t="shared" si="21"/>
        <v>0</v>
      </c>
      <c r="U45" s="7">
        <f t="shared" si="22"/>
        <v>0</v>
      </c>
      <c r="V45" s="4">
        <f t="shared" ref="V45:V76" si="25">INT(U45*$C$2)</f>
        <v>0</v>
      </c>
      <c r="W45" s="7">
        <f t="shared" si="23"/>
        <v>0</v>
      </c>
      <c r="X45" s="7">
        <f t="shared" si="24"/>
        <v>0</v>
      </c>
    </row>
    <row r="46" spans="2:24" ht="15.6" customHeight="1" x14ac:dyDescent="0.3">
      <c r="B46" s="7">
        <v>450</v>
      </c>
      <c r="C46" s="7">
        <v>500</v>
      </c>
      <c r="D46" s="4">
        <v>0</v>
      </c>
      <c r="E46" s="4">
        <v>4278</v>
      </c>
      <c r="F46" s="4">
        <v>0</v>
      </c>
      <c r="G46" s="4">
        <v>0</v>
      </c>
      <c r="H46" s="4">
        <v>1012271950</v>
      </c>
      <c r="I46" s="4">
        <v>0</v>
      </c>
      <c r="J46" s="7">
        <f t="shared" si="13"/>
        <v>0</v>
      </c>
      <c r="K46" s="7">
        <f t="shared" si="14"/>
        <v>4.3143491683259967E-5</v>
      </c>
      <c r="L46" s="7">
        <f t="shared" si="15"/>
        <v>0</v>
      </c>
      <c r="M46" s="7">
        <f t="shared" si="16"/>
        <v>0</v>
      </c>
      <c r="N46" s="7">
        <f t="shared" si="17"/>
        <v>473.24541841982239</v>
      </c>
      <c r="O46" s="7">
        <f t="shared" si="18"/>
        <v>0</v>
      </c>
      <c r="P46" s="7" t="str">
        <f t="shared" si="19"/>
        <v>(450, 500]</v>
      </c>
      <c r="Q46" s="7" t="s">
        <v>74</v>
      </c>
      <c r="R46" s="7">
        <f t="shared" si="20"/>
        <v>4.3143491683259967E-5</v>
      </c>
      <c r="S46" s="4">
        <v>0</v>
      </c>
      <c r="T46" s="7">
        <f t="shared" si="21"/>
        <v>0</v>
      </c>
      <c r="U46" s="7">
        <f t="shared" si="22"/>
        <v>0</v>
      </c>
      <c r="V46" s="4">
        <f t="shared" si="25"/>
        <v>0</v>
      </c>
      <c r="W46" s="7">
        <f t="shared" si="23"/>
        <v>0</v>
      </c>
      <c r="X46" s="7">
        <f t="shared" si="24"/>
        <v>0</v>
      </c>
    </row>
    <row r="47" spans="2:24" ht="15.6" customHeight="1" x14ac:dyDescent="0.3">
      <c r="B47" s="7">
        <v>500</v>
      </c>
      <c r="C47" s="7">
        <v>550</v>
      </c>
      <c r="D47" s="4">
        <v>0</v>
      </c>
      <c r="E47" s="4">
        <v>2588</v>
      </c>
      <c r="F47" s="4">
        <v>0</v>
      </c>
      <c r="G47" s="4">
        <v>0</v>
      </c>
      <c r="H47" s="4">
        <v>675360325</v>
      </c>
      <c r="I47" s="4">
        <v>0</v>
      </c>
      <c r="J47" s="7">
        <f t="shared" si="13"/>
        <v>0</v>
      </c>
      <c r="K47" s="7">
        <f t="shared" si="14"/>
        <v>2.6099896324515381E-5</v>
      </c>
      <c r="L47" s="7">
        <f t="shared" si="15"/>
        <v>0</v>
      </c>
      <c r="M47" s="7">
        <f t="shared" si="16"/>
        <v>0</v>
      </c>
      <c r="N47" s="7">
        <f t="shared" si="17"/>
        <v>521.91678902627507</v>
      </c>
      <c r="O47" s="7">
        <f t="shared" si="18"/>
        <v>0</v>
      </c>
      <c r="P47" s="7" t="str">
        <f t="shared" si="19"/>
        <v>(500, 550]</v>
      </c>
      <c r="Q47" s="7" t="s">
        <v>74</v>
      </c>
      <c r="R47" s="7">
        <f t="shared" si="20"/>
        <v>2.6099896324515381E-5</v>
      </c>
      <c r="S47" s="4">
        <v>0</v>
      </c>
      <c r="T47" s="7">
        <f t="shared" si="21"/>
        <v>0</v>
      </c>
      <c r="U47" s="7">
        <f t="shared" si="22"/>
        <v>0</v>
      </c>
      <c r="V47" s="4">
        <f t="shared" si="25"/>
        <v>0</v>
      </c>
      <c r="W47" s="7">
        <f t="shared" si="23"/>
        <v>0</v>
      </c>
      <c r="X47" s="7">
        <f t="shared" si="24"/>
        <v>0</v>
      </c>
    </row>
    <row r="48" spans="2:24" ht="15.6" customHeight="1" x14ac:dyDescent="0.3">
      <c r="B48" s="7">
        <v>550</v>
      </c>
      <c r="C48" s="7">
        <v>600</v>
      </c>
      <c r="D48" s="4">
        <v>0</v>
      </c>
      <c r="E48" s="4">
        <v>1682</v>
      </c>
      <c r="F48" s="4">
        <v>0</v>
      </c>
      <c r="G48" s="4">
        <v>0</v>
      </c>
      <c r="H48" s="4">
        <v>481706800</v>
      </c>
      <c r="I48" s="4">
        <v>0</v>
      </c>
      <c r="J48" s="7">
        <f t="shared" si="13"/>
        <v>0</v>
      </c>
      <c r="K48" s="7">
        <f t="shared" si="14"/>
        <v>1.6962915617401418E-5</v>
      </c>
      <c r="L48" s="7">
        <f t="shared" si="15"/>
        <v>0</v>
      </c>
      <c r="M48" s="7">
        <f t="shared" si="16"/>
        <v>0</v>
      </c>
      <c r="N48" s="7">
        <f t="shared" si="17"/>
        <v>572.7785969084423</v>
      </c>
      <c r="O48" s="7">
        <f t="shared" si="18"/>
        <v>0</v>
      </c>
      <c r="P48" s="7" t="str">
        <f t="shared" si="19"/>
        <v>(550, 600]</v>
      </c>
      <c r="Q48" s="7" t="s">
        <v>74</v>
      </c>
      <c r="R48" s="7">
        <f t="shared" si="20"/>
        <v>1.6962915617401418E-5</v>
      </c>
      <c r="S48" s="4">
        <v>0</v>
      </c>
      <c r="T48" s="7">
        <f t="shared" si="21"/>
        <v>0</v>
      </c>
      <c r="U48" s="7">
        <f t="shared" si="22"/>
        <v>0</v>
      </c>
      <c r="V48" s="4">
        <f t="shared" si="25"/>
        <v>0</v>
      </c>
      <c r="W48" s="7">
        <f t="shared" si="23"/>
        <v>0</v>
      </c>
      <c r="X48" s="7">
        <f t="shared" si="24"/>
        <v>0</v>
      </c>
    </row>
    <row r="49" spans="2:24" ht="15.6" customHeight="1" x14ac:dyDescent="0.3">
      <c r="B49" s="7">
        <v>600</v>
      </c>
      <c r="C49" s="7">
        <v>650</v>
      </c>
      <c r="D49" s="4">
        <v>0</v>
      </c>
      <c r="E49" s="4">
        <v>994</v>
      </c>
      <c r="F49" s="4">
        <v>0</v>
      </c>
      <c r="G49" s="4">
        <v>0</v>
      </c>
      <c r="H49" s="4">
        <v>309967200</v>
      </c>
      <c r="I49" s="4">
        <v>0</v>
      </c>
      <c r="J49" s="7">
        <f t="shared" si="13"/>
        <v>0</v>
      </c>
      <c r="K49" s="7">
        <f t="shared" si="14"/>
        <v>1.0024457861888829E-5</v>
      </c>
      <c r="L49" s="7">
        <f t="shared" si="15"/>
        <v>0</v>
      </c>
      <c r="M49" s="7">
        <f t="shared" si="16"/>
        <v>0</v>
      </c>
      <c r="N49" s="7">
        <f t="shared" si="17"/>
        <v>623.67645875251515</v>
      </c>
      <c r="O49" s="7">
        <f t="shared" si="18"/>
        <v>0</v>
      </c>
      <c r="P49" s="7" t="str">
        <f t="shared" si="19"/>
        <v>(600, 650]</v>
      </c>
      <c r="Q49" s="7" t="s">
        <v>74</v>
      </c>
      <c r="R49" s="7">
        <f t="shared" si="20"/>
        <v>1.0024457861888829E-5</v>
      </c>
      <c r="S49" s="4">
        <v>0</v>
      </c>
      <c r="T49" s="7">
        <f t="shared" si="21"/>
        <v>0</v>
      </c>
      <c r="U49" s="7">
        <f t="shared" si="22"/>
        <v>0</v>
      </c>
      <c r="V49" s="4">
        <f t="shared" si="25"/>
        <v>0</v>
      </c>
      <c r="W49" s="7">
        <f t="shared" si="23"/>
        <v>0</v>
      </c>
      <c r="X49" s="7">
        <f t="shared" si="24"/>
        <v>0</v>
      </c>
    </row>
    <row r="50" spans="2:24" ht="15.6" customHeight="1" x14ac:dyDescent="0.3">
      <c r="B50" s="7">
        <v>650</v>
      </c>
      <c r="C50" s="7">
        <v>700</v>
      </c>
      <c r="D50" s="4">
        <v>0</v>
      </c>
      <c r="E50" s="4">
        <v>630</v>
      </c>
      <c r="F50" s="4">
        <v>0</v>
      </c>
      <c r="G50" s="4">
        <v>0</v>
      </c>
      <c r="H50" s="4">
        <v>211839550</v>
      </c>
      <c r="I50" s="4">
        <v>0</v>
      </c>
      <c r="J50" s="7">
        <f t="shared" si="13"/>
        <v>0</v>
      </c>
      <c r="K50" s="7">
        <f t="shared" si="14"/>
        <v>6.3535296307746095E-6</v>
      </c>
      <c r="L50" s="7">
        <f t="shared" si="15"/>
        <v>0</v>
      </c>
      <c r="M50" s="7">
        <f t="shared" si="16"/>
        <v>0</v>
      </c>
      <c r="N50" s="7">
        <f t="shared" si="17"/>
        <v>672.50650793650789</v>
      </c>
      <c r="O50" s="7">
        <f t="shared" si="18"/>
        <v>0</v>
      </c>
      <c r="P50" s="7" t="str">
        <f t="shared" si="19"/>
        <v>(650, 700]</v>
      </c>
      <c r="Q50" s="7" t="s">
        <v>74</v>
      </c>
      <c r="R50" s="7">
        <f t="shared" si="20"/>
        <v>6.3535296307746095E-6</v>
      </c>
      <c r="S50" s="4">
        <v>0</v>
      </c>
      <c r="T50" s="7">
        <f t="shared" si="21"/>
        <v>0</v>
      </c>
      <c r="U50" s="7">
        <f t="shared" si="22"/>
        <v>0</v>
      </c>
      <c r="V50" s="4">
        <f t="shared" si="25"/>
        <v>0</v>
      </c>
      <c r="W50" s="7">
        <f t="shared" si="23"/>
        <v>0</v>
      </c>
      <c r="X50" s="7">
        <f t="shared" si="24"/>
        <v>0</v>
      </c>
    </row>
    <row r="51" spans="2:24" ht="15.6" customHeight="1" x14ac:dyDescent="0.3">
      <c r="B51" s="7">
        <v>700</v>
      </c>
      <c r="C51" s="7">
        <v>750</v>
      </c>
      <c r="D51" s="4">
        <v>0</v>
      </c>
      <c r="E51" s="4">
        <v>446</v>
      </c>
      <c r="F51" s="4">
        <v>0</v>
      </c>
      <c r="G51" s="4">
        <v>0</v>
      </c>
      <c r="H51" s="4">
        <v>161844225</v>
      </c>
      <c r="I51" s="4">
        <v>0</v>
      </c>
      <c r="J51" s="7">
        <f t="shared" si="13"/>
        <v>0</v>
      </c>
      <c r="K51" s="7">
        <f t="shared" si="14"/>
        <v>4.4978955798817078E-6</v>
      </c>
      <c r="L51" s="7">
        <f t="shared" si="15"/>
        <v>0</v>
      </c>
      <c r="M51" s="7">
        <f t="shared" si="16"/>
        <v>0</v>
      </c>
      <c r="N51" s="7">
        <f t="shared" si="17"/>
        <v>725.75885650224222</v>
      </c>
      <c r="O51" s="7">
        <f t="shared" si="18"/>
        <v>0</v>
      </c>
      <c r="P51" s="7" t="str">
        <f t="shared" si="19"/>
        <v>(700, 750]</v>
      </c>
      <c r="Q51" s="7" t="s">
        <v>74</v>
      </c>
      <c r="R51" s="7">
        <f t="shared" si="20"/>
        <v>4.4978955798817078E-6</v>
      </c>
      <c r="S51" s="4">
        <v>0</v>
      </c>
      <c r="T51" s="7">
        <f t="shared" si="21"/>
        <v>0</v>
      </c>
      <c r="U51" s="7">
        <f t="shared" si="22"/>
        <v>0</v>
      </c>
      <c r="V51" s="4">
        <f t="shared" si="25"/>
        <v>0</v>
      </c>
      <c r="W51" s="7">
        <f t="shared" si="23"/>
        <v>0</v>
      </c>
      <c r="X51" s="7">
        <f t="shared" si="24"/>
        <v>0</v>
      </c>
    </row>
    <row r="52" spans="2:24" ht="15.6" customHeight="1" x14ac:dyDescent="0.3">
      <c r="B52" s="7">
        <v>750</v>
      </c>
      <c r="C52" s="7">
        <v>800</v>
      </c>
      <c r="D52" s="4">
        <v>0</v>
      </c>
      <c r="E52" s="4">
        <v>400</v>
      </c>
      <c r="F52" s="4">
        <v>0</v>
      </c>
      <c r="G52" s="4">
        <v>0</v>
      </c>
      <c r="H52" s="4">
        <v>154544850</v>
      </c>
      <c r="I52" s="4">
        <v>0</v>
      </c>
      <c r="J52" s="7">
        <f t="shared" si="13"/>
        <v>0</v>
      </c>
      <c r="K52" s="7">
        <f t="shared" si="14"/>
        <v>4.033987067158482E-6</v>
      </c>
      <c r="L52" s="7">
        <f t="shared" si="15"/>
        <v>0</v>
      </c>
      <c r="M52" s="7">
        <f t="shared" si="16"/>
        <v>0</v>
      </c>
      <c r="N52" s="7">
        <f t="shared" si="17"/>
        <v>772.72424999999998</v>
      </c>
      <c r="O52" s="7">
        <f t="shared" si="18"/>
        <v>0</v>
      </c>
      <c r="P52" s="7" t="str">
        <f t="shared" si="19"/>
        <v>(750, 800]</v>
      </c>
      <c r="Q52" s="7" t="s">
        <v>74</v>
      </c>
      <c r="R52" s="7">
        <f t="shared" si="20"/>
        <v>4.033987067158482E-6</v>
      </c>
      <c r="S52" s="4">
        <v>0</v>
      </c>
      <c r="T52" s="7">
        <f t="shared" si="21"/>
        <v>0</v>
      </c>
      <c r="U52" s="7">
        <f t="shared" si="22"/>
        <v>0</v>
      </c>
      <c r="V52" s="4">
        <f t="shared" si="25"/>
        <v>0</v>
      </c>
      <c r="W52" s="7">
        <f t="shared" si="23"/>
        <v>0</v>
      </c>
      <c r="X52" s="7">
        <f t="shared" si="24"/>
        <v>0</v>
      </c>
    </row>
    <row r="53" spans="2:24" ht="15.6" customHeight="1" x14ac:dyDescent="0.3">
      <c r="B53" s="7">
        <v>800</v>
      </c>
      <c r="C53" s="7">
        <v>850</v>
      </c>
      <c r="D53" s="4">
        <v>0</v>
      </c>
      <c r="E53" s="4">
        <v>222</v>
      </c>
      <c r="F53" s="4">
        <v>0</v>
      </c>
      <c r="G53" s="4">
        <v>0</v>
      </c>
      <c r="H53" s="4">
        <v>91442900</v>
      </c>
      <c r="I53" s="4">
        <v>0</v>
      </c>
      <c r="J53" s="7">
        <f t="shared" si="13"/>
        <v>0</v>
      </c>
      <c r="K53" s="7">
        <f t="shared" si="14"/>
        <v>2.2388628222729575E-6</v>
      </c>
      <c r="L53" s="7">
        <f t="shared" si="15"/>
        <v>0</v>
      </c>
      <c r="M53" s="7">
        <f t="shared" si="16"/>
        <v>0</v>
      </c>
      <c r="N53" s="7">
        <f t="shared" si="17"/>
        <v>823.80990990990995</v>
      </c>
      <c r="O53" s="7">
        <f t="shared" si="18"/>
        <v>0</v>
      </c>
      <c r="P53" s="7" t="str">
        <f t="shared" si="19"/>
        <v>(800, 850]</v>
      </c>
      <c r="Q53" s="7" t="s">
        <v>74</v>
      </c>
      <c r="R53" s="7">
        <f t="shared" si="20"/>
        <v>2.2388628222729575E-6</v>
      </c>
      <c r="S53" s="4">
        <v>0</v>
      </c>
      <c r="T53" s="7">
        <f t="shared" si="21"/>
        <v>0</v>
      </c>
      <c r="U53" s="7">
        <f t="shared" si="22"/>
        <v>0</v>
      </c>
      <c r="V53" s="4">
        <f t="shared" si="25"/>
        <v>0</v>
      </c>
      <c r="W53" s="7">
        <f t="shared" si="23"/>
        <v>0</v>
      </c>
      <c r="X53" s="7">
        <f t="shared" si="24"/>
        <v>0</v>
      </c>
    </row>
    <row r="54" spans="2:24" ht="15.6" customHeight="1" x14ac:dyDescent="0.3">
      <c r="B54" s="7">
        <v>850</v>
      </c>
      <c r="C54" s="7">
        <v>900</v>
      </c>
      <c r="D54" s="4">
        <v>0</v>
      </c>
      <c r="E54" s="4">
        <v>141</v>
      </c>
      <c r="F54" s="4">
        <v>0</v>
      </c>
      <c r="G54" s="4">
        <v>0</v>
      </c>
      <c r="H54" s="4">
        <v>61482425</v>
      </c>
      <c r="I54" s="4">
        <v>0</v>
      </c>
      <c r="J54" s="7">
        <f t="shared" si="13"/>
        <v>0</v>
      </c>
      <c r="K54" s="7">
        <f t="shared" si="14"/>
        <v>1.421980441173365E-6</v>
      </c>
      <c r="L54" s="7">
        <f t="shared" si="15"/>
        <v>0</v>
      </c>
      <c r="M54" s="7">
        <f t="shared" si="16"/>
        <v>0</v>
      </c>
      <c r="N54" s="7">
        <f t="shared" si="17"/>
        <v>872.0911347517731</v>
      </c>
      <c r="O54" s="7">
        <f t="shared" si="18"/>
        <v>0</v>
      </c>
      <c r="P54" s="7" t="str">
        <f t="shared" si="19"/>
        <v>(850, 900]</v>
      </c>
      <c r="Q54" s="7" t="s">
        <v>74</v>
      </c>
      <c r="R54" s="7">
        <f t="shared" si="20"/>
        <v>1.421980441173365E-6</v>
      </c>
      <c r="S54" s="4">
        <v>0</v>
      </c>
      <c r="T54" s="7">
        <f t="shared" si="21"/>
        <v>0</v>
      </c>
      <c r="U54" s="7">
        <f t="shared" si="22"/>
        <v>0</v>
      </c>
      <c r="V54" s="4">
        <f t="shared" si="25"/>
        <v>0</v>
      </c>
      <c r="W54" s="7">
        <f t="shared" si="23"/>
        <v>0</v>
      </c>
      <c r="X54" s="7">
        <f t="shared" si="24"/>
        <v>0</v>
      </c>
    </row>
    <row r="55" spans="2:24" ht="15.6" customHeight="1" x14ac:dyDescent="0.3">
      <c r="B55" s="7">
        <v>900</v>
      </c>
      <c r="C55" s="7">
        <v>950</v>
      </c>
      <c r="D55" s="4">
        <v>0</v>
      </c>
      <c r="E55" s="4">
        <v>113</v>
      </c>
      <c r="F55" s="4">
        <v>0</v>
      </c>
      <c r="G55" s="4">
        <v>0</v>
      </c>
      <c r="H55" s="4">
        <v>52353125</v>
      </c>
      <c r="I55" s="4">
        <v>0</v>
      </c>
      <c r="J55" s="7">
        <f t="shared" si="13"/>
        <v>0</v>
      </c>
      <c r="K55" s="7">
        <f t="shared" si="14"/>
        <v>1.1396013464722713E-6</v>
      </c>
      <c r="L55" s="7">
        <f t="shared" si="15"/>
        <v>0</v>
      </c>
      <c r="M55" s="7">
        <f t="shared" si="16"/>
        <v>0</v>
      </c>
      <c r="N55" s="7">
        <f t="shared" si="17"/>
        <v>926.60398230088481</v>
      </c>
      <c r="O55" s="7">
        <f t="shared" si="18"/>
        <v>0</v>
      </c>
      <c r="P55" s="7" t="str">
        <f t="shared" si="19"/>
        <v>(900, 950]</v>
      </c>
      <c r="Q55" s="7" t="s">
        <v>74</v>
      </c>
      <c r="R55" s="7">
        <f t="shared" si="20"/>
        <v>1.1396013464722713E-6</v>
      </c>
      <c r="S55" s="4">
        <v>0</v>
      </c>
      <c r="T55" s="7">
        <f t="shared" si="21"/>
        <v>0</v>
      </c>
      <c r="U55" s="7">
        <f t="shared" si="22"/>
        <v>0</v>
      </c>
      <c r="V55" s="4">
        <f t="shared" si="25"/>
        <v>0</v>
      </c>
      <c r="W55" s="7">
        <f t="shared" si="23"/>
        <v>0</v>
      </c>
      <c r="X55" s="7">
        <f t="shared" si="24"/>
        <v>0</v>
      </c>
    </row>
    <row r="56" spans="2:24" ht="15.6" customHeight="1" x14ac:dyDescent="0.3">
      <c r="B56" s="7">
        <v>950</v>
      </c>
      <c r="C56" s="7">
        <v>1000</v>
      </c>
      <c r="D56" s="4">
        <v>0</v>
      </c>
      <c r="E56" s="4">
        <v>90</v>
      </c>
      <c r="F56" s="4">
        <v>0</v>
      </c>
      <c r="G56" s="4">
        <v>0</v>
      </c>
      <c r="H56" s="4">
        <v>43820550</v>
      </c>
      <c r="I56" s="4">
        <v>0</v>
      </c>
      <c r="J56" s="7">
        <f t="shared" si="13"/>
        <v>0</v>
      </c>
      <c r="K56" s="7">
        <f t="shared" si="14"/>
        <v>9.0764709011065854E-7</v>
      </c>
      <c r="L56" s="7">
        <f t="shared" si="15"/>
        <v>0</v>
      </c>
      <c r="M56" s="7">
        <f t="shared" si="16"/>
        <v>0</v>
      </c>
      <c r="N56" s="7">
        <f t="shared" si="17"/>
        <v>973.79</v>
      </c>
      <c r="O56" s="7">
        <f t="shared" si="18"/>
        <v>0</v>
      </c>
      <c r="P56" s="7" t="str">
        <f t="shared" si="19"/>
        <v>(950, 1000]</v>
      </c>
      <c r="Q56" s="7" t="s">
        <v>74</v>
      </c>
      <c r="R56" s="7">
        <f t="shared" si="20"/>
        <v>9.0764709011065854E-7</v>
      </c>
      <c r="S56" s="4">
        <v>0</v>
      </c>
      <c r="T56" s="7">
        <f t="shared" si="21"/>
        <v>0</v>
      </c>
      <c r="U56" s="7">
        <f t="shared" si="22"/>
        <v>0</v>
      </c>
      <c r="V56" s="4">
        <f t="shared" si="25"/>
        <v>0</v>
      </c>
      <c r="W56" s="7">
        <f t="shared" si="23"/>
        <v>0</v>
      </c>
      <c r="X56" s="7">
        <f t="shared" si="24"/>
        <v>0</v>
      </c>
    </row>
    <row r="57" spans="2:24" ht="15.6" customHeight="1" x14ac:dyDescent="0.3">
      <c r="B57" s="7">
        <v>1000</v>
      </c>
      <c r="C57" s="7">
        <v>2000</v>
      </c>
      <c r="D57" s="4">
        <v>0</v>
      </c>
      <c r="E57" s="4">
        <v>302</v>
      </c>
      <c r="F57" s="4">
        <v>0</v>
      </c>
      <c r="G57" s="4">
        <v>0</v>
      </c>
      <c r="H57" s="4">
        <v>178348475</v>
      </c>
      <c r="I57" s="4">
        <v>0</v>
      </c>
      <c r="J57" s="7">
        <f t="shared" si="13"/>
        <v>0</v>
      </c>
      <c r="K57" s="7">
        <f t="shared" si="14"/>
        <v>3.0456602357046541E-6</v>
      </c>
      <c r="L57" s="7">
        <f t="shared" si="15"/>
        <v>0</v>
      </c>
      <c r="M57" s="7">
        <f t="shared" si="16"/>
        <v>0</v>
      </c>
      <c r="N57" s="7">
        <f t="shared" si="17"/>
        <v>1181.1157284768212</v>
      </c>
      <c r="O57" s="7">
        <f t="shared" si="18"/>
        <v>0</v>
      </c>
      <c r="P57" s="7" t="str">
        <f t="shared" si="19"/>
        <v>(1000, 2000]</v>
      </c>
      <c r="Q57" s="7" t="s">
        <v>74</v>
      </c>
      <c r="R57" s="7">
        <f t="shared" si="20"/>
        <v>3.0456602357046541E-6</v>
      </c>
      <c r="S57" s="4">
        <v>0</v>
      </c>
      <c r="T57" s="7">
        <f t="shared" si="21"/>
        <v>0</v>
      </c>
      <c r="U57" s="7">
        <f t="shared" si="22"/>
        <v>0</v>
      </c>
      <c r="V57" s="4">
        <f t="shared" si="25"/>
        <v>0</v>
      </c>
      <c r="W57" s="7">
        <f t="shared" si="23"/>
        <v>0</v>
      </c>
      <c r="X57" s="7">
        <f t="shared" si="24"/>
        <v>0</v>
      </c>
    </row>
    <row r="58" spans="2:24" ht="15.6" customHeight="1" x14ac:dyDescent="0.3">
      <c r="B58" s="7">
        <v>2000</v>
      </c>
      <c r="C58" s="7">
        <v>3000</v>
      </c>
      <c r="D58" s="4">
        <v>0</v>
      </c>
      <c r="E58" s="4">
        <v>1</v>
      </c>
      <c r="F58" s="4">
        <v>0</v>
      </c>
      <c r="G58" s="4">
        <v>0</v>
      </c>
      <c r="H58" s="4">
        <v>1044650</v>
      </c>
      <c r="I58" s="4">
        <v>0</v>
      </c>
      <c r="J58" s="7">
        <f t="shared" si="13"/>
        <v>0</v>
      </c>
      <c r="K58" s="7">
        <f t="shared" si="14"/>
        <v>1.0084967667896206E-8</v>
      </c>
      <c r="L58" s="7">
        <f t="shared" si="15"/>
        <v>0</v>
      </c>
      <c r="M58" s="7">
        <f t="shared" si="16"/>
        <v>0</v>
      </c>
      <c r="N58" s="7">
        <f t="shared" si="17"/>
        <v>2089.3000000000002</v>
      </c>
      <c r="O58" s="7">
        <f t="shared" si="18"/>
        <v>0</v>
      </c>
      <c r="P58" s="7" t="str">
        <f t="shared" si="19"/>
        <v>(2000, 3000]</v>
      </c>
      <c r="Q58" s="7" t="s">
        <v>74</v>
      </c>
      <c r="R58" s="7">
        <f t="shared" si="20"/>
        <v>1.0084967667896206E-8</v>
      </c>
      <c r="S58" s="4">
        <v>0</v>
      </c>
      <c r="T58" s="7">
        <f t="shared" si="21"/>
        <v>0</v>
      </c>
      <c r="U58" s="7">
        <f t="shared" si="22"/>
        <v>0</v>
      </c>
      <c r="V58" s="4">
        <f t="shared" si="25"/>
        <v>0</v>
      </c>
      <c r="W58" s="7">
        <f t="shared" si="23"/>
        <v>0</v>
      </c>
      <c r="X58" s="7">
        <f t="shared" si="24"/>
        <v>0</v>
      </c>
    </row>
    <row r="59" spans="2:24" ht="15.6" customHeight="1" x14ac:dyDescent="0.3">
      <c r="B59" s="7">
        <v>3000</v>
      </c>
      <c r="C59" s="7">
        <v>4000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7">
        <f t="shared" si="13"/>
        <v>0</v>
      </c>
      <c r="K59" s="7">
        <f t="shared" si="14"/>
        <v>0</v>
      </c>
      <c r="L59" s="7">
        <f t="shared" si="15"/>
        <v>0</v>
      </c>
      <c r="M59" s="7">
        <f t="shared" si="16"/>
        <v>0</v>
      </c>
      <c r="N59" s="7">
        <f t="shared" si="17"/>
        <v>0</v>
      </c>
      <c r="O59" s="7">
        <f t="shared" si="18"/>
        <v>0</v>
      </c>
      <c r="P59" s="7" t="str">
        <f t="shared" si="19"/>
        <v>(3000, 4000]</v>
      </c>
      <c r="Q59" s="7" t="s">
        <v>74</v>
      </c>
      <c r="R59" s="7">
        <f t="shared" si="20"/>
        <v>0</v>
      </c>
      <c r="S59" s="4">
        <v>0</v>
      </c>
      <c r="T59" s="7">
        <f t="shared" si="21"/>
        <v>0</v>
      </c>
      <c r="U59" s="7">
        <f t="shared" si="22"/>
        <v>0</v>
      </c>
      <c r="V59" s="4">
        <f t="shared" si="25"/>
        <v>0</v>
      </c>
      <c r="W59" s="7">
        <f t="shared" si="23"/>
        <v>0</v>
      </c>
      <c r="X59" s="7">
        <f t="shared" si="24"/>
        <v>0</v>
      </c>
    </row>
    <row r="60" spans="2:24" ht="15.6" customHeight="1" x14ac:dyDescent="0.3">
      <c r="B60" s="7">
        <v>4000</v>
      </c>
      <c r="C60" s="7">
        <v>5000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7">
        <f t="shared" si="13"/>
        <v>0</v>
      </c>
      <c r="K60" s="7">
        <f t="shared" si="14"/>
        <v>0</v>
      </c>
      <c r="L60" s="7">
        <f t="shared" si="15"/>
        <v>0</v>
      </c>
      <c r="M60" s="7">
        <f t="shared" si="16"/>
        <v>0</v>
      </c>
      <c r="N60" s="7">
        <f t="shared" si="17"/>
        <v>0</v>
      </c>
      <c r="O60" s="7">
        <f t="shared" si="18"/>
        <v>0</v>
      </c>
      <c r="P60" s="7" t="str">
        <f t="shared" si="19"/>
        <v>(4000, 5000]</v>
      </c>
      <c r="Q60" s="7" t="s">
        <v>74</v>
      </c>
      <c r="R60" s="7">
        <f t="shared" si="20"/>
        <v>0</v>
      </c>
      <c r="S60" s="4">
        <v>0</v>
      </c>
      <c r="T60" s="7">
        <f t="shared" si="21"/>
        <v>0</v>
      </c>
      <c r="U60" s="7">
        <f t="shared" si="22"/>
        <v>0</v>
      </c>
      <c r="V60" s="4">
        <f t="shared" si="25"/>
        <v>0</v>
      </c>
      <c r="W60" s="7">
        <f t="shared" si="23"/>
        <v>0</v>
      </c>
      <c r="X60" s="7">
        <f t="shared" si="24"/>
        <v>0</v>
      </c>
    </row>
    <row r="61" spans="2:24" ht="15.6" customHeight="1" x14ac:dyDescent="0.3">
      <c r="B61" s="7">
        <v>5000</v>
      </c>
      <c r="C61" s="7">
        <v>6000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7">
        <f t="shared" si="13"/>
        <v>0</v>
      </c>
      <c r="K61" s="7">
        <f t="shared" si="14"/>
        <v>0</v>
      </c>
      <c r="L61" s="7">
        <f t="shared" si="15"/>
        <v>0</v>
      </c>
      <c r="M61" s="7">
        <f t="shared" si="16"/>
        <v>0</v>
      </c>
      <c r="N61" s="7">
        <f t="shared" si="17"/>
        <v>0</v>
      </c>
      <c r="O61" s="7">
        <f t="shared" si="18"/>
        <v>0</v>
      </c>
      <c r="P61" s="7" t="str">
        <f t="shared" si="19"/>
        <v>(5000, 6000]</v>
      </c>
      <c r="Q61" s="7" t="s">
        <v>74</v>
      </c>
      <c r="R61" s="7">
        <f t="shared" si="20"/>
        <v>0</v>
      </c>
      <c r="S61" s="4">
        <v>0</v>
      </c>
      <c r="T61" s="7">
        <f t="shared" si="21"/>
        <v>0</v>
      </c>
      <c r="U61" s="7">
        <f t="shared" si="22"/>
        <v>0</v>
      </c>
      <c r="V61" s="4">
        <f t="shared" si="25"/>
        <v>0</v>
      </c>
      <c r="W61" s="7">
        <f t="shared" si="23"/>
        <v>0</v>
      </c>
      <c r="X61" s="7">
        <f t="shared" si="24"/>
        <v>0</v>
      </c>
    </row>
    <row r="62" spans="2:24" ht="15.6" customHeight="1" x14ac:dyDescent="0.3">
      <c r="B62" s="7">
        <v>6000</v>
      </c>
      <c r="C62" s="7">
        <v>7000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7">
        <f t="shared" si="13"/>
        <v>0</v>
      </c>
      <c r="K62" s="7">
        <f t="shared" si="14"/>
        <v>0</v>
      </c>
      <c r="L62" s="7">
        <f t="shared" si="15"/>
        <v>0</v>
      </c>
      <c r="M62" s="7">
        <f t="shared" si="16"/>
        <v>0</v>
      </c>
      <c r="N62" s="7">
        <f t="shared" si="17"/>
        <v>0</v>
      </c>
      <c r="O62" s="7">
        <f t="shared" si="18"/>
        <v>0</v>
      </c>
      <c r="P62" s="7" t="str">
        <f t="shared" si="19"/>
        <v>(6000, 7000]</v>
      </c>
      <c r="Q62" s="7" t="s">
        <v>74</v>
      </c>
      <c r="R62" s="7">
        <f t="shared" si="20"/>
        <v>0</v>
      </c>
      <c r="S62" s="4">
        <v>0</v>
      </c>
      <c r="T62" s="7">
        <f t="shared" si="21"/>
        <v>0</v>
      </c>
      <c r="U62" s="7">
        <f t="shared" si="22"/>
        <v>0</v>
      </c>
      <c r="V62" s="4">
        <f t="shared" si="25"/>
        <v>0</v>
      </c>
      <c r="W62" s="7">
        <f t="shared" si="23"/>
        <v>0</v>
      </c>
      <c r="X62" s="7">
        <f t="shared" si="24"/>
        <v>0</v>
      </c>
    </row>
    <row r="63" spans="2:24" ht="15.6" customHeight="1" x14ac:dyDescent="0.3">
      <c r="B63" s="7">
        <v>7000</v>
      </c>
      <c r="C63" s="7">
        <v>8000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7">
        <f t="shared" si="13"/>
        <v>0</v>
      </c>
      <c r="K63" s="7">
        <f t="shared" si="14"/>
        <v>0</v>
      </c>
      <c r="L63" s="7">
        <f t="shared" si="15"/>
        <v>0</v>
      </c>
      <c r="M63" s="7">
        <f t="shared" si="16"/>
        <v>0</v>
      </c>
      <c r="N63" s="7">
        <f t="shared" si="17"/>
        <v>0</v>
      </c>
      <c r="O63" s="7">
        <f t="shared" si="18"/>
        <v>0</v>
      </c>
      <c r="P63" s="7" t="str">
        <f t="shared" si="19"/>
        <v>(7000, 8000]</v>
      </c>
      <c r="Q63" s="7" t="s">
        <v>74</v>
      </c>
      <c r="R63" s="7">
        <f t="shared" si="20"/>
        <v>0</v>
      </c>
      <c r="S63" s="4">
        <v>0</v>
      </c>
      <c r="T63" s="7">
        <f t="shared" si="21"/>
        <v>0</v>
      </c>
      <c r="U63" s="7">
        <f t="shared" si="22"/>
        <v>0</v>
      </c>
      <c r="V63" s="4">
        <f t="shared" si="25"/>
        <v>0</v>
      </c>
      <c r="W63" s="7">
        <f t="shared" si="23"/>
        <v>0</v>
      </c>
      <c r="X63" s="7">
        <f t="shared" si="24"/>
        <v>0</v>
      </c>
    </row>
    <row r="64" spans="2:24" ht="15.6" customHeight="1" x14ac:dyDescent="0.3">
      <c r="B64" s="7" t="s">
        <v>180</v>
      </c>
      <c r="C64" s="7">
        <v>1.010016E-2</v>
      </c>
      <c r="D64" s="4">
        <v>1010016</v>
      </c>
      <c r="E64" s="4">
        <v>842518</v>
      </c>
      <c r="F64" s="4">
        <v>0</v>
      </c>
      <c r="G64" s="4">
        <v>184759625</v>
      </c>
      <c r="H64" s="4">
        <v>12104979525</v>
      </c>
      <c r="I64" s="4">
        <v>0</v>
      </c>
      <c r="J64" s="7">
        <f t="shared" si="13"/>
        <v>1.0203214094872468E-2</v>
      </c>
      <c r="K64" s="7">
        <f t="shared" si="14"/>
        <v>8.4967667896205749E-3</v>
      </c>
      <c r="L64" s="7">
        <f t="shared" si="15"/>
        <v>0</v>
      </c>
      <c r="M64" s="7">
        <f t="shared" si="16"/>
        <v>0.36585484784399458</v>
      </c>
      <c r="N64" s="7">
        <f t="shared" si="17"/>
        <v>28.735242511139226</v>
      </c>
      <c r="O64" s="7">
        <f t="shared" si="18"/>
        <v>0</v>
      </c>
      <c r="P64" s="7" t="str">
        <f t="shared" si="19"/>
        <v>(FG Trigger, 0.01010016]</v>
      </c>
      <c r="Q64" s="7" t="s">
        <v>40</v>
      </c>
      <c r="R64" s="4">
        <v>8.4899999999999993E-3</v>
      </c>
      <c r="S64" s="4">
        <v>1</v>
      </c>
      <c r="T64" s="7">
        <f t="shared" si="21"/>
        <v>8.4899999999999993E-3</v>
      </c>
      <c r="U64" s="7">
        <f>T64</f>
        <v>8.4899999999999993E-3</v>
      </c>
      <c r="V64" s="4">
        <f t="shared" si="25"/>
        <v>8490000</v>
      </c>
      <c r="W64" s="7">
        <f t="shared" si="23"/>
        <v>8.4899999999999993E-3</v>
      </c>
      <c r="X64" s="7">
        <f t="shared" si="24"/>
        <v>3.1061076581955136E-3</v>
      </c>
    </row>
    <row r="65" spans="2:24" ht="15.6" customHeight="1" x14ac:dyDescent="0.3">
      <c r="B65" s="3" t="s">
        <v>166</v>
      </c>
      <c r="V65" s="4">
        <f>SUM(V12:V64)</f>
        <v>1000000000</v>
      </c>
    </row>
    <row r="68" spans="2:24" ht="15.6" customHeight="1" x14ac:dyDescent="0.3">
      <c r="B68" s="1" t="s">
        <v>17</v>
      </c>
      <c r="D68" s="3" t="s">
        <v>171</v>
      </c>
      <c r="G68" s="3" t="s">
        <v>172</v>
      </c>
      <c r="J68" s="3" t="s">
        <v>173</v>
      </c>
      <c r="M68" s="3" t="s">
        <v>174</v>
      </c>
    </row>
    <row r="69" spans="2:24" ht="15.6" customHeight="1" x14ac:dyDescent="0.3">
      <c r="B69" s="3" t="s">
        <v>159</v>
      </c>
      <c r="C69" s="3" t="s">
        <v>160</v>
      </c>
      <c r="D69" s="3" t="s">
        <v>92</v>
      </c>
      <c r="E69" s="3" t="s">
        <v>93</v>
      </c>
      <c r="F69" s="3" t="s">
        <v>181</v>
      </c>
      <c r="G69" s="3" t="s">
        <v>92</v>
      </c>
      <c r="H69" s="3" t="s">
        <v>93</v>
      </c>
      <c r="I69" s="3" t="s">
        <v>181</v>
      </c>
      <c r="J69" s="3" t="s">
        <v>92</v>
      </c>
      <c r="K69" s="3" t="s">
        <v>93</v>
      </c>
      <c r="L69" s="3" t="s">
        <v>181</v>
      </c>
      <c r="M69" s="3" t="s">
        <v>92</v>
      </c>
      <c r="N69" s="3" t="s">
        <v>93</v>
      </c>
      <c r="O69" s="3" t="s">
        <v>181</v>
      </c>
      <c r="P69" s="3" t="s">
        <v>161</v>
      </c>
      <c r="Q69" s="3" t="s">
        <v>162</v>
      </c>
      <c r="R69" s="3" t="s">
        <v>163</v>
      </c>
      <c r="S69" s="3" t="s">
        <v>176</v>
      </c>
      <c r="T69" s="3" t="s">
        <v>177</v>
      </c>
      <c r="U69" s="3" t="s">
        <v>178</v>
      </c>
      <c r="V69" s="3" t="s">
        <v>91</v>
      </c>
      <c r="W69" s="3" t="s">
        <v>170</v>
      </c>
      <c r="X69" s="3" t="s">
        <v>179</v>
      </c>
    </row>
    <row r="70" spans="2:24" ht="15.6" customHeight="1" x14ac:dyDescent="0.3">
      <c r="B70" s="7">
        <v>-1</v>
      </c>
      <c r="C70" s="7">
        <v>0</v>
      </c>
      <c r="D70" s="4">
        <v>0</v>
      </c>
      <c r="E70" s="4">
        <v>316</v>
      </c>
      <c r="F70" s="4">
        <v>0</v>
      </c>
      <c r="G70" s="4">
        <v>0</v>
      </c>
      <c r="H70" s="4">
        <v>0</v>
      </c>
      <c r="I70" s="4">
        <v>0</v>
      </c>
      <c r="J70" s="7">
        <f t="shared" ref="J70:J101" si="26">IF(SUM(D$70:D$128)=0,0,D70/SUM(D$70:D$128))</f>
        <v>0</v>
      </c>
      <c r="K70" s="7">
        <f t="shared" ref="K70:K101" si="27">IF(SUM(E$70:E$128)=0,0,E70/SUM(E$70:E$128))</f>
        <v>3.128663308304027E-4</v>
      </c>
      <c r="L70" s="7">
        <f t="shared" ref="L70:L101" si="28">IF(SUM(F$70:F$128)=0,0,F70/SUM(F$70:F$128))</f>
        <v>0</v>
      </c>
      <c r="M70" s="7">
        <f t="shared" ref="M70:M101" si="29">IF(D70=0,0,G70/D70/$C$3/5)</f>
        <v>0</v>
      </c>
      <c r="N70" s="7">
        <f t="shared" ref="N70:N101" si="30">IF(E70=0,0,H70/E70/$C$3/5)</f>
        <v>0</v>
      </c>
      <c r="O70" s="7">
        <f t="shared" ref="O70:O101" si="31">IF(F70=0,0,I70/F70/$C$3/5)</f>
        <v>0</v>
      </c>
      <c r="P70" s="7" t="str">
        <f t="shared" ref="P70:P101" si="32">"("&amp;B70&amp;", "&amp;C70&amp;"]"</f>
        <v>(-1, 0]</v>
      </c>
      <c r="Q70" s="7" t="s">
        <v>93</v>
      </c>
      <c r="R70" s="7">
        <f t="shared" ref="R70:R101" si="33">IFERROR(INDEX($J70:$L70,MATCH($Q70,$J$69:$L$69,0)),0)</f>
        <v>3.128663308304027E-4</v>
      </c>
      <c r="S70" s="4">
        <v>0</v>
      </c>
      <c r="T70" s="7">
        <f t="shared" ref="T70:T101" si="34">$R70*$S70</f>
        <v>0</v>
      </c>
      <c r="U70" s="7">
        <f t="shared" ref="U70:U101" si="35">IF(SUM(T$70:T$128)=0,0,T70/SUM(T$70:T$128))</f>
        <v>0</v>
      </c>
      <c r="V70" s="4">
        <f t="shared" ref="V70:V101" si="36">INT(U70*$C$2)</f>
        <v>0</v>
      </c>
      <c r="W70" s="7">
        <f t="shared" ref="W70:W101" si="37">IF(SUM(V$70:V$128)=0,0,V70/SUM(V$70:V$128))</f>
        <v>0</v>
      </c>
      <c r="X70" s="7">
        <f t="shared" ref="X70:X101" si="38">IFERROR(INDEX($M70:$O70,MATCH($Q70,$M$69:$O$69,0)),0)*V70/$C$2</f>
        <v>0</v>
      </c>
    </row>
    <row r="71" spans="2:24" ht="15.6" customHeight="1" x14ac:dyDescent="0.3">
      <c r="B71" s="7">
        <v>0</v>
      </c>
      <c r="C71" s="7">
        <v>1</v>
      </c>
      <c r="D71" s="4">
        <v>0</v>
      </c>
      <c r="E71" s="4">
        <v>2222</v>
      </c>
      <c r="F71" s="4">
        <v>0</v>
      </c>
      <c r="G71" s="4">
        <v>0</v>
      </c>
      <c r="H71" s="4">
        <v>676000</v>
      </c>
      <c r="I71" s="4">
        <v>0</v>
      </c>
      <c r="J71" s="7">
        <f t="shared" si="26"/>
        <v>0</v>
      </c>
      <c r="K71" s="7">
        <f t="shared" si="27"/>
        <v>2.1999651490669453E-3</v>
      </c>
      <c r="L71" s="7">
        <f t="shared" si="28"/>
        <v>0</v>
      </c>
      <c r="M71" s="7">
        <f t="shared" si="29"/>
        <v>0</v>
      </c>
      <c r="N71" s="7">
        <f t="shared" si="30"/>
        <v>0.60846084608460838</v>
      </c>
      <c r="O71" s="7">
        <f t="shared" si="31"/>
        <v>0</v>
      </c>
      <c r="P71" s="7" t="str">
        <f t="shared" si="32"/>
        <v>(0, 1]</v>
      </c>
      <c r="Q71" s="7" t="s">
        <v>93</v>
      </c>
      <c r="R71" s="7">
        <f t="shared" si="33"/>
        <v>2.1999651490669453E-3</v>
      </c>
      <c r="S71" s="4">
        <v>0</v>
      </c>
      <c r="T71" s="7">
        <f t="shared" si="34"/>
        <v>0</v>
      </c>
      <c r="U71" s="7">
        <f t="shared" si="35"/>
        <v>0</v>
      </c>
      <c r="V71" s="4">
        <f t="shared" si="36"/>
        <v>0</v>
      </c>
      <c r="W71" s="7">
        <f t="shared" si="37"/>
        <v>0</v>
      </c>
      <c r="X71" s="7">
        <f t="shared" si="38"/>
        <v>0</v>
      </c>
    </row>
    <row r="72" spans="2:24" ht="15.6" customHeight="1" x14ac:dyDescent="0.3">
      <c r="B72" s="7">
        <v>1</v>
      </c>
      <c r="C72" s="7">
        <v>2</v>
      </c>
      <c r="D72" s="4">
        <v>0</v>
      </c>
      <c r="E72" s="4">
        <v>2756</v>
      </c>
      <c r="F72" s="4">
        <v>0</v>
      </c>
      <c r="G72" s="4">
        <v>0</v>
      </c>
      <c r="H72" s="4">
        <v>2169950</v>
      </c>
      <c r="I72" s="4">
        <v>0</v>
      </c>
      <c r="J72" s="7">
        <f t="shared" si="26"/>
        <v>0</v>
      </c>
      <c r="K72" s="7">
        <f t="shared" si="27"/>
        <v>2.7286696448373094E-3</v>
      </c>
      <c r="L72" s="7">
        <f t="shared" si="28"/>
        <v>0</v>
      </c>
      <c r="M72" s="7">
        <f t="shared" si="29"/>
        <v>0</v>
      </c>
      <c r="N72" s="7">
        <f t="shared" si="30"/>
        <v>1.5747097242380261</v>
      </c>
      <c r="O72" s="7">
        <f t="shared" si="31"/>
        <v>0</v>
      </c>
      <c r="P72" s="7" t="str">
        <f t="shared" si="32"/>
        <v>(1, 2]</v>
      </c>
      <c r="Q72" s="7" t="s">
        <v>93</v>
      </c>
      <c r="R72" s="7">
        <f t="shared" si="33"/>
        <v>2.7286696448373094E-3</v>
      </c>
      <c r="S72" s="4">
        <v>0</v>
      </c>
      <c r="T72" s="7">
        <f t="shared" si="34"/>
        <v>0</v>
      </c>
      <c r="U72" s="7">
        <f t="shared" si="35"/>
        <v>0</v>
      </c>
      <c r="V72" s="4">
        <f t="shared" si="36"/>
        <v>0</v>
      </c>
      <c r="W72" s="7">
        <f t="shared" si="37"/>
        <v>0</v>
      </c>
      <c r="X72" s="7">
        <f t="shared" si="38"/>
        <v>0</v>
      </c>
    </row>
    <row r="73" spans="2:24" ht="15.6" customHeight="1" x14ac:dyDescent="0.3">
      <c r="B73" s="7">
        <v>2</v>
      </c>
      <c r="C73" s="7">
        <v>3</v>
      </c>
      <c r="D73" s="4">
        <v>0</v>
      </c>
      <c r="E73" s="4">
        <v>3023</v>
      </c>
      <c r="F73" s="4">
        <v>0</v>
      </c>
      <c r="G73" s="4">
        <v>0</v>
      </c>
      <c r="H73" s="4">
        <v>3886500</v>
      </c>
      <c r="I73" s="4">
        <v>0</v>
      </c>
      <c r="J73" s="7">
        <f t="shared" si="26"/>
        <v>0</v>
      </c>
      <c r="K73" s="7">
        <f t="shared" si="27"/>
        <v>2.9930218927224916E-3</v>
      </c>
      <c r="L73" s="7">
        <f t="shared" si="28"/>
        <v>0</v>
      </c>
      <c r="M73" s="7">
        <f t="shared" si="29"/>
        <v>0</v>
      </c>
      <c r="N73" s="7">
        <f t="shared" si="30"/>
        <v>2.5712868011908698</v>
      </c>
      <c r="O73" s="7">
        <f t="shared" si="31"/>
        <v>0</v>
      </c>
      <c r="P73" s="7" t="str">
        <f t="shared" si="32"/>
        <v>(2, 3]</v>
      </c>
      <c r="Q73" s="7" t="s">
        <v>93</v>
      </c>
      <c r="R73" s="7">
        <f t="shared" si="33"/>
        <v>2.9930218927224916E-3</v>
      </c>
      <c r="S73" s="4">
        <v>0</v>
      </c>
      <c r="T73" s="7">
        <f t="shared" si="34"/>
        <v>0</v>
      </c>
      <c r="U73" s="7">
        <f t="shared" si="35"/>
        <v>0</v>
      </c>
      <c r="V73" s="4">
        <f t="shared" si="36"/>
        <v>0</v>
      </c>
      <c r="W73" s="7">
        <f t="shared" si="37"/>
        <v>0</v>
      </c>
      <c r="X73" s="7">
        <f t="shared" si="38"/>
        <v>0</v>
      </c>
    </row>
    <row r="74" spans="2:24" ht="15.6" customHeight="1" x14ac:dyDescent="0.3">
      <c r="B74" s="7">
        <v>3</v>
      </c>
      <c r="C74" s="7">
        <v>4</v>
      </c>
      <c r="D74" s="4">
        <v>0</v>
      </c>
      <c r="E74" s="4">
        <v>3095</v>
      </c>
      <c r="F74" s="4">
        <v>0</v>
      </c>
      <c r="G74" s="4">
        <v>0</v>
      </c>
      <c r="H74" s="4">
        <v>5503800</v>
      </c>
      <c r="I74" s="4">
        <v>0</v>
      </c>
      <c r="J74" s="7">
        <f t="shared" si="26"/>
        <v>0</v>
      </c>
      <c r="K74" s="7">
        <f t="shared" si="27"/>
        <v>3.0643078921522037E-3</v>
      </c>
      <c r="L74" s="7">
        <f t="shared" si="28"/>
        <v>0</v>
      </c>
      <c r="M74" s="7">
        <f t="shared" si="29"/>
        <v>0</v>
      </c>
      <c r="N74" s="7">
        <f t="shared" si="30"/>
        <v>3.5565751211631662</v>
      </c>
      <c r="O74" s="7">
        <f t="shared" si="31"/>
        <v>0</v>
      </c>
      <c r="P74" s="7" t="str">
        <f t="shared" si="32"/>
        <v>(3, 4]</v>
      </c>
      <c r="Q74" s="7" t="s">
        <v>93</v>
      </c>
      <c r="R74" s="7">
        <f t="shared" si="33"/>
        <v>3.0643078921522037E-3</v>
      </c>
      <c r="S74" s="4">
        <v>0</v>
      </c>
      <c r="T74" s="7">
        <f t="shared" si="34"/>
        <v>0</v>
      </c>
      <c r="U74" s="7">
        <f t="shared" si="35"/>
        <v>0</v>
      </c>
      <c r="V74" s="4">
        <f t="shared" si="36"/>
        <v>0</v>
      </c>
      <c r="W74" s="7">
        <f t="shared" si="37"/>
        <v>0</v>
      </c>
      <c r="X74" s="7">
        <f t="shared" si="38"/>
        <v>0</v>
      </c>
    </row>
    <row r="75" spans="2:24" ht="15.6" customHeight="1" x14ac:dyDescent="0.3">
      <c r="B75" s="7">
        <v>4</v>
      </c>
      <c r="C75" s="7">
        <v>5</v>
      </c>
      <c r="D75" s="4">
        <v>0</v>
      </c>
      <c r="E75" s="4">
        <v>3068</v>
      </c>
      <c r="F75" s="4">
        <v>0</v>
      </c>
      <c r="G75" s="4">
        <v>0</v>
      </c>
      <c r="H75" s="4">
        <v>7011850</v>
      </c>
      <c r="I75" s="4">
        <v>0</v>
      </c>
      <c r="J75" s="7">
        <f t="shared" si="26"/>
        <v>0</v>
      </c>
      <c r="K75" s="7">
        <f t="shared" si="27"/>
        <v>3.0375756423660616E-3</v>
      </c>
      <c r="L75" s="7">
        <f t="shared" si="28"/>
        <v>0</v>
      </c>
      <c r="M75" s="7">
        <f t="shared" si="29"/>
        <v>0</v>
      </c>
      <c r="N75" s="7">
        <f t="shared" si="30"/>
        <v>4.5709582790091261</v>
      </c>
      <c r="O75" s="7">
        <f t="shared" si="31"/>
        <v>0</v>
      </c>
      <c r="P75" s="7" t="str">
        <f t="shared" si="32"/>
        <v>(4, 5]</v>
      </c>
      <c r="Q75" s="7" t="s">
        <v>93</v>
      </c>
      <c r="R75" s="7">
        <f t="shared" si="33"/>
        <v>3.0375756423660616E-3</v>
      </c>
      <c r="S75" s="4">
        <v>0</v>
      </c>
      <c r="T75" s="7">
        <f t="shared" si="34"/>
        <v>0</v>
      </c>
      <c r="U75" s="7">
        <f t="shared" si="35"/>
        <v>0</v>
      </c>
      <c r="V75" s="4">
        <f t="shared" si="36"/>
        <v>0</v>
      </c>
      <c r="W75" s="7">
        <f t="shared" si="37"/>
        <v>0</v>
      </c>
      <c r="X75" s="7">
        <f t="shared" si="38"/>
        <v>0</v>
      </c>
    </row>
    <row r="76" spans="2:24" ht="15.6" customHeight="1" x14ac:dyDescent="0.3">
      <c r="B76" s="7">
        <v>5</v>
      </c>
      <c r="C76" s="7">
        <v>6</v>
      </c>
      <c r="D76" s="4">
        <v>0</v>
      </c>
      <c r="E76" s="4">
        <v>3185</v>
      </c>
      <c r="F76" s="4">
        <v>0</v>
      </c>
      <c r="G76" s="4">
        <v>0</v>
      </c>
      <c r="H76" s="4">
        <v>8850050</v>
      </c>
      <c r="I76" s="4">
        <v>0</v>
      </c>
      <c r="J76" s="7">
        <f t="shared" si="26"/>
        <v>0</v>
      </c>
      <c r="K76" s="7">
        <f t="shared" si="27"/>
        <v>3.1534153914393437E-3</v>
      </c>
      <c r="L76" s="7">
        <f t="shared" si="28"/>
        <v>0</v>
      </c>
      <c r="M76" s="7">
        <f t="shared" si="29"/>
        <v>0</v>
      </c>
      <c r="N76" s="7">
        <f t="shared" si="30"/>
        <v>5.5573312401883834</v>
      </c>
      <c r="O76" s="7">
        <f t="shared" si="31"/>
        <v>0</v>
      </c>
      <c r="P76" s="7" t="str">
        <f t="shared" si="32"/>
        <v>(5, 6]</v>
      </c>
      <c r="Q76" s="7" t="s">
        <v>93</v>
      </c>
      <c r="R76" s="7">
        <f t="shared" si="33"/>
        <v>3.1534153914393437E-3</v>
      </c>
      <c r="S76" s="4">
        <v>0</v>
      </c>
      <c r="T76" s="7">
        <f t="shared" si="34"/>
        <v>0</v>
      </c>
      <c r="U76" s="7">
        <f t="shared" si="35"/>
        <v>0</v>
      </c>
      <c r="V76" s="4">
        <f t="shared" si="36"/>
        <v>0</v>
      </c>
      <c r="W76" s="7">
        <f t="shared" si="37"/>
        <v>0</v>
      </c>
      <c r="X76" s="7">
        <f t="shared" si="38"/>
        <v>0</v>
      </c>
    </row>
    <row r="77" spans="2:24" ht="15.6" customHeight="1" x14ac:dyDescent="0.3">
      <c r="B77" s="7">
        <v>6</v>
      </c>
      <c r="C77" s="7">
        <v>7</v>
      </c>
      <c r="D77" s="4">
        <v>0</v>
      </c>
      <c r="E77" s="4">
        <v>3215</v>
      </c>
      <c r="F77" s="4">
        <v>0</v>
      </c>
      <c r="G77" s="4">
        <v>0</v>
      </c>
      <c r="H77" s="4">
        <v>10540600</v>
      </c>
      <c r="I77" s="4">
        <v>0</v>
      </c>
      <c r="J77" s="7">
        <f t="shared" si="26"/>
        <v>0</v>
      </c>
      <c r="K77" s="7">
        <f t="shared" si="27"/>
        <v>3.1831178912017236E-3</v>
      </c>
      <c r="L77" s="7">
        <f t="shared" si="28"/>
        <v>0</v>
      </c>
      <c r="M77" s="7">
        <f t="shared" si="29"/>
        <v>0</v>
      </c>
      <c r="N77" s="7">
        <f t="shared" si="30"/>
        <v>6.5571384136858484</v>
      </c>
      <c r="O77" s="7">
        <f t="shared" si="31"/>
        <v>0</v>
      </c>
      <c r="P77" s="7" t="str">
        <f t="shared" si="32"/>
        <v>(6, 7]</v>
      </c>
      <c r="Q77" s="7" t="s">
        <v>93</v>
      </c>
      <c r="R77" s="7">
        <f t="shared" si="33"/>
        <v>3.1831178912017236E-3</v>
      </c>
      <c r="S77" s="4">
        <v>0</v>
      </c>
      <c r="T77" s="7">
        <f t="shared" si="34"/>
        <v>0</v>
      </c>
      <c r="U77" s="7">
        <f t="shared" si="35"/>
        <v>0</v>
      </c>
      <c r="V77" s="4">
        <f t="shared" si="36"/>
        <v>0</v>
      </c>
      <c r="W77" s="7">
        <f t="shared" si="37"/>
        <v>0</v>
      </c>
      <c r="X77" s="7">
        <f t="shared" si="38"/>
        <v>0</v>
      </c>
    </row>
    <row r="78" spans="2:24" ht="15.6" customHeight="1" x14ac:dyDescent="0.3">
      <c r="B78" s="7">
        <v>7</v>
      </c>
      <c r="C78" s="7">
        <v>8</v>
      </c>
      <c r="D78" s="4">
        <v>0</v>
      </c>
      <c r="E78" s="4">
        <v>3055</v>
      </c>
      <c r="F78" s="4">
        <v>0</v>
      </c>
      <c r="G78" s="4">
        <v>0</v>
      </c>
      <c r="H78" s="4">
        <v>11542100</v>
      </c>
      <c r="I78" s="4">
        <v>0</v>
      </c>
      <c r="J78" s="7">
        <f t="shared" si="26"/>
        <v>0</v>
      </c>
      <c r="K78" s="7">
        <f t="shared" si="27"/>
        <v>3.024704559135697E-3</v>
      </c>
      <c r="L78" s="7">
        <f t="shared" si="28"/>
        <v>0</v>
      </c>
      <c r="M78" s="7">
        <f t="shared" si="29"/>
        <v>0</v>
      </c>
      <c r="N78" s="7">
        <f t="shared" si="30"/>
        <v>7.5562029459901794</v>
      </c>
      <c r="O78" s="7">
        <f t="shared" si="31"/>
        <v>0</v>
      </c>
      <c r="P78" s="7" t="str">
        <f t="shared" si="32"/>
        <v>(7, 8]</v>
      </c>
      <c r="Q78" s="7" t="s">
        <v>93</v>
      </c>
      <c r="R78" s="7">
        <f t="shared" si="33"/>
        <v>3.024704559135697E-3</v>
      </c>
      <c r="S78" s="4">
        <v>0</v>
      </c>
      <c r="T78" s="7">
        <f t="shared" si="34"/>
        <v>0</v>
      </c>
      <c r="U78" s="7">
        <f t="shared" si="35"/>
        <v>0</v>
      </c>
      <c r="V78" s="4">
        <f t="shared" si="36"/>
        <v>0</v>
      </c>
      <c r="W78" s="7">
        <f t="shared" si="37"/>
        <v>0</v>
      </c>
      <c r="X78" s="7">
        <f t="shared" si="38"/>
        <v>0</v>
      </c>
    </row>
    <row r="79" spans="2:24" ht="15.6" customHeight="1" x14ac:dyDescent="0.3">
      <c r="B79" s="7">
        <v>8</v>
      </c>
      <c r="C79" s="7">
        <v>9</v>
      </c>
      <c r="D79" s="4">
        <v>0</v>
      </c>
      <c r="E79" s="4">
        <v>3155</v>
      </c>
      <c r="F79" s="4">
        <v>0</v>
      </c>
      <c r="G79" s="4">
        <v>0</v>
      </c>
      <c r="H79" s="4">
        <v>13497550</v>
      </c>
      <c r="I79" s="4">
        <v>0</v>
      </c>
      <c r="J79" s="7">
        <f t="shared" si="26"/>
        <v>0</v>
      </c>
      <c r="K79" s="7">
        <f t="shared" si="27"/>
        <v>3.1237128916769634E-3</v>
      </c>
      <c r="L79" s="7">
        <f t="shared" si="28"/>
        <v>0</v>
      </c>
      <c r="M79" s="7">
        <f t="shared" si="29"/>
        <v>0</v>
      </c>
      <c r="N79" s="7">
        <f t="shared" si="30"/>
        <v>8.5562916006339158</v>
      </c>
      <c r="O79" s="7">
        <f t="shared" si="31"/>
        <v>0</v>
      </c>
      <c r="P79" s="7" t="str">
        <f t="shared" si="32"/>
        <v>(8, 9]</v>
      </c>
      <c r="Q79" s="7" t="s">
        <v>93</v>
      </c>
      <c r="R79" s="7">
        <f t="shared" si="33"/>
        <v>3.1237128916769634E-3</v>
      </c>
      <c r="S79" s="4">
        <v>0</v>
      </c>
      <c r="T79" s="7">
        <f t="shared" si="34"/>
        <v>0</v>
      </c>
      <c r="U79" s="7">
        <f t="shared" si="35"/>
        <v>0</v>
      </c>
      <c r="V79" s="4">
        <f t="shared" si="36"/>
        <v>0</v>
      </c>
      <c r="W79" s="7">
        <f t="shared" si="37"/>
        <v>0</v>
      </c>
      <c r="X79" s="7">
        <f t="shared" si="38"/>
        <v>0</v>
      </c>
    </row>
    <row r="80" spans="2:24" ht="15.6" customHeight="1" x14ac:dyDescent="0.3">
      <c r="B80" s="7">
        <v>9</v>
      </c>
      <c r="C80" s="7">
        <v>10</v>
      </c>
      <c r="D80" s="4">
        <v>0</v>
      </c>
      <c r="E80" s="4">
        <v>3289</v>
      </c>
      <c r="F80" s="4">
        <v>0</v>
      </c>
      <c r="G80" s="4">
        <v>0</v>
      </c>
      <c r="H80" s="4">
        <v>15750950</v>
      </c>
      <c r="I80" s="4">
        <v>0</v>
      </c>
      <c r="J80" s="7">
        <f t="shared" si="26"/>
        <v>0</v>
      </c>
      <c r="K80" s="7">
        <f t="shared" si="27"/>
        <v>3.2563840572822607E-3</v>
      </c>
      <c r="L80" s="7">
        <f t="shared" si="28"/>
        <v>0</v>
      </c>
      <c r="M80" s="7">
        <f t="shared" si="29"/>
        <v>0</v>
      </c>
      <c r="N80" s="7">
        <f t="shared" si="30"/>
        <v>9.5779568257829126</v>
      </c>
      <c r="O80" s="7">
        <f t="shared" si="31"/>
        <v>0</v>
      </c>
      <c r="P80" s="7" t="str">
        <f t="shared" si="32"/>
        <v>(9, 10]</v>
      </c>
      <c r="Q80" s="7" t="s">
        <v>93</v>
      </c>
      <c r="R80" s="7">
        <f t="shared" si="33"/>
        <v>3.2563840572822607E-3</v>
      </c>
      <c r="S80" s="4">
        <v>0</v>
      </c>
      <c r="T80" s="7">
        <f t="shared" si="34"/>
        <v>0</v>
      </c>
      <c r="U80" s="7">
        <f t="shared" si="35"/>
        <v>0</v>
      </c>
      <c r="V80" s="4">
        <f t="shared" si="36"/>
        <v>0</v>
      </c>
      <c r="W80" s="7">
        <f t="shared" si="37"/>
        <v>0</v>
      </c>
      <c r="X80" s="7">
        <f t="shared" si="38"/>
        <v>0</v>
      </c>
    </row>
    <row r="81" spans="2:24" ht="15.6" customHeight="1" x14ac:dyDescent="0.3">
      <c r="B81" s="7">
        <v>10</v>
      </c>
      <c r="C81" s="7">
        <v>15</v>
      </c>
      <c r="D81" s="4">
        <v>0</v>
      </c>
      <c r="E81" s="4">
        <v>16424</v>
      </c>
      <c r="F81" s="4">
        <v>0</v>
      </c>
      <c r="G81" s="4">
        <v>0</v>
      </c>
      <c r="H81" s="4">
        <v>103238050</v>
      </c>
      <c r="I81" s="4">
        <v>0</v>
      </c>
      <c r="J81" s="7">
        <f t="shared" si="26"/>
        <v>0</v>
      </c>
      <c r="K81" s="7">
        <f t="shared" si="27"/>
        <v>1.626112853657764E-2</v>
      </c>
      <c r="L81" s="7">
        <f t="shared" si="28"/>
        <v>0</v>
      </c>
      <c r="M81" s="7">
        <f t="shared" si="29"/>
        <v>0</v>
      </c>
      <c r="N81" s="7">
        <f t="shared" si="30"/>
        <v>12.571608621529469</v>
      </c>
      <c r="O81" s="7">
        <f t="shared" si="31"/>
        <v>0</v>
      </c>
      <c r="P81" s="7" t="str">
        <f t="shared" si="32"/>
        <v>(10, 15]</v>
      </c>
      <c r="Q81" s="7" t="s">
        <v>93</v>
      </c>
      <c r="R81" s="7">
        <f t="shared" si="33"/>
        <v>1.626112853657764E-2</v>
      </c>
      <c r="S81" s="4">
        <v>0</v>
      </c>
      <c r="T81" s="7">
        <f t="shared" si="34"/>
        <v>0</v>
      </c>
      <c r="U81" s="7">
        <f t="shared" si="35"/>
        <v>0</v>
      </c>
      <c r="V81" s="4">
        <f t="shared" si="36"/>
        <v>0</v>
      </c>
      <c r="W81" s="7">
        <f t="shared" si="37"/>
        <v>0</v>
      </c>
      <c r="X81" s="7">
        <f t="shared" si="38"/>
        <v>0</v>
      </c>
    </row>
    <row r="82" spans="2:24" ht="15.6" customHeight="1" x14ac:dyDescent="0.3">
      <c r="B82" s="7">
        <v>15</v>
      </c>
      <c r="C82" s="7">
        <v>20</v>
      </c>
      <c r="D82" s="4">
        <v>0</v>
      </c>
      <c r="E82" s="4">
        <v>17312</v>
      </c>
      <c r="F82" s="4">
        <v>0</v>
      </c>
      <c r="G82" s="4">
        <v>0</v>
      </c>
      <c r="H82" s="4">
        <v>152147550</v>
      </c>
      <c r="I82" s="4">
        <v>0</v>
      </c>
      <c r="J82" s="7">
        <f t="shared" si="26"/>
        <v>0</v>
      </c>
      <c r="K82" s="7">
        <f t="shared" si="27"/>
        <v>1.7140322529544085E-2</v>
      </c>
      <c r="L82" s="7">
        <f t="shared" si="28"/>
        <v>0</v>
      </c>
      <c r="M82" s="7">
        <f t="shared" si="29"/>
        <v>0</v>
      </c>
      <c r="N82" s="7">
        <f t="shared" si="30"/>
        <v>17.577119916820703</v>
      </c>
      <c r="O82" s="7">
        <f t="shared" si="31"/>
        <v>0</v>
      </c>
      <c r="P82" s="7" t="str">
        <f t="shared" si="32"/>
        <v>(15, 20]</v>
      </c>
      <c r="Q82" s="7" t="s">
        <v>93</v>
      </c>
      <c r="R82" s="7">
        <f t="shared" si="33"/>
        <v>1.7140322529544085E-2</v>
      </c>
      <c r="S82" s="4">
        <v>0</v>
      </c>
      <c r="T82" s="7">
        <f t="shared" si="34"/>
        <v>0</v>
      </c>
      <c r="U82" s="7">
        <f t="shared" si="35"/>
        <v>0</v>
      </c>
      <c r="V82" s="4">
        <f t="shared" si="36"/>
        <v>0</v>
      </c>
      <c r="W82" s="7">
        <f t="shared" si="37"/>
        <v>0</v>
      </c>
      <c r="X82" s="7">
        <f t="shared" si="38"/>
        <v>0</v>
      </c>
    </row>
    <row r="83" spans="2:24" ht="15.6" customHeight="1" x14ac:dyDescent="0.3">
      <c r="B83" s="7">
        <v>20</v>
      </c>
      <c r="C83" s="7">
        <v>25</v>
      </c>
      <c r="D83" s="4">
        <v>0</v>
      </c>
      <c r="E83" s="4">
        <v>17755</v>
      </c>
      <c r="F83" s="4">
        <v>0</v>
      </c>
      <c r="G83" s="4">
        <v>0</v>
      </c>
      <c r="H83" s="4">
        <v>200341300</v>
      </c>
      <c r="I83" s="4">
        <v>0</v>
      </c>
      <c r="J83" s="7">
        <f t="shared" si="26"/>
        <v>0</v>
      </c>
      <c r="K83" s="7">
        <f t="shared" si="27"/>
        <v>1.7578929442701896E-2</v>
      </c>
      <c r="L83" s="7">
        <f t="shared" si="28"/>
        <v>0</v>
      </c>
      <c r="M83" s="7">
        <f t="shared" si="29"/>
        <v>0</v>
      </c>
      <c r="N83" s="7">
        <f t="shared" si="30"/>
        <v>22.567310616727681</v>
      </c>
      <c r="O83" s="7">
        <f t="shared" si="31"/>
        <v>0</v>
      </c>
      <c r="P83" s="7" t="str">
        <f t="shared" si="32"/>
        <v>(20, 25]</v>
      </c>
      <c r="Q83" s="7" t="s">
        <v>93</v>
      </c>
      <c r="R83" s="7">
        <f t="shared" si="33"/>
        <v>1.7578929442701896E-2</v>
      </c>
      <c r="S83" s="4">
        <v>1</v>
      </c>
      <c r="T83" s="7">
        <f t="shared" si="34"/>
        <v>1.7578929442701896E-2</v>
      </c>
      <c r="U83" s="7">
        <f t="shared" si="35"/>
        <v>0.14530018748675277</v>
      </c>
      <c r="V83" s="4">
        <f t="shared" si="36"/>
        <v>145300187</v>
      </c>
      <c r="W83" s="7">
        <f t="shared" si="37"/>
        <v>0.14530018743590056</v>
      </c>
      <c r="X83" s="7">
        <f t="shared" si="38"/>
        <v>3.2790344526976174</v>
      </c>
    </row>
    <row r="84" spans="2:24" ht="15.6" customHeight="1" x14ac:dyDescent="0.3">
      <c r="B84" s="7">
        <v>25</v>
      </c>
      <c r="C84" s="7">
        <v>30</v>
      </c>
      <c r="D84" s="4">
        <v>0</v>
      </c>
      <c r="E84" s="4">
        <v>18253</v>
      </c>
      <c r="F84" s="4">
        <v>0</v>
      </c>
      <c r="G84" s="4">
        <v>0</v>
      </c>
      <c r="H84" s="4">
        <v>251527900</v>
      </c>
      <c r="I84" s="4">
        <v>0</v>
      </c>
      <c r="J84" s="7">
        <f t="shared" si="26"/>
        <v>0</v>
      </c>
      <c r="K84" s="7">
        <f t="shared" si="27"/>
        <v>1.8071990938757405E-2</v>
      </c>
      <c r="L84" s="7">
        <f t="shared" si="28"/>
        <v>0</v>
      </c>
      <c r="M84" s="7">
        <f t="shared" si="29"/>
        <v>0</v>
      </c>
      <c r="N84" s="7">
        <f t="shared" si="30"/>
        <v>27.560170930805896</v>
      </c>
      <c r="O84" s="7">
        <f t="shared" si="31"/>
        <v>0</v>
      </c>
      <c r="P84" s="7" t="str">
        <f t="shared" si="32"/>
        <v>(25, 30]</v>
      </c>
      <c r="Q84" s="7" t="s">
        <v>93</v>
      </c>
      <c r="R84" s="7">
        <f t="shared" si="33"/>
        <v>1.8071990938757405E-2</v>
      </c>
      <c r="S84" s="4">
        <v>2</v>
      </c>
      <c r="T84" s="7">
        <f t="shared" si="34"/>
        <v>3.6143981877514809E-2</v>
      </c>
      <c r="U84" s="7">
        <f t="shared" si="35"/>
        <v>0.2987512613005574</v>
      </c>
      <c r="V84" s="4">
        <f t="shared" si="36"/>
        <v>298751261</v>
      </c>
      <c r="W84" s="7">
        <f t="shared" si="37"/>
        <v>0.29875126189625378</v>
      </c>
      <c r="X84" s="7">
        <f t="shared" si="38"/>
        <v>8.2336358189538057</v>
      </c>
    </row>
    <row r="85" spans="2:24" ht="15.6" customHeight="1" x14ac:dyDescent="0.3">
      <c r="B85" s="7">
        <v>30</v>
      </c>
      <c r="C85" s="7">
        <v>35</v>
      </c>
      <c r="D85" s="4">
        <v>0</v>
      </c>
      <c r="E85" s="4">
        <v>18334</v>
      </c>
      <c r="F85" s="4">
        <v>0</v>
      </c>
      <c r="G85" s="4">
        <v>0</v>
      </c>
      <c r="H85" s="4">
        <v>298518250</v>
      </c>
      <c r="I85" s="4">
        <v>0</v>
      </c>
      <c r="J85" s="7">
        <f t="shared" si="26"/>
        <v>0</v>
      </c>
      <c r="K85" s="7">
        <f t="shared" si="27"/>
        <v>1.8152187688115832E-2</v>
      </c>
      <c r="L85" s="7">
        <f t="shared" si="28"/>
        <v>0</v>
      </c>
      <c r="M85" s="7">
        <f t="shared" si="29"/>
        <v>0</v>
      </c>
      <c r="N85" s="7">
        <f t="shared" si="30"/>
        <v>32.564443111159598</v>
      </c>
      <c r="O85" s="7">
        <f t="shared" si="31"/>
        <v>0</v>
      </c>
      <c r="P85" s="7" t="str">
        <f t="shared" si="32"/>
        <v>(30, 35]</v>
      </c>
      <c r="Q85" s="7" t="s">
        <v>93</v>
      </c>
      <c r="R85" s="7">
        <f t="shared" si="33"/>
        <v>1.8152187688115832E-2</v>
      </c>
      <c r="S85" s="4">
        <v>2</v>
      </c>
      <c r="T85" s="7">
        <f t="shared" si="34"/>
        <v>3.6304375376231664E-2</v>
      </c>
      <c r="U85" s="7">
        <f t="shared" si="35"/>
        <v>0.3000770078718249</v>
      </c>
      <c r="V85" s="4">
        <f t="shared" si="36"/>
        <v>300077007</v>
      </c>
      <c r="W85" s="7">
        <f t="shared" si="37"/>
        <v>0.30007700790023101</v>
      </c>
      <c r="X85" s="7">
        <f t="shared" si="38"/>
        <v>9.7718406234185409</v>
      </c>
    </row>
    <row r="86" spans="2:24" ht="15.6" customHeight="1" x14ac:dyDescent="0.3">
      <c r="B86" s="7">
        <v>35</v>
      </c>
      <c r="C86" s="7">
        <v>40</v>
      </c>
      <c r="D86" s="4">
        <v>0</v>
      </c>
      <c r="E86" s="4">
        <v>18324</v>
      </c>
      <c r="F86" s="4">
        <v>0</v>
      </c>
      <c r="G86" s="4">
        <v>0</v>
      </c>
      <c r="H86" s="4">
        <v>344092900</v>
      </c>
      <c r="I86" s="4">
        <v>0</v>
      </c>
      <c r="J86" s="7">
        <f t="shared" si="26"/>
        <v>0</v>
      </c>
      <c r="K86" s="7">
        <f t="shared" si="27"/>
        <v>1.8142286854861706E-2</v>
      </c>
      <c r="L86" s="7">
        <f t="shared" si="28"/>
        <v>0</v>
      </c>
      <c r="M86" s="7">
        <f t="shared" si="29"/>
        <v>0</v>
      </c>
      <c r="N86" s="7">
        <f t="shared" si="30"/>
        <v>37.556526959179216</v>
      </c>
      <c r="O86" s="7">
        <f t="shared" si="31"/>
        <v>0</v>
      </c>
      <c r="P86" s="7" t="str">
        <f t="shared" si="32"/>
        <v>(35, 40]</v>
      </c>
      <c r="Q86" s="7" t="s">
        <v>93</v>
      </c>
      <c r="R86" s="7">
        <f t="shared" si="33"/>
        <v>1.8142286854861706E-2</v>
      </c>
      <c r="S86" s="4">
        <v>1</v>
      </c>
      <c r="T86" s="7">
        <f t="shared" si="34"/>
        <v>1.8142286854861706E-2</v>
      </c>
      <c r="U86" s="7">
        <f t="shared" si="35"/>
        <v>0.14995666772780952</v>
      </c>
      <c r="V86" s="4">
        <f t="shared" si="36"/>
        <v>149956667</v>
      </c>
      <c r="W86" s="7">
        <f t="shared" si="37"/>
        <v>0.14995666744986999</v>
      </c>
      <c r="X86" s="7">
        <f t="shared" si="38"/>
        <v>5.63185160689416</v>
      </c>
    </row>
    <row r="87" spans="2:24" ht="15.6" customHeight="1" x14ac:dyDescent="0.3">
      <c r="B87" s="7">
        <v>40</v>
      </c>
      <c r="C87" s="7">
        <v>45</v>
      </c>
      <c r="D87" s="4">
        <v>0</v>
      </c>
      <c r="E87" s="4">
        <v>18489</v>
      </c>
      <c r="F87" s="4">
        <v>0</v>
      </c>
      <c r="G87" s="4">
        <v>0</v>
      </c>
      <c r="H87" s="4">
        <v>393412650</v>
      </c>
      <c r="I87" s="4">
        <v>0</v>
      </c>
      <c r="J87" s="7">
        <f t="shared" si="26"/>
        <v>0</v>
      </c>
      <c r="K87" s="7">
        <f t="shared" si="27"/>
        <v>1.8305650603554796E-2</v>
      </c>
      <c r="L87" s="7">
        <f t="shared" si="28"/>
        <v>0</v>
      </c>
      <c r="M87" s="7">
        <f t="shared" si="29"/>
        <v>0</v>
      </c>
      <c r="N87" s="7">
        <f t="shared" si="30"/>
        <v>42.556401103358752</v>
      </c>
      <c r="O87" s="7">
        <f t="shared" si="31"/>
        <v>0</v>
      </c>
      <c r="P87" s="7" t="str">
        <f t="shared" si="32"/>
        <v>(40, 45]</v>
      </c>
      <c r="Q87" s="7" t="s">
        <v>93</v>
      </c>
      <c r="R87" s="7">
        <f t="shared" si="33"/>
        <v>1.8305650603554796E-2</v>
      </c>
      <c r="S87" s="4">
        <v>0.7</v>
      </c>
      <c r="T87" s="7">
        <f t="shared" si="34"/>
        <v>1.2813955422488357E-2</v>
      </c>
      <c r="U87" s="7">
        <f t="shared" si="35"/>
        <v>0.1059148756130555</v>
      </c>
      <c r="V87" s="4">
        <f t="shared" si="36"/>
        <v>105914875</v>
      </c>
      <c r="W87" s="7">
        <f t="shared" si="37"/>
        <v>0.10591487531774463</v>
      </c>
      <c r="X87" s="7">
        <f t="shared" si="38"/>
        <v>4.5073559033121038</v>
      </c>
    </row>
    <row r="88" spans="2:24" ht="15.6" customHeight="1" x14ac:dyDescent="0.3">
      <c r="B88" s="7">
        <v>45</v>
      </c>
      <c r="C88" s="7">
        <v>50</v>
      </c>
      <c r="D88" s="4">
        <v>0</v>
      </c>
      <c r="E88" s="4">
        <v>18523</v>
      </c>
      <c r="F88" s="4">
        <v>0</v>
      </c>
      <c r="G88" s="4">
        <v>0</v>
      </c>
      <c r="H88" s="4">
        <v>440355950</v>
      </c>
      <c r="I88" s="4">
        <v>0</v>
      </c>
      <c r="J88" s="7">
        <f t="shared" si="26"/>
        <v>0</v>
      </c>
      <c r="K88" s="7">
        <f t="shared" si="27"/>
        <v>1.8339313436618827E-2</v>
      </c>
      <c r="L88" s="7">
        <f t="shared" si="28"/>
        <v>0</v>
      </c>
      <c r="M88" s="7">
        <f t="shared" si="29"/>
        <v>0</v>
      </c>
      <c r="N88" s="7">
        <f t="shared" si="30"/>
        <v>47.546936241429577</v>
      </c>
      <c r="O88" s="7">
        <f t="shared" si="31"/>
        <v>0</v>
      </c>
      <c r="P88" s="7" t="str">
        <f t="shared" si="32"/>
        <v>(45, 50]</v>
      </c>
      <c r="Q88" s="7" t="s">
        <v>93</v>
      </c>
      <c r="R88" s="7">
        <f t="shared" si="33"/>
        <v>1.8339313436618827E-2</v>
      </c>
      <c r="S88" s="4">
        <v>0</v>
      </c>
      <c r="T88" s="7">
        <f t="shared" si="34"/>
        <v>0</v>
      </c>
      <c r="U88" s="7">
        <f t="shared" si="35"/>
        <v>0</v>
      </c>
      <c r="V88" s="4">
        <f t="shared" si="36"/>
        <v>0</v>
      </c>
      <c r="W88" s="7">
        <f t="shared" si="37"/>
        <v>0</v>
      </c>
      <c r="X88" s="7">
        <f t="shared" si="38"/>
        <v>0</v>
      </c>
    </row>
    <row r="89" spans="2:24" ht="15.6" customHeight="1" x14ac:dyDescent="0.3">
      <c r="B89" s="7">
        <v>50</v>
      </c>
      <c r="C89" s="7">
        <v>60</v>
      </c>
      <c r="D89" s="4">
        <v>0</v>
      </c>
      <c r="E89" s="4">
        <v>37030</v>
      </c>
      <c r="F89" s="4">
        <v>0</v>
      </c>
      <c r="G89" s="4">
        <v>0</v>
      </c>
      <c r="H89" s="4">
        <v>1019239350</v>
      </c>
      <c r="I89" s="4">
        <v>0</v>
      </c>
      <c r="J89" s="7">
        <f t="shared" si="26"/>
        <v>0</v>
      </c>
      <c r="K89" s="7">
        <f t="shared" si="27"/>
        <v>3.6662785540031051E-2</v>
      </c>
      <c r="L89" s="7">
        <f t="shared" si="28"/>
        <v>0</v>
      </c>
      <c r="M89" s="7">
        <f t="shared" si="29"/>
        <v>0</v>
      </c>
      <c r="N89" s="7">
        <f t="shared" si="30"/>
        <v>55.049384283013772</v>
      </c>
      <c r="O89" s="7">
        <f t="shared" si="31"/>
        <v>0</v>
      </c>
      <c r="P89" s="7" t="str">
        <f t="shared" si="32"/>
        <v>(50, 60]</v>
      </c>
      <c r="Q89" s="7" t="s">
        <v>93</v>
      </c>
      <c r="R89" s="7">
        <f t="shared" si="33"/>
        <v>3.6662785540031051E-2</v>
      </c>
      <c r="S89" s="4">
        <v>0</v>
      </c>
      <c r="T89" s="7">
        <f t="shared" si="34"/>
        <v>0</v>
      </c>
      <c r="U89" s="7">
        <f t="shared" si="35"/>
        <v>0</v>
      </c>
      <c r="V89" s="4">
        <f t="shared" si="36"/>
        <v>0</v>
      </c>
      <c r="W89" s="7">
        <f t="shared" si="37"/>
        <v>0</v>
      </c>
      <c r="X89" s="7">
        <f t="shared" si="38"/>
        <v>0</v>
      </c>
    </row>
    <row r="90" spans="2:24" ht="15.6" customHeight="1" x14ac:dyDescent="0.3">
      <c r="B90" s="7">
        <v>60</v>
      </c>
      <c r="C90" s="7">
        <v>70</v>
      </c>
      <c r="D90" s="4">
        <v>0</v>
      </c>
      <c r="E90" s="4">
        <v>36419</v>
      </c>
      <c r="F90" s="4">
        <v>0</v>
      </c>
      <c r="G90" s="4">
        <v>0</v>
      </c>
      <c r="H90" s="4">
        <v>1184108850</v>
      </c>
      <c r="I90" s="4">
        <v>0</v>
      </c>
      <c r="J90" s="7">
        <f t="shared" si="26"/>
        <v>0</v>
      </c>
      <c r="K90" s="7">
        <f t="shared" si="27"/>
        <v>3.6057844628203911E-2</v>
      </c>
      <c r="L90" s="7">
        <f t="shared" si="28"/>
        <v>0</v>
      </c>
      <c r="M90" s="7">
        <f t="shared" si="29"/>
        <v>0</v>
      </c>
      <c r="N90" s="7">
        <f t="shared" si="30"/>
        <v>65.02698316812652</v>
      </c>
      <c r="O90" s="7">
        <f t="shared" si="31"/>
        <v>0</v>
      </c>
      <c r="P90" s="7" t="str">
        <f t="shared" si="32"/>
        <v>(60, 70]</v>
      </c>
      <c r="Q90" s="7" t="s">
        <v>93</v>
      </c>
      <c r="R90" s="7">
        <f t="shared" si="33"/>
        <v>3.6057844628203911E-2</v>
      </c>
      <c r="S90" s="4">
        <v>0</v>
      </c>
      <c r="T90" s="7">
        <f t="shared" si="34"/>
        <v>0</v>
      </c>
      <c r="U90" s="7">
        <f t="shared" si="35"/>
        <v>0</v>
      </c>
      <c r="V90" s="4">
        <f t="shared" si="36"/>
        <v>0</v>
      </c>
      <c r="W90" s="7">
        <f t="shared" si="37"/>
        <v>0</v>
      </c>
      <c r="X90" s="7">
        <f t="shared" si="38"/>
        <v>0</v>
      </c>
    </row>
    <row r="91" spans="2:24" ht="15.6" customHeight="1" x14ac:dyDescent="0.3">
      <c r="B91" s="7">
        <v>70</v>
      </c>
      <c r="C91" s="7">
        <v>80</v>
      </c>
      <c r="D91" s="4">
        <v>0</v>
      </c>
      <c r="E91" s="4">
        <v>35182</v>
      </c>
      <c r="F91" s="4">
        <v>0</v>
      </c>
      <c r="G91" s="4">
        <v>0</v>
      </c>
      <c r="H91" s="4">
        <v>1320433850</v>
      </c>
      <c r="I91" s="4">
        <v>0</v>
      </c>
      <c r="J91" s="7">
        <f t="shared" si="26"/>
        <v>0</v>
      </c>
      <c r="K91" s="7">
        <f t="shared" si="27"/>
        <v>3.4833111554668443E-2</v>
      </c>
      <c r="L91" s="7">
        <f t="shared" si="28"/>
        <v>0</v>
      </c>
      <c r="M91" s="7">
        <f t="shared" si="29"/>
        <v>0</v>
      </c>
      <c r="N91" s="7">
        <f t="shared" si="30"/>
        <v>75.06303507475414</v>
      </c>
      <c r="O91" s="7">
        <f t="shared" si="31"/>
        <v>0</v>
      </c>
      <c r="P91" s="7" t="str">
        <f t="shared" si="32"/>
        <v>(70, 80]</v>
      </c>
      <c r="Q91" s="7" t="s">
        <v>93</v>
      </c>
      <c r="R91" s="7">
        <f t="shared" si="33"/>
        <v>3.4833111554668443E-2</v>
      </c>
      <c r="S91" s="4">
        <v>0</v>
      </c>
      <c r="T91" s="7">
        <f t="shared" si="34"/>
        <v>0</v>
      </c>
      <c r="U91" s="7">
        <f t="shared" si="35"/>
        <v>0</v>
      </c>
      <c r="V91" s="4">
        <f t="shared" si="36"/>
        <v>0</v>
      </c>
      <c r="W91" s="7">
        <f t="shared" si="37"/>
        <v>0</v>
      </c>
      <c r="X91" s="7">
        <f t="shared" si="38"/>
        <v>0</v>
      </c>
    </row>
    <row r="92" spans="2:24" ht="15.6" customHeight="1" x14ac:dyDescent="0.3">
      <c r="B92" s="7">
        <v>80</v>
      </c>
      <c r="C92" s="7">
        <v>90</v>
      </c>
      <c r="D92" s="4">
        <v>0</v>
      </c>
      <c r="E92" s="4">
        <v>34216</v>
      </c>
      <c r="F92" s="4">
        <v>0</v>
      </c>
      <c r="G92" s="4">
        <v>0</v>
      </c>
      <c r="H92" s="4">
        <v>1454819850</v>
      </c>
      <c r="I92" s="4">
        <v>0</v>
      </c>
      <c r="J92" s="7">
        <f t="shared" si="26"/>
        <v>0</v>
      </c>
      <c r="K92" s="7">
        <f t="shared" si="27"/>
        <v>3.3876691062319803E-2</v>
      </c>
      <c r="L92" s="7">
        <f t="shared" si="28"/>
        <v>0</v>
      </c>
      <c r="M92" s="7">
        <f t="shared" si="29"/>
        <v>0</v>
      </c>
      <c r="N92" s="7">
        <f t="shared" si="30"/>
        <v>85.037400631283617</v>
      </c>
      <c r="O92" s="7">
        <f t="shared" si="31"/>
        <v>0</v>
      </c>
      <c r="P92" s="7" t="str">
        <f t="shared" si="32"/>
        <v>(80, 90]</v>
      </c>
      <c r="Q92" s="7" t="s">
        <v>93</v>
      </c>
      <c r="R92" s="7">
        <f t="shared" si="33"/>
        <v>3.3876691062319803E-2</v>
      </c>
      <c r="S92" s="4">
        <v>0</v>
      </c>
      <c r="T92" s="7">
        <f t="shared" si="34"/>
        <v>0</v>
      </c>
      <c r="U92" s="7">
        <f t="shared" si="35"/>
        <v>0</v>
      </c>
      <c r="V92" s="4">
        <f t="shared" si="36"/>
        <v>0</v>
      </c>
      <c r="W92" s="7">
        <f t="shared" si="37"/>
        <v>0</v>
      </c>
      <c r="X92" s="7">
        <f t="shared" si="38"/>
        <v>0</v>
      </c>
    </row>
    <row r="93" spans="2:24" ht="15.6" customHeight="1" x14ac:dyDescent="0.3">
      <c r="B93" s="7">
        <v>90</v>
      </c>
      <c r="C93" s="7">
        <v>100</v>
      </c>
      <c r="D93" s="4">
        <v>0</v>
      </c>
      <c r="E93" s="4">
        <v>32576</v>
      </c>
      <c r="F93" s="4">
        <v>0</v>
      </c>
      <c r="G93" s="4">
        <v>0</v>
      </c>
      <c r="H93" s="4">
        <v>1548048600</v>
      </c>
      <c r="I93" s="4">
        <v>0</v>
      </c>
      <c r="J93" s="7">
        <f t="shared" si="26"/>
        <v>0</v>
      </c>
      <c r="K93" s="7">
        <f t="shared" si="27"/>
        <v>3.2252954408643029E-2</v>
      </c>
      <c r="L93" s="7">
        <f t="shared" si="28"/>
        <v>0</v>
      </c>
      <c r="M93" s="7">
        <f t="shared" si="29"/>
        <v>0</v>
      </c>
      <c r="N93" s="7">
        <f t="shared" si="30"/>
        <v>95.042276522593326</v>
      </c>
      <c r="O93" s="7">
        <f t="shared" si="31"/>
        <v>0</v>
      </c>
      <c r="P93" s="7" t="str">
        <f t="shared" si="32"/>
        <v>(90, 100]</v>
      </c>
      <c r="Q93" s="7" t="s">
        <v>93</v>
      </c>
      <c r="R93" s="7">
        <f t="shared" si="33"/>
        <v>3.2252954408643029E-2</v>
      </c>
      <c r="S93" s="4">
        <v>0</v>
      </c>
      <c r="T93" s="7">
        <f t="shared" si="34"/>
        <v>0</v>
      </c>
      <c r="U93" s="7">
        <f t="shared" si="35"/>
        <v>0</v>
      </c>
      <c r="V93" s="4">
        <f t="shared" si="36"/>
        <v>0</v>
      </c>
      <c r="W93" s="7">
        <f t="shared" si="37"/>
        <v>0</v>
      </c>
      <c r="X93" s="7">
        <f t="shared" si="38"/>
        <v>0</v>
      </c>
    </row>
    <row r="94" spans="2:24" ht="15.6" customHeight="1" x14ac:dyDescent="0.3">
      <c r="B94" s="7">
        <v>100</v>
      </c>
      <c r="C94" s="7">
        <v>120</v>
      </c>
      <c r="D94" s="4">
        <v>0</v>
      </c>
      <c r="E94" s="4">
        <v>62171</v>
      </c>
      <c r="F94" s="4">
        <v>0</v>
      </c>
      <c r="G94" s="4">
        <v>0</v>
      </c>
      <c r="H94" s="4">
        <v>3416294900</v>
      </c>
      <c r="I94" s="4">
        <v>0</v>
      </c>
      <c r="J94" s="7">
        <f t="shared" si="26"/>
        <v>0</v>
      </c>
      <c r="K94" s="7">
        <f t="shared" si="27"/>
        <v>6.15544704242309E-2</v>
      </c>
      <c r="L94" s="7">
        <f t="shared" si="28"/>
        <v>0</v>
      </c>
      <c r="M94" s="7">
        <f t="shared" si="29"/>
        <v>0</v>
      </c>
      <c r="N94" s="7">
        <f t="shared" si="30"/>
        <v>109.89995013752392</v>
      </c>
      <c r="O94" s="7">
        <f t="shared" si="31"/>
        <v>0</v>
      </c>
      <c r="P94" s="7" t="str">
        <f t="shared" si="32"/>
        <v>(100, 120]</v>
      </c>
      <c r="Q94" s="7" t="s">
        <v>93</v>
      </c>
      <c r="R94" s="7">
        <f t="shared" si="33"/>
        <v>6.15544704242309E-2</v>
      </c>
      <c r="S94" s="4">
        <v>0</v>
      </c>
      <c r="T94" s="7">
        <f t="shared" si="34"/>
        <v>0</v>
      </c>
      <c r="U94" s="7">
        <f t="shared" si="35"/>
        <v>0</v>
      </c>
      <c r="V94" s="4">
        <f t="shared" si="36"/>
        <v>0</v>
      </c>
      <c r="W94" s="7">
        <f t="shared" si="37"/>
        <v>0</v>
      </c>
      <c r="X94" s="7">
        <f t="shared" si="38"/>
        <v>0</v>
      </c>
    </row>
    <row r="95" spans="2:24" ht="15.6" customHeight="1" x14ac:dyDescent="0.3">
      <c r="B95" s="7">
        <v>120</v>
      </c>
      <c r="C95" s="7">
        <v>140</v>
      </c>
      <c r="D95" s="4">
        <v>0</v>
      </c>
      <c r="E95" s="4">
        <v>57718</v>
      </c>
      <c r="F95" s="4">
        <v>0</v>
      </c>
      <c r="G95" s="4">
        <v>0</v>
      </c>
      <c r="H95" s="4">
        <v>3749181050</v>
      </c>
      <c r="I95" s="4">
        <v>0</v>
      </c>
      <c r="J95" s="7">
        <f t="shared" si="26"/>
        <v>0</v>
      </c>
      <c r="K95" s="7">
        <f t="shared" si="27"/>
        <v>5.7145629376168301E-2</v>
      </c>
      <c r="L95" s="7">
        <f t="shared" si="28"/>
        <v>0</v>
      </c>
      <c r="M95" s="7">
        <f t="shared" si="29"/>
        <v>0</v>
      </c>
      <c r="N95" s="7">
        <f t="shared" si="30"/>
        <v>129.91375480785891</v>
      </c>
      <c r="O95" s="7">
        <f t="shared" si="31"/>
        <v>0</v>
      </c>
      <c r="P95" s="7" t="str">
        <f t="shared" si="32"/>
        <v>(120, 140]</v>
      </c>
      <c r="Q95" s="7" t="s">
        <v>93</v>
      </c>
      <c r="R95" s="7">
        <f t="shared" si="33"/>
        <v>5.7145629376168301E-2</v>
      </c>
      <c r="S95" s="4">
        <v>0</v>
      </c>
      <c r="T95" s="7">
        <f t="shared" si="34"/>
        <v>0</v>
      </c>
      <c r="U95" s="7">
        <f t="shared" si="35"/>
        <v>0</v>
      </c>
      <c r="V95" s="4">
        <f t="shared" si="36"/>
        <v>0</v>
      </c>
      <c r="W95" s="7">
        <f t="shared" si="37"/>
        <v>0</v>
      </c>
      <c r="X95" s="7">
        <f t="shared" si="38"/>
        <v>0</v>
      </c>
    </row>
    <row r="96" spans="2:24" ht="15.6" customHeight="1" x14ac:dyDescent="0.3">
      <c r="B96" s="7">
        <v>140</v>
      </c>
      <c r="C96" s="7">
        <v>160</v>
      </c>
      <c r="D96" s="4">
        <v>0</v>
      </c>
      <c r="E96" s="4">
        <v>52249</v>
      </c>
      <c r="F96" s="4">
        <v>0</v>
      </c>
      <c r="G96" s="4">
        <v>0</v>
      </c>
      <c r="H96" s="4">
        <v>3915899150</v>
      </c>
      <c r="I96" s="4">
        <v>0</v>
      </c>
      <c r="J96" s="7">
        <f t="shared" si="26"/>
        <v>0</v>
      </c>
      <c r="K96" s="7">
        <f t="shared" si="27"/>
        <v>5.1730863669486427E-2</v>
      </c>
      <c r="L96" s="7">
        <f t="shared" si="28"/>
        <v>0</v>
      </c>
      <c r="M96" s="7">
        <f t="shared" si="29"/>
        <v>0</v>
      </c>
      <c r="N96" s="7">
        <f t="shared" si="30"/>
        <v>149.89374533483894</v>
      </c>
      <c r="O96" s="7">
        <f t="shared" si="31"/>
        <v>0</v>
      </c>
      <c r="P96" s="7" t="str">
        <f t="shared" si="32"/>
        <v>(140, 160]</v>
      </c>
      <c r="Q96" s="7" t="s">
        <v>93</v>
      </c>
      <c r="R96" s="7">
        <f t="shared" si="33"/>
        <v>5.1730863669486427E-2</v>
      </c>
      <c r="S96" s="4">
        <v>0</v>
      </c>
      <c r="T96" s="7">
        <f t="shared" si="34"/>
        <v>0</v>
      </c>
      <c r="U96" s="7">
        <f t="shared" si="35"/>
        <v>0</v>
      </c>
      <c r="V96" s="4">
        <f t="shared" si="36"/>
        <v>0</v>
      </c>
      <c r="W96" s="7">
        <f t="shared" si="37"/>
        <v>0</v>
      </c>
      <c r="X96" s="7">
        <f t="shared" si="38"/>
        <v>0</v>
      </c>
    </row>
    <row r="97" spans="2:24" ht="15.6" customHeight="1" x14ac:dyDescent="0.3">
      <c r="B97" s="7">
        <v>160</v>
      </c>
      <c r="C97" s="7">
        <v>180</v>
      </c>
      <c r="D97" s="4">
        <v>0</v>
      </c>
      <c r="E97" s="4">
        <v>48027</v>
      </c>
      <c r="F97" s="4">
        <v>0</v>
      </c>
      <c r="G97" s="4">
        <v>0</v>
      </c>
      <c r="H97" s="4">
        <v>4079866100</v>
      </c>
      <c r="I97" s="4">
        <v>0</v>
      </c>
      <c r="J97" s="7">
        <f t="shared" si="26"/>
        <v>0</v>
      </c>
      <c r="K97" s="7">
        <f t="shared" si="27"/>
        <v>4.7550731869594146E-2</v>
      </c>
      <c r="L97" s="7">
        <f t="shared" si="28"/>
        <v>0</v>
      </c>
      <c r="M97" s="7">
        <f t="shared" si="29"/>
        <v>0</v>
      </c>
      <c r="N97" s="7">
        <f t="shared" si="30"/>
        <v>169.89885272867346</v>
      </c>
      <c r="O97" s="7">
        <f t="shared" si="31"/>
        <v>0</v>
      </c>
      <c r="P97" s="7" t="str">
        <f t="shared" si="32"/>
        <v>(160, 180]</v>
      </c>
      <c r="Q97" s="7" t="s">
        <v>93</v>
      </c>
      <c r="R97" s="7">
        <f t="shared" si="33"/>
        <v>4.7550731869594146E-2</v>
      </c>
      <c r="S97" s="4">
        <v>0</v>
      </c>
      <c r="T97" s="7">
        <f t="shared" si="34"/>
        <v>0</v>
      </c>
      <c r="U97" s="7">
        <f t="shared" si="35"/>
        <v>0</v>
      </c>
      <c r="V97" s="4">
        <f t="shared" si="36"/>
        <v>0</v>
      </c>
      <c r="W97" s="7">
        <f t="shared" si="37"/>
        <v>0</v>
      </c>
      <c r="X97" s="7">
        <f t="shared" si="38"/>
        <v>0</v>
      </c>
    </row>
    <row r="98" spans="2:24" ht="15.6" customHeight="1" x14ac:dyDescent="0.3">
      <c r="B98" s="7">
        <v>180</v>
      </c>
      <c r="C98" s="7">
        <v>200</v>
      </c>
      <c r="D98" s="4">
        <v>0</v>
      </c>
      <c r="E98" s="4">
        <v>43646</v>
      </c>
      <c r="F98" s="4">
        <v>0</v>
      </c>
      <c r="G98" s="4">
        <v>0</v>
      </c>
      <c r="H98" s="4">
        <v>4144070650</v>
      </c>
      <c r="I98" s="4">
        <v>0</v>
      </c>
      <c r="J98" s="7">
        <f t="shared" si="26"/>
        <v>0</v>
      </c>
      <c r="K98" s="7">
        <f t="shared" si="27"/>
        <v>4.3213176820961249E-2</v>
      </c>
      <c r="L98" s="7">
        <f t="shared" si="28"/>
        <v>0</v>
      </c>
      <c r="M98" s="7">
        <f t="shared" si="29"/>
        <v>0</v>
      </c>
      <c r="N98" s="7">
        <f t="shared" si="30"/>
        <v>189.8946363927966</v>
      </c>
      <c r="O98" s="7">
        <f t="shared" si="31"/>
        <v>0</v>
      </c>
      <c r="P98" s="7" t="str">
        <f t="shared" si="32"/>
        <v>(180, 200]</v>
      </c>
      <c r="Q98" s="7" t="s">
        <v>93</v>
      </c>
      <c r="R98" s="7">
        <f t="shared" si="33"/>
        <v>4.3213176820961249E-2</v>
      </c>
      <c r="S98" s="4">
        <v>0</v>
      </c>
      <c r="T98" s="7">
        <f t="shared" si="34"/>
        <v>0</v>
      </c>
      <c r="U98" s="7">
        <f t="shared" si="35"/>
        <v>0</v>
      </c>
      <c r="V98" s="4">
        <f t="shared" si="36"/>
        <v>0</v>
      </c>
      <c r="W98" s="7">
        <f t="shared" si="37"/>
        <v>0</v>
      </c>
      <c r="X98" s="7">
        <f t="shared" si="38"/>
        <v>0</v>
      </c>
    </row>
    <row r="99" spans="2:24" ht="15.6" customHeight="1" x14ac:dyDescent="0.3">
      <c r="B99" s="7">
        <v>200</v>
      </c>
      <c r="C99" s="7">
        <v>250</v>
      </c>
      <c r="D99" s="4">
        <v>0</v>
      </c>
      <c r="E99" s="4">
        <v>91232</v>
      </c>
      <c r="F99" s="4">
        <v>0</v>
      </c>
      <c r="G99" s="4">
        <v>0</v>
      </c>
      <c r="H99" s="4">
        <v>10217268800</v>
      </c>
      <c r="I99" s="4">
        <v>0</v>
      </c>
      <c r="J99" s="7">
        <f t="shared" si="26"/>
        <v>0</v>
      </c>
      <c r="K99" s="7">
        <f t="shared" si="27"/>
        <v>9.0327281944048404E-2</v>
      </c>
      <c r="L99" s="7">
        <f t="shared" si="28"/>
        <v>0</v>
      </c>
      <c r="M99" s="7">
        <f t="shared" si="29"/>
        <v>0</v>
      </c>
      <c r="N99" s="7">
        <f t="shared" si="30"/>
        <v>223.9843212907752</v>
      </c>
      <c r="O99" s="7">
        <f t="shared" si="31"/>
        <v>0</v>
      </c>
      <c r="P99" s="7" t="str">
        <f t="shared" si="32"/>
        <v>(200, 250]</v>
      </c>
      <c r="Q99" s="7" t="s">
        <v>93</v>
      </c>
      <c r="R99" s="7">
        <f t="shared" si="33"/>
        <v>9.0327281944048404E-2</v>
      </c>
      <c r="S99" s="4">
        <v>0</v>
      </c>
      <c r="T99" s="7">
        <f t="shared" si="34"/>
        <v>0</v>
      </c>
      <c r="U99" s="7">
        <f t="shared" si="35"/>
        <v>0</v>
      </c>
      <c r="V99" s="4">
        <f t="shared" si="36"/>
        <v>0</v>
      </c>
      <c r="W99" s="7">
        <f t="shared" si="37"/>
        <v>0</v>
      </c>
      <c r="X99" s="7">
        <f t="shared" si="38"/>
        <v>0</v>
      </c>
    </row>
    <row r="100" spans="2:24" ht="15.6" customHeight="1" x14ac:dyDescent="0.3">
      <c r="B100" s="7">
        <v>250</v>
      </c>
      <c r="C100" s="7">
        <v>300</v>
      </c>
      <c r="D100" s="4">
        <v>0</v>
      </c>
      <c r="E100" s="4">
        <v>70648</v>
      </c>
      <c r="F100" s="4">
        <v>0</v>
      </c>
      <c r="G100" s="4">
        <v>0</v>
      </c>
      <c r="H100" s="4">
        <v>9676992550</v>
      </c>
      <c r="I100" s="4">
        <v>0</v>
      </c>
      <c r="J100" s="7">
        <f t="shared" si="26"/>
        <v>0</v>
      </c>
      <c r="K100" s="7">
        <f t="shared" si="27"/>
        <v>6.9947406773754078E-2</v>
      </c>
      <c r="L100" s="7">
        <f t="shared" si="28"/>
        <v>0</v>
      </c>
      <c r="M100" s="7">
        <f t="shared" si="29"/>
        <v>0</v>
      </c>
      <c r="N100" s="7">
        <f t="shared" si="30"/>
        <v>273.94951166345828</v>
      </c>
      <c r="O100" s="7">
        <f t="shared" si="31"/>
        <v>0</v>
      </c>
      <c r="P100" s="7" t="str">
        <f t="shared" si="32"/>
        <v>(250, 300]</v>
      </c>
      <c r="Q100" s="7" t="s">
        <v>93</v>
      </c>
      <c r="R100" s="7">
        <f t="shared" si="33"/>
        <v>6.9947406773754078E-2</v>
      </c>
      <c r="S100" s="4">
        <v>0</v>
      </c>
      <c r="T100" s="7">
        <f t="shared" si="34"/>
        <v>0</v>
      </c>
      <c r="U100" s="7">
        <f t="shared" si="35"/>
        <v>0</v>
      </c>
      <c r="V100" s="4">
        <f t="shared" si="36"/>
        <v>0</v>
      </c>
      <c r="W100" s="7">
        <f t="shared" si="37"/>
        <v>0</v>
      </c>
      <c r="X100" s="7">
        <f t="shared" si="38"/>
        <v>0</v>
      </c>
    </row>
    <row r="101" spans="2:24" ht="15.6" customHeight="1" x14ac:dyDescent="0.3">
      <c r="B101" s="7">
        <v>300</v>
      </c>
      <c r="C101" s="7">
        <v>350</v>
      </c>
      <c r="D101" s="4">
        <v>0</v>
      </c>
      <c r="E101" s="4">
        <v>54523</v>
      </c>
      <c r="F101" s="4">
        <v>0</v>
      </c>
      <c r="G101" s="4">
        <v>0</v>
      </c>
      <c r="H101" s="4">
        <v>8829816300</v>
      </c>
      <c r="I101" s="4">
        <v>0</v>
      </c>
      <c r="J101" s="7">
        <f t="shared" si="26"/>
        <v>0</v>
      </c>
      <c r="K101" s="7">
        <f t="shared" si="27"/>
        <v>5.398231315147483E-2</v>
      </c>
      <c r="L101" s="7">
        <f t="shared" si="28"/>
        <v>0</v>
      </c>
      <c r="M101" s="7">
        <f t="shared" si="29"/>
        <v>0</v>
      </c>
      <c r="N101" s="7">
        <f t="shared" si="30"/>
        <v>323.89326706160705</v>
      </c>
      <c r="O101" s="7">
        <f t="shared" si="31"/>
        <v>0</v>
      </c>
      <c r="P101" s="7" t="str">
        <f t="shared" si="32"/>
        <v>(300, 350]</v>
      </c>
      <c r="Q101" s="7" t="s">
        <v>93</v>
      </c>
      <c r="R101" s="7">
        <f t="shared" si="33"/>
        <v>5.398231315147483E-2</v>
      </c>
      <c r="S101" s="4">
        <v>0</v>
      </c>
      <c r="T101" s="7">
        <f t="shared" si="34"/>
        <v>0</v>
      </c>
      <c r="U101" s="7">
        <f t="shared" si="35"/>
        <v>0</v>
      </c>
      <c r="V101" s="4">
        <f t="shared" si="36"/>
        <v>0</v>
      </c>
      <c r="W101" s="7">
        <f t="shared" si="37"/>
        <v>0</v>
      </c>
      <c r="X101" s="7">
        <f t="shared" si="38"/>
        <v>0</v>
      </c>
    </row>
    <row r="102" spans="2:24" ht="15.6" customHeight="1" x14ac:dyDescent="0.3">
      <c r="B102" s="7">
        <v>350</v>
      </c>
      <c r="C102" s="7">
        <v>400</v>
      </c>
      <c r="D102" s="4">
        <v>0</v>
      </c>
      <c r="E102" s="4">
        <v>41467</v>
      </c>
      <c r="F102" s="4">
        <v>0</v>
      </c>
      <c r="G102" s="4">
        <v>0</v>
      </c>
      <c r="H102" s="4">
        <v>7754132000</v>
      </c>
      <c r="I102" s="4">
        <v>0</v>
      </c>
      <c r="J102" s="7">
        <f t="shared" ref="J102:J128" si="39">IF(SUM(D$70:D$128)=0,0,D102/SUM(D$70:D$128))</f>
        <v>0</v>
      </c>
      <c r="K102" s="7">
        <f t="shared" ref="K102:K128" si="40">IF(SUM(E$70:E$128)=0,0,E102/SUM(E$70:E$128))</f>
        <v>4.1055785254887053E-2</v>
      </c>
      <c r="L102" s="7">
        <f t="shared" ref="L102:L128" si="41">IF(SUM(F$70:F$128)=0,0,F102/SUM(F$70:F$128))</f>
        <v>0</v>
      </c>
      <c r="M102" s="7">
        <f t="shared" ref="M102:M128" si="42">IF(D102=0,0,G102/D102/$C$3/5)</f>
        <v>0</v>
      </c>
      <c r="N102" s="7">
        <f t="shared" ref="N102:N128" si="43">IF(E102=0,0,H102/E102/$C$3/5)</f>
        <v>373.99049846866188</v>
      </c>
      <c r="O102" s="7">
        <f t="shared" ref="O102:O128" si="44">IF(F102=0,0,I102/F102/$C$3/5)</f>
        <v>0</v>
      </c>
      <c r="P102" s="7" t="str">
        <f t="shared" ref="P102:P128" si="45">"("&amp;B102&amp;", "&amp;C102&amp;"]"</f>
        <v>(350, 400]</v>
      </c>
      <c r="Q102" s="7" t="s">
        <v>93</v>
      </c>
      <c r="R102" s="7">
        <f t="shared" ref="R102:R128" si="46">IFERROR(INDEX($J102:$L102,MATCH($Q102,$J$69:$L$69,0)),0)</f>
        <v>4.1055785254887053E-2</v>
      </c>
      <c r="S102" s="4">
        <v>0</v>
      </c>
      <c r="T102" s="7">
        <f t="shared" ref="T102:T128" si="47">$R102*$S102</f>
        <v>0</v>
      </c>
      <c r="U102" s="7">
        <f t="shared" ref="U102:U133" si="48">IF(SUM(T$70:T$128)=0,0,T102/SUM(T$70:T$128))</f>
        <v>0</v>
      </c>
      <c r="V102" s="4">
        <f t="shared" ref="V102:V133" si="49">INT(U102*$C$2)</f>
        <v>0</v>
      </c>
      <c r="W102" s="7">
        <f t="shared" ref="W102:W133" si="50">IF(SUM(V$70:V$128)=0,0,V102/SUM(V$70:V$128))</f>
        <v>0</v>
      </c>
      <c r="X102" s="7">
        <f t="shared" ref="X102:X128" si="51">IFERROR(INDEX($M102:$O102,MATCH($Q102,$M$69:$O$69,0)),0)*V102/$C$2</f>
        <v>0</v>
      </c>
    </row>
    <row r="103" spans="2:24" ht="15.6" customHeight="1" x14ac:dyDescent="0.3">
      <c r="B103" s="7">
        <v>400</v>
      </c>
      <c r="C103" s="7">
        <v>450</v>
      </c>
      <c r="D103" s="4">
        <v>0</v>
      </c>
      <c r="E103" s="4">
        <v>32070</v>
      </c>
      <c r="F103" s="4">
        <v>0</v>
      </c>
      <c r="G103" s="4">
        <v>0</v>
      </c>
      <c r="H103" s="4">
        <v>6796737650</v>
      </c>
      <c r="I103" s="4">
        <v>0</v>
      </c>
      <c r="J103" s="7">
        <f t="shared" si="39"/>
        <v>0</v>
      </c>
      <c r="K103" s="7">
        <f t="shared" si="40"/>
        <v>3.1751972245984222E-2</v>
      </c>
      <c r="L103" s="7">
        <f t="shared" si="41"/>
        <v>0</v>
      </c>
      <c r="M103" s="7">
        <f t="shared" si="42"/>
        <v>0</v>
      </c>
      <c r="N103" s="7">
        <f t="shared" si="43"/>
        <v>423.86888992828187</v>
      </c>
      <c r="O103" s="7">
        <f t="shared" si="44"/>
        <v>0</v>
      </c>
      <c r="P103" s="7" t="str">
        <f t="shared" si="45"/>
        <v>(400, 450]</v>
      </c>
      <c r="Q103" s="7" t="s">
        <v>93</v>
      </c>
      <c r="R103" s="7">
        <f t="shared" si="46"/>
        <v>3.1751972245984222E-2</v>
      </c>
      <c r="S103" s="4">
        <v>0</v>
      </c>
      <c r="T103" s="7">
        <f t="shared" si="47"/>
        <v>0</v>
      </c>
      <c r="U103" s="7">
        <f t="shared" si="48"/>
        <v>0</v>
      </c>
      <c r="V103" s="4">
        <f t="shared" si="49"/>
        <v>0</v>
      </c>
      <c r="W103" s="7">
        <f t="shared" si="50"/>
        <v>0</v>
      </c>
      <c r="X103" s="7">
        <f t="shared" si="51"/>
        <v>0</v>
      </c>
    </row>
    <row r="104" spans="2:24" ht="15.6" customHeight="1" x14ac:dyDescent="0.3">
      <c r="B104" s="7">
        <v>450</v>
      </c>
      <c r="C104" s="7">
        <v>500</v>
      </c>
      <c r="D104" s="4">
        <v>0</v>
      </c>
      <c r="E104" s="4">
        <v>24701</v>
      </c>
      <c r="F104" s="4">
        <v>0</v>
      </c>
      <c r="G104" s="4">
        <v>0</v>
      </c>
      <c r="H104" s="4">
        <v>5855884550</v>
      </c>
      <c r="I104" s="4">
        <v>0</v>
      </c>
      <c r="J104" s="7">
        <f t="shared" si="39"/>
        <v>0</v>
      </c>
      <c r="K104" s="7">
        <f t="shared" si="40"/>
        <v>2.4456048221018281E-2</v>
      </c>
      <c r="L104" s="7">
        <f t="shared" si="41"/>
        <v>0</v>
      </c>
      <c r="M104" s="7">
        <f t="shared" si="42"/>
        <v>0</v>
      </c>
      <c r="N104" s="7">
        <f t="shared" si="43"/>
        <v>474.14149629569658</v>
      </c>
      <c r="O104" s="7">
        <f t="shared" si="44"/>
        <v>0</v>
      </c>
      <c r="P104" s="7" t="str">
        <f t="shared" si="45"/>
        <v>(450, 500]</v>
      </c>
      <c r="Q104" s="7" t="s">
        <v>93</v>
      </c>
      <c r="R104" s="7">
        <f t="shared" si="46"/>
        <v>2.4456048221018281E-2</v>
      </c>
      <c r="S104" s="4">
        <v>0</v>
      </c>
      <c r="T104" s="7">
        <f t="shared" si="47"/>
        <v>0</v>
      </c>
      <c r="U104" s="7">
        <f t="shared" si="48"/>
        <v>0</v>
      </c>
      <c r="V104" s="4">
        <f t="shared" si="49"/>
        <v>0</v>
      </c>
      <c r="W104" s="7">
        <f t="shared" si="50"/>
        <v>0</v>
      </c>
      <c r="X104" s="7">
        <f t="shared" si="51"/>
        <v>0</v>
      </c>
    </row>
    <row r="105" spans="2:24" ht="15.6" customHeight="1" x14ac:dyDescent="0.3">
      <c r="B105" s="7">
        <v>500</v>
      </c>
      <c r="C105" s="7">
        <v>550</v>
      </c>
      <c r="D105" s="4">
        <v>0</v>
      </c>
      <c r="E105" s="4">
        <v>18693</v>
      </c>
      <c r="F105" s="4">
        <v>0</v>
      </c>
      <c r="G105" s="4">
        <v>0</v>
      </c>
      <c r="H105" s="4">
        <v>4896892450</v>
      </c>
      <c r="I105" s="4">
        <v>0</v>
      </c>
      <c r="J105" s="7">
        <f t="shared" si="39"/>
        <v>0</v>
      </c>
      <c r="K105" s="7">
        <f t="shared" si="40"/>
        <v>1.850762760193898E-2</v>
      </c>
      <c r="L105" s="7">
        <f t="shared" si="41"/>
        <v>0</v>
      </c>
      <c r="M105" s="7">
        <f t="shared" si="42"/>
        <v>0</v>
      </c>
      <c r="N105" s="7">
        <f t="shared" si="43"/>
        <v>523.92793559086283</v>
      </c>
      <c r="O105" s="7">
        <f t="shared" si="44"/>
        <v>0</v>
      </c>
      <c r="P105" s="7" t="str">
        <f t="shared" si="45"/>
        <v>(500, 550]</v>
      </c>
      <c r="Q105" s="7" t="s">
        <v>93</v>
      </c>
      <c r="R105" s="7">
        <f t="shared" si="46"/>
        <v>1.850762760193898E-2</v>
      </c>
      <c r="S105" s="4">
        <v>0</v>
      </c>
      <c r="T105" s="7">
        <f t="shared" si="47"/>
        <v>0</v>
      </c>
      <c r="U105" s="7">
        <f t="shared" si="48"/>
        <v>0</v>
      </c>
      <c r="V105" s="4">
        <f t="shared" si="49"/>
        <v>0</v>
      </c>
      <c r="W105" s="7">
        <f t="shared" si="50"/>
        <v>0</v>
      </c>
      <c r="X105" s="7">
        <f t="shared" si="51"/>
        <v>0</v>
      </c>
    </row>
    <row r="106" spans="2:24" ht="15.6" customHeight="1" x14ac:dyDescent="0.3">
      <c r="B106" s="7">
        <v>550</v>
      </c>
      <c r="C106" s="7">
        <v>600</v>
      </c>
      <c r="D106" s="4">
        <v>0</v>
      </c>
      <c r="E106" s="4">
        <v>14382</v>
      </c>
      <c r="F106" s="4">
        <v>0</v>
      </c>
      <c r="G106" s="4">
        <v>0</v>
      </c>
      <c r="H106" s="4">
        <v>4126960050</v>
      </c>
      <c r="I106" s="4">
        <v>0</v>
      </c>
      <c r="J106" s="7">
        <f t="shared" si="39"/>
        <v>0</v>
      </c>
      <c r="K106" s="7">
        <f t="shared" si="40"/>
        <v>1.4239378386084973E-2</v>
      </c>
      <c r="L106" s="7">
        <f t="shared" si="41"/>
        <v>0</v>
      </c>
      <c r="M106" s="7">
        <f t="shared" si="42"/>
        <v>0</v>
      </c>
      <c r="N106" s="7">
        <f t="shared" si="43"/>
        <v>573.90627868168554</v>
      </c>
      <c r="O106" s="7">
        <f t="shared" si="44"/>
        <v>0</v>
      </c>
      <c r="P106" s="7" t="str">
        <f t="shared" si="45"/>
        <v>(550, 600]</v>
      </c>
      <c r="Q106" s="7" t="s">
        <v>93</v>
      </c>
      <c r="R106" s="7">
        <f t="shared" si="46"/>
        <v>1.4239378386084973E-2</v>
      </c>
      <c r="S106" s="4">
        <v>0</v>
      </c>
      <c r="T106" s="7">
        <f t="shared" si="47"/>
        <v>0</v>
      </c>
      <c r="U106" s="7">
        <f t="shared" si="48"/>
        <v>0</v>
      </c>
      <c r="V106" s="4">
        <f t="shared" si="49"/>
        <v>0</v>
      </c>
      <c r="W106" s="7">
        <f t="shared" si="50"/>
        <v>0</v>
      </c>
      <c r="X106" s="7">
        <f t="shared" si="51"/>
        <v>0</v>
      </c>
    </row>
    <row r="107" spans="2:24" ht="15.6" customHeight="1" x14ac:dyDescent="0.3">
      <c r="B107" s="7">
        <v>600</v>
      </c>
      <c r="C107" s="7">
        <v>650</v>
      </c>
      <c r="D107" s="4">
        <v>0</v>
      </c>
      <c r="E107" s="4">
        <v>11018</v>
      </c>
      <c r="F107" s="4">
        <v>0</v>
      </c>
      <c r="G107" s="4">
        <v>0</v>
      </c>
      <c r="H107" s="4">
        <v>3437432450</v>
      </c>
      <c r="I107" s="4">
        <v>0</v>
      </c>
      <c r="J107" s="7">
        <f t="shared" si="39"/>
        <v>0</v>
      </c>
      <c r="K107" s="7">
        <f t="shared" si="40"/>
        <v>1.0908738079396763E-2</v>
      </c>
      <c r="L107" s="7">
        <f t="shared" si="41"/>
        <v>0</v>
      </c>
      <c r="M107" s="7">
        <f t="shared" si="42"/>
        <v>0</v>
      </c>
      <c r="N107" s="7">
        <f t="shared" si="43"/>
        <v>623.96668179342896</v>
      </c>
      <c r="O107" s="7">
        <f t="shared" si="44"/>
        <v>0</v>
      </c>
      <c r="P107" s="7" t="str">
        <f t="shared" si="45"/>
        <v>(600, 650]</v>
      </c>
      <c r="Q107" s="7" t="s">
        <v>93</v>
      </c>
      <c r="R107" s="7">
        <f t="shared" si="46"/>
        <v>1.0908738079396763E-2</v>
      </c>
      <c r="S107" s="4">
        <v>0</v>
      </c>
      <c r="T107" s="7">
        <f t="shared" si="47"/>
        <v>0</v>
      </c>
      <c r="U107" s="7">
        <f t="shared" si="48"/>
        <v>0</v>
      </c>
      <c r="V107" s="4">
        <f t="shared" si="49"/>
        <v>0</v>
      </c>
      <c r="W107" s="7">
        <f t="shared" si="50"/>
        <v>0</v>
      </c>
      <c r="X107" s="7">
        <f t="shared" si="51"/>
        <v>0</v>
      </c>
    </row>
    <row r="108" spans="2:24" ht="15.6" customHeight="1" x14ac:dyDescent="0.3">
      <c r="B108" s="7">
        <v>650</v>
      </c>
      <c r="C108" s="7">
        <v>700</v>
      </c>
      <c r="D108" s="4">
        <v>0</v>
      </c>
      <c r="E108" s="4">
        <v>8525</v>
      </c>
      <c r="F108" s="4">
        <v>0</v>
      </c>
      <c r="G108" s="4">
        <v>0</v>
      </c>
      <c r="H108" s="4">
        <v>2873631750</v>
      </c>
      <c r="I108" s="4">
        <v>0</v>
      </c>
      <c r="J108" s="7">
        <f t="shared" si="39"/>
        <v>0</v>
      </c>
      <c r="K108" s="7">
        <f t="shared" si="40"/>
        <v>8.4404603491429839E-3</v>
      </c>
      <c r="L108" s="7">
        <f t="shared" si="41"/>
        <v>0</v>
      </c>
      <c r="M108" s="7">
        <f t="shared" si="42"/>
        <v>0</v>
      </c>
      <c r="N108" s="7">
        <f t="shared" si="43"/>
        <v>674.16580645161287</v>
      </c>
      <c r="O108" s="7">
        <f t="shared" si="44"/>
        <v>0</v>
      </c>
      <c r="P108" s="7" t="str">
        <f t="shared" si="45"/>
        <v>(650, 700]</v>
      </c>
      <c r="Q108" s="7" t="s">
        <v>93</v>
      </c>
      <c r="R108" s="7">
        <f t="shared" si="46"/>
        <v>8.4404603491429839E-3</v>
      </c>
      <c r="S108" s="4">
        <v>0</v>
      </c>
      <c r="T108" s="7">
        <f t="shared" si="47"/>
        <v>0</v>
      </c>
      <c r="U108" s="7">
        <f t="shared" si="48"/>
        <v>0</v>
      </c>
      <c r="V108" s="4">
        <f t="shared" si="49"/>
        <v>0</v>
      </c>
      <c r="W108" s="7">
        <f t="shared" si="50"/>
        <v>0</v>
      </c>
      <c r="X108" s="7">
        <f t="shared" si="51"/>
        <v>0</v>
      </c>
    </row>
    <row r="109" spans="2:24" ht="15.6" customHeight="1" x14ac:dyDescent="0.3">
      <c r="B109" s="7">
        <v>700</v>
      </c>
      <c r="C109" s="7">
        <v>750</v>
      </c>
      <c r="D109" s="4">
        <v>0</v>
      </c>
      <c r="E109" s="4">
        <v>6553</v>
      </c>
      <c r="F109" s="4">
        <v>0</v>
      </c>
      <c r="G109" s="4">
        <v>0</v>
      </c>
      <c r="H109" s="4">
        <v>2371188850</v>
      </c>
      <c r="I109" s="4">
        <v>0</v>
      </c>
      <c r="J109" s="7">
        <f t="shared" si="39"/>
        <v>0</v>
      </c>
      <c r="K109" s="7">
        <f t="shared" si="40"/>
        <v>6.4880160314292048E-3</v>
      </c>
      <c r="L109" s="7">
        <f t="shared" si="41"/>
        <v>0</v>
      </c>
      <c r="M109" s="7">
        <f t="shared" si="42"/>
        <v>0</v>
      </c>
      <c r="N109" s="7">
        <f t="shared" si="43"/>
        <v>723.6956661071265</v>
      </c>
      <c r="O109" s="7">
        <f t="shared" si="44"/>
        <v>0</v>
      </c>
      <c r="P109" s="7" t="str">
        <f t="shared" si="45"/>
        <v>(700, 750]</v>
      </c>
      <c r="Q109" s="7" t="s">
        <v>93</v>
      </c>
      <c r="R109" s="7">
        <f t="shared" si="46"/>
        <v>6.4880160314292048E-3</v>
      </c>
      <c r="S109" s="4">
        <v>0</v>
      </c>
      <c r="T109" s="7">
        <f t="shared" si="47"/>
        <v>0</v>
      </c>
      <c r="U109" s="7">
        <f t="shared" si="48"/>
        <v>0</v>
      </c>
      <c r="V109" s="4">
        <f t="shared" si="49"/>
        <v>0</v>
      </c>
      <c r="W109" s="7">
        <f t="shared" si="50"/>
        <v>0</v>
      </c>
      <c r="X109" s="7">
        <f t="shared" si="51"/>
        <v>0</v>
      </c>
    </row>
    <row r="110" spans="2:24" ht="15.6" customHeight="1" x14ac:dyDescent="0.3">
      <c r="B110" s="7">
        <v>750</v>
      </c>
      <c r="C110" s="7">
        <v>800</v>
      </c>
      <c r="D110" s="4">
        <v>0</v>
      </c>
      <c r="E110" s="4">
        <v>5015</v>
      </c>
      <c r="F110" s="4">
        <v>0</v>
      </c>
      <c r="G110" s="4">
        <v>0</v>
      </c>
      <c r="H110" s="4">
        <v>1940909900</v>
      </c>
      <c r="I110" s="4">
        <v>0</v>
      </c>
      <c r="J110" s="7">
        <f t="shared" si="39"/>
        <v>0</v>
      </c>
      <c r="K110" s="7">
        <f t="shared" si="40"/>
        <v>4.9652678769445237E-3</v>
      </c>
      <c r="L110" s="7">
        <f t="shared" si="41"/>
        <v>0</v>
      </c>
      <c r="M110" s="7">
        <f t="shared" si="42"/>
        <v>0</v>
      </c>
      <c r="N110" s="7">
        <f t="shared" si="43"/>
        <v>774.04183449651043</v>
      </c>
      <c r="O110" s="7">
        <f t="shared" si="44"/>
        <v>0</v>
      </c>
      <c r="P110" s="7" t="str">
        <f t="shared" si="45"/>
        <v>(750, 800]</v>
      </c>
      <c r="Q110" s="7" t="s">
        <v>93</v>
      </c>
      <c r="R110" s="7">
        <f t="shared" si="46"/>
        <v>4.9652678769445237E-3</v>
      </c>
      <c r="S110" s="4">
        <v>0</v>
      </c>
      <c r="T110" s="7">
        <f t="shared" si="47"/>
        <v>0</v>
      </c>
      <c r="U110" s="7">
        <f t="shared" si="48"/>
        <v>0</v>
      </c>
      <c r="V110" s="4">
        <f t="shared" si="49"/>
        <v>0</v>
      </c>
      <c r="W110" s="7">
        <f t="shared" si="50"/>
        <v>0</v>
      </c>
      <c r="X110" s="7">
        <f t="shared" si="51"/>
        <v>0</v>
      </c>
    </row>
    <row r="111" spans="2:24" ht="15.6" customHeight="1" x14ac:dyDescent="0.3">
      <c r="B111" s="7">
        <v>800</v>
      </c>
      <c r="C111" s="7">
        <v>850</v>
      </c>
      <c r="D111" s="4">
        <v>0</v>
      </c>
      <c r="E111" s="4">
        <v>3891</v>
      </c>
      <c r="F111" s="4">
        <v>0</v>
      </c>
      <c r="G111" s="4">
        <v>0</v>
      </c>
      <c r="H111" s="4">
        <v>1602722200</v>
      </c>
      <c r="I111" s="4">
        <v>0</v>
      </c>
      <c r="J111" s="7">
        <f t="shared" si="39"/>
        <v>0</v>
      </c>
      <c r="K111" s="7">
        <f t="shared" si="40"/>
        <v>3.8524142191806864E-3</v>
      </c>
      <c r="L111" s="7">
        <f t="shared" si="41"/>
        <v>0</v>
      </c>
      <c r="M111" s="7">
        <f t="shared" si="42"/>
        <v>0</v>
      </c>
      <c r="N111" s="7">
        <f t="shared" si="43"/>
        <v>823.80992032896427</v>
      </c>
      <c r="O111" s="7">
        <f t="shared" si="44"/>
        <v>0</v>
      </c>
      <c r="P111" s="7" t="str">
        <f t="shared" si="45"/>
        <v>(800, 850]</v>
      </c>
      <c r="Q111" s="7" t="s">
        <v>93</v>
      </c>
      <c r="R111" s="7">
        <f t="shared" si="46"/>
        <v>3.8524142191806864E-3</v>
      </c>
      <c r="S111" s="4">
        <v>0</v>
      </c>
      <c r="T111" s="7">
        <f t="shared" si="47"/>
        <v>0</v>
      </c>
      <c r="U111" s="7">
        <f t="shared" si="48"/>
        <v>0</v>
      </c>
      <c r="V111" s="4">
        <f t="shared" si="49"/>
        <v>0</v>
      </c>
      <c r="W111" s="7">
        <f t="shared" si="50"/>
        <v>0</v>
      </c>
      <c r="X111" s="7">
        <f t="shared" si="51"/>
        <v>0</v>
      </c>
    </row>
    <row r="112" spans="2:24" ht="15.6" customHeight="1" x14ac:dyDescent="0.3">
      <c r="B112" s="7">
        <v>850</v>
      </c>
      <c r="C112" s="7">
        <v>900</v>
      </c>
      <c r="D112" s="4">
        <v>0</v>
      </c>
      <c r="E112" s="4">
        <v>3026</v>
      </c>
      <c r="F112" s="4">
        <v>0</v>
      </c>
      <c r="G112" s="4">
        <v>0</v>
      </c>
      <c r="H112" s="4">
        <v>1322516550</v>
      </c>
      <c r="I112" s="4">
        <v>0</v>
      </c>
      <c r="J112" s="7">
        <f t="shared" si="39"/>
        <v>0</v>
      </c>
      <c r="K112" s="7">
        <f t="shared" si="40"/>
        <v>2.9959921426987294E-3</v>
      </c>
      <c r="L112" s="7">
        <f t="shared" si="41"/>
        <v>0</v>
      </c>
      <c r="M112" s="7">
        <f t="shared" si="42"/>
        <v>0</v>
      </c>
      <c r="N112" s="7">
        <f t="shared" si="43"/>
        <v>874.10214805023134</v>
      </c>
      <c r="O112" s="7">
        <f t="shared" si="44"/>
        <v>0</v>
      </c>
      <c r="P112" s="7" t="str">
        <f t="shared" si="45"/>
        <v>(850, 900]</v>
      </c>
      <c r="Q112" s="7" t="s">
        <v>93</v>
      </c>
      <c r="R112" s="7">
        <f t="shared" si="46"/>
        <v>2.9959921426987294E-3</v>
      </c>
      <c r="S112" s="4">
        <v>0</v>
      </c>
      <c r="T112" s="7">
        <f t="shared" si="47"/>
        <v>0</v>
      </c>
      <c r="U112" s="7">
        <f t="shared" si="48"/>
        <v>0</v>
      </c>
      <c r="V112" s="4">
        <f t="shared" si="49"/>
        <v>0</v>
      </c>
      <c r="W112" s="7">
        <f t="shared" si="50"/>
        <v>0</v>
      </c>
      <c r="X112" s="7">
        <f t="shared" si="51"/>
        <v>0</v>
      </c>
    </row>
    <row r="113" spans="2:24" ht="15.6" customHeight="1" x14ac:dyDescent="0.3">
      <c r="B113" s="7">
        <v>900</v>
      </c>
      <c r="C113" s="7">
        <v>950</v>
      </c>
      <c r="D113" s="4">
        <v>0</v>
      </c>
      <c r="E113" s="4">
        <v>2280</v>
      </c>
      <c r="F113" s="4">
        <v>0</v>
      </c>
      <c r="G113" s="4">
        <v>0</v>
      </c>
      <c r="H113" s="4">
        <v>1052730900</v>
      </c>
      <c r="I113" s="4">
        <v>0</v>
      </c>
      <c r="J113" s="7">
        <f t="shared" si="39"/>
        <v>0</v>
      </c>
      <c r="K113" s="7">
        <f t="shared" si="40"/>
        <v>2.25738998194088E-3</v>
      </c>
      <c r="L113" s="7">
        <f t="shared" si="41"/>
        <v>0</v>
      </c>
      <c r="M113" s="7">
        <f t="shared" si="42"/>
        <v>0</v>
      </c>
      <c r="N113" s="7">
        <f t="shared" si="43"/>
        <v>923.44815789473682</v>
      </c>
      <c r="O113" s="7">
        <f t="shared" si="44"/>
        <v>0</v>
      </c>
      <c r="P113" s="7" t="str">
        <f t="shared" si="45"/>
        <v>(900, 950]</v>
      </c>
      <c r="Q113" s="7" t="s">
        <v>93</v>
      </c>
      <c r="R113" s="7">
        <f t="shared" si="46"/>
        <v>2.25738998194088E-3</v>
      </c>
      <c r="S113" s="4">
        <v>0</v>
      </c>
      <c r="T113" s="7">
        <f t="shared" si="47"/>
        <v>0</v>
      </c>
      <c r="U113" s="7">
        <f t="shared" si="48"/>
        <v>0</v>
      </c>
      <c r="V113" s="4">
        <f t="shared" si="49"/>
        <v>0</v>
      </c>
      <c r="W113" s="7">
        <f t="shared" si="50"/>
        <v>0</v>
      </c>
      <c r="X113" s="7">
        <f t="shared" si="51"/>
        <v>0</v>
      </c>
    </row>
    <row r="114" spans="2:24" ht="15.6" customHeight="1" x14ac:dyDescent="0.3">
      <c r="B114" s="7">
        <v>950</v>
      </c>
      <c r="C114" s="7">
        <v>1000</v>
      </c>
      <c r="D114" s="4">
        <v>0</v>
      </c>
      <c r="E114" s="4">
        <v>1906</v>
      </c>
      <c r="F114" s="4">
        <v>0</v>
      </c>
      <c r="G114" s="4">
        <v>0</v>
      </c>
      <c r="H114" s="4">
        <v>927921350</v>
      </c>
      <c r="I114" s="4">
        <v>0</v>
      </c>
      <c r="J114" s="7">
        <f t="shared" si="39"/>
        <v>0</v>
      </c>
      <c r="K114" s="7">
        <f t="shared" si="40"/>
        <v>1.8870988182365428E-3</v>
      </c>
      <c r="L114" s="7">
        <f t="shared" si="41"/>
        <v>0</v>
      </c>
      <c r="M114" s="7">
        <f t="shared" si="42"/>
        <v>0</v>
      </c>
      <c r="N114" s="7">
        <f t="shared" si="43"/>
        <v>973.68452256033584</v>
      </c>
      <c r="O114" s="7">
        <f t="shared" si="44"/>
        <v>0</v>
      </c>
      <c r="P114" s="7" t="str">
        <f t="shared" si="45"/>
        <v>(950, 1000]</v>
      </c>
      <c r="Q114" s="7" t="s">
        <v>93</v>
      </c>
      <c r="R114" s="7">
        <f t="shared" si="46"/>
        <v>1.8870988182365428E-3</v>
      </c>
      <c r="S114" s="4">
        <v>0</v>
      </c>
      <c r="T114" s="7">
        <f t="shared" si="47"/>
        <v>0</v>
      </c>
      <c r="U114" s="7">
        <f t="shared" si="48"/>
        <v>0</v>
      </c>
      <c r="V114" s="4">
        <f t="shared" si="49"/>
        <v>0</v>
      </c>
      <c r="W114" s="7">
        <f t="shared" si="50"/>
        <v>0</v>
      </c>
      <c r="X114" s="7">
        <f t="shared" si="51"/>
        <v>0</v>
      </c>
    </row>
    <row r="115" spans="2:24" ht="15.6" customHeight="1" x14ac:dyDescent="0.3">
      <c r="B115" s="7">
        <v>1000</v>
      </c>
      <c r="C115" s="7">
        <v>2000</v>
      </c>
      <c r="D115" s="4">
        <v>0</v>
      </c>
      <c r="E115" s="4">
        <v>6902</v>
      </c>
      <c r="F115" s="4">
        <v>0</v>
      </c>
      <c r="G115" s="4">
        <v>0</v>
      </c>
      <c r="H115" s="4">
        <v>4187611700</v>
      </c>
      <c r="I115" s="4">
        <v>0</v>
      </c>
      <c r="J115" s="7">
        <f t="shared" si="39"/>
        <v>0</v>
      </c>
      <c r="K115" s="7">
        <f t="shared" si="40"/>
        <v>6.8335551119982256E-3</v>
      </c>
      <c r="L115" s="7">
        <f t="shared" si="41"/>
        <v>0</v>
      </c>
      <c r="M115" s="7">
        <f t="shared" si="42"/>
        <v>0</v>
      </c>
      <c r="N115" s="7">
        <f t="shared" si="43"/>
        <v>1213.4487684729065</v>
      </c>
      <c r="O115" s="7">
        <f t="shared" si="44"/>
        <v>0</v>
      </c>
      <c r="P115" s="7" t="str">
        <f t="shared" si="45"/>
        <v>(1000, 2000]</v>
      </c>
      <c r="Q115" s="7" t="s">
        <v>93</v>
      </c>
      <c r="R115" s="7">
        <f t="shared" si="46"/>
        <v>6.8335551119982256E-3</v>
      </c>
      <c r="S115" s="4">
        <v>0</v>
      </c>
      <c r="T115" s="7">
        <f t="shared" si="47"/>
        <v>0</v>
      </c>
      <c r="U115" s="7">
        <f t="shared" si="48"/>
        <v>0</v>
      </c>
      <c r="V115" s="4">
        <f t="shared" si="49"/>
        <v>0</v>
      </c>
      <c r="W115" s="7">
        <f t="shared" si="50"/>
        <v>0</v>
      </c>
      <c r="X115" s="7">
        <f t="shared" si="51"/>
        <v>0</v>
      </c>
    </row>
    <row r="116" spans="2:24" ht="15.6" customHeight="1" x14ac:dyDescent="0.3">
      <c r="B116" s="7">
        <v>2000</v>
      </c>
      <c r="C116" s="7">
        <v>3000</v>
      </c>
      <c r="D116" s="4">
        <v>0</v>
      </c>
      <c r="E116" s="4">
        <v>143</v>
      </c>
      <c r="F116" s="4">
        <v>0</v>
      </c>
      <c r="G116" s="4">
        <v>0</v>
      </c>
      <c r="H116" s="4">
        <v>162549250</v>
      </c>
      <c r="I116" s="4">
        <v>0</v>
      </c>
      <c r="J116" s="7">
        <f t="shared" si="39"/>
        <v>0</v>
      </c>
      <c r="K116" s="7">
        <f t="shared" si="40"/>
        <v>1.4158191553401134E-4</v>
      </c>
      <c r="L116" s="7">
        <f t="shared" si="41"/>
        <v>0</v>
      </c>
      <c r="M116" s="7">
        <f t="shared" si="42"/>
        <v>0</v>
      </c>
      <c r="N116" s="7">
        <f t="shared" si="43"/>
        <v>2273.4160839160841</v>
      </c>
      <c r="O116" s="7">
        <f t="shared" si="44"/>
        <v>0</v>
      </c>
      <c r="P116" s="7" t="str">
        <f t="shared" si="45"/>
        <v>(2000, 3000]</v>
      </c>
      <c r="Q116" s="7" t="s">
        <v>93</v>
      </c>
      <c r="R116" s="7">
        <f t="shared" si="46"/>
        <v>1.4158191553401134E-4</v>
      </c>
      <c r="S116" s="4">
        <v>0</v>
      </c>
      <c r="T116" s="7">
        <f t="shared" si="47"/>
        <v>0</v>
      </c>
      <c r="U116" s="7">
        <f t="shared" si="48"/>
        <v>0</v>
      </c>
      <c r="V116" s="4">
        <f t="shared" si="49"/>
        <v>0</v>
      </c>
      <c r="W116" s="7">
        <f t="shared" si="50"/>
        <v>0</v>
      </c>
      <c r="X116" s="7">
        <f t="shared" si="51"/>
        <v>0</v>
      </c>
    </row>
    <row r="117" spans="2:24" ht="15.6" customHeight="1" x14ac:dyDescent="0.3">
      <c r="B117" s="7">
        <v>3000</v>
      </c>
      <c r="C117" s="7">
        <v>4000</v>
      </c>
      <c r="D117" s="4">
        <v>0</v>
      </c>
      <c r="E117" s="4">
        <v>14</v>
      </c>
      <c r="F117" s="4">
        <v>0</v>
      </c>
      <c r="G117" s="4">
        <v>0</v>
      </c>
      <c r="H117" s="4">
        <v>23546150</v>
      </c>
      <c r="I117" s="4">
        <v>0</v>
      </c>
      <c r="J117" s="7">
        <f t="shared" si="39"/>
        <v>0</v>
      </c>
      <c r="K117" s="7">
        <f t="shared" si="40"/>
        <v>1.3861166555777333E-5</v>
      </c>
      <c r="L117" s="7">
        <f t="shared" si="41"/>
        <v>0</v>
      </c>
      <c r="M117" s="7">
        <f t="shared" si="42"/>
        <v>0</v>
      </c>
      <c r="N117" s="7">
        <f t="shared" si="43"/>
        <v>3363.7357142857136</v>
      </c>
      <c r="O117" s="7">
        <f t="shared" si="44"/>
        <v>0</v>
      </c>
      <c r="P117" s="7" t="str">
        <f t="shared" si="45"/>
        <v>(3000, 4000]</v>
      </c>
      <c r="Q117" s="7" t="s">
        <v>93</v>
      </c>
      <c r="R117" s="7">
        <f t="shared" si="46"/>
        <v>1.3861166555777333E-5</v>
      </c>
      <c r="S117" s="4">
        <v>0</v>
      </c>
      <c r="T117" s="7">
        <f t="shared" si="47"/>
        <v>0</v>
      </c>
      <c r="U117" s="7">
        <f t="shared" si="48"/>
        <v>0</v>
      </c>
      <c r="V117" s="4">
        <f t="shared" si="49"/>
        <v>0</v>
      </c>
      <c r="W117" s="7">
        <f t="shared" si="50"/>
        <v>0</v>
      </c>
      <c r="X117" s="7">
        <f t="shared" si="51"/>
        <v>0</v>
      </c>
    </row>
    <row r="118" spans="2:24" ht="15.6" customHeight="1" x14ac:dyDescent="0.3">
      <c r="B118" s="7">
        <v>4000</v>
      </c>
      <c r="C118" s="7">
        <v>5000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7">
        <f t="shared" si="39"/>
        <v>0</v>
      </c>
      <c r="K118" s="7">
        <f t="shared" si="40"/>
        <v>0</v>
      </c>
      <c r="L118" s="7">
        <f t="shared" si="41"/>
        <v>0</v>
      </c>
      <c r="M118" s="7">
        <f t="shared" si="42"/>
        <v>0</v>
      </c>
      <c r="N118" s="7">
        <f t="shared" si="43"/>
        <v>0</v>
      </c>
      <c r="O118" s="7">
        <f t="shared" si="44"/>
        <v>0</v>
      </c>
      <c r="P118" s="7" t="str">
        <f t="shared" si="45"/>
        <v>(4000, 5000]</v>
      </c>
      <c r="Q118" s="7" t="s">
        <v>93</v>
      </c>
      <c r="R118" s="7">
        <f t="shared" si="46"/>
        <v>0</v>
      </c>
      <c r="S118" s="4">
        <v>0</v>
      </c>
      <c r="T118" s="7">
        <f t="shared" si="47"/>
        <v>0</v>
      </c>
      <c r="U118" s="7">
        <f t="shared" si="48"/>
        <v>0</v>
      </c>
      <c r="V118" s="4">
        <f t="shared" si="49"/>
        <v>0</v>
      </c>
      <c r="W118" s="7">
        <f t="shared" si="50"/>
        <v>0</v>
      </c>
      <c r="X118" s="7">
        <f t="shared" si="51"/>
        <v>0</v>
      </c>
    </row>
    <row r="119" spans="2:24" ht="15.6" customHeight="1" x14ac:dyDescent="0.3">
      <c r="B119" s="7">
        <v>5000</v>
      </c>
      <c r="C119" s="7">
        <v>6000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7">
        <f t="shared" si="39"/>
        <v>0</v>
      </c>
      <c r="K119" s="7">
        <f t="shared" si="40"/>
        <v>0</v>
      </c>
      <c r="L119" s="7">
        <f t="shared" si="41"/>
        <v>0</v>
      </c>
      <c r="M119" s="7">
        <f t="shared" si="42"/>
        <v>0</v>
      </c>
      <c r="N119" s="7">
        <f t="shared" si="43"/>
        <v>0</v>
      </c>
      <c r="O119" s="7">
        <f t="shared" si="44"/>
        <v>0</v>
      </c>
      <c r="P119" s="7" t="str">
        <f t="shared" si="45"/>
        <v>(5000, 6000]</v>
      </c>
      <c r="Q119" s="7" t="s">
        <v>93</v>
      </c>
      <c r="R119" s="7">
        <f t="shared" si="46"/>
        <v>0</v>
      </c>
      <c r="S119" s="4">
        <v>0</v>
      </c>
      <c r="T119" s="7">
        <f t="shared" si="47"/>
        <v>0</v>
      </c>
      <c r="U119" s="7">
        <f t="shared" si="48"/>
        <v>0</v>
      </c>
      <c r="V119" s="4">
        <f t="shared" si="49"/>
        <v>0</v>
      </c>
      <c r="W119" s="7">
        <f t="shared" si="50"/>
        <v>0</v>
      </c>
      <c r="X119" s="7">
        <f t="shared" si="51"/>
        <v>0</v>
      </c>
    </row>
    <row r="120" spans="2:24" ht="15.6" customHeight="1" x14ac:dyDescent="0.3">
      <c r="B120" s="7">
        <v>6000</v>
      </c>
      <c r="C120" s="7">
        <v>7000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7">
        <f t="shared" si="39"/>
        <v>0</v>
      </c>
      <c r="K120" s="7">
        <f t="shared" si="40"/>
        <v>0</v>
      </c>
      <c r="L120" s="7">
        <f t="shared" si="41"/>
        <v>0</v>
      </c>
      <c r="M120" s="7">
        <f t="shared" si="42"/>
        <v>0</v>
      </c>
      <c r="N120" s="7">
        <f t="shared" si="43"/>
        <v>0</v>
      </c>
      <c r="O120" s="7">
        <f t="shared" si="44"/>
        <v>0</v>
      </c>
      <c r="P120" s="7" t="str">
        <f t="shared" si="45"/>
        <v>(6000, 7000]</v>
      </c>
      <c r="Q120" s="7" t="s">
        <v>93</v>
      </c>
      <c r="R120" s="7">
        <f t="shared" si="46"/>
        <v>0</v>
      </c>
      <c r="S120" s="4">
        <v>0</v>
      </c>
      <c r="T120" s="7">
        <f t="shared" si="47"/>
        <v>0</v>
      </c>
      <c r="U120" s="7">
        <f t="shared" si="48"/>
        <v>0</v>
      </c>
      <c r="V120" s="4">
        <f t="shared" si="49"/>
        <v>0</v>
      </c>
      <c r="W120" s="7">
        <f t="shared" si="50"/>
        <v>0</v>
      </c>
      <c r="X120" s="7">
        <f t="shared" si="51"/>
        <v>0</v>
      </c>
    </row>
    <row r="121" spans="2:24" ht="15.6" customHeight="1" x14ac:dyDescent="0.3">
      <c r="B121" s="7">
        <v>7000</v>
      </c>
      <c r="C121" s="7">
        <v>8000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7">
        <f t="shared" si="39"/>
        <v>0</v>
      </c>
      <c r="K121" s="7">
        <f t="shared" si="40"/>
        <v>0</v>
      </c>
      <c r="L121" s="7">
        <f t="shared" si="41"/>
        <v>0</v>
      </c>
      <c r="M121" s="7">
        <f t="shared" si="42"/>
        <v>0</v>
      </c>
      <c r="N121" s="7">
        <f t="shared" si="43"/>
        <v>0</v>
      </c>
      <c r="O121" s="7">
        <f t="shared" si="44"/>
        <v>0</v>
      </c>
      <c r="P121" s="7" t="str">
        <f t="shared" si="45"/>
        <v>(7000, 8000]</v>
      </c>
      <c r="Q121" s="7" t="s">
        <v>93</v>
      </c>
      <c r="R121" s="7">
        <f t="shared" si="46"/>
        <v>0</v>
      </c>
      <c r="S121" s="4">
        <v>0</v>
      </c>
      <c r="T121" s="7">
        <f t="shared" si="47"/>
        <v>0</v>
      </c>
      <c r="U121" s="7">
        <f t="shared" si="48"/>
        <v>0</v>
      </c>
      <c r="V121" s="4">
        <f t="shared" si="49"/>
        <v>0</v>
      </c>
      <c r="W121" s="7">
        <f t="shared" si="50"/>
        <v>0</v>
      </c>
      <c r="X121" s="7">
        <f t="shared" si="51"/>
        <v>0</v>
      </c>
    </row>
    <row r="122" spans="2:24" ht="15.6" customHeight="1" x14ac:dyDescent="0.3">
      <c r="B122" s="7"/>
      <c r="C122" s="7"/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7">
        <f t="shared" si="39"/>
        <v>0</v>
      </c>
      <c r="K122" s="7">
        <f t="shared" si="40"/>
        <v>0</v>
      </c>
      <c r="L122" s="7">
        <f t="shared" si="41"/>
        <v>0</v>
      </c>
      <c r="M122" s="7">
        <f t="shared" si="42"/>
        <v>0</v>
      </c>
      <c r="N122" s="7">
        <f t="shared" si="43"/>
        <v>0</v>
      </c>
      <c r="O122" s="7">
        <f t="shared" si="44"/>
        <v>0</v>
      </c>
      <c r="P122" s="7" t="str">
        <f t="shared" si="45"/>
        <v>(, ]</v>
      </c>
      <c r="Q122" s="7" t="s">
        <v>93</v>
      </c>
      <c r="R122" s="7">
        <f t="shared" si="46"/>
        <v>0</v>
      </c>
      <c r="S122" s="4">
        <v>0</v>
      </c>
      <c r="T122" s="7">
        <f t="shared" si="47"/>
        <v>0</v>
      </c>
      <c r="U122" s="7">
        <f t="shared" si="48"/>
        <v>0</v>
      </c>
      <c r="V122" s="4">
        <f t="shared" si="49"/>
        <v>0</v>
      </c>
      <c r="W122" s="7">
        <f t="shared" si="50"/>
        <v>0</v>
      </c>
      <c r="X122" s="7">
        <f t="shared" si="51"/>
        <v>0</v>
      </c>
    </row>
    <row r="123" spans="2:24" ht="15.6" customHeight="1" x14ac:dyDescent="0.3">
      <c r="B123" s="7"/>
      <c r="C123" s="7"/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7">
        <f t="shared" si="39"/>
        <v>0</v>
      </c>
      <c r="K123" s="7">
        <f t="shared" si="40"/>
        <v>0</v>
      </c>
      <c r="L123" s="7">
        <f t="shared" si="41"/>
        <v>0</v>
      </c>
      <c r="M123" s="7">
        <f t="shared" si="42"/>
        <v>0</v>
      </c>
      <c r="N123" s="7">
        <f t="shared" si="43"/>
        <v>0</v>
      </c>
      <c r="O123" s="7">
        <f t="shared" si="44"/>
        <v>0</v>
      </c>
      <c r="P123" s="7" t="str">
        <f t="shared" si="45"/>
        <v>(, ]</v>
      </c>
      <c r="Q123" s="7" t="s">
        <v>93</v>
      </c>
      <c r="R123" s="7">
        <f t="shared" si="46"/>
        <v>0</v>
      </c>
      <c r="S123" s="4">
        <v>0</v>
      </c>
      <c r="T123" s="7">
        <f t="shared" si="47"/>
        <v>0</v>
      </c>
      <c r="U123" s="7">
        <f t="shared" si="48"/>
        <v>0</v>
      </c>
      <c r="V123" s="4">
        <f t="shared" si="49"/>
        <v>0</v>
      </c>
      <c r="W123" s="7">
        <f t="shared" si="50"/>
        <v>0</v>
      </c>
      <c r="X123" s="7">
        <f t="shared" si="51"/>
        <v>0</v>
      </c>
    </row>
    <row r="124" spans="2:24" ht="15.6" customHeight="1" x14ac:dyDescent="0.3">
      <c r="B124" s="7"/>
      <c r="C124" s="7"/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7">
        <f t="shared" si="39"/>
        <v>0</v>
      </c>
      <c r="K124" s="7">
        <f t="shared" si="40"/>
        <v>0</v>
      </c>
      <c r="L124" s="7">
        <f t="shared" si="41"/>
        <v>0</v>
      </c>
      <c r="M124" s="7">
        <f t="shared" si="42"/>
        <v>0</v>
      </c>
      <c r="N124" s="7">
        <f t="shared" si="43"/>
        <v>0</v>
      </c>
      <c r="O124" s="7">
        <f t="shared" si="44"/>
        <v>0</v>
      </c>
      <c r="P124" s="7" t="str">
        <f t="shared" si="45"/>
        <v>(, ]</v>
      </c>
      <c r="Q124" s="7" t="s">
        <v>93</v>
      </c>
      <c r="R124" s="7">
        <f t="shared" si="46"/>
        <v>0</v>
      </c>
      <c r="S124" s="4">
        <v>0</v>
      </c>
      <c r="T124" s="7">
        <f t="shared" si="47"/>
        <v>0</v>
      </c>
      <c r="U124" s="7">
        <f t="shared" si="48"/>
        <v>0</v>
      </c>
      <c r="V124" s="4">
        <f t="shared" si="49"/>
        <v>0</v>
      </c>
      <c r="W124" s="7">
        <f t="shared" si="50"/>
        <v>0</v>
      </c>
      <c r="X124" s="7">
        <f t="shared" si="51"/>
        <v>0</v>
      </c>
    </row>
    <row r="125" spans="2:24" ht="15.6" customHeight="1" x14ac:dyDescent="0.3">
      <c r="B125" s="7"/>
      <c r="C125" s="7"/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7">
        <f t="shared" si="39"/>
        <v>0</v>
      </c>
      <c r="K125" s="7">
        <f t="shared" si="40"/>
        <v>0</v>
      </c>
      <c r="L125" s="7">
        <f t="shared" si="41"/>
        <v>0</v>
      </c>
      <c r="M125" s="7">
        <f t="shared" si="42"/>
        <v>0</v>
      </c>
      <c r="N125" s="7">
        <f t="shared" si="43"/>
        <v>0</v>
      </c>
      <c r="O125" s="7">
        <f t="shared" si="44"/>
        <v>0</v>
      </c>
      <c r="P125" s="7" t="str">
        <f t="shared" si="45"/>
        <v>(, ]</v>
      </c>
      <c r="Q125" s="7" t="s">
        <v>93</v>
      </c>
      <c r="R125" s="7">
        <f t="shared" si="46"/>
        <v>0</v>
      </c>
      <c r="S125" s="4">
        <v>0</v>
      </c>
      <c r="T125" s="7">
        <f t="shared" si="47"/>
        <v>0</v>
      </c>
      <c r="U125" s="7">
        <f t="shared" si="48"/>
        <v>0</v>
      </c>
      <c r="V125" s="4">
        <f t="shared" si="49"/>
        <v>0</v>
      </c>
      <c r="W125" s="7">
        <f t="shared" si="50"/>
        <v>0</v>
      </c>
      <c r="X125" s="7">
        <f t="shared" si="51"/>
        <v>0</v>
      </c>
    </row>
    <row r="126" spans="2:24" ht="15.6" customHeight="1" x14ac:dyDescent="0.3">
      <c r="B126" s="7"/>
      <c r="C126" s="7"/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7">
        <f t="shared" si="39"/>
        <v>0</v>
      </c>
      <c r="K126" s="7">
        <f t="shared" si="40"/>
        <v>0</v>
      </c>
      <c r="L126" s="7">
        <f t="shared" si="41"/>
        <v>0</v>
      </c>
      <c r="M126" s="7">
        <f t="shared" si="42"/>
        <v>0</v>
      </c>
      <c r="N126" s="7">
        <f t="shared" si="43"/>
        <v>0</v>
      </c>
      <c r="O126" s="7">
        <f t="shared" si="44"/>
        <v>0</v>
      </c>
      <c r="P126" s="7" t="str">
        <f t="shared" si="45"/>
        <v>(, ]</v>
      </c>
      <c r="Q126" s="7" t="s">
        <v>93</v>
      </c>
      <c r="R126" s="7">
        <f t="shared" si="46"/>
        <v>0</v>
      </c>
      <c r="S126" s="4">
        <v>0</v>
      </c>
      <c r="T126" s="7">
        <f t="shared" si="47"/>
        <v>0</v>
      </c>
      <c r="U126" s="7">
        <f t="shared" si="48"/>
        <v>0</v>
      </c>
      <c r="V126" s="4">
        <f t="shared" si="49"/>
        <v>0</v>
      </c>
      <c r="W126" s="7">
        <f t="shared" si="50"/>
        <v>0</v>
      </c>
      <c r="X126" s="7">
        <f t="shared" si="51"/>
        <v>0</v>
      </c>
    </row>
    <row r="127" spans="2:24" ht="15.6" customHeight="1" x14ac:dyDescent="0.3">
      <c r="B127" s="7"/>
      <c r="C127" s="7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7">
        <f t="shared" si="39"/>
        <v>0</v>
      </c>
      <c r="K127" s="7">
        <f t="shared" si="40"/>
        <v>0</v>
      </c>
      <c r="L127" s="7">
        <f t="shared" si="41"/>
        <v>0</v>
      </c>
      <c r="M127" s="7">
        <f t="shared" si="42"/>
        <v>0</v>
      </c>
      <c r="N127" s="7">
        <f t="shared" si="43"/>
        <v>0</v>
      </c>
      <c r="O127" s="7">
        <f t="shared" si="44"/>
        <v>0</v>
      </c>
      <c r="P127" s="7" t="str">
        <f t="shared" si="45"/>
        <v>(, ]</v>
      </c>
      <c r="Q127" s="7" t="s">
        <v>93</v>
      </c>
      <c r="R127" s="7">
        <f t="shared" si="46"/>
        <v>0</v>
      </c>
      <c r="S127" s="4">
        <v>0</v>
      </c>
      <c r="T127" s="7">
        <f t="shared" si="47"/>
        <v>0</v>
      </c>
      <c r="U127" s="7">
        <f t="shared" si="48"/>
        <v>0</v>
      </c>
      <c r="V127" s="4">
        <f t="shared" si="49"/>
        <v>0</v>
      </c>
      <c r="W127" s="7">
        <f t="shared" si="50"/>
        <v>0</v>
      </c>
      <c r="X127" s="7">
        <f t="shared" si="51"/>
        <v>0</v>
      </c>
    </row>
    <row r="128" spans="2:24" ht="15.6" customHeight="1" x14ac:dyDescent="0.3">
      <c r="B128" s="7"/>
      <c r="C128" s="7"/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7">
        <f t="shared" si="39"/>
        <v>0</v>
      </c>
      <c r="K128" s="7">
        <f t="shared" si="40"/>
        <v>0</v>
      </c>
      <c r="L128" s="7">
        <f t="shared" si="41"/>
        <v>0</v>
      </c>
      <c r="M128" s="7">
        <f t="shared" si="42"/>
        <v>0</v>
      </c>
      <c r="N128" s="7">
        <f t="shared" si="43"/>
        <v>0</v>
      </c>
      <c r="O128" s="7">
        <f t="shared" si="44"/>
        <v>0</v>
      </c>
      <c r="P128" s="7" t="str">
        <f t="shared" si="45"/>
        <v>(, ]</v>
      </c>
      <c r="Q128" s="7" t="s">
        <v>93</v>
      </c>
      <c r="R128" s="7">
        <f t="shared" si="46"/>
        <v>0</v>
      </c>
      <c r="S128" s="4">
        <v>0</v>
      </c>
      <c r="T128" s="7">
        <f t="shared" si="47"/>
        <v>0</v>
      </c>
      <c r="U128" s="7">
        <f t="shared" si="48"/>
        <v>0</v>
      </c>
      <c r="V128" s="4">
        <f t="shared" si="49"/>
        <v>0</v>
      </c>
      <c r="W128" s="7">
        <f t="shared" si="50"/>
        <v>0</v>
      </c>
      <c r="X128" s="7">
        <f t="shared" si="51"/>
        <v>0</v>
      </c>
    </row>
    <row r="129" spans="2:24" ht="15.6" customHeight="1" x14ac:dyDescent="0.3">
      <c r="B129" s="3" t="s">
        <v>166</v>
      </c>
      <c r="V129" s="4">
        <f>SUM(V70:V128)</f>
        <v>999999997</v>
      </c>
    </row>
    <row r="132" spans="2:24" ht="15.6" customHeight="1" x14ac:dyDescent="0.3">
      <c r="B132" s="1" t="s">
        <v>10</v>
      </c>
      <c r="D132" s="3" t="s">
        <v>171</v>
      </c>
      <c r="G132" s="3" t="s">
        <v>172</v>
      </c>
      <c r="J132" s="3" t="s">
        <v>173</v>
      </c>
      <c r="M132" s="3" t="s">
        <v>174</v>
      </c>
    </row>
    <row r="133" spans="2:24" ht="15.6" customHeight="1" x14ac:dyDescent="0.3">
      <c r="B133" s="3" t="s">
        <v>159</v>
      </c>
      <c r="C133" s="3" t="s">
        <v>160</v>
      </c>
      <c r="D133" s="3" t="s">
        <v>92</v>
      </c>
      <c r="E133" s="3" t="s">
        <v>93</v>
      </c>
      <c r="F133" s="3" t="s">
        <v>181</v>
      </c>
      <c r="G133" s="3" t="s">
        <v>92</v>
      </c>
      <c r="H133" s="3" t="s">
        <v>93</v>
      </c>
      <c r="I133" s="3" t="s">
        <v>181</v>
      </c>
      <c r="J133" s="3" t="s">
        <v>92</v>
      </c>
      <c r="K133" s="3" t="s">
        <v>93</v>
      </c>
      <c r="L133" s="3" t="s">
        <v>181</v>
      </c>
      <c r="M133" s="3" t="s">
        <v>92</v>
      </c>
      <c r="N133" s="3" t="s">
        <v>93</v>
      </c>
      <c r="O133" s="3" t="s">
        <v>181</v>
      </c>
      <c r="P133" s="3" t="s">
        <v>161</v>
      </c>
      <c r="Q133" s="3" t="s">
        <v>162</v>
      </c>
      <c r="R133" s="3" t="s">
        <v>163</v>
      </c>
      <c r="S133" s="3" t="s">
        <v>176</v>
      </c>
      <c r="T133" s="3" t="s">
        <v>177</v>
      </c>
      <c r="U133" s="3" t="s">
        <v>178</v>
      </c>
      <c r="V133" s="3" t="s">
        <v>91</v>
      </c>
      <c r="W133" s="3" t="s">
        <v>170</v>
      </c>
      <c r="X133" s="3" t="s">
        <v>179</v>
      </c>
    </row>
    <row r="134" spans="2:24" ht="15.6" customHeight="1" x14ac:dyDescent="0.3">
      <c r="B134" s="7">
        <v>-1</v>
      </c>
      <c r="C134" s="7">
        <v>0</v>
      </c>
      <c r="D134" s="4">
        <v>0</v>
      </c>
      <c r="E134" s="4">
        <v>316</v>
      </c>
      <c r="F134" s="4">
        <v>0</v>
      </c>
      <c r="G134" s="4">
        <v>0</v>
      </c>
      <c r="H134" s="4">
        <v>0</v>
      </c>
      <c r="I134" s="4">
        <v>0</v>
      </c>
      <c r="J134" s="7">
        <f t="shared" ref="J134:J165" si="52">IF(SUM(D$134:D$192)=0,0,D134/SUM(D$134:D$192))</f>
        <v>0</v>
      </c>
      <c r="K134" s="7">
        <f t="shared" ref="K134:K165" si="53">IF(SUM(E$134:E$192)=0,0,E134/SUM(E$134:E$192))</f>
        <v>3.128663308304027E-4</v>
      </c>
      <c r="L134" s="7">
        <f t="shared" ref="L134:L165" si="54">IF(SUM(F$134:F$192)=0,0,F134/SUM(F$134:F$192))</f>
        <v>0</v>
      </c>
      <c r="M134" s="7">
        <f t="shared" ref="M134:M165" si="55">IF(D134=0,0,G134/D134/$C$3/5)</f>
        <v>0</v>
      </c>
      <c r="N134" s="7">
        <f t="shared" ref="N134:N165" si="56">IF(E134=0,0,H134/E134/$C$3/5)</f>
        <v>0</v>
      </c>
      <c r="O134" s="7">
        <f t="shared" ref="O134:O165" si="57">IF(F134=0,0,I134/F134/$C$3/5)</f>
        <v>0</v>
      </c>
      <c r="P134" s="7" t="str">
        <f t="shared" ref="P134:P165" si="58">"("&amp;B134&amp;", "&amp;C134&amp;"]"</f>
        <v>(-1, 0]</v>
      </c>
      <c r="Q134" s="7" t="s">
        <v>93</v>
      </c>
      <c r="R134" s="7">
        <f t="shared" ref="R134:R165" si="59">IFERROR(INDEX($J134:$L134,MATCH($Q134,$J$133:$L$133,0)),0)</f>
        <v>3.128663308304027E-4</v>
      </c>
      <c r="S134" s="4">
        <v>0</v>
      </c>
      <c r="T134" s="7">
        <f t="shared" ref="T134:T165" si="60">$R134*$S134</f>
        <v>0</v>
      </c>
      <c r="U134" s="7">
        <f t="shared" ref="U134:U165" si="61">IF(SUM(T$134:T$192)=0,0,T134/SUM(T$134:T$192))</f>
        <v>0</v>
      </c>
      <c r="V134" s="4">
        <f t="shared" ref="V134:V165" si="62">INT(U134*$C$2)</f>
        <v>0</v>
      </c>
      <c r="W134" s="7">
        <f t="shared" ref="W134:W165" si="63">IF(SUM(V$134:V$192)=0,0,V134/SUM(V$134:V$192))</f>
        <v>0</v>
      </c>
      <c r="X134" s="7">
        <f t="shared" ref="X134:X165" si="64">IFERROR(INDEX($M134:$O134,MATCH($Q134,$M$133:$O$133,0)),0)*V134/$C$2</f>
        <v>0</v>
      </c>
    </row>
    <row r="135" spans="2:24" ht="15.6" customHeight="1" x14ac:dyDescent="0.3">
      <c r="B135" s="7">
        <v>0</v>
      </c>
      <c r="C135" s="7">
        <v>1</v>
      </c>
      <c r="D135" s="4">
        <v>0</v>
      </c>
      <c r="E135" s="4">
        <v>2222</v>
      </c>
      <c r="F135" s="4">
        <v>0</v>
      </c>
      <c r="G135" s="4">
        <v>0</v>
      </c>
      <c r="H135" s="4">
        <v>676000</v>
      </c>
      <c r="I135" s="4">
        <v>0</v>
      </c>
      <c r="J135" s="7">
        <f t="shared" si="52"/>
        <v>0</v>
      </c>
      <c r="K135" s="7">
        <f t="shared" si="53"/>
        <v>2.1999651490669453E-3</v>
      </c>
      <c r="L135" s="7">
        <f t="shared" si="54"/>
        <v>0</v>
      </c>
      <c r="M135" s="7">
        <f t="shared" si="55"/>
        <v>0</v>
      </c>
      <c r="N135" s="7">
        <f t="shared" si="56"/>
        <v>0.60846084608460838</v>
      </c>
      <c r="O135" s="7">
        <f t="shared" si="57"/>
        <v>0</v>
      </c>
      <c r="P135" s="7" t="str">
        <f t="shared" si="58"/>
        <v>(0, 1]</v>
      </c>
      <c r="Q135" s="7" t="s">
        <v>93</v>
      </c>
      <c r="R135" s="7">
        <f t="shared" si="59"/>
        <v>2.1999651490669453E-3</v>
      </c>
      <c r="S135" s="4">
        <v>0</v>
      </c>
      <c r="T135" s="7">
        <f t="shared" si="60"/>
        <v>0</v>
      </c>
      <c r="U135" s="7">
        <f t="shared" si="61"/>
        <v>0</v>
      </c>
      <c r="V135" s="4">
        <f t="shared" si="62"/>
        <v>0</v>
      </c>
      <c r="W135" s="7">
        <f t="shared" si="63"/>
        <v>0</v>
      </c>
      <c r="X135" s="7">
        <f t="shared" si="64"/>
        <v>0</v>
      </c>
    </row>
    <row r="136" spans="2:24" ht="15.6" customHeight="1" x14ac:dyDescent="0.3">
      <c r="B136" s="7">
        <v>1</v>
      </c>
      <c r="C136" s="7">
        <v>2</v>
      </c>
      <c r="D136" s="4">
        <v>0</v>
      </c>
      <c r="E136" s="4">
        <v>2756</v>
      </c>
      <c r="F136" s="4">
        <v>0</v>
      </c>
      <c r="G136" s="4">
        <v>0</v>
      </c>
      <c r="H136" s="4">
        <v>2169950</v>
      </c>
      <c r="I136" s="4">
        <v>0</v>
      </c>
      <c r="J136" s="7">
        <f t="shared" si="52"/>
        <v>0</v>
      </c>
      <c r="K136" s="7">
        <f t="shared" si="53"/>
        <v>2.7286696448373094E-3</v>
      </c>
      <c r="L136" s="7">
        <f t="shared" si="54"/>
        <v>0</v>
      </c>
      <c r="M136" s="7">
        <f t="shared" si="55"/>
        <v>0</v>
      </c>
      <c r="N136" s="7">
        <f t="shared" si="56"/>
        <v>1.5747097242380261</v>
      </c>
      <c r="O136" s="7">
        <f t="shared" si="57"/>
        <v>0</v>
      </c>
      <c r="P136" s="7" t="str">
        <f t="shared" si="58"/>
        <v>(1, 2]</v>
      </c>
      <c r="Q136" s="7" t="s">
        <v>93</v>
      </c>
      <c r="R136" s="7">
        <f t="shared" si="59"/>
        <v>2.7286696448373094E-3</v>
      </c>
      <c r="S136" s="4">
        <v>0</v>
      </c>
      <c r="T136" s="7">
        <f t="shared" si="60"/>
        <v>0</v>
      </c>
      <c r="U136" s="7">
        <f t="shared" si="61"/>
        <v>0</v>
      </c>
      <c r="V136" s="4">
        <f t="shared" si="62"/>
        <v>0</v>
      </c>
      <c r="W136" s="7">
        <f t="shared" si="63"/>
        <v>0</v>
      </c>
      <c r="X136" s="7">
        <f t="shared" si="64"/>
        <v>0</v>
      </c>
    </row>
    <row r="137" spans="2:24" ht="15.6" customHeight="1" x14ac:dyDescent="0.3">
      <c r="B137" s="7">
        <v>2</v>
      </c>
      <c r="C137" s="7">
        <v>3</v>
      </c>
      <c r="D137" s="4">
        <v>0</v>
      </c>
      <c r="E137" s="4">
        <v>3023</v>
      </c>
      <c r="F137" s="4">
        <v>0</v>
      </c>
      <c r="G137" s="4">
        <v>0</v>
      </c>
      <c r="H137" s="4">
        <v>3886500</v>
      </c>
      <c r="I137" s="4">
        <v>0</v>
      </c>
      <c r="J137" s="7">
        <f t="shared" si="52"/>
        <v>0</v>
      </c>
      <c r="K137" s="7">
        <f t="shared" si="53"/>
        <v>2.9930218927224916E-3</v>
      </c>
      <c r="L137" s="7">
        <f t="shared" si="54"/>
        <v>0</v>
      </c>
      <c r="M137" s="7">
        <f t="shared" si="55"/>
        <v>0</v>
      </c>
      <c r="N137" s="7">
        <f t="shared" si="56"/>
        <v>2.5712868011908698</v>
      </c>
      <c r="O137" s="7">
        <f t="shared" si="57"/>
        <v>0</v>
      </c>
      <c r="P137" s="7" t="str">
        <f t="shared" si="58"/>
        <v>(2, 3]</v>
      </c>
      <c r="Q137" s="7" t="s">
        <v>93</v>
      </c>
      <c r="R137" s="7">
        <f t="shared" si="59"/>
        <v>2.9930218927224916E-3</v>
      </c>
      <c r="S137" s="4">
        <v>0</v>
      </c>
      <c r="T137" s="7">
        <f t="shared" si="60"/>
        <v>0</v>
      </c>
      <c r="U137" s="7">
        <f t="shared" si="61"/>
        <v>0</v>
      </c>
      <c r="V137" s="4">
        <f t="shared" si="62"/>
        <v>0</v>
      </c>
      <c r="W137" s="7">
        <f t="shared" si="63"/>
        <v>0</v>
      </c>
      <c r="X137" s="7">
        <f t="shared" si="64"/>
        <v>0</v>
      </c>
    </row>
    <row r="138" spans="2:24" ht="15.6" customHeight="1" x14ac:dyDescent="0.3">
      <c r="B138" s="7">
        <v>3</v>
      </c>
      <c r="C138" s="7">
        <v>4</v>
      </c>
      <c r="D138" s="4">
        <v>0</v>
      </c>
      <c r="E138" s="4">
        <v>3095</v>
      </c>
      <c r="F138" s="4">
        <v>0</v>
      </c>
      <c r="G138" s="4">
        <v>0</v>
      </c>
      <c r="H138" s="4">
        <v>5503800</v>
      </c>
      <c r="I138" s="4">
        <v>0</v>
      </c>
      <c r="J138" s="7">
        <f t="shared" si="52"/>
        <v>0</v>
      </c>
      <c r="K138" s="7">
        <f t="shared" si="53"/>
        <v>3.0643078921522037E-3</v>
      </c>
      <c r="L138" s="7">
        <f t="shared" si="54"/>
        <v>0</v>
      </c>
      <c r="M138" s="7">
        <f t="shared" si="55"/>
        <v>0</v>
      </c>
      <c r="N138" s="7">
        <f t="shared" si="56"/>
        <v>3.5565751211631662</v>
      </c>
      <c r="O138" s="7">
        <f t="shared" si="57"/>
        <v>0</v>
      </c>
      <c r="P138" s="7" t="str">
        <f t="shared" si="58"/>
        <v>(3, 4]</v>
      </c>
      <c r="Q138" s="7" t="s">
        <v>93</v>
      </c>
      <c r="R138" s="7">
        <f t="shared" si="59"/>
        <v>3.0643078921522037E-3</v>
      </c>
      <c r="S138" s="4">
        <v>0</v>
      </c>
      <c r="T138" s="7">
        <f t="shared" si="60"/>
        <v>0</v>
      </c>
      <c r="U138" s="7">
        <f t="shared" si="61"/>
        <v>0</v>
      </c>
      <c r="V138" s="4">
        <f t="shared" si="62"/>
        <v>0</v>
      </c>
      <c r="W138" s="7">
        <f t="shared" si="63"/>
        <v>0</v>
      </c>
      <c r="X138" s="7">
        <f t="shared" si="64"/>
        <v>0</v>
      </c>
    </row>
    <row r="139" spans="2:24" ht="15.6" customHeight="1" x14ac:dyDescent="0.3">
      <c r="B139" s="7">
        <v>4</v>
      </c>
      <c r="C139" s="7">
        <v>5</v>
      </c>
      <c r="D139" s="4">
        <v>0</v>
      </c>
      <c r="E139" s="4">
        <v>3068</v>
      </c>
      <c r="F139" s="4">
        <v>0</v>
      </c>
      <c r="G139" s="4">
        <v>0</v>
      </c>
      <c r="H139" s="4">
        <v>7011850</v>
      </c>
      <c r="I139" s="4">
        <v>0</v>
      </c>
      <c r="J139" s="7">
        <f t="shared" si="52"/>
        <v>0</v>
      </c>
      <c r="K139" s="7">
        <f t="shared" si="53"/>
        <v>3.0375756423660616E-3</v>
      </c>
      <c r="L139" s="7">
        <f t="shared" si="54"/>
        <v>0</v>
      </c>
      <c r="M139" s="7">
        <f t="shared" si="55"/>
        <v>0</v>
      </c>
      <c r="N139" s="7">
        <f t="shared" si="56"/>
        <v>4.5709582790091261</v>
      </c>
      <c r="O139" s="7">
        <f t="shared" si="57"/>
        <v>0</v>
      </c>
      <c r="P139" s="7" t="str">
        <f t="shared" si="58"/>
        <v>(4, 5]</v>
      </c>
      <c r="Q139" s="7" t="s">
        <v>93</v>
      </c>
      <c r="R139" s="7">
        <f t="shared" si="59"/>
        <v>3.0375756423660616E-3</v>
      </c>
      <c r="S139" s="4">
        <v>2</v>
      </c>
      <c r="T139" s="7">
        <f t="shared" si="60"/>
        <v>6.0751512847321233E-3</v>
      </c>
      <c r="U139" s="7">
        <f t="shared" si="61"/>
        <v>8.9914936866461858E-3</v>
      </c>
      <c r="V139" s="4">
        <f t="shared" si="62"/>
        <v>8991493</v>
      </c>
      <c r="W139" s="7">
        <f t="shared" si="63"/>
        <v>8.9914931348723977E-3</v>
      </c>
      <c r="X139" s="7">
        <f t="shared" si="64"/>
        <v>4.1099739369002602E-2</v>
      </c>
    </row>
    <row r="140" spans="2:24" ht="15.6" customHeight="1" x14ac:dyDescent="0.3">
      <c r="B140" s="7">
        <v>5</v>
      </c>
      <c r="C140" s="7">
        <v>6</v>
      </c>
      <c r="D140" s="4">
        <v>0</v>
      </c>
      <c r="E140" s="4">
        <v>3185</v>
      </c>
      <c r="F140" s="4">
        <v>0</v>
      </c>
      <c r="G140" s="4">
        <v>0</v>
      </c>
      <c r="H140" s="4">
        <v>8850050</v>
      </c>
      <c r="I140" s="4">
        <v>0</v>
      </c>
      <c r="J140" s="7">
        <f t="shared" si="52"/>
        <v>0</v>
      </c>
      <c r="K140" s="7">
        <f t="shared" si="53"/>
        <v>3.1534153914393437E-3</v>
      </c>
      <c r="L140" s="7">
        <f t="shared" si="54"/>
        <v>0</v>
      </c>
      <c r="M140" s="7">
        <f t="shared" si="55"/>
        <v>0</v>
      </c>
      <c r="N140" s="7">
        <f t="shared" si="56"/>
        <v>5.5573312401883834</v>
      </c>
      <c r="O140" s="7">
        <f t="shared" si="57"/>
        <v>0</v>
      </c>
      <c r="P140" s="7" t="str">
        <f t="shared" si="58"/>
        <v>(5, 6]</v>
      </c>
      <c r="Q140" s="7" t="s">
        <v>93</v>
      </c>
      <c r="R140" s="7">
        <f t="shared" si="59"/>
        <v>3.1534153914393437E-3</v>
      </c>
      <c r="S140" s="4">
        <v>4.8</v>
      </c>
      <c r="T140" s="7">
        <f t="shared" si="60"/>
        <v>1.513639387890885E-2</v>
      </c>
      <c r="U140" s="7">
        <f t="shared" si="61"/>
        <v>2.2402535117576092E-2</v>
      </c>
      <c r="V140" s="4">
        <f t="shared" si="62"/>
        <v>22402535</v>
      </c>
      <c r="W140" s="7">
        <f t="shared" si="63"/>
        <v>2.2402535336038028E-2</v>
      </c>
      <c r="X140" s="7">
        <f t="shared" si="64"/>
        <v>0.12449830761491368</v>
      </c>
    </row>
    <row r="141" spans="2:24" ht="15.6" customHeight="1" x14ac:dyDescent="0.3">
      <c r="B141" s="7">
        <v>6</v>
      </c>
      <c r="C141" s="7">
        <v>7</v>
      </c>
      <c r="D141" s="4">
        <v>0</v>
      </c>
      <c r="E141" s="4">
        <v>3215</v>
      </c>
      <c r="F141" s="4">
        <v>0</v>
      </c>
      <c r="G141" s="4">
        <v>0</v>
      </c>
      <c r="H141" s="4">
        <v>10540600</v>
      </c>
      <c r="I141" s="4">
        <v>0</v>
      </c>
      <c r="J141" s="7">
        <f t="shared" si="52"/>
        <v>0</v>
      </c>
      <c r="K141" s="7">
        <f t="shared" si="53"/>
        <v>3.1831178912017236E-3</v>
      </c>
      <c r="L141" s="7">
        <f t="shared" si="54"/>
        <v>0</v>
      </c>
      <c r="M141" s="7">
        <f t="shared" si="55"/>
        <v>0</v>
      </c>
      <c r="N141" s="7">
        <f t="shared" si="56"/>
        <v>6.5571384136858484</v>
      </c>
      <c r="O141" s="7">
        <f t="shared" si="57"/>
        <v>0</v>
      </c>
      <c r="P141" s="7" t="str">
        <f t="shared" si="58"/>
        <v>(6, 7]</v>
      </c>
      <c r="Q141" s="7" t="s">
        <v>93</v>
      </c>
      <c r="R141" s="7">
        <f t="shared" si="59"/>
        <v>3.1831178912017236E-3</v>
      </c>
      <c r="S141" s="4">
        <v>6</v>
      </c>
      <c r="T141" s="7">
        <f t="shared" si="60"/>
        <v>1.9098707347210343E-2</v>
      </c>
      <c r="U141" s="7">
        <f t="shared" si="61"/>
        <v>2.8266935009029489E-2</v>
      </c>
      <c r="V141" s="4">
        <f t="shared" si="62"/>
        <v>28266935</v>
      </c>
      <c r="W141" s="7">
        <f t="shared" si="63"/>
        <v>2.826693542400403E-2</v>
      </c>
      <c r="X141" s="7">
        <f t="shared" si="64"/>
        <v>0.18535020532566096</v>
      </c>
    </row>
    <row r="142" spans="2:24" ht="15.6" customHeight="1" x14ac:dyDescent="0.3">
      <c r="B142" s="7">
        <v>7</v>
      </c>
      <c r="C142" s="7">
        <v>8</v>
      </c>
      <c r="D142" s="4">
        <v>0</v>
      </c>
      <c r="E142" s="4">
        <v>3055</v>
      </c>
      <c r="F142" s="4">
        <v>0</v>
      </c>
      <c r="G142" s="4">
        <v>0</v>
      </c>
      <c r="H142" s="4">
        <v>11542100</v>
      </c>
      <c r="I142" s="4">
        <v>0</v>
      </c>
      <c r="J142" s="7">
        <f t="shared" si="52"/>
        <v>0</v>
      </c>
      <c r="K142" s="7">
        <f t="shared" si="53"/>
        <v>3.024704559135697E-3</v>
      </c>
      <c r="L142" s="7">
        <f t="shared" si="54"/>
        <v>0</v>
      </c>
      <c r="M142" s="7">
        <f t="shared" si="55"/>
        <v>0</v>
      </c>
      <c r="N142" s="7">
        <f t="shared" si="56"/>
        <v>7.5562029459901794</v>
      </c>
      <c r="O142" s="7">
        <f t="shared" si="57"/>
        <v>0</v>
      </c>
      <c r="P142" s="7" t="str">
        <f t="shared" si="58"/>
        <v>(7, 8]</v>
      </c>
      <c r="Q142" s="7" t="s">
        <v>93</v>
      </c>
      <c r="R142" s="7">
        <f t="shared" si="59"/>
        <v>3.024704559135697E-3</v>
      </c>
      <c r="S142" s="4">
        <v>6</v>
      </c>
      <c r="T142" s="7">
        <f t="shared" si="60"/>
        <v>1.8148227354814181E-2</v>
      </c>
      <c r="U142" s="7">
        <f t="shared" si="61"/>
        <v>2.6860182411379496E-2</v>
      </c>
      <c r="V142" s="4">
        <f t="shared" si="62"/>
        <v>26860182</v>
      </c>
      <c r="W142" s="7">
        <f t="shared" si="63"/>
        <v>2.6860182402902735E-2</v>
      </c>
      <c r="X142" s="7">
        <f t="shared" si="64"/>
        <v>0.20296098635823237</v>
      </c>
    </row>
    <row r="143" spans="2:24" ht="15.6" customHeight="1" x14ac:dyDescent="0.3">
      <c r="B143" s="7">
        <v>8</v>
      </c>
      <c r="C143" s="7">
        <v>9</v>
      </c>
      <c r="D143" s="4">
        <v>0</v>
      </c>
      <c r="E143" s="4">
        <v>3155</v>
      </c>
      <c r="F143" s="4">
        <v>0</v>
      </c>
      <c r="G143" s="4">
        <v>0</v>
      </c>
      <c r="H143" s="4">
        <v>13497550</v>
      </c>
      <c r="I143" s="4">
        <v>0</v>
      </c>
      <c r="J143" s="7">
        <f t="shared" si="52"/>
        <v>0</v>
      </c>
      <c r="K143" s="7">
        <f t="shared" si="53"/>
        <v>3.1237128916769634E-3</v>
      </c>
      <c r="L143" s="7">
        <f t="shared" si="54"/>
        <v>0</v>
      </c>
      <c r="M143" s="7">
        <f t="shared" si="55"/>
        <v>0</v>
      </c>
      <c r="N143" s="7">
        <f t="shared" si="56"/>
        <v>8.5562916006339158</v>
      </c>
      <c r="O143" s="7">
        <f t="shared" si="57"/>
        <v>0</v>
      </c>
      <c r="P143" s="7" t="str">
        <f t="shared" si="58"/>
        <v>(8, 9]</v>
      </c>
      <c r="Q143" s="7" t="s">
        <v>93</v>
      </c>
      <c r="R143" s="7">
        <f t="shared" si="59"/>
        <v>3.1237128916769634E-3</v>
      </c>
      <c r="S143" s="4">
        <v>6</v>
      </c>
      <c r="T143" s="7">
        <f t="shared" si="60"/>
        <v>1.874227735006178E-2</v>
      </c>
      <c r="U143" s="7">
        <f t="shared" si="61"/>
        <v>2.7739402784910737E-2</v>
      </c>
      <c r="V143" s="4">
        <f t="shared" si="62"/>
        <v>27739402</v>
      </c>
      <c r="W143" s="7">
        <f t="shared" si="63"/>
        <v>2.7739402416091036E-2</v>
      </c>
      <c r="X143" s="7">
        <f t="shared" si="64"/>
        <v>0.23734641233920764</v>
      </c>
    </row>
    <row r="144" spans="2:24" ht="15.6" customHeight="1" x14ac:dyDescent="0.3">
      <c r="B144" s="7">
        <v>9</v>
      </c>
      <c r="C144" s="7">
        <v>10</v>
      </c>
      <c r="D144" s="4">
        <v>0</v>
      </c>
      <c r="E144" s="4">
        <v>3289</v>
      </c>
      <c r="F144" s="4">
        <v>0</v>
      </c>
      <c r="G144" s="4">
        <v>0</v>
      </c>
      <c r="H144" s="4">
        <v>15750950</v>
      </c>
      <c r="I144" s="4">
        <v>0</v>
      </c>
      <c r="J144" s="7">
        <f t="shared" si="52"/>
        <v>0</v>
      </c>
      <c r="K144" s="7">
        <f t="shared" si="53"/>
        <v>3.2563840572822607E-3</v>
      </c>
      <c r="L144" s="7">
        <f t="shared" si="54"/>
        <v>0</v>
      </c>
      <c r="M144" s="7">
        <f t="shared" si="55"/>
        <v>0</v>
      </c>
      <c r="N144" s="7">
        <f t="shared" si="56"/>
        <v>9.5779568257829126</v>
      </c>
      <c r="O144" s="7">
        <f t="shared" si="57"/>
        <v>0</v>
      </c>
      <c r="P144" s="7" t="str">
        <f t="shared" si="58"/>
        <v>(9, 10]</v>
      </c>
      <c r="Q144" s="7" t="s">
        <v>93</v>
      </c>
      <c r="R144" s="7">
        <f t="shared" si="59"/>
        <v>3.2563840572822607E-3</v>
      </c>
      <c r="S144" s="4">
        <v>6</v>
      </c>
      <c r="T144" s="7">
        <f t="shared" si="60"/>
        <v>1.9538304343693566E-2</v>
      </c>
      <c r="U144" s="7">
        <f t="shared" si="61"/>
        <v>2.8917558085442607E-2</v>
      </c>
      <c r="V144" s="4">
        <f t="shared" si="62"/>
        <v>28917558</v>
      </c>
      <c r="W144" s="7">
        <f t="shared" si="63"/>
        <v>2.8917558433763375E-2</v>
      </c>
      <c r="X144" s="7">
        <f t="shared" si="64"/>
        <v>0.27697112203107327</v>
      </c>
    </row>
    <row r="145" spans="2:24" ht="15.6" customHeight="1" x14ac:dyDescent="0.3">
      <c r="B145" s="7">
        <v>10</v>
      </c>
      <c r="C145" s="7">
        <v>15</v>
      </c>
      <c r="D145" s="4">
        <v>0</v>
      </c>
      <c r="E145" s="4">
        <v>16424</v>
      </c>
      <c r="F145" s="4">
        <v>0</v>
      </c>
      <c r="G145" s="4">
        <v>0</v>
      </c>
      <c r="H145" s="4">
        <v>103238050</v>
      </c>
      <c r="I145" s="4">
        <v>0</v>
      </c>
      <c r="J145" s="7">
        <f t="shared" si="52"/>
        <v>0</v>
      </c>
      <c r="K145" s="7">
        <f t="shared" si="53"/>
        <v>1.626112853657764E-2</v>
      </c>
      <c r="L145" s="7">
        <f t="shared" si="54"/>
        <v>0</v>
      </c>
      <c r="M145" s="7">
        <f t="shared" si="55"/>
        <v>0</v>
      </c>
      <c r="N145" s="7">
        <f t="shared" si="56"/>
        <v>12.571608621529469</v>
      </c>
      <c r="O145" s="7">
        <f t="shared" si="57"/>
        <v>0</v>
      </c>
      <c r="P145" s="7" t="str">
        <f t="shared" si="58"/>
        <v>(10, 15]</v>
      </c>
      <c r="Q145" s="7" t="s">
        <v>93</v>
      </c>
      <c r="R145" s="7">
        <f t="shared" si="59"/>
        <v>1.626112853657764E-2</v>
      </c>
      <c r="S145" s="4">
        <v>5.3274375020883573</v>
      </c>
      <c r="T145" s="7">
        <f t="shared" si="60"/>
        <v>8.6630145992042884E-2</v>
      </c>
      <c r="U145" s="7">
        <f t="shared" si="61"/>
        <v>0.12821646313866852</v>
      </c>
      <c r="V145" s="4">
        <f t="shared" si="62"/>
        <v>128216463</v>
      </c>
      <c r="W145" s="7">
        <f t="shared" si="63"/>
        <v>0.12821646492324698</v>
      </c>
      <c r="X145" s="7">
        <f t="shared" si="64"/>
        <v>1.6118871916728141</v>
      </c>
    </row>
    <row r="146" spans="2:24" ht="15.6" customHeight="1" x14ac:dyDescent="0.3">
      <c r="B146" s="7">
        <v>15</v>
      </c>
      <c r="C146" s="7">
        <v>20</v>
      </c>
      <c r="D146" s="4">
        <v>0</v>
      </c>
      <c r="E146" s="4">
        <v>17312</v>
      </c>
      <c r="F146" s="4">
        <v>0</v>
      </c>
      <c r="G146" s="4">
        <v>0</v>
      </c>
      <c r="H146" s="4">
        <v>152147550</v>
      </c>
      <c r="I146" s="4">
        <v>0</v>
      </c>
      <c r="J146" s="7">
        <f t="shared" si="52"/>
        <v>0</v>
      </c>
      <c r="K146" s="7">
        <f t="shared" si="53"/>
        <v>1.7140322529544085E-2</v>
      </c>
      <c r="L146" s="7">
        <f t="shared" si="54"/>
        <v>0</v>
      </c>
      <c r="M146" s="7">
        <f t="shared" si="55"/>
        <v>0</v>
      </c>
      <c r="N146" s="7">
        <f t="shared" si="56"/>
        <v>17.577119916820703</v>
      </c>
      <c r="O146" s="7">
        <f t="shared" si="57"/>
        <v>0</v>
      </c>
      <c r="P146" s="7" t="str">
        <f t="shared" si="58"/>
        <v>(15, 20]</v>
      </c>
      <c r="Q146" s="7" t="s">
        <v>93</v>
      </c>
      <c r="R146" s="7">
        <f t="shared" si="59"/>
        <v>1.7140322529544085E-2</v>
      </c>
      <c r="S146" s="4">
        <v>4.2863730011349572</v>
      </c>
      <c r="T146" s="7">
        <f t="shared" si="60"/>
        <v>7.3469815721383003E-2</v>
      </c>
      <c r="U146" s="7">
        <f t="shared" si="61"/>
        <v>0.10873858991430903</v>
      </c>
      <c r="V146" s="4">
        <f t="shared" si="62"/>
        <v>108738589</v>
      </c>
      <c r="W146" s="7">
        <f t="shared" si="63"/>
        <v>0.10873859063107887</v>
      </c>
      <c r="X146" s="7">
        <f t="shared" si="64"/>
        <v>1.9113112184388807</v>
      </c>
    </row>
    <row r="147" spans="2:24" ht="15.6" customHeight="1" x14ac:dyDescent="0.3">
      <c r="B147" s="7">
        <v>20</v>
      </c>
      <c r="C147" s="7">
        <v>25</v>
      </c>
      <c r="D147" s="4">
        <v>0</v>
      </c>
      <c r="E147" s="4">
        <v>17755</v>
      </c>
      <c r="F147" s="4">
        <v>0</v>
      </c>
      <c r="G147" s="4">
        <v>0</v>
      </c>
      <c r="H147" s="4">
        <v>200341300</v>
      </c>
      <c r="I147" s="4">
        <v>0</v>
      </c>
      <c r="J147" s="7">
        <f t="shared" si="52"/>
        <v>0</v>
      </c>
      <c r="K147" s="7">
        <f t="shared" si="53"/>
        <v>1.7578929442701896E-2</v>
      </c>
      <c r="L147" s="7">
        <f t="shared" si="54"/>
        <v>0</v>
      </c>
      <c r="M147" s="7">
        <f t="shared" si="55"/>
        <v>0</v>
      </c>
      <c r="N147" s="7">
        <f t="shared" si="56"/>
        <v>22.567310616727681</v>
      </c>
      <c r="O147" s="7">
        <f t="shared" si="57"/>
        <v>0</v>
      </c>
      <c r="P147" s="7" t="str">
        <f t="shared" si="58"/>
        <v>(20, 25]</v>
      </c>
      <c r="Q147" s="7" t="s">
        <v>93</v>
      </c>
      <c r="R147" s="7">
        <f t="shared" si="59"/>
        <v>1.7578929442701896E-2</v>
      </c>
      <c r="S147" s="4">
        <v>3.5683950597098688</v>
      </c>
      <c r="T147" s="7">
        <f t="shared" si="60"/>
        <v>6.272856497832581E-2</v>
      </c>
      <c r="U147" s="7">
        <f t="shared" si="61"/>
        <v>9.2841061817255072E-2</v>
      </c>
      <c r="V147" s="4">
        <f t="shared" si="62"/>
        <v>92841061</v>
      </c>
      <c r="W147" s="7">
        <f t="shared" si="63"/>
        <v>9.2841062392615942E-2</v>
      </c>
      <c r="X147" s="7">
        <f t="shared" si="64"/>
        <v>2.0951730615735622</v>
      </c>
    </row>
    <row r="148" spans="2:24" ht="15.6" customHeight="1" x14ac:dyDescent="0.3">
      <c r="B148" s="7">
        <v>25</v>
      </c>
      <c r="C148" s="7">
        <v>30</v>
      </c>
      <c r="D148" s="4">
        <v>0</v>
      </c>
      <c r="E148" s="4">
        <v>18253</v>
      </c>
      <c r="F148" s="4">
        <v>0</v>
      </c>
      <c r="G148" s="4">
        <v>0</v>
      </c>
      <c r="H148" s="4">
        <v>251527900</v>
      </c>
      <c r="I148" s="4">
        <v>0</v>
      </c>
      <c r="J148" s="7">
        <f t="shared" si="52"/>
        <v>0</v>
      </c>
      <c r="K148" s="7">
        <f t="shared" si="53"/>
        <v>1.8071990938757405E-2</v>
      </c>
      <c r="L148" s="7">
        <f t="shared" si="54"/>
        <v>0</v>
      </c>
      <c r="M148" s="7">
        <f t="shared" si="55"/>
        <v>0</v>
      </c>
      <c r="N148" s="7">
        <f t="shared" si="56"/>
        <v>27.560170930805896</v>
      </c>
      <c r="O148" s="7">
        <f t="shared" si="57"/>
        <v>0</v>
      </c>
      <c r="P148" s="7" t="str">
        <f t="shared" si="58"/>
        <v>(25, 30]</v>
      </c>
      <c r="Q148" s="7" t="s">
        <v>93</v>
      </c>
      <c r="R148" s="7">
        <f t="shared" si="59"/>
        <v>1.8071990938757405E-2</v>
      </c>
      <c r="S148" s="4">
        <v>3.085179008143097</v>
      </c>
      <c r="T148" s="7">
        <f t="shared" si="60"/>
        <v>5.5755327079606606E-2</v>
      </c>
      <c r="U148" s="7">
        <f t="shared" si="61"/>
        <v>8.2520360059688824E-2</v>
      </c>
      <c r="V148" s="4">
        <f t="shared" si="62"/>
        <v>82520360</v>
      </c>
      <c r="W148" s="7">
        <f t="shared" si="63"/>
        <v>8.2520361237805415E-2</v>
      </c>
      <c r="X148" s="7">
        <f t="shared" si="64"/>
        <v>2.2742752268716377</v>
      </c>
    </row>
    <row r="149" spans="2:24" ht="15.6" customHeight="1" x14ac:dyDescent="0.3">
      <c r="B149" s="7">
        <v>30</v>
      </c>
      <c r="C149" s="7">
        <v>35</v>
      </c>
      <c r="D149" s="4">
        <v>0</v>
      </c>
      <c r="E149" s="4">
        <v>18334</v>
      </c>
      <c r="F149" s="4">
        <v>0</v>
      </c>
      <c r="G149" s="4">
        <v>0</v>
      </c>
      <c r="H149" s="4">
        <v>298518250</v>
      </c>
      <c r="I149" s="4">
        <v>0</v>
      </c>
      <c r="J149" s="7">
        <f t="shared" si="52"/>
        <v>0</v>
      </c>
      <c r="K149" s="7">
        <f t="shared" si="53"/>
        <v>1.8152187688115832E-2</v>
      </c>
      <c r="L149" s="7">
        <f t="shared" si="54"/>
        <v>0</v>
      </c>
      <c r="M149" s="7">
        <f t="shared" si="55"/>
        <v>0</v>
      </c>
      <c r="N149" s="7">
        <f t="shared" si="56"/>
        <v>32.564443111159598</v>
      </c>
      <c r="O149" s="7">
        <f t="shared" si="57"/>
        <v>0</v>
      </c>
      <c r="P149" s="7" t="str">
        <f t="shared" si="58"/>
        <v>(30, 35]</v>
      </c>
      <c r="Q149" s="7" t="s">
        <v>93</v>
      </c>
      <c r="R149" s="7">
        <f t="shared" si="59"/>
        <v>1.8152187688115832E-2</v>
      </c>
      <c r="S149" s="4">
        <v>2.724755273684293</v>
      </c>
      <c r="T149" s="7">
        <f t="shared" si="60"/>
        <v>4.9460269132100707E-2</v>
      </c>
      <c r="U149" s="7">
        <f t="shared" si="61"/>
        <v>7.3203394746525111E-2</v>
      </c>
      <c r="V149" s="4">
        <f t="shared" si="62"/>
        <v>73203394</v>
      </c>
      <c r="W149" s="7">
        <f t="shared" si="63"/>
        <v>7.3203395098050933E-2</v>
      </c>
      <c r="X149" s="7">
        <f t="shared" si="64"/>
        <v>2.383827759456802</v>
      </c>
    </row>
    <row r="150" spans="2:24" ht="15.6" customHeight="1" x14ac:dyDescent="0.3">
      <c r="B150" s="7">
        <v>35</v>
      </c>
      <c r="C150" s="7">
        <v>40</v>
      </c>
      <c r="D150" s="4">
        <v>0</v>
      </c>
      <c r="E150" s="4">
        <v>18324</v>
      </c>
      <c r="F150" s="4">
        <v>0</v>
      </c>
      <c r="G150" s="4">
        <v>0</v>
      </c>
      <c r="H150" s="4">
        <v>344092900</v>
      </c>
      <c r="I150" s="4">
        <v>0</v>
      </c>
      <c r="J150" s="7">
        <f t="shared" si="52"/>
        <v>0</v>
      </c>
      <c r="K150" s="7">
        <f t="shared" si="53"/>
        <v>1.8142286854861706E-2</v>
      </c>
      <c r="L150" s="7">
        <f t="shared" si="54"/>
        <v>0</v>
      </c>
      <c r="M150" s="7">
        <f t="shared" si="55"/>
        <v>0</v>
      </c>
      <c r="N150" s="7">
        <f t="shared" si="56"/>
        <v>37.556526959179216</v>
      </c>
      <c r="O150" s="7">
        <f t="shared" si="57"/>
        <v>0</v>
      </c>
      <c r="P150" s="7" t="str">
        <f t="shared" si="58"/>
        <v>(35, 40]</v>
      </c>
      <c r="Q150" s="7" t="s">
        <v>93</v>
      </c>
      <c r="R150" s="7">
        <f t="shared" si="59"/>
        <v>1.8142286854861706E-2</v>
      </c>
      <c r="S150" s="4">
        <v>2.3509929993264018</v>
      </c>
      <c r="T150" s="7">
        <f t="shared" si="60"/>
        <v>4.2652389387551275E-2</v>
      </c>
      <c r="U150" s="7">
        <f t="shared" si="61"/>
        <v>6.3127430400352971E-2</v>
      </c>
      <c r="V150" s="4">
        <f t="shared" si="62"/>
        <v>63127430</v>
      </c>
      <c r="W150" s="7">
        <f t="shared" si="63"/>
        <v>6.3127430946911464E-2</v>
      </c>
      <c r="X150" s="7">
        <f t="shared" si="64"/>
        <v>2.3708470266586992</v>
      </c>
    </row>
    <row r="151" spans="2:24" ht="15.6" customHeight="1" x14ac:dyDescent="0.3">
      <c r="B151" s="7">
        <v>40</v>
      </c>
      <c r="C151" s="7">
        <v>45</v>
      </c>
      <c r="D151" s="4">
        <v>0</v>
      </c>
      <c r="E151" s="4">
        <v>18489</v>
      </c>
      <c r="F151" s="4">
        <v>0</v>
      </c>
      <c r="G151" s="4">
        <v>0</v>
      </c>
      <c r="H151" s="4">
        <v>393412650</v>
      </c>
      <c r="I151" s="4">
        <v>0</v>
      </c>
      <c r="J151" s="7">
        <f t="shared" si="52"/>
        <v>0</v>
      </c>
      <c r="K151" s="7">
        <f t="shared" si="53"/>
        <v>1.8305650603554796E-2</v>
      </c>
      <c r="L151" s="7">
        <f t="shared" si="54"/>
        <v>0</v>
      </c>
      <c r="M151" s="7">
        <f t="shared" si="55"/>
        <v>0</v>
      </c>
      <c r="N151" s="7">
        <f t="shared" si="56"/>
        <v>42.556401103358752</v>
      </c>
      <c r="O151" s="7">
        <f t="shared" si="57"/>
        <v>0</v>
      </c>
      <c r="P151" s="7" t="str">
        <f t="shared" si="58"/>
        <v>(40, 45]</v>
      </c>
      <c r="Q151" s="7" t="s">
        <v>93</v>
      </c>
      <c r="R151" s="7">
        <f t="shared" si="59"/>
        <v>1.8305650603554796E-2</v>
      </c>
      <c r="S151" s="4">
        <v>2.0488527649755728</v>
      </c>
      <c r="T151" s="7">
        <f t="shared" si="60"/>
        <v>3.7505582853770009E-2</v>
      </c>
      <c r="U151" s="7">
        <f t="shared" si="61"/>
        <v>5.5509928171036206E-2</v>
      </c>
      <c r="V151" s="4">
        <f t="shared" si="62"/>
        <v>55509928</v>
      </c>
      <c r="W151" s="7">
        <f t="shared" si="63"/>
        <v>5.5509928832648936E-2</v>
      </c>
      <c r="X151" s="7">
        <f t="shared" si="64"/>
        <v>2.362302761186565</v>
      </c>
    </row>
    <row r="152" spans="2:24" ht="15.6" customHeight="1" x14ac:dyDescent="0.3">
      <c r="B152" s="7">
        <v>45</v>
      </c>
      <c r="C152" s="7">
        <v>50</v>
      </c>
      <c r="D152" s="4">
        <v>0</v>
      </c>
      <c r="E152" s="4">
        <v>18523</v>
      </c>
      <c r="F152" s="4">
        <v>0</v>
      </c>
      <c r="G152" s="4">
        <v>0</v>
      </c>
      <c r="H152" s="4">
        <v>440355950</v>
      </c>
      <c r="I152" s="4">
        <v>0</v>
      </c>
      <c r="J152" s="7">
        <f t="shared" si="52"/>
        <v>0</v>
      </c>
      <c r="K152" s="7">
        <f t="shared" si="53"/>
        <v>1.8339313436618827E-2</v>
      </c>
      <c r="L152" s="7">
        <f t="shared" si="54"/>
        <v>0</v>
      </c>
      <c r="M152" s="7">
        <f t="shared" si="55"/>
        <v>0</v>
      </c>
      <c r="N152" s="7">
        <f t="shared" si="56"/>
        <v>47.546936241429577</v>
      </c>
      <c r="O152" s="7">
        <f t="shared" si="57"/>
        <v>0</v>
      </c>
      <c r="P152" s="7" t="str">
        <f t="shared" si="58"/>
        <v>(45, 50]</v>
      </c>
      <c r="Q152" s="7" t="s">
        <v>93</v>
      </c>
      <c r="R152" s="7">
        <f t="shared" si="59"/>
        <v>1.8339313436618827E-2</v>
      </c>
      <c r="S152" s="4">
        <v>1.8356113619579539</v>
      </c>
      <c r="T152" s="7">
        <f t="shared" si="60"/>
        <v>3.3663852114765691E-2</v>
      </c>
      <c r="U152" s="7">
        <f t="shared" si="61"/>
        <v>4.9823996073778971E-2</v>
      </c>
      <c r="V152" s="4">
        <f t="shared" si="62"/>
        <v>49823996</v>
      </c>
      <c r="W152" s="7">
        <f t="shared" si="63"/>
        <v>4.9823996747359954E-2</v>
      </c>
      <c r="X152" s="7">
        <f t="shared" si="64"/>
        <v>2.3689783611052424</v>
      </c>
    </row>
    <row r="153" spans="2:24" ht="15.6" customHeight="1" x14ac:dyDescent="0.3">
      <c r="B153" s="7">
        <v>50</v>
      </c>
      <c r="C153" s="7">
        <v>60</v>
      </c>
      <c r="D153" s="4">
        <v>0</v>
      </c>
      <c r="E153" s="4">
        <v>37030</v>
      </c>
      <c r="F153" s="4">
        <v>0</v>
      </c>
      <c r="G153" s="4">
        <v>0</v>
      </c>
      <c r="H153" s="4">
        <v>1019239350</v>
      </c>
      <c r="I153" s="4">
        <v>0</v>
      </c>
      <c r="J153" s="7">
        <f t="shared" si="52"/>
        <v>0</v>
      </c>
      <c r="K153" s="7">
        <f t="shared" si="53"/>
        <v>3.6662785540031051E-2</v>
      </c>
      <c r="L153" s="7">
        <f t="shared" si="54"/>
        <v>0</v>
      </c>
      <c r="M153" s="7">
        <f t="shared" si="55"/>
        <v>0</v>
      </c>
      <c r="N153" s="7">
        <f t="shared" si="56"/>
        <v>55.049384283013772</v>
      </c>
      <c r="O153" s="7">
        <f t="shared" si="57"/>
        <v>0</v>
      </c>
      <c r="P153" s="7" t="str">
        <f t="shared" si="58"/>
        <v>(50, 60]</v>
      </c>
      <c r="Q153" s="7" t="s">
        <v>93</v>
      </c>
      <c r="R153" s="7">
        <f t="shared" si="59"/>
        <v>3.6662785540031051E-2</v>
      </c>
      <c r="S153" s="4">
        <v>0.9</v>
      </c>
      <c r="T153" s="7">
        <f t="shared" si="60"/>
        <v>3.2996506986027949E-2</v>
      </c>
      <c r="U153" s="7">
        <f t="shared" si="61"/>
        <v>4.8836295647792939E-2</v>
      </c>
      <c r="V153" s="4">
        <f t="shared" si="62"/>
        <v>48836295</v>
      </c>
      <c r="W153" s="7">
        <f t="shared" si="63"/>
        <v>4.8836295732544437E-2</v>
      </c>
      <c r="X153" s="7">
        <f t="shared" si="64"/>
        <v>2.6884079704136243</v>
      </c>
    </row>
    <row r="154" spans="2:24" ht="15.6" customHeight="1" x14ac:dyDescent="0.3">
      <c r="B154" s="7">
        <v>60</v>
      </c>
      <c r="C154" s="7">
        <v>70</v>
      </c>
      <c r="D154" s="4">
        <v>0</v>
      </c>
      <c r="E154" s="4">
        <v>36419</v>
      </c>
      <c r="F154" s="4">
        <v>0</v>
      </c>
      <c r="G154" s="4">
        <v>0</v>
      </c>
      <c r="H154" s="4">
        <v>1184108850</v>
      </c>
      <c r="I154" s="4">
        <v>0</v>
      </c>
      <c r="J154" s="7">
        <f t="shared" si="52"/>
        <v>0</v>
      </c>
      <c r="K154" s="7">
        <f t="shared" si="53"/>
        <v>3.6057844628203911E-2</v>
      </c>
      <c r="L154" s="7">
        <f t="shared" si="54"/>
        <v>0</v>
      </c>
      <c r="M154" s="7">
        <f t="shared" si="55"/>
        <v>0</v>
      </c>
      <c r="N154" s="7">
        <f t="shared" si="56"/>
        <v>65.02698316812652</v>
      </c>
      <c r="O154" s="7">
        <f t="shared" si="57"/>
        <v>0</v>
      </c>
      <c r="P154" s="7" t="str">
        <f t="shared" si="58"/>
        <v>(60, 70]</v>
      </c>
      <c r="Q154" s="7" t="s">
        <v>93</v>
      </c>
      <c r="R154" s="7">
        <f t="shared" si="59"/>
        <v>3.6057844628203911E-2</v>
      </c>
      <c r="S154" s="4">
        <v>0.68679075839276782</v>
      </c>
      <c r="T154" s="7">
        <f t="shared" si="60"/>
        <v>2.4764194458212752E-2</v>
      </c>
      <c r="U154" s="7">
        <f t="shared" si="61"/>
        <v>3.6652107526194168E-2</v>
      </c>
      <c r="V154" s="4">
        <f t="shared" si="62"/>
        <v>36652107</v>
      </c>
      <c r="W154" s="7">
        <f t="shared" si="63"/>
        <v>3.6652107549781612E-2</v>
      </c>
      <c r="X154" s="7">
        <f t="shared" si="64"/>
        <v>2.3833759449653722</v>
      </c>
    </row>
    <row r="155" spans="2:24" ht="15.6" customHeight="1" x14ac:dyDescent="0.3">
      <c r="B155" s="7">
        <v>70</v>
      </c>
      <c r="C155" s="7">
        <v>80</v>
      </c>
      <c r="D155" s="4">
        <v>0</v>
      </c>
      <c r="E155" s="4">
        <v>35182</v>
      </c>
      <c r="F155" s="4">
        <v>0</v>
      </c>
      <c r="G155" s="4">
        <v>0</v>
      </c>
      <c r="H155" s="4">
        <v>1320433850</v>
      </c>
      <c r="I155" s="4">
        <v>0</v>
      </c>
      <c r="J155" s="7">
        <f t="shared" si="52"/>
        <v>0</v>
      </c>
      <c r="K155" s="7">
        <f t="shared" si="53"/>
        <v>3.4833111554668443E-2</v>
      </c>
      <c r="L155" s="7">
        <f t="shared" si="54"/>
        <v>0</v>
      </c>
      <c r="M155" s="7">
        <f t="shared" si="55"/>
        <v>0</v>
      </c>
      <c r="N155" s="7">
        <f t="shared" si="56"/>
        <v>75.06303507475414</v>
      </c>
      <c r="O155" s="7">
        <f t="shared" si="57"/>
        <v>0</v>
      </c>
      <c r="P155" s="7" t="str">
        <f t="shared" si="58"/>
        <v>(70, 80]</v>
      </c>
      <c r="Q155" s="7" t="s">
        <v>93</v>
      </c>
      <c r="R155" s="7">
        <f t="shared" si="59"/>
        <v>3.4833111554668443E-2</v>
      </c>
      <c r="S155" s="4">
        <v>0.6</v>
      </c>
      <c r="T155" s="7">
        <f t="shared" si="60"/>
        <v>2.0899866932801065E-2</v>
      </c>
      <c r="U155" s="7">
        <f t="shared" si="61"/>
        <v>3.0932731181576217E-2</v>
      </c>
      <c r="V155" s="4">
        <f t="shared" si="62"/>
        <v>30932731</v>
      </c>
      <c r="W155" s="7">
        <f t="shared" si="63"/>
        <v>3.0932731463990972E-2</v>
      </c>
      <c r="X155" s="7">
        <f t="shared" si="64"/>
        <v>2.3219046720109349</v>
      </c>
    </row>
    <row r="156" spans="2:24" ht="15.6" customHeight="1" x14ac:dyDescent="0.3">
      <c r="B156" s="7">
        <v>80</v>
      </c>
      <c r="C156" s="7">
        <v>90</v>
      </c>
      <c r="D156" s="4">
        <v>0</v>
      </c>
      <c r="E156" s="4">
        <v>34216</v>
      </c>
      <c r="F156" s="4">
        <v>0</v>
      </c>
      <c r="G156" s="4">
        <v>0</v>
      </c>
      <c r="H156" s="4">
        <v>1454819850</v>
      </c>
      <c r="I156" s="4">
        <v>0</v>
      </c>
      <c r="J156" s="7">
        <f t="shared" si="52"/>
        <v>0</v>
      </c>
      <c r="K156" s="7">
        <f t="shared" si="53"/>
        <v>3.3876691062319803E-2</v>
      </c>
      <c r="L156" s="7">
        <f t="shared" si="54"/>
        <v>0</v>
      </c>
      <c r="M156" s="7">
        <f t="shared" si="55"/>
        <v>0</v>
      </c>
      <c r="N156" s="7">
        <f t="shared" si="56"/>
        <v>85.037400631283617</v>
      </c>
      <c r="O156" s="7">
        <f t="shared" si="57"/>
        <v>0</v>
      </c>
      <c r="P156" s="7" t="str">
        <f t="shared" si="58"/>
        <v>(80, 90]</v>
      </c>
      <c r="Q156" s="7" t="s">
        <v>93</v>
      </c>
      <c r="R156" s="7">
        <f t="shared" si="59"/>
        <v>3.3876691062319803E-2</v>
      </c>
      <c r="S156" s="4">
        <v>0.38</v>
      </c>
      <c r="T156" s="7">
        <f t="shared" si="60"/>
        <v>1.2873142603681526E-2</v>
      </c>
      <c r="U156" s="7">
        <f t="shared" si="61"/>
        <v>1.905282272380519E-2</v>
      </c>
      <c r="V156" s="4">
        <f t="shared" si="62"/>
        <v>19052822</v>
      </c>
      <c r="W156" s="7">
        <f t="shared" si="63"/>
        <v>1.9052822285792335E-2</v>
      </c>
      <c r="X156" s="7">
        <f t="shared" si="64"/>
        <v>1.6202024575705345</v>
      </c>
    </row>
    <row r="157" spans="2:24" ht="15.6" customHeight="1" x14ac:dyDescent="0.3">
      <c r="B157" s="7">
        <v>90</v>
      </c>
      <c r="C157" s="7">
        <v>100</v>
      </c>
      <c r="D157" s="4">
        <v>0</v>
      </c>
      <c r="E157" s="4">
        <v>32576</v>
      </c>
      <c r="F157" s="4">
        <v>0</v>
      </c>
      <c r="G157" s="4">
        <v>0</v>
      </c>
      <c r="H157" s="4">
        <v>1548048600</v>
      </c>
      <c r="I157" s="4">
        <v>0</v>
      </c>
      <c r="J157" s="7">
        <f t="shared" si="52"/>
        <v>0</v>
      </c>
      <c r="K157" s="7">
        <f t="shared" si="53"/>
        <v>3.2252954408643029E-2</v>
      </c>
      <c r="L157" s="7">
        <f t="shared" si="54"/>
        <v>0</v>
      </c>
      <c r="M157" s="7">
        <f t="shared" si="55"/>
        <v>0</v>
      </c>
      <c r="N157" s="7">
        <f t="shared" si="56"/>
        <v>95.042276522593326</v>
      </c>
      <c r="O157" s="7">
        <f t="shared" si="57"/>
        <v>0</v>
      </c>
      <c r="P157" s="7" t="str">
        <f t="shared" si="58"/>
        <v>(90, 100]</v>
      </c>
      <c r="Q157" s="7" t="s">
        <v>93</v>
      </c>
      <c r="R157" s="7">
        <f t="shared" si="59"/>
        <v>3.2252954408643029E-2</v>
      </c>
      <c r="S157" s="4">
        <v>0.33</v>
      </c>
      <c r="T157" s="7">
        <f t="shared" si="60"/>
        <v>1.0643474954852201E-2</v>
      </c>
      <c r="U157" s="7">
        <f t="shared" si="61"/>
        <v>1.5752815588484587E-2</v>
      </c>
      <c r="V157" s="4">
        <f t="shared" si="62"/>
        <v>15752815</v>
      </c>
      <c r="W157" s="7">
        <f t="shared" si="63"/>
        <v>1.5752815236292229E-2</v>
      </c>
      <c r="X157" s="7">
        <f t="shared" si="64"/>
        <v>1.4971833992392558</v>
      </c>
    </row>
    <row r="158" spans="2:24" ht="15.6" customHeight="1" x14ac:dyDescent="0.3">
      <c r="B158" s="7">
        <v>100</v>
      </c>
      <c r="C158" s="7">
        <v>120</v>
      </c>
      <c r="D158" s="4">
        <v>0</v>
      </c>
      <c r="E158" s="4">
        <v>62171</v>
      </c>
      <c r="F158" s="4">
        <v>0</v>
      </c>
      <c r="G158" s="4">
        <v>0</v>
      </c>
      <c r="H158" s="4">
        <v>3416294900</v>
      </c>
      <c r="I158" s="4">
        <v>0</v>
      </c>
      <c r="J158" s="7">
        <f t="shared" si="52"/>
        <v>0</v>
      </c>
      <c r="K158" s="7">
        <f t="shared" si="53"/>
        <v>6.15544704242309E-2</v>
      </c>
      <c r="L158" s="7">
        <f t="shared" si="54"/>
        <v>0</v>
      </c>
      <c r="M158" s="7">
        <f t="shared" si="55"/>
        <v>0</v>
      </c>
      <c r="N158" s="7">
        <f t="shared" si="56"/>
        <v>109.89995013752392</v>
      </c>
      <c r="O158" s="7">
        <f t="shared" si="57"/>
        <v>0</v>
      </c>
      <c r="P158" s="7" t="str">
        <f t="shared" si="58"/>
        <v>(100, 120]</v>
      </c>
      <c r="Q158" s="7" t="s">
        <v>93</v>
      </c>
      <c r="R158" s="7">
        <f t="shared" si="59"/>
        <v>6.15544704242309E-2</v>
      </c>
      <c r="S158" s="4">
        <v>0.26129999999999998</v>
      </c>
      <c r="T158" s="7">
        <f t="shared" si="60"/>
        <v>1.6084183121851534E-2</v>
      </c>
      <c r="U158" s="7">
        <f t="shared" si="61"/>
        <v>2.3805305286544169E-2</v>
      </c>
      <c r="V158" s="4">
        <f t="shared" si="62"/>
        <v>23805305</v>
      </c>
      <c r="W158" s="7">
        <f t="shared" si="63"/>
        <v>2.380530535707958E-2</v>
      </c>
      <c r="X158" s="7">
        <f t="shared" si="64"/>
        <v>2.6162018325085485</v>
      </c>
    </row>
    <row r="159" spans="2:24" ht="15.6" customHeight="1" x14ac:dyDescent="0.3">
      <c r="B159" s="7">
        <v>120</v>
      </c>
      <c r="C159" s="7">
        <v>140</v>
      </c>
      <c r="D159" s="4">
        <v>0</v>
      </c>
      <c r="E159" s="4">
        <v>57718</v>
      </c>
      <c r="F159" s="4">
        <v>0</v>
      </c>
      <c r="G159" s="4">
        <v>0</v>
      </c>
      <c r="H159" s="4">
        <v>3749181050</v>
      </c>
      <c r="I159" s="4">
        <v>0</v>
      </c>
      <c r="J159" s="7">
        <f t="shared" si="52"/>
        <v>0</v>
      </c>
      <c r="K159" s="7">
        <f t="shared" si="53"/>
        <v>5.7145629376168301E-2</v>
      </c>
      <c r="L159" s="7">
        <f t="shared" si="54"/>
        <v>0</v>
      </c>
      <c r="M159" s="7">
        <f t="shared" si="55"/>
        <v>0</v>
      </c>
      <c r="N159" s="7">
        <f t="shared" si="56"/>
        <v>129.91375480785891</v>
      </c>
      <c r="O159" s="7">
        <f t="shared" si="57"/>
        <v>0</v>
      </c>
      <c r="P159" s="7" t="str">
        <f t="shared" si="58"/>
        <v>(120, 140]</v>
      </c>
      <c r="Q159" s="7" t="s">
        <v>93</v>
      </c>
      <c r="R159" s="7">
        <f t="shared" si="59"/>
        <v>5.7145629376168301E-2</v>
      </c>
      <c r="S159" s="4">
        <v>9.7799999999999998E-2</v>
      </c>
      <c r="T159" s="7">
        <f t="shared" si="60"/>
        <v>5.5888425529892595E-3</v>
      </c>
      <c r="U159" s="7">
        <f t="shared" si="61"/>
        <v>8.2717351676746403E-3</v>
      </c>
      <c r="V159" s="4">
        <f t="shared" si="62"/>
        <v>8271735</v>
      </c>
      <c r="W159" s="7">
        <f t="shared" si="63"/>
        <v>8.271735124076026E-3</v>
      </c>
      <c r="X159" s="7">
        <f t="shared" si="64"/>
        <v>1.0746121526255847</v>
      </c>
    </row>
    <row r="160" spans="2:24" ht="15.6" customHeight="1" x14ac:dyDescent="0.3">
      <c r="B160" s="7">
        <v>140</v>
      </c>
      <c r="C160" s="7">
        <v>160</v>
      </c>
      <c r="D160" s="4">
        <v>0</v>
      </c>
      <c r="E160" s="4">
        <v>52249</v>
      </c>
      <c r="F160" s="4">
        <v>0</v>
      </c>
      <c r="G160" s="4">
        <v>0</v>
      </c>
      <c r="H160" s="4">
        <v>3915899150</v>
      </c>
      <c r="I160" s="4">
        <v>0</v>
      </c>
      <c r="J160" s="7">
        <f t="shared" si="52"/>
        <v>0</v>
      </c>
      <c r="K160" s="7">
        <f t="shared" si="53"/>
        <v>5.1730863669486427E-2</v>
      </c>
      <c r="L160" s="7">
        <f t="shared" si="54"/>
        <v>0</v>
      </c>
      <c r="M160" s="7">
        <f t="shared" si="55"/>
        <v>0</v>
      </c>
      <c r="N160" s="7">
        <f t="shared" si="56"/>
        <v>149.89374533483894</v>
      </c>
      <c r="O160" s="7">
        <f t="shared" si="57"/>
        <v>0</v>
      </c>
      <c r="P160" s="7" t="str">
        <f t="shared" si="58"/>
        <v>(140, 160]</v>
      </c>
      <c r="Q160" s="7" t="s">
        <v>93</v>
      </c>
      <c r="R160" s="7">
        <f t="shared" si="59"/>
        <v>5.1730863669486427E-2</v>
      </c>
      <c r="S160" s="4">
        <v>0.05</v>
      </c>
      <c r="T160" s="7">
        <f t="shared" si="60"/>
        <v>2.5865431834743214E-3</v>
      </c>
      <c r="U160" s="7">
        <f t="shared" si="61"/>
        <v>3.8281987747194966E-3</v>
      </c>
      <c r="V160" s="4">
        <f t="shared" si="62"/>
        <v>3828198</v>
      </c>
      <c r="W160" s="7">
        <f t="shared" si="63"/>
        <v>3.828198057422971E-3</v>
      </c>
      <c r="X160" s="7">
        <f t="shared" si="64"/>
        <v>0.57382293610333979</v>
      </c>
    </row>
    <row r="161" spans="2:24" ht="15.6" customHeight="1" x14ac:dyDescent="0.3">
      <c r="B161" s="7">
        <v>160</v>
      </c>
      <c r="C161" s="7">
        <v>180</v>
      </c>
      <c r="D161" s="4">
        <v>0</v>
      </c>
      <c r="E161" s="4">
        <v>48027</v>
      </c>
      <c r="F161" s="4">
        <v>0</v>
      </c>
      <c r="G161" s="4">
        <v>0</v>
      </c>
      <c r="H161" s="4">
        <v>4079866100</v>
      </c>
      <c r="I161" s="4">
        <v>0</v>
      </c>
      <c r="J161" s="7">
        <f t="shared" si="52"/>
        <v>0</v>
      </c>
      <c r="K161" s="7">
        <f t="shared" si="53"/>
        <v>4.7550731869594146E-2</v>
      </c>
      <c r="L161" s="7">
        <f t="shared" si="54"/>
        <v>0</v>
      </c>
      <c r="M161" s="7">
        <f t="shared" si="55"/>
        <v>0</v>
      </c>
      <c r="N161" s="7">
        <f t="shared" si="56"/>
        <v>169.89885272867346</v>
      </c>
      <c r="O161" s="7">
        <f t="shared" si="57"/>
        <v>0</v>
      </c>
      <c r="P161" s="7" t="str">
        <f t="shared" si="58"/>
        <v>(160, 180]</v>
      </c>
      <c r="Q161" s="7" t="s">
        <v>93</v>
      </c>
      <c r="R161" s="7">
        <f t="shared" si="59"/>
        <v>4.7550731869594146E-2</v>
      </c>
      <c r="S161" s="4">
        <v>3.5000000000000003E-2</v>
      </c>
      <c r="T161" s="7">
        <f t="shared" si="60"/>
        <v>1.6642756154357952E-3</v>
      </c>
      <c r="U161" s="7">
        <f t="shared" si="61"/>
        <v>2.4632018179757942E-3</v>
      </c>
      <c r="V161" s="4">
        <f t="shared" si="62"/>
        <v>2463201</v>
      </c>
      <c r="W161" s="7">
        <f t="shared" si="63"/>
        <v>2.4632010369480158E-3</v>
      </c>
      <c r="X161" s="7">
        <f t="shared" si="64"/>
        <v>0.41849502394012117</v>
      </c>
    </row>
    <row r="162" spans="2:24" ht="15.6" customHeight="1" x14ac:dyDescent="0.3">
      <c r="B162" s="7">
        <v>180</v>
      </c>
      <c r="C162" s="7">
        <v>200</v>
      </c>
      <c r="D162" s="4">
        <v>0</v>
      </c>
      <c r="E162" s="4">
        <v>43646</v>
      </c>
      <c r="F162" s="4">
        <v>0</v>
      </c>
      <c r="G162" s="4">
        <v>0</v>
      </c>
      <c r="H162" s="4">
        <v>4144070650</v>
      </c>
      <c r="I162" s="4">
        <v>0</v>
      </c>
      <c r="J162" s="7">
        <f t="shared" si="52"/>
        <v>0</v>
      </c>
      <c r="K162" s="7">
        <f t="shared" si="53"/>
        <v>4.3213176820961249E-2</v>
      </c>
      <c r="L162" s="7">
        <f t="shared" si="54"/>
        <v>0</v>
      </c>
      <c r="M162" s="7">
        <f t="shared" si="55"/>
        <v>0</v>
      </c>
      <c r="N162" s="7">
        <f t="shared" si="56"/>
        <v>189.8946363927966</v>
      </c>
      <c r="O162" s="7">
        <f t="shared" si="57"/>
        <v>0</v>
      </c>
      <c r="P162" s="7" t="str">
        <f t="shared" si="58"/>
        <v>(180, 200]</v>
      </c>
      <c r="Q162" s="7" t="s">
        <v>93</v>
      </c>
      <c r="R162" s="7">
        <f t="shared" si="59"/>
        <v>4.3213176820961249E-2</v>
      </c>
      <c r="S162" s="4">
        <v>2.9360000000000001E-2</v>
      </c>
      <c r="T162" s="7">
        <f t="shared" si="60"/>
        <v>1.2687388714634224E-3</v>
      </c>
      <c r="U162" s="7">
        <f t="shared" si="61"/>
        <v>1.877789871905879E-3</v>
      </c>
      <c r="V162" s="4">
        <f t="shared" si="62"/>
        <v>1877789</v>
      </c>
      <c r="W162" s="7">
        <f t="shared" si="63"/>
        <v>1.8777890281668353E-3</v>
      </c>
      <c r="X162" s="7">
        <f t="shared" si="64"/>
        <v>0.35658205937739312</v>
      </c>
    </row>
    <row r="163" spans="2:24" ht="15.6" customHeight="1" x14ac:dyDescent="0.3">
      <c r="B163" s="7">
        <v>200</v>
      </c>
      <c r="C163" s="7">
        <v>250</v>
      </c>
      <c r="D163" s="4">
        <v>0</v>
      </c>
      <c r="E163" s="4">
        <v>91232</v>
      </c>
      <c r="F163" s="4">
        <v>0</v>
      </c>
      <c r="G163" s="4">
        <v>0</v>
      </c>
      <c r="H163" s="4">
        <v>10217268800</v>
      </c>
      <c r="I163" s="4">
        <v>0</v>
      </c>
      <c r="J163" s="7">
        <f t="shared" si="52"/>
        <v>0</v>
      </c>
      <c r="K163" s="7">
        <f t="shared" si="53"/>
        <v>9.0327281944048404E-2</v>
      </c>
      <c r="L163" s="7">
        <f t="shared" si="54"/>
        <v>0</v>
      </c>
      <c r="M163" s="7">
        <f t="shared" si="55"/>
        <v>0</v>
      </c>
      <c r="N163" s="7">
        <f t="shared" si="56"/>
        <v>223.9843212907752</v>
      </c>
      <c r="O163" s="7">
        <f t="shared" si="57"/>
        <v>0</v>
      </c>
      <c r="P163" s="7" t="str">
        <f t="shared" si="58"/>
        <v>(200, 250]</v>
      </c>
      <c r="Q163" s="7" t="s">
        <v>93</v>
      </c>
      <c r="R163" s="7">
        <f t="shared" si="59"/>
        <v>9.0327281944048404E-2</v>
      </c>
      <c r="S163" s="4">
        <v>3.175E-2</v>
      </c>
      <c r="T163" s="7">
        <f t="shared" si="60"/>
        <v>2.8678912017235368E-3</v>
      </c>
      <c r="U163" s="7">
        <f t="shared" si="61"/>
        <v>4.2446063358276285E-3</v>
      </c>
      <c r="V163" s="4">
        <f t="shared" si="62"/>
        <v>4244606</v>
      </c>
      <c r="W163" s="7">
        <f t="shared" si="63"/>
        <v>4.2446060636690906E-3</v>
      </c>
      <c r="X163" s="7">
        <f t="shared" si="64"/>
        <v>0.95072519405675215</v>
      </c>
    </row>
    <row r="164" spans="2:24" ht="15.6" customHeight="1" x14ac:dyDescent="0.3">
      <c r="B164" s="7">
        <v>250</v>
      </c>
      <c r="C164" s="7">
        <v>300</v>
      </c>
      <c r="D164" s="4">
        <v>0</v>
      </c>
      <c r="E164" s="4">
        <v>70648</v>
      </c>
      <c r="F164" s="4">
        <v>0</v>
      </c>
      <c r="G164" s="4">
        <v>0</v>
      </c>
      <c r="H164" s="4">
        <v>9676992550</v>
      </c>
      <c r="I164" s="4">
        <v>0</v>
      </c>
      <c r="J164" s="7">
        <f t="shared" si="52"/>
        <v>0</v>
      </c>
      <c r="K164" s="7">
        <f t="shared" si="53"/>
        <v>6.9947406773754078E-2</v>
      </c>
      <c r="L164" s="7">
        <f t="shared" si="54"/>
        <v>0</v>
      </c>
      <c r="M164" s="7">
        <f t="shared" si="55"/>
        <v>0</v>
      </c>
      <c r="N164" s="7">
        <f t="shared" si="56"/>
        <v>273.94951166345828</v>
      </c>
      <c r="O164" s="7">
        <f t="shared" si="57"/>
        <v>0</v>
      </c>
      <c r="P164" s="7" t="str">
        <f t="shared" si="58"/>
        <v>(250, 300]</v>
      </c>
      <c r="Q164" s="7" t="s">
        <v>93</v>
      </c>
      <c r="R164" s="7">
        <f t="shared" si="59"/>
        <v>6.9947406773754078E-2</v>
      </c>
      <c r="S164" s="4">
        <v>0.02</v>
      </c>
      <c r="T164" s="7">
        <f t="shared" si="60"/>
        <v>1.3989481354750816E-3</v>
      </c>
      <c r="U164" s="7">
        <f t="shared" si="61"/>
        <v>2.0705053649745101E-3</v>
      </c>
      <c r="V164" s="4">
        <f t="shared" si="62"/>
        <v>2070505</v>
      </c>
      <c r="W164" s="7">
        <f t="shared" si="63"/>
        <v>2.0705050310575756E-3</v>
      </c>
      <c r="X164" s="7">
        <f t="shared" si="64"/>
        <v>0.56721383364674871</v>
      </c>
    </row>
    <row r="165" spans="2:24" ht="15.6" customHeight="1" x14ac:dyDescent="0.3">
      <c r="B165" s="7">
        <v>300</v>
      </c>
      <c r="C165" s="7">
        <v>350</v>
      </c>
      <c r="D165" s="4">
        <v>0</v>
      </c>
      <c r="E165" s="4">
        <v>54523</v>
      </c>
      <c r="F165" s="4">
        <v>0</v>
      </c>
      <c r="G165" s="4">
        <v>0</v>
      </c>
      <c r="H165" s="4">
        <v>8829816300</v>
      </c>
      <c r="I165" s="4">
        <v>0</v>
      </c>
      <c r="J165" s="7">
        <f t="shared" si="52"/>
        <v>0</v>
      </c>
      <c r="K165" s="7">
        <f t="shared" si="53"/>
        <v>5.398231315147483E-2</v>
      </c>
      <c r="L165" s="7">
        <f t="shared" si="54"/>
        <v>0</v>
      </c>
      <c r="M165" s="7">
        <f t="shared" si="55"/>
        <v>0</v>
      </c>
      <c r="N165" s="7">
        <f t="shared" si="56"/>
        <v>323.89326706160705</v>
      </c>
      <c r="O165" s="7">
        <f t="shared" si="57"/>
        <v>0</v>
      </c>
      <c r="P165" s="7" t="str">
        <f t="shared" si="58"/>
        <v>(300, 350]</v>
      </c>
      <c r="Q165" s="7" t="s">
        <v>93</v>
      </c>
      <c r="R165" s="7">
        <f t="shared" si="59"/>
        <v>5.398231315147483E-2</v>
      </c>
      <c r="S165" s="4">
        <v>2.5999999999999999E-2</v>
      </c>
      <c r="T165" s="7">
        <f t="shared" si="60"/>
        <v>1.4035401419383454E-3</v>
      </c>
      <c r="U165" s="7">
        <f t="shared" si="61"/>
        <v>2.0773017384619068E-3</v>
      </c>
      <c r="V165" s="4">
        <f t="shared" si="62"/>
        <v>2077301</v>
      </c>
      <c r="W165" s="7">
        <f t="shared" si="63"/>
        <v>2.0773010311595157E-3</v>
      </c>
      <c r="X165" s="7">
        <f t="shared" si="64"/>
        <v>0.67282380756034343</v>
      </c>
    </row>
    <row r="166" spans="2:24" ht="15.6" customHeight="1" x14ac:dyDescent="0.3">
      <c r="B166" s="7">
        <v>350</v>
      </c>
      <c r="C166" s="7">
        <v>400</v>
      </c>
      <c r="D166" s="4">
        <v>0</v>
      </c>
      <c r="E166" s="4">
        <v>41467</v>
      </c>
      <c r="F166" s="4">
        <v>0</v>
      </c>
      <c r="G166" s="4">
        <v>0</v>
      </c>
      <c r="H166" s="4">
        <v>7754132000</v>
      </c>
      <c r="I166" s="4">
        <v>0</v>
      </c>
      <c r="J166" s="7">
        <f t="shared" ref="J166:J192" si="65">IF(SUM(D$134:D$192)=0,0,D166/SUM(D$134:D$192))</f>
        <v>0</v>
      </c>
      <c r="K166" s="7">
        <f t="shared" ref="K166:K192" si="66">IF(SUM(E$134:E$192)=0,0,E166/SUM(E$134:E$192))</f>
        <v>4.1055785254887053E-2</v>
      </c>
      <c r="L166" s="7">
        <f t="shared" ref="L166:L192" si="67">IF(SUM(F$134:F$192)=0,0,F166/SUM(F$134:F$192))</f>
        <v>0</v>
      </c>
      <c r="M166" s="7">
        <f t="shared" ref="M166:M192" si="68">IF(D166=0,0,G166/D166/$C$3/5)</f>
        <v>0</v>
      </c>
      <c r="N166" s="7">
        <f t="shared" ref="N166:N192" si="69">IF(E166=0,0,H166/E166/$C$3/5)</f>
        <v>373.99049846866188</v>
      </c>
      <c r="O166" s="7">
        <f t="shared" ref="O166:O192" si="70">IF(F166=0,0,I166/F166/$C$3/5)</f>
        <v>0</v>
      </c>
      <c r="P166" s="7" t="str">
        <f t="shared" ref="P166:P192" si="71">"("&amp;B166&amp;", "&amp;C166&amp;"]"</f>
        <v>(350, 400]</v>
      </c>
      <c r="Q166" s="7" t="s">
        <v>93</v>
      </c>
      <c r="R166" s="7">
        <f t="shared" ref="R166:R192" si="72">IFERROR(INDEX($J166:$L166,MATCH($Q166,$J$133:$L$133,0)),0)</f>
        <v>4.1055785254887053E-2</v>
      </c>
      <c r="S166" s="4">
        <v>0.02</v>
      </c>
      <c r="T166" s="7">
        <f t="shared" ref="T166:T192" si="73">$R166*$S166</f>
        <v>8.2111570509774113E-4</v>
      </c>
      <c r="U166" s="7">
        <f t="shared" ref="U166:U197" si="74">IF(SUM(T$134:T$192)=0,0,T166/SUM(T$134:T$192))</f>
        <v>1.2152877076406696E-3</v>
      </c>
      <c r="V166" s="4">
        <f t="shared" ref="V166:V197" si="75">INT(U166*$C$2)</f>
        <v>1215287</v>
      </c>
      <c r="W166" s="7">
        <f t="shared" ref="W166:W197" si="76">IF(SUM(V$134:V$192)=0,0,V166/SUM(V$134:V$192))</f>
        <v>1.2152870182293052E-3</v>
      </c>
      <c r="X166" s="7">
        <f t="shared" ref="X166:X192" si="77">IFERROR(INDEX($M166:$O166,MATCH($Q166,$M$133:$O$133,0)),0)*V166/$C$2</f>
        <v>0.45450579091248472</v>
      </c>
    </row>
    <row r="167" spans="2:24" ht="15.6" customHeight="1" x14ac:dyDescent="0.3">
      <c r="B167" s="7">
        <v>400</v>
      </c>
      <c r="C167" s="7">
        <v>450</v>
      </c>
      <c r="D167" s="4">
        <v>0</v>
      </c>
      <c r="E167" s="4">
        <v>32070</v>
      </c>
      <c r="F167" s="4">
        <v>0</v>
      </c>
      <c r="G167" s="4">
        <v>0</v>
      </c>
      <c r="H167" s="4">
        <v>6796737650</v>
      </c>
      <c r="I167" s="4">
        <v>0</v>
      </c>
      <c r="J167" s="7">
        <f t="shared" si="65"/>
        <v>0</v>
      </c>
      <c r="K167" s="7">
        <f t="shared" si="66"/>
        <v>3.1751972245984222E-2</v>
      </c>
      <c r="L167" s="7">
        <f t="shared" si="67"/>
        <v>0</v>
      </c>
      <c r="M167" s="7">
        <f t="shared" si="68"/>
        <v>0</v>
      </c>
      <c r="N167" s="7">
        <f t="shared" si="69"/>
        <v>423.86888992828187</v>
      </c>
      <c r="O167" s="7">
        <f t="shared" si="70"/>
        <v>0</v>
      </c>
      <c r="P167" s="7" t="str">
        <f t="shared" si="71"/>
        <v>(400, 450]</v>
      </c>
      <c r="Q167" s="7" t="s">
        <v>93</v>
      </c>
      <c r="R167" s="7">
        <f t="shared" si="72"/>
        <v>3.1751972245984222E-2</v>
      </c>
      <c r="S167" s="4">
        <v>0.02</v>
      </c>
      <c r="T167" s="7">
        <f t="shared" si="73"/>
        <v>6.3503944491968443E-4</v>
      </c>
      <c r="U167" s="7">
        <f t="shared" si="74"/>
        <v>9.3988657930489954E-4</v>
      </c>
      <c r="V167" s="4">
        <f t="shared" si="75"/>
        <v>939886</v>
      </c>
      <c r="W167" s="7">
        <f t="shared" si="76"/>
        <v>9.3988601409829026E-4</v>
      </c>
      <c r="X167" s="7">
        <f t="shared" si="77"/>
        <v>0.39838843547913311</v>
      </c>
    </row>
    <row r="168" spans="2:24" ht="15.6" customHeight="1" x14ac:dyDescent="0.3">
      <c r="B168" s="7">
        <v>450</v>
      </c>
      <c r="C168" s="7">
        <v>500</v>
      </c>
      <c r="D168" s="4">
        <v>0</v>
      </c>
      <c r="E168" s="4">
        <v>24701</v>
      </c>
      <c r="F168" s="4">
        <v>0</v>
      </c>
      <c r="G168" s="4">
        <v>0</v>
      </c>
      <c r="H168" s="4">
        <v>5855884550</v>
      </c>
      <c r="I168" s="4">
        <v>0</v>
      </c>
      <c r="J168" s="7">
        <f t="shared" si="65"/>
        <v>0</v>
      </c>
      <c r="K168" s="7">
        <f t="shared" si="66"/>
        <v>2.4456048221018281E-2</v>
      </c>
      <c r="L168" s="7">
        <f t="shared" si="67"/>
        <v>0</v>
      </c>
      <c r="M168" s="7">
        <f t="shared" si="68"/>
        <v>0</v>
      </c>
      <c r="N168" s="7">
        <f t="shared" si="69"/>
        <v>474.14149629569658</v>
      </c>
      <c r="O168" s="7">
        <f t="shared" si="70"/>
        <v>0</v>
      </c>
      <c r="P168" s="7" t="str">
        <f t="shared" si="71"/>
        <v>(450, 500]</v>
      </c>
      <c r="Q168" s="7" t="s">
        <v>93</v>
      </c>
      <c r="R168" s="7">
        <f t="shared" si="72"/>
        <v>2.4456048221018281E-2</v>
      </c>
      <c r="S168" s="4">
        <v>0.01</v>
      </c>
      <c r="T168" s="7">
        <f t="shared" si="73"/>
        <v>2.4456048221018281E-4</v>
      </c>
      <c r="U168" s="7">
        <f t="shared" si="74"/>
        <v>3.6196037410992087E-4</v>
      </c>
      <c r="V168" s="4">
        <f t="shared" si="75"/>
        <v>361960</v>
      </c>
      <c r="W168" s="7">
        <f t="shared" si="76"/>
        <v>3.6196000542940008E-4</v>
      </c>
      <c r="X168" s="7">
        <f t="shared" si="77"/>
        <v>0.17162025599919034</v>
      </c>
    </row>
    <row r="169" spans="2:24" ht="15.6" customHeight="1" x14ac:dyDescent="0.3">
      <c r="B169" s="7">
        <v>500</v>
      </c>
      <c r="C169" s="7">
        <v>550</v>
      </c>
      <c r="D169" s="4">
        <v>0</v>
      </c>
      <c r="E169" s="4">
        <v>18693</v>
      </c>
      <c r="F169" s="4">
        <v>0</v>
      </c>
      <c r="G169" s="4">
        <v>0</v>
      </c>
      <c r="H169" s="4">
        <v>4896892450</v>
      </c>
      <c r="I169" s="4">
        <v>0</v>
      </c>
      <c r="J169" s="7">
        <f t="shared" si="65"/>
        <v>0</v>
      </c>
      <c r="K169" s="7">
        <f t="shared" si="66"/>
        <v>1.850762760193898E-2</v>
      </c>
      <c r="L169" s="7">
        <f t="shared" si="67"/>
        <v>0</v>
      </c>
      <c r="M169" s="7">
        <f t="shared" si="68"/>
        <v>0</v>
      </c>
      <c r="N169" s="7">
        <f t="shared" si="69"/>
        <v>523.92793559086283</v>
      </c>
      <c r="O169" s="7">
        <f t="shared" si="70"/>
        <v>0</v>
      </c>
      <c r="P169" s="7" t="str">
        <f t="shared" si="71"/>
        <v>(500, 550]</v>
      </c>
      <c r="Q169" s="7" t="s">
        <v>93</v>
      </c>
      <c r="R169" s="7">
        <f t="shared" si="72"/>
        <v>1.850762760193898E-2</v>
      </c>
      <c r="S169" s="4">
        <v>9.7999999999999997E-3</v>
      </c>
      <c r="T169" s="7">
        <f t="shared" si="73"/>
        <v>1.8137475049900199E-4</v>
      </c>
      <c r="U169" s="7">
        <f t="shared" si="74"/>
        <v>2.6844268522618583E-4</v>
      </c>
      <c r="V169" s="4">
        <f t="shared" si="75"/>
        <v>268442</v>
      </c>
      <c r="W169" s="7">
        <f t="shared" si="76"/>
        <v>2.6844200402663008E-4</v>
      </c>
      <c r="X169" s="7">
        <f t="shared" si="77"/>
        <v>0.14064426288588242</v>
      </c>
    </row>
    <row r="170" spans="2:24" ht="15.6" customHeight="1" x14ac:dyDescent="0.3">
      <c r="B170" s="7">
        <v>550</v>
      </c>
      <c r="C170" s="7">
        <v>600</v>
      </c>
      <c r="D170" s="4">
        <v>0</v>
      </c>
      <c r="E170" s="4">
        <v>14382</v>
      </c>
      <c r="F170" s="4">
        <v>0</v>
      </c>
      <c r="G170" s="4">
        <v>0</v>
      </c>
      <c r="H170" s="4">
        <v>4126960050</v>
      </c>
      <c r="I170" s="4">
        <v>0</v>
      </c>
      <c r="J170" s="7">
        <f t="shared" si="65"/>
        <v>0</v>
      </c>
      <c r="K170" s="7">
        <f t="shared" si="66"/>
        <v>1.4239378386084973E-2</v>
      </c>
      <c r="L170" s="7">
        <f t="shared" si="67"/>
        <v>0</v>
      </c>
      <c r="M170" s="7">
        <f t="shared" si="68"/>
        <v>0</v>
      </c>
      <c r="N170" s="7">
        <f t="shared" si="69"/>
        <v>573.90627868168554</v>
      </c>
      <c r="O170" s="7">
        <f t="shared" si="70"/>
        <v>0</v>
      </c>
      <c r="P170" s="7" t="str">
        <f t="shared" si="71"/>
        <v>(550, 600]</v>
      </c>
      <c r="Q170" s="7" t="s">
        <v>93</v>
      </c>
      <c r="R170" s="7">
        <f t="shared" si="72"/>
        <v>1.4239378386084973E-2</v>
      </c>
      <c r="S170" s="4">
        <v>8.9999999999999993E-3</v>
      </c>
      <c r="T170" s="7">
        <f t="shared" si="73"/>
        <v>1.2815440547476475E-4</v>
      </c>
      <c r="U170" s="7">
        <f t="shared" si="74"/>
        <v>1.8967421118189519E-4</v>
      </c>
      <c r="V170" s="4">
        <f t="shared" si="75"/>
        <v>189674</v>
      </c>
      <c r="W170" s="7">
        <f t="shared" si="76"/>
        <v>1.8967400284511005E-4</v>
      </c>
      <c r="X170" s="7">
        <f t="shared" si="77"/>
        <v>0.10885509950267001</v>
      </c>
    </row>
    <row r="171" spans="2:24" ht="15.6" customHeight="1" x14ac:dyDescent="0.3">
      <c r="B171" s="7">
        <v>600</v>
      </c>
      <c r="C171" s="7">
        <v>650</v>
      </c>
      <c r="D171" s="4">
        <v>0</v>
      </c>
      <c r="E171" s="4">
        <v>11018</v>
      </c>
      <c r="F171" s="4">
        <v>0</v>
      </c>
      <c r="G171" s="4">
        <v>0</v>
      </c>
      <c r="H171" s="4">
        <v>3437432450</v>
      </c>
      <c r="I171" s="4">
        <v>0</v>
      </c>
      <c r="J171" s="7">
        <f t="shared" si="65"/>
        <v>0</v>
      </c>
      <c r="K171" s="7">
        <f t="shared" si="66"/>
        <v>1.0908738079396763E-2</v>
      </c>
      <c r="L171" s="7">
        <f t="shared" si="67"/>
        <v>0</v>
      </c>
      <c r="M171" s="7">
        <f t="shared" si="68"/>
        <v>0</v>
      </c>
      <c r="N171" s="7">
        <f t="shared" si="69"/>
        <v>623.96668179342896</v>
      </c>
      <c r="O171" s="7">
        <f t="shared" si="70"/>
        <v>0</v>
      </c>
      <c r="P171" s="7" t="str">
        <f t="shared" si="71"/>
        <v>(600, 650]</v>
      </c>
      <c r="Q171" s="7" t="s">
        <v>93</v>
      </c>
      <c r="R171" s="7">
        <f t="shared" si="72"/>
        <v>1.0908738079396763E-2</v>
      </c>
      <c r="S171" s="4">
        <v>0</v>
      </c>
      <c r="T171" s="7">
        <f t="shared" si="73"/>
        <v>0</v>
      </c>
      <c r="U171" s="7">
        <f t="shared" si="74"/>
        <v>0</v>
      </c>
      <c r="V171" s="4">
        <f t="shared" si="75"/>
        <v>0</v>
      </c>
      <c r="W171" s="7">
        <f t="shared" si="76"/>
        <v>0</v>
      </c>
      <c r="X171" s="7">
        <f t="shared" si="77"/>
        <v>0</v>
      </c>
    </row>
    <row r="172" spans="2:24" ht="15.6" customHeight="1" x14ac:dyDescent="0.3">
      <c r="B172" s="7">
        <v>650</v>
      </c>
      <c r="C172" s="7">
        <v>700</v>
      </c>
      <c r="D172" s="4">
        <v>0</v>
      </c>
      <c r="E172" s="4">
        <v>8525</v>
      </c>
      <c r="F172" s="4">
        <v>0</v>
      </c>
      <c r="G172" s="4">
        <v>0</v>
      </c>
      <c r="H172" s="4">
        <v>2873631750</v>
      </c>
      <c r="I172" s="4">
        <v>0</v>
      </c>
      <c r="J172" s="7">
        <f t="shared" si="65"/>
        <v>0</v>
      </c>
      <c r="K172" s="7">
        <f t="shared" si="66"/>
        <v>8.4404603491429839E-3</v>
      </c>
      <c r="L172" s="7">
        <f t="shared" si="67"/>
        <v>0</v>
      </c>
      <c r="M172" s="7">
        <f t="shared" si="68"/>
        <v>0</v>
      </c>
      <c r="N172" s="7">
        <f t="shared" si="69"/>
        <v>674.16580645161287</v>
      </c>
      <c r="O172" s="7">
        <f t="shared" si="70"/>
        <v>0</v>
      </c>
      <c r="P172" s="7" t="str">
        <f t="shared" si="71"/>
        <v>(650, 700]</v>
      </c>
      <c r="Q172" s="7" t="s">
        <v>93</v>
      </c>
      <c r="R172" s="7">
        <f t="shared" si="72"/>
        <v>8.4404603491429839E-3</v>
      </c>
      <c r="S172" s="4">
        <v>0</v>
      </c>
      <c r="T172" s="7">
        <f t="shared" si="73"/>
        <v>0</v>
      </c>
      <c r="U172" s="7">
        <f t="shared" si="74"/>
        <v>0</v>
      </c>
      <c r="V172" s="4">
        <f t="shared" si="75"/>
        <v>0</v>
      </c>
      <c r="W172" s="7">
        <f t="shared" si="76"/>
        <v>0</v>
      </c>
      <c r="X172" s="7">
        <f t="shared" si="77"/>
        <v>0</v>
      </c>
    </row>
    <row r="173" spans="2:24" ht="15.6" customHeight="1" x14ac:dyDescent="0.3">
      <c r="B173" s="7">
        <v>700</v>
      </c>
      <c r="C173" s="7">
        <v>750</v>
      </c>
      <c r="D173" s="4">
        <v>0</v>
      </c>
      <c r="E173" s="4">
        <v>6553</v>
      </c>
      <c r="F173" s="4">
        <v>0</v>
      </c>
      <c r="G173" s="4">
        <v>0</v>
      </c>
      <c r="H173" s="4">
        <v>2371188850</v>
      </c>
      <c r="I173" s="4">
        <v>0</v>
      </c>
      <c r="J173" s="7">
        <f t="shared" si="65"/>
        <v>0</v>
      </c>
      <c r="K173" s="7">
        <f t="shared" si="66"/>
        <v>6.4880160314292048E-3</v>
      </c>
      <c r="L173" s="7">
        <f t="shared" si="67"/>
        <v>0</v>
      </c>
      <c r="M173" s="7">
        <f t="shared" si="68"/>
        <v>0</v>
      </c>
      <c r="N173" s="7">
        <f t="shared" si="69"/>
        <v>723.6956661071265</v>
      </c>
      <c r="O173" s="7">
        <f t="shared" si="70"/>
        <v>0</v>
      </c>
      <c r="P173" s="7" t="str">
        <f t="shared" si="71"/>
        <v>(700, 750]</v>
      </c>
      <c r="Q173" s="7" t="s">
        <v>93</v>
      </c>
      <c r="R173" s="7">
        <f t="shared" si="72"/>
        <v>6.4880160314292048E-3</v>
      </c>
      <c r="S173" s="4">
        <v>0</v>
      </c>
      <c r="T173" s="7">
        <f t="shared" si="73"/>
        <v>0</v>
      </c>
      <c r="U173" s="7">
        <f t="shared" si="74"/>
        <v>0</v>
      </c>
      <c r="V173" s="4">
        <f t="shared" si="75"/>
        <v>0</v>
      </c>
      <c r="W173" s="7">
        <f t="shared" si="76"/>
        <v>0</v>
      </c>
      <c r="X173" s="7">
        <f t="shared" si="77"/>
        <v>0</v>
      </c>
    </row>
    <row r="174" spans="2:24" ht="15.6" customHeight="1" x14ac:dyDescent="0.3">
      <c r="B174" s="7">
        <v>750</v>
      </c>
      <c r="C174" s="7">
        <v>800</v>
      </c>
      <c r="D174" s="4">
        <v>0</v>
      </c>
      <c r="E174" s="4">
        <v>5015</v>
      </c>
      <c r="F174" s="4">
        <v>0</v>
      </c>
      <c r="G174" s="4">
        <v>0</v>
      </c>
      <c r="H174" s="4">
        <v>1940909900</v>
      </c>
      <c r="I174" s="4">
        <v>0</v>
      </c>
      <c r="J174" s="7">
        <f t="shared" si="65"/>
        <v>0</v>
      </c>
      <c r="K174" s="7">
        <f t="shared" si="66"/>
        <v>4.9652678769445237E-3</v>
      </c>
      <c r="L174" s="7">
        <f t="shared" si="67"/>
        <v>0</v>
      </c>
      <c r="M174" s="7">
        <f t="shared" si="68"/>
        <v>0</v>
      </c>
      <c r="N174" s="7">
        <f t="shared" si="69"/>
        <v>774.04183449651043</v>
      </c>
      <c r="O174" s="7">
        <f t="shared" si="70"/>
        <v>0</v>
      </c>
      <c r="P174" s="7" t="str">
        <f t="shared" si="71"/>
        <v>(750, 800]</v>
      </c>
      <c r="Q174" s="7" t="s">
        <v>93</v>
      </c>
      <c r="R174" s="7">
        <f t="shared" si="72"/>
        <v>4.9652678769445237E-3</v>
      </c>
      <c r="S174" s="4">
        <v>0</v>
      </c>
      <c r="T174" s="7">
        <f t="shared" si="73"/>
        <v>0</v>
      </c>
      <c r="U174" s="7">
        <f t="shared" si="74"/>
        <v>0</v>
      </c>
      <c r="V174" s="4">
        <f t="shared" si="75"/>
        <v>0</v>
      </c>
      <c r="W174" s="7">
        <f t="shared" si="76"/>
        <v>0</v>
      </c>
      <c r="X174" s="7">
        <f t="shared" si="77"/>
        <v>0</v>
      </c>
    </row>
    <row r="175" spans="2:24" ht="15.6" customHeight="1" x14ac:dyDescent="0.3">
      <c r="B175" s="7">
        <v>800</v>
      </c>
      <c r="C175" s="7">
        <v>850</v>
      </c>
      <c r="D175" s="4">
        <v>0</v>
      </c>
      <c r="E175" s="4">
        <v>3891</v>
      </c>
      <c r="F175" s="4">
        <v>0</v>
      </c>
      <c r="G175" s="4">
        <v>0</v>
      </c>
      <c r="H175" s="4">
        <v>1602722200</v>
      </c>
      <c r="I175" s="4">
        <v>0</v>
      </c>
      <c r="J175" s="7">
        <f t="shared" si="65"/>
        <v>0</v>
      </c>
      <c r="K175" s="7">
        <f t="shared" si="66"/>
        <v>3.8524142191806864E-3</v>
      </c>
      <c r="L175" s="7">
        <f t="shared" si="67"/>
        <v>0</v>
      </c>
      <c r="M175" s="7">
        <f t="shared" si="68"/>
        <v>0</v>
      </c>
      <c r="N175" s="7">
        <f t="shared" si="69"/>
        <v>823.80992032896427</v>
      </c>
      <c r="O175" s="7">
        <f t="shared" si="70"/>
        <v>0</v>
      </c>
      <c r="P175" s="7" t="str">
        <f t="shared" si="71"/>
        <v>(800, 850]</v>
      </c>
      <c r="Q175" s="7" t="s">
        <v>93</v>
      </c>
      <c r="R175" s="7">
        <f t="shared" si="72"/>
        <v>3.8524142191806864E-3</v>
      </c>
      <c r="S175" s="4">
        <v>0</v>
      </c>
      <c r="T175" s="7">
        <f t="shared" si="73"/>
        <v>0</v>
      </c>
      <c r="U175" s="7">
        <f t="shared" si="74"/>
        <v>0</v>
      </c>
      <c r="V175" s="4">
        <f t="shared" si="75"/>
        <v>0</v>
      </c>
      <c r="W175" s="7">
        <f t="shared" si="76"/>
        <v>0</v>
      </c>
      <c r="X175" s="7">
        <f t="shared" si="77"/>
        <v>0</v>
      </c>
    </row>
    <row r="176" spans="2:24" ht="15.6" customHeight="1" x14ac:dyDescent="0.3">
      <c r="B176" s="7">
        <v>850</v>
      </c>
      <c r="C176" s="7">
        <v>900</v>
      </c>
      <c r="D176" s="4">
        <v>0</v>
      </c>
      <c r="E176" s="4">
        <v>3026</v>
      </c>
      <c r="F176" s="4">
        <v>0</v>
      </c>
      <c r="G176" s="4">
        <v>0</v>
      </c>
      <c r="H176" s="4">
        <v>1322516550</v>
      </c>
      <c r="I176" s="4">
        <v>0</v>
      </c>
      <c r="J176" s="7">
        <f t="shared" si="65"/>
        <v>0</v>
      </c>
      <c r="K176" s="7">
        <f t="shared" si="66"/>
        <v>2.9959921426987294E-3</v>
      </c>
      <c r="L176" s="7">
        <f t="shared" si="67"/>
        <v>0</v>
      </c>
      <c r="M176" s="7">
        <f t="shared" si="68"/>
        <v>0</v>
      </c>
      <c r="N176" s="7">
        <f t="shared" si="69"/>
        <v>874.10214805023134</v>
      </c>
      <c r="O176" s="7">
        <f t="shared" si="70"/>
        <v>0</v>
      </c>
      <c r="P176" s="7" t="str">
        <f t="shared" si="71"/>
        <v>(850, 900]</v>
      </c>
      <c r="Q176" s="7" t="s">
        <v>93</v>
      </c>
      <c r="R176" s="7">
        <f t="shared" si="72"/>
        <v>2.9959921426987294E-3</v>
      </c>
      <c r="S176" s="4">
        <v>0</v>
      </c>
      <c r="T176" s="7">
        <f t="shared" si="73"/>
        <v>0</v>
      </c>
      <c r="U176" s="7">
        <f t="shared" si="74"/>
        <v>0</v>
      </c>
      <c r="V176" s="4">
        <f t="shared" si="75"/>
        <v>0</v>
      </c>
      <c r="W176" s="7">
        <f t="shared" si="76"/>
        <v>0</v>
      </c>
      <c r="X176" s="7">
        <f t="shared" si="77"/>
        <v>0</v>
      </c>
    </row>
    <row r="177" spans="2:24" ht="15.6" customHeight="1" x14ac:dyDescent="0.3">
      <c r="B177" s="7">
        <v>900</v>
      </c>
      <c r="C177" s="7">
        <v>950</v>
      </c>
      <c r="D177" s="4">
        <v>0</v>
      </c>
      <c r="E177" s="4">
        <v>2280</v>
      </c>
      <c r="F177" s="4">
        <v>0</v>
      </c>
      <c r="G177" s="4">
        <v>0</v>
      </c>
      <c r="H177" s="4">
        <v>1052730900</v>
      </c>
      <c r="I177" s="4">
        <v>0</v>
      </c>
      <c r="J177" s="7">
        <f t="shared" si="65"/>
        <v>0</v>
      </c>
      <c r="K177" s="7">
        <f t="shared" si="66"/>
        <v>2.25738998194088E-3</v>
      </c>
      <c r="L177" s="7">
        <f t="shared" si="67"/>
        <v>0</v>
      </c>
      <c r="M177" s="7">
        <f t="shared" si="68"/>
        <v>0</v>
      </c>
      <c r="N177" s="7">
        <f t="shared" si="69"/>
        <v>923.44815789473682</v>
      </c>
      <c r="O177" s="7">
        <f t="shared" si="70"/>
        <v>0</v>
      </c>
      <c r="P177" s="7" t="str">
        <f t="shared" si="71"/>
        <v>(900, 950]</v>
      </c>
      <c r="Q177" s="7" t="s">
        <v>93</v>
      </c>
      <c r="R177" s="7">
        <f t="shared" si="72"/>
        <v>2.25738998194088E-3</v>
      </c>
      <c r="S177" s="4">
        <v>0</v>
      </c>
      <c r="T177" s="7">
        <f t="shared" si="73"/>
        <v>0</v>
      </c>
      <c r="U177" s="7">
        <f t="shared" si="74"/>
        <v>0</v>
      </c>
      <c r="V177" s="4">
        <f t="shared" si="75"/>
        <v>0</v>
      </c>
      <c r="W177" s="7">
        <f t="shared" si="76"/>
        <v>0</v>
      </c>
      <c r="X177" s="7">
        <f t="shared" si="77"/>
        <v>0</v>
      </c>
    </row>
    <row r="178" spans="2:24" ht="15.6" customHeight="1" x14ac:dyDescent="0.3">
      <c r="B178" s="7">
        <v>950</v>
      </c>
      <c r="C178" s="7">
        <v>1000</v>
      </c>
      <c r="D178" s="4">
        <v>0</v>
      </c>
      <c r="E178" s="4">
        <v>1906</v>
      </c>
      <c r="F178" s="4">
        <v>0</v>
      </c>
      <c r="G178" s="4">
        <v>0</v>
      </c>
      <c r="H178" s="4">
        <v>927921350</v>
      </c>
      <c r="I178" s="4">
        <v>0</v>
      </c>
      <c r="J178" s="7">
        <f t="shared" si="65"/>
        <v>0</v>
      </c>
      <c r="K178" s="7">
        <f t="shared" si="66"/>
        <v>1.8870988182365428E-3</v>
      </c>
      <c r="L178" s="7">
        <f t="shared" si="67"/>
        <v>0</v>
      </c>
      <c r="M178" s="7">
        <f t="shared" si="68"/>
        <v>0</v>
      </c>
      <c r="N178" s="7">
        <f t="shared" si="69"/>
        <v>973.68452256033584</v>
      </c>
      <c r="O178" s="7">
        <f t="shared" si="70"/>
        <v>0</v>
      </c>
      <c r="P178" s="7" t="str">
        <f t="shared" si="71"/>
        <v>(950, 1000]</v>
      </c>
      <c r="Q178" s="7" t="s">
        <v>93</v>
      </c>
      <c r="R178" s="7">
        <f t="shared" si="72"/>
        <v>1.8870988182365428E-3</v>
      </c>
      <c r="S178" s="4">
        <v>0</v>
      </c>
      <c r="T178" s="7">
        <f t="shared" si="73"/>
        <v>0</v>
      </c>
      <c r="U178" s="7">
        <f t="shared" si="74"/>
        <v>0</v>
      </c>
      <c r="V178" s="4">
        <f t="shared" si="75"/>
        <v>0</v>
      </c>
      <c r="W178" s="7">
        <f t="shared" si="76"/>
        <v>0</v>
      </c>
      <c r="X178" s="7">
        <f t="shared" si="77"/>
        <v>0</v>
      </c>
    </row>
    <row r="179" spans="2:24" ht="15.6" customHeight="1" x14ac:dyDescent="0.3">
      <c r="B179" s="7">
        <v>1000</v>
      </c>
      <c r="C179" s="7">
        <v>2000</v>
      </c>
      <c r="D179" s="4">
        <v>0</v>
      </c>
      <c r="E179" s="4">
        <v>6902</v>
      </c>
      <c r="F179" s="4">
        <v>0</v>
      </c>
      <c r="G179" s="4">
        <v>0</v>
      </c>
      <c r="H179" s="4">
        <v>4187611700</v>
      </c>
      <c r="I179" s="4">
        <v>0</v>
      </c>
      <c r="J179" s="7">
        <f t="shared" si="65"/>
        <v>0</v>
      </c>
      <c r="K179" s="7">
        <f t="shared" si="66"/>
        <v>6.8335551119982256E-3</v>
      </c>
      <c r="L179" s="7">
        <f t="shared" si="67"/>
        <v>0</v>
      </c>
      <c r="M179" s="7">
        <f t="shared" si="68"/>
        <v>0</v>
      </c>
      <c r="N179" s="7">
        <f t="shared" si="69"/>
        <v>1213.4487684729065</v>
      </c>
      <c r="O179" s="7">
        <f t="shared" si="70"/>
        <v>0</v>
      </c>
      <c r="P179" s="7" t="str">
        <f t="shared" si="71"/>
        <v>(1000, 2000]</v>
      </c>
      <c r="Q179" s="7" t="s">
        <v>93</v>
      </c>
      <c r="R179" s="7">
        <f t="shared" si="72"/>
        <v>6.8335551119982256E-3</v>
      </c>
      <c r="S179" s="4">
        <v>0</v>
      </c>
      <c r="T179" s="7">
        <f t="shared" si="73"/>
        <v>0</v>
      </c>
      <c r="U179" s="7">
        <f t="shared" si="74"/>
        <v>0</v>
      </c>
      <c r="V179" s="4">
        <f t="shared" si="75"/>
        <v>0</v>
      </c>
      <c r="W179" s="7">
        <f t="shared" si="76"/>
        <v>0</v>
      </c>
      <c r="X179" s="7">
        <f t="shared" si="77"/>
        <v>0</v>
      </c>
    </row>
    <row r="180" spans="2:24" ht="15.6" customHeight="1" x14ac:dyDescent="0.3">
      <c r="B180" s="7">
        <v>2000</v>
      </c>
      <c r="C180" s="7">
        <v>3000</v>
      </c>
      <c r="D180" s="4">
        <v>0</v>
      </c>
      <c r="E180" s="4">
        <v>143</v>
      </c>
      <c r="F180" s="4">
        <v>0</v>
      </c>
      <c r="G180" s="4">
        <v>0</v>
      </c>
      <c r="H180" s="4">
        <v>162549250</v>
      </c>
      <c r="I180" s="4">
        <v>0</v>
      </c>
      <c r="J180" s="7">
        <f t="shared" si="65"/>
        <v>0</v>
      </c>
      <c r="K180" s="7">
        <f t="shared" si="66"/>
        <v>1.4158191553401134E-4</v>
      </c>
      <c r="L180" s="7">
        <f t="shared" si="67"/>
        <v>0</v>
      </c>
      <c r="M180" s="7">
        <f t="shared" si="68"/>
        <v>0</v>
      </c>
      <c r="N180" s="7">
        <f t="shared" si="69"/>
        <v>2273.4160839160841</v>
      </c>
      <c r="O180" s="7">
        <f t="shared" si="70"/>
        <v>0</v>
      </c>
      <c r="P180" s="7" t="str">
        <f t="shared" si="71"/>
        <v>(2000, 3000]</v>
      </c>
      <c r="Q180" s="7" t="s">
        <v>93</v>
      </c>
      <c r="R180" s="7">
        <f t="shared" si="72"/>
        <v>1.4158191553401134E-4</v>
      </c>
      <c r="S180" s="4">
        <v>0</v>
      </c>
      <c r="T180" s="7">
        <f t="shared" si="73"/>
        <v>0</v>
      </c>
      <c r="U180" s="7">
        <f t="shared" si="74"/>
        <v>0</v>
      </c>
      <c r="V180" s="4">
        <f t="shared" si="75"/>
        <v>0</v>
      </c>
      <c r="W180" s="7">
        <f t="shared" si="76"/>
        <v>0</v>
      </c>
      <c r="X180" s="7">
        <f t="shared" si="77"/>
        <v>0</v>
      </c>
    </row>
    <row r="181" spans="2:24" ht="15.6" customHeight="1" x14ac:dyDescent="0.3">
      <c r="B181" s="7">
        <v>3000</v>
      </c>
      <c r="C181" s="7">
        <v>4000</v>
      </c>
      <c r="D181" s="4">
        <v>0</v>
      </c>
      <c r="E181" s="4">
        <v>14</v>
      </c>
      <c r="F181" s="4">
        <v>0</v>
      </c>
      <c r="G181" s="4">
        <v>0</v>
      </c>
      <c r="H181" s="4">
        <v>23546150</v>
      </c>
      <c r="I181" s="4">
        <v>0</v>
      </c>
      <c r="J181" s="7">
        <f t="shared" si="65"/>
        <v>0</v>
      </c>
      <c r="K181" s="7">
        <f t="shared" si="66"/>
        <v>1.3861166555777333E-5</v>
      </c>
      <c r="L181" s="7">
        <f t="shared" si="67"/>
        <v>0</v>
      </c>
      <c r="M181" s="7">
        <f t="shared" si="68"/>
        <v>0</v>
      </c>
      <c r="N181" s="7">
        <f t="shared" si="69"/>
        <v>3363.7357142857136</v>
      </c>
      <c r="O181" s="7">
        <f t="shared" si="70"/>
        <v>0</v>
      </c>
      <c r="P181" s="7" t="str">
        <f t="shared" si="71"/>
        <v>(3000, 4000]</v>
      </c>
      <c r="Q181" s="7" t="s">
        <v>93</v>
      </c>
      <c r="R181" s="7">
        <f t="shared" si="72"/>
        <v>1.3861166555777333E-5</v>
      </c>
      <c r="S181" s="4">
        <v>0</v>
      </c>
      <c r="T181" s="7">
        <f t="shared" si="73"/>
        <v>0</v>
      </c>
      <c r="U181" s="7">
        <f t="shared" si="74"/>
        <v>0</v>
      </c>
      <c r="V181" s="4">
        <f t="shared" si="75"/>
        <v>0</v>
      </c>
      <c r="W181" s="7">
        <f t="shared" si="76"/>
        <v>0</v>
      </c>
      <c r="X181" s="7">
        <f t="shared" si="77"/>
        <v>0</v>
      </c>
    </row>
    <row r="182" spans="2:24" ht="15.6" customHeight="1" x14ac:dyDescent="0.3">
      <c r="B182" s="7">
        <v>4000</v>
      </c>
      <c r="C182" s="7">
        <v>5000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7">
        <f t="shared" si="65"/>
        <v>0</v>
      </c>
      <c r="K182" s="7">
        <f t="shared" si="66"/>
        <v>0</v>
      </c>
      <c r="L182" s="7">
        <f t="shared" si="67"/>
        <v>0</v>
      </c>
      <c r="M182" s="7">
        <f t="shared" si="68"/>
        <v>0</v>
      </c>
      <c r="N182" s="7">
        <f t="shared" si="69"/>
        <v>0</v>
      </c>
      <c r="O182" s="7">
        <f t="shared" si="70"/>
        <v>0</v>
      </c>
      <c r="P182" s="7" t="str">
        <f t="shared" si="71"/>
        <v>(4000, 5000]</v>
      </c>
      <c r="Q182" s="7" t="s">
        <v>93</v>
      </c>
      <c r="R182" s="7">
        <f t="shared" si="72"/>
        <v>0</v>
      </c>
      <c r="S182" s="4">
        <v>0</v>
      </c>
      <c r="T182" s="7">
        <f t="shared" si="73"/>
        <v>0</v>
      </c>
      <c r="U182" s="7">
        <f t="shared" si="74"/>
        <v>0</v>
      </c>
      <c r="V182" s="4">
        <f t="shared" si="75"/>
        <v>0</v>
      </c>
      <c r="W182" s="7">
        <f t="shared" si="76"/>
        <v>0</v>
      </c>
      <c r="X182" s="7">
        <f t="shared" si="77"/>
        <v>0</v>
      </c>
    </row>
    <row r="183" spans="2:24" ht="15.6" customHeight="1" x14ac:dyDescent="0.3">
      <c r="B183" s="7">
        <v>5000</v>
      </c>
      <c r="C183" s="7">
        <v>6000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7">
        <f t="shared" si="65"/>
        <v>0</v>
      </c>
      <c r="K183" s="7">
        <f t="shared" si="66"/>
        <v>0</v>
      </c>
      <c r="L183" s="7">
        <f t="shared" si="67"/>
        <v>0</v>
      </c>
      <c r="M183" s="7">
        <f t="shared" si="68"/>
        <v>0</v>
      </c>
      <c r="N183" s="7">
        <f t="shared" si="69"/>
        <v>0</v>
      </c>
      <c r="O183" s="7">
        <f t="shared" si="70"/>
        <v>0</v>
      </c>
      <c r="P183" s="7" t="str">
        <f t="shared" si="71"/>
        <v>(5000, 6000]</v>
      </c>
      <c r="Q183" s="7" t="s">
        <v>93</v>
      </c>
      <c r="R183" s="7">
        <f t="shared" si="72"/>
        <v>0</v>
      </c>
      <c r="S183" s="4">
        <v>0</v>
      </c>
      <c r="T183" s="7">
        <f t="shared" si="73"/>
        <v>0</v>
      </c>
      <c r="U183" s="7">
        <f t="shared" si="74"/>
        <v>0</v>
      </c>
      <c r="V183" s="4">
        <f t="shared" si="75"/>
        <v>0</v>
      </c>
      <c r="W183" s="7">
        <f t="shared" si="76"/>
        <v>0</v>
      </c>
      <c r="X183" s="7">
        <f t="shared" si="77"/>
        <v>0</v>
      </c>
    </row>
    <row r="184" spans="2:24" ht="15.6" customHeight="1" x14ac:dyDescent="0.3">
      <c r="B184" s="7">
        <v>6000</v>
      </c>
      <c r="C184" s="7">
        <v>7000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7">
        <f t="shared" si="65"/>
        <v>0</v>
      </c>
      <c r="K184" s="7">
        <f t="shared" si="66"/>
        <v>0</v>
      </c>
      <c r="L184" s="7">
        <f t="shared" si="67"/>
        <v>0</v>
      </c>
      <c r="M184" s="7">
        <f t="shared" si="68"/>
        <v>0</v>
      </c>
      <c r="N184" s="7">
        <f t="shared" si="69"/>
        <v>0</v>
      </c>
      <c r="O184" s="7">
        <f t="shared" si="70"/>
        <v>0</v>
      </c>
      <c r="P184" s="7" t="str">
        <f t="shared" si="71"/>
        <v>(6000, 7000]</v>
      </c>
      <c r="Q184" s="7" t="s">
        <v>93</v>
      </c>
      <c r="R184" s="7">
        <f t="shared" si="72"/>
        <v>0</v>
      </c>
      <c r="S184" s="4">
        <v>0</v>
      </c>
      <c r="T184" s="7">
        <f t="shared" si="73"/>
        <v>0</v>
      </c>
      <c r="U184" s="7">
        <f t="shared" si="74"/>
        <v>0</v>
      </c>
      <c r="V184" s="4">
        <f t="shared" si="75"/>
        <v>0</v>
      </c>
      <c r="W184" s="7">
        <f t="shared" si="76"/>
        <v>0</v>
      </c>
      <c r="X184" s="7">
        <f t="shared" si="77"/>
        <v>0</v>
      </c>
    </row>
    <row r="185" spans="2:24" ht="15.6" customHeight="1" x14ac:dyDescent="0.3">
      <c r="B185" s="7">
        <v>7000</v>
      </c>
      <c r="C185" s="7">
        <v>8000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7">
        <f t="shared" si="65"/>
        <v>0</v>
      </c>
      <c r="K185" s="7">
        <f t="shared" si="66"/>
        <v>0</v>
      </c>
      <c r="L185" s="7">
        <f t="shared" si="67"/>
        <v>0</v>
      </c>
      <c r="M185" s="7">
        <f t="shared" si="68"/>
        <v>0</v>
      </c>
      <c r="N185" s="7">
        <f t="shared" si="69"/>
        <v>0</v>
      </c>
      <c r="O185" s="7">
        <f t="shared" si="70"/>
        <v>0</v>
      </c>
      <c r="P185" s="7" t="str">
        <f t="shared" si="71"/>
        <v>(7000, 8000]</v>
      </c>
      <c r="Q185" s="7" t="s">
        <v>93</v>
      </c>
      <c r="R185" s="7">
        <f t="shared" si="72"/>
        <v>0</v>
      </c>
      <c r="S185" s="4">
        <v>0</v>
      </c>
      <c r="T185" s="7">
        <f t="shared" si="73"/>
        <v>0</v>
      </c>
      <c r="U185" s="7">
        <f t="shared" si="74"/>
        <v>0</v>
      </c>
      <c r="V185" s="4">
        <f t="shared" si="75"/>
        <v>0</v>
      </c>
      <c r="W185" s="7">
        <f t="shared" si="76"/>
        <v>0</v>
      </c>
      <c r="X185" s="7">
        <f t="shared" si="77"/>
        <v>0</v>
      </c>
    </row>
    <row r="186" spans="2:24" ht="15.6" customHeight="1" x14ac:dyDescent="0.3">
      <c r="B186" s="7"/>
      <c r="C186" s="7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7">
        <f t="shared" si="65"/>
        <v>0</v>
      </c>
      <c r="K186" s="7">
        <f t="shared" si="66"/>
        <v>0</v>
      </c>
      <c r="L186" s="7">
        <f t="shared" si="67"/>
        <v>0</v>
      </c>
      <c r="M186" s="7">
        <f t="shared" si="68"/>
        <v>0</v>
      </c>
      <c r="N186" s="7">
        <f t="shared" si="69"/>
        <v>0</v>
      </c>
      <c r="O186" s="7">
        <f t="shared" si="70"/>
        <v>0</v>
      </c>
      <c r="P186" s="7" t="str">
        <f t="shared" si="71"/>
        <v>(, ]</v>
      </c>
      <c r="Q186" s="7" t="s">
        <v>93</v>
      </c>
      <c r="R186" s="7">
        <f t="shared" si="72"/>
        <v>0</v>
      </c>
      <c r="S186" s="4">
        <v>0</v>
      </c>
      <c r="T186" s="7">
        <f t="shared" si="73"/>
        <v>0</v>
      </c>
      <c r="U186" s="7">
        <f t="shared" si="74"/>
        <v>0</v>
      </c>
      <c r="V186" s="4">
        <f t="shared" si="75"/>
        <v>0</v>
      </c>
      <c r="W186" s="7">
        <f t="shared" si="76"/>
        <v>0</v>
      </c>
      <c r="X186" s="7">
        <f t="shared" si="77"/>
        <v>0</v>
      </c>
    </row>
    <row r="187" spans="2:24" ht="15.6" customHeight="1" x14ac:dyDescent="0.3">
      <c r="B187" s="7"/>
      <c r="C187" s="7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7">
        <f t="shared" si="65"/>
        <v>0</v>
      </c>
      <c r="K187" s="7">
        <f t="shared" si="66"/>
        <v>0</v>
      </c>
      <c r="L187" s="7">
        <f t="shared" si="67"/>
        <v>0</v>
      </c>
      <c r="M187" s="7">
        <f t="shared" si="68"/>
        <v>0</v>
      </c>
      <c r="N187" s="7">
        <f t="shared" si="69"/>
        <v>0</v>
      </c>
      <c r="O187" s="7">
        <f t="shared" si="70"/>
        <v>0</v>
      </c>
      <c r="P187" s="7" t="str">
        <f t="shared" si="71"/>
        <v>(, ]</v>
      </c>
      <c r="Q187" s="7" t="s">
        <v>93</v>
      </c>
      <c r="R187" s="7">
        <f t="shared" si="72"/>
        <v>0</v>
      </c>
      <c r="S187" s="4">
        <v>0</v>
      </c>
      <c r="T187" s="7">
        <f t="shared" si="73"/>
        <v>0</v>
      </c>
      <c r="U187" s="7">
        <f t="shared" si="74"/>
        <v>0</v>
      </c>
      <c r="V187" s="4">
        <f t="shared" si="75"/>
        <v>0</v>
      </c>
      <c r="W187" s="7">
        <f t="shared" si="76"/>
        <v>0</v>
      </c>
      <c r="X187" s="7">
        <f t="shared" si="77"/>
        <v>0</v>
      </c>
    </row>
    <row r="188" spans="2:24" ht="15.6" customHeight="1" x14ac:dyDescent="0.3">
      <c r="B188" s="7"/>
      <c r="C188" s="7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7">
        <f t="shared" si="65"/>
        <v>0</v>
      </c>
      <c r="K188" s="7">
        <f t="shared" si="66"/>
        <v>0</v>
      </c>
      <c r="L188" s="7">
        <f t="shared" si="67"/>
        <v>0</v>
      </c>
      <c r="M188" s="7">
        <f t="shared" si="68"/>
        <v>0</v>
      </c>
      <c r="N188" s="7">
        <f t="shared" si="69"/>
        <v>0</v>
      </c>
      <c r="O188" s="7">
        <f t="shared" si="70"/>
        <v>0</v>
      </c>
      <c r="P188" s="7" t="str">
        <f t="shared" si="71"/>
        <v>(, ]</v>
      </c>
      <c r="Q188" s="7" t="s">
        <v>93</v>
      </c>
      <c r="R188" s="7">
        <f t="shared" si="72"/>
        <v>0</v>
      </c>
      <c r="S188" s="4">
        <v>0</v>
      </c>
      <c r="T188" s="7">
        <f t="shared" si="73"/>
        <v>0</v>
      </c>
      <c r="U188" s="7">
        <f t="shared" si="74"/>
        <v>0</v>
      </c>
      <c r="V188" s="4">
        <f t="shared" si="75"/>
        <v>0</v>
      </c>
      <c r="W188" s="7">
        <f t="shared" si="76"/>
        <v>0</v>
      </c>
      <c r="X188" s="7">
        <f t="shared" si="77"/>
        <v>0</v>
      </c>
    </row>
    <row r="189" spans="2:24" ht="15.6" customHeight="1" x14ac:dyDescent="0.3">
      <c r="B189" s="7"/>
      <c r="C189" s="7"/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7">
        <f t="shared" si="65"/>
        <v>0</v>
      </c>
      <c r="K189" s="7">
        <f t="shared" si="66"/>
        <v>0</v>
      </c>
      <c r="L189" s="7">
        <f t="shared" si="67"/>
        <v>0</v>
      </c>
      <c r="M189" s="7">
        <f t="shared" si="68"/>
        <v>0</v>
      </c>
      <c r="N189" s="7">
        <f t="shared" si="69"/>
        <v>0</v>
      </c>
      <c r="O189" s="7">
        <f t="shared" si="70"/>
        <v>0</v>
      </c>
      <c r="P189" s="7" t="str">
        <f t="shared" si="71"/>
        <v>(, ]</v>
      </c>
      <c r="Q189" s="7" t="s">
        <v>93</v>
      </c>
      <c r="R189" s="7">
        <f t="shared" si="72"/>
        <v>0</v>
      </c>
      <c r="S189" s="4">
        <v>0</v>
      </c>
      <c r="T189" s="7">
        <f t="shared" si="73"/>
        <v>0</v>
      </c>
      <c r="U189" s="7">
        <f t="shared" si="74"/>
        <v>0</v>
      </c>
      <c r="V189" s="4">
        <f t="shared" si="75"/>
        <v>0</v>
      </c>
      <c r="W189" s="7">
        <f t="shared" si="76"/>
        <v>0</v>
      </c>
      <c r="X189" s="7">
        <f t="shared" si="77"/>
        <v>0</v>
      </c>
    </row>
    <row r="190" spans="2:24" ht="15.6" customHeight="1" x14ac:dyDescent="0.3">
      <c r="B190" s="7"/>
      <c r="C190" s="7"/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7">
        <f t="shared" si="65"/>
        <v>0</v>
      </c>
      <c r="K190" s="7">
        <f t="shared" si="66"/>
        <v>0</v>
      </c>
      <c r="L190" s="7">
        <f t="shared" si="67"/>
        <v>0</v>
      </c>
      <c r="M190" s="7">
        <f t="shared" si="68"/>
        <v>0</v>
      </c>
      <c r="N190" s="7">
        <f t="shared" si="69"/>
        <v>0</v>
      </c>
      <c r="O190" s="7">
        <f t="shared" si="70"/>
        <v>0</v>
      </c>
      <c r="P190" s="7" t="str">
        <f t="shared" si="71"/>
        <v>(, ]</v>
      </c>
      <c r="Q190" s="7" t="s">
        <v>93</v>
      </c>
      <c r="R190" s="7">
        <f t="shared" si="72"/>
        <v>0</v>
      </c>
      <c r="S190" s="4">
        <v>0</v>
      </c>
      <c r="T190" s="7">
        <f t="shared" si="73"/>
        <v>0</v>
      </c>
      <c r="U190" s="7">
        <f t="shared" si="74"/>
        <v>0</v>
      </c>
      <c r="V190" s="4">
        <f t="shared" si="75"/>
        <v>0</v>
      </c>
      <c r="W190" s="7">
        <f t="shared" si="76"/>
        <v>0</v>
      </c>
      <c r="X190" s="7">
        <f t="shared" si="77"/>
        <v>0</v>
      </c>
    </row>
    <row r="191" spans="2:24" ht="15.6" customHeight="1" x14ac:dyDescent="0.3">
      <c r="B191" s="7"/>
      <c r="C191" s="7"/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7">
        <f t="shared" si="65"/>
        <v>0</v>
      </c>
      <c r="K191" s="7">
        <f t="shared" si="66"/>
        <v>0</v>
      </c>
      <c r="L191" s="7">
        <f t="shared" si="67"/>
        <v>0</v>
      </c>
      <c r="M191" s="7">
        <f t="shared" si="68"/>
        <v>0</v>
      </c>
      <c r="N191" s="7">
        <f t="shared" si="69"/>
        <v>0</v>
      </c>
      <c r="O191" s="7">
        <f t="shared" si="70"/>
        <v>0</v>
      </c>
      <c r="P191" s="7" t="str">
        <f t="shared" si="71"/>
        <v>(, ]</v>
      </c>
      <c r="Q191" s="7" t="s">
        <v>93</v>
      </c>
      <c r="R191" s="7">
        <f t="shared" si="72"/>
        <v>0</v>
      </c>
      <c r="S191" s="4">
        <v>0</v>
      </c>
      <c r="T191" s="7">
        <f t="shared" si="73"/>
        <v>0</v>
      </c>
      <c r="U191" s="7">
        <f t="shared" si="74"/>
        <v>0</v>
      </c>
      <c r="V191" s="4">
        <f t="shared" si="75"/>
        <v>0</v>
      </c>
      <c r="W191" s="7">
        <f t="shared" si="76"/>
        <v>0</v>
      </c>
      <c r="X191" s="7">
        <f t="shared" si="77"/>
        <v>0</v>
      </c>
    </row>
    <row r="192" spans="2:24" ht="15.6" customHeight="1" x14ac:dyDescent="0.3">
      <c r="B192" s="7"/>
      <c r="C192" s="7"/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7">
        <f t="shared" si="65"/>
        <v>0</v>
      </c>
      <c r="K192" s="7">
        <f t="shared" si="66"/>
        <v>0</v>
      </c>
      <c r="L192" s="7">
        <f t="shared" si="67"/>
        <v>0</v>
      </c>
      <c r="M192" s="7">
        <f t="shared" si="68"/>
        <v>0</v>
      </c>
      <c r="N192" s="7">
        <f t="shared" si="69"/>
        <v>0</v>
      </c>
      <c r="O192" s="7">
        <f t="shared" si="70"/>
        <v>0</v>
      </c>
      <c r="P192" s="7" t="str">
        <f t="shared" si="71"/>
        <v>(, ]</v>
      </c>
      <c r="Q192" s="7" t="s">
        <v>93</v>
      </c>
      <c r="R192" s="7">
        <f t="shared" si="72"/>
        <v>0</v>
      </c>
      <c r="S192" s="4">
        <v>0</v>
      </c>
      <c r="T192" s="7">
        <f t="shared" si="73"/>
        <v>0</v>
      </c>
      <c r="U192" s="7">
        <f t="shared" si="74"/>
        <v>0</v>
      </c>
      <c r="V192" s="4">
        <f t="shared" si="75"/>
        <v>0</v>
      </c>
      <c r="W192" s="7">
        <f t="shared" si="76"/>
        <v>0</v>
      </c>
      <c r="X192" s="7">
        <f t="shared" si="77"/>
        <v>0</v>
      </c>
    </row>
    <row r="193" spans="2:22" ht="15.6" customHeight="1" x14ac:dyDescent="0.3">
      <c r="B193" s="3" t="s">
        <v>166</v>
      </c>
      <c r="V193" s="4">
        <f>SUM(V134:V192)</f>
        <v>999999985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X193"/>
  <sheetViews>
    <sheetView workbookViewId="0"/>
  </sheetViews>
  <sheetFormatPr defaultRowHeight="15" x14ac:dyDescent="0.3"/>
  <cols>
    <col min="1" max="1" width="4" customWidth="1"/>
    <col min="2" max="24" width="15" customWidth="1"/>
  </cols>
  <sheetData>
    <row r="2" spans="2:24" ht="15.6" customHeight="1" x14ac:dyDescent="0.3">
      <c r="B2" s="3" t="s">
        <v>157</v>
      </c>
      <c r="C2" s="4">
        <f>10^9</f>
        <v>1000000000</v>
      </c>
    </row>
    <row r="3" spans="2:24" ht="15.6" customHeight="1" x14ac:dyDescent="0.3">
      <c r="B3" s="3" t="s">
        <v>5</v>
      </c>
      <c r="C3" s="4">
        <v>100</v>
      </c>
    </row>
    <row r="4" spans="2:24" ht="15.6" customHeight="1" x14ac:dyDescent="0.3">
      <c r="B4" s="3" t="s">
        <v>167</v>
      </c>
      <c r="C4" s="7" t="s">
        <v>182</v>
      </c>
    </row>
    <row r="6" spans="2:24" ht="15.6" customHeight="1" x14ac:dyDescent="0.3">
      <c r="B6" s="3" t="s">
        <v>169</v>
      </c>
      <c r="C6" s="3" t="s">
        <v>16</v>
      </c>
      <c r="D6" s="3" t="s">
        <v>17</v>
      </c>
      <c r="E6" s="3" t="s">
        <v>166</v>
      </c>
      <c r="F6" s="3" t="s">
        <v>170</v>
      </c>
      <c r="G6" s="3" t="s">
        <v>14</v>
      </c>
    </row>
    <row r="7" spans="2:24" ht="15.6" customHeight="1" x14ac:dyDescent="0.3">
      <c r="B7" s="7" t="s">
        <v>9</v>
      </c>
      <c r="C7" s="6">
        <f>SUM(X12:X64)</f>
        <v>0.66712158214433359</v>
      </c>
      <c r="D7" s="6">
        <f>SUM(X70:X128)*W64</f>
        <v>0.27281769625366542</v>
      </c>
      <c r="E7" s="6">
        <f>C7+W64*(SUM(X70:X128)+X64)</f>
        <v>0.93996564925201709</v>
      </c>
      <c r="F7" s="6">
        <f>W64</f>
        <v>8.4899999999999993E-3</v>
      </c>
      <c r="G7" s="8">
        <f>IF(F7=0,0,1/F7)</f>
        <v>117.78563015312133</v>
      </c>
    </row>
    <row r="8" spans="2:24" ht="15.6" customHeight="1" x14ac:dyDescent="0.3">
      <c r="B8" s="7" t="s">
        <v>10</v>
      </c>
      <c r="C8" s="6">
        <v>0</v>
      </c>
      <c r="D8" s="6">
        <f>SUM(X134:X192)/Parameter!$C$61</f>
        <v>0.98529689197307357</v>
      </c>
      <c r="E8" s="6">
        <f>C8+D8</f>
        <v>0.98529689197307357</v>
      </c>
      <c r="F8" s="6">
        <v>1</v>
      </c>
      <c r="G8" s="8">
        <v>1</v>
      </c>
    </row>
    <row r="10" spans="2:24" ht="15.6" customHeight="1" x14ac:dyDescent="0.3">
      <c r="B10" s="1" t="s">
        <v>158</v>
      </c>
      <c r="D10" s="3" t="s">
        <v>171</v>
      </c>
      <c r="G10" s="3" t="s">
        <v>172</v>
      </c>
      <c r="J10" s="3" t="s">
        <v>173</v>
      </c>
      <c r="M10" s="3" t="s">
        <v>174</v>
      </c>
    </row>
    <row r="11" spans="2:24" ht="15.6" customHeight="1" x14ac:dyDescent="0.3">
      <c r="B11" s="3" t="s">
        <v>159</v>
      </c>
      <c r="C11" s="3" t="s">
        <v>160</v>
      </c>
      <c r="D11" s="3" t="s">
        <v>40</v>
      </c>
      <c r="E11" s="3" t="s">
        <v>74</v>
      </c>
      <c r="F11" s="3" t="s">
        <v>175</v>
      </c>
      <c r="G11" s="3" t="s">
        <v>40</v>
      </c>
      <c r="H11" s="3" t="s">
        <v>74</v>
      </c>
      <c r="I11" s="3" t="s">
        <v>175</v>
      </c>
      <c r="J11" s="3" t="s">
        <v>40</v>
      </c>
      <c r="K11" s="3" t="s">
        <v>74</v>
      </c>
      <c r="L11" s="3" t="s">
        <v>175</v>
      </c>
      <c r="M11" s="3" t="s">
        <v>40</v>
      </c>
      <c r="N11" s="3" t="s">
        <v>74</v>
      </c>
      <c r="O11" s="3" t="s">
        <v>175</v>
      </c>
      <c r="P11" s="3" t="s">
        <v>161</v>
      </c>
      <c r="Q11" s="3" t="s">
        <v>162</v>
      </c>
      <c r="R11" s="3" t="s">
        <v>163</v>
      </c>
      <c r="S11" s="3" t="s">
        <v>176</v>
      </c>
      <c r="T11" s="3" t="s">
        <v>177</v>
      </c>
      <c r="U11" s="3" t="s">
        <v>178</v>
      </c>
      <c r="V11" s="3" t="s">
        <v>91</v>
      </c>
      <c r="W11" s="3" t="s">
        <v>170</v>
      </c>
      <c r="X11" s="3" t="s">
        <v>179</v>
      </c>
    </row>
    <row r="12" spans="2:24" ht="15.6" customHeight="1" x14ac:dyDescent="0.3">
      <c r="B12" s="7">
        <v>-1</v>
      </c>
      <c r="C12" s="7">
        <v>0</v>
      </c>
      <c r="D12" s="4">
        <v>81444439</v>
      </c>
      <c r="E12" s="4">
        <v>44611398</v>
      </c>
      <c r="F12" s="4">
        <v>0</v>
      </c>
      <c r="G12" s="4">
        <v>0</v>
      </c>
      <c r="H12" s="4">
        <v>0</v>
      </c>
      <c r="I12" s="4">
        <v>0</v>
      </c>
      <c r="J12" s="7">
        <f t="shared" ref="J12:J43" si="0">IF(SUM(D$12:D$63)=0,0,D12/SUM(D$12:D$63))</f>
        <v>0.82275434047953777</v>
      </c>
      <c r="K12" s="7">
        <f t="shared" ref="K12:K43" si="1">IF(SUM(E$12:E$63)=0,0,E12/SUM(E$12:E$63))</f>
        <v>0.44990450644964947</v>
      </c>
      <c r="L12" s="7">
        <f t="shared" ref="L12:L43" si="2">IF(SUM(F$12:F$63)=0,0,F12/SUM(F$12:F$63))</f>
        <v>0</v>
      </c>
      <c r="M12" s="7">
        <f t="shared" ref="M12:M43" si="3">IF(D12=0,0,G12/D12/$C$3/5)</f>
        <v>0</v>
      </c>
      <c r="N12" s="7">
        <f t="shared" ref="N12:N43" si="4">IF(E12=0,0,H12/E12/$C$3/5)</f>
        <v>0</v>
      </c>
      <c r="O12" s="7">
        <f t="shared" ref="O12:O43" si="5">IF(F12=0,0,I12/F12/$C$3/5)</f>
        <v>0</v>
      </c>
      <c r="P12" s="7" t="str">
        <f t="shared" ref="P12:P43" si="6">"("&amp;B12&amp;", "&amp;C12&amp;"]"</f>
        <v>(-1, 0]</v>
      </c>
      <c r="Q12" s="7" t="s">
        <v>74</v>
      </c>
      <c r="R12" s="7">
        <f t="shared" ref="R12:R43" si="7">IFERROR(INDEX($J12:$L12,MATCH($Q12,$J$11:$L$11,0)),0)</f>
        <v>0.44990450644964947</v>
      </c>
      <c r="S12" s="4">
        <v>1.7108000000000001</v>
      </c>
      <c r="T12" s="7">
        <f t="shared" ref="T12:T43" si="8">$R12*$S12</f>
        <v>0.76969662963406038</v>
      </c>
      <c r="U12" s="7">
        <f t="shared" ref="U12:U43" si="9">IF(SUM(T$12:T$64)=0,0,T12/SUM(T$12:T$64))</f>
        <v>0.74618192255544569</v>
      </c>
      <c r="V12" s="4">
        <f>INT($C$2-SUM(V13:V$64))</f>
        <v>745922560</v>
      </c>
      <c r="W12" s="7">
        <f t="shared" ref="W12:W43" si="10">IF(SUM(V$12:V$64)=0,0,V12/SUM(V$12:V$64))</f>
        <v>0.74592256000000001</v>
      </c>
      <c r="X12" s="7">
        <f t="shared" ref="X12:X43" si="11">IFERROR(INDEX($M12:$O12,MATCH($Q12,$M$11:$O$11,0)),0)*V12/$C$2</f>
        <v>0</v>
      </c>
    </row>
    <row r="13" spans="2:24" ht="15.6" customHeight="1" x14ac:dyDescent="0.3">
      <c r="B13" s="7">
        <v>0</v>
      </c>
      <c r="C13" s="7">
        <v>1</v>
      </c>
      <c r="D13" s="4">
        <v>13113310</v>
      </c>
      <c r="E13" s="4">
        <v>18412850</v>
      </c>
      <c r="F13" s="4">
        <v>0</v>
      </c>
      <c r="G13" s="4">
        <v>2531346475</v>
      </c>
      <c r="H13" s="4">
        <v>3398022375</v>
      </c>
      <c r="I13" s="4">
        <v>0</v>
      </c>
      <c r="J13" s="7">
        <f t="shared" si="0"/>
        <v>0.13247107909422431</v>
      </c>
      <c r="K13" s="7">
        <f t="shared" si="1"/>
        <v>0.18569299692382266</v>
      </c>
      <c r="L13" s="7">
        <f t="shared" si="2"/>
        <v>0</v>
      </c>
      <c r="M13" s="7">
        <f t="shared" si="3"/>
        <v>0.38607284888407273</v>
      </c>
      <c r="N13" s="7">
        <f t="shared" si="4"/>
        <v>0.36909249518678527</v>
      </c>
      <c r="O13" s="7">
        <f t="shared" si="5"/>
        <v>0</v>
      </c>
      <c r="P13" s="7" t="str">
        <f t="shared" si="6"/>
        <v>(0, 1]</v>
      </c>
      <c r="Q13" s="7" t="s">
        <v>74</v>
      </c>
      <c r="R13" s="7">
        <f t="shared" si="7"/>
        <v>0.18569299692382266</v>
      </c>
      <c r="S13" s="4">
        <v>0.86499999999999999</v>
      </c>
      <c r="T13" s="7">
        <f t="shared" si="8"/>
        <v>0.16062444233910658</v>
      </c>
      <c r="U13" s="7">
        <f t="shared" si="9"/>
        <v>0.15571726649105117</v>
      </c>
      <c r="V13" s="4">
        <f t="shared" ref="V13:V44" si="12">INT(U13*$C$2)</f>
        <v>155717266</v>
      </c>
      <c r="W13" s="7">
        <f t="shared" si="10"/>
        <v>0.15571726599999999</v>
      </c>
      <c r="X13" s="7">
        <f t="shared" si="11"/>
        <v>5.7474074251604362E-2</v>
      </c>
    </row>
    <row r="14" spans="2:24" ht="15.6" customHeight="1" x14ac:dyDescent="0.3">
      <c r="B14" s="7">
        <v>1</v>
      </c>
      <c r="C14" s="7">
        <v>2</v>
      </c>
      <c r="D14" s="4">
        <v>2076337</v>
      </c>
      <c r="E14" s="4">
        <v>4580344</v>
      </c>
      <c r="F14" s="4">
        <v>0</v>
      </c>
      <c r="G14" s="4">
        <v>1560262150</v>
      </c>
      <c r="H14" s="4">
        <v>3412133350</v>
      </c>
      <c r="I14" s="4">
        <v>0</v>
      </c>
      <c r="J14" s="7">
        <f t="shared" si="0"/>
        <v>2.0975223109441051E-2</v>
      </c>
      <c r="K14" s="7">
        <f t="shared" si="1"/>
        <v>4.619262114784238E-2</v>
      </c>
      <c r="L14" s="7">
        <f t="shared" si="2"/>
        <v>0</v>
      </c>
      <c r="M14" s="7">
        <f t="shared" si="3"/>
        <v>1.5028987587275091</v>
      </c>
      <c r="N14" s="7">
        <f t="shared" si="4"/>
        <v>1.4899026579663013</v>
      </c>
      <c r="O14" s="7">
        <f t="shared" si="5"/>
        <v>0</v>
      </c>
      <c r="P14" s="7" t="str">
        <f t="shared" si="6"/>
        <v>(1, 2]</v>
      </c>
      <c r="Q14" s="7" t="s">
        <v>74</v>
      </c>
      <c r="R14" s="7">
        <f t="shared" si="7"/>
        <v>4.619262114784238E-2</v>
      </c>
      <c r="S14" s="4">
        <v>0.57999999999999996</v>
      </c>
      <c r="T14" s="7">
        <f t="shared" si="8"/>
        <v>2.6791720265748577E-2</v>
      </c>
      <c r="U14" s="7">
        <f t="shared" si="9"/>
        <v>2.5973216676248925E-2</v>
      </c>
      <c r="V14" s="4">
        <f t="shared" si="12"/>
        <v>25973216</v>
      </c>
      <c r="W14" s="7">
        <f t="shared" si="10"/>
        <v>2.5973216E-2</v>
      </c>
      <c r="X14" s="7">
        <f t="shared" si="11"/>
        <v>3.8697563554332869E-2</v>
      </c>
    </row>
    <row r="15" spans="2:24" ht="15.6" customHeight="1" x14ac:dyDescent="0.3">
      <c r="B15" s="7">
        <v>2</v>
      </c>
      <c r="C15" s="7">
        <v>3</v>
      </c>
      <c r="D15" s="4">
        <v>894630</v>
      </c>
      <c r="E15" s="4">
        <v>2912418</v>
      </c>
      <c r="F15" s="4">
        <v>0</v>
      </c>
      <c r="G15" s="4">
        <v>1126665375</v>
      </c>
      <c r="H15" s="4">
        <v>3666796450</v>
      </c>
      <c r="I15" s="4">
        <v>0</v>
      </c>
      <c r="J15" s="7">
        <f t="shared" si="0"/>
        <v>9.0375810142569579E-3</v>
      </c>
      <c r="K15" s="7">
        <f t="shared" si="1"/>
        <v>2.937164136539893E-2</v>
      </c>
      <c r="L15" s="7">
        <f t="shared" si="2"/>
        <v>0</v>
      </c>
      <c r="M15" s="7">
        <f t="shared" si="3"/>
        <v>2.5187292511988195</v>
      </c>
      <c r="N15" s="7">
        <f t="shared" si="4"/>
        <v>2.5180427054083583</v>
      </c>
      <c r="O15" s="7">
        <f t="shared" si="5"/>
        <v>0</v>
      </c>
      <c r="P15" s="7" t="str">
        <f t="shared" si="6"/>
        <v>(2, 3]</v>
      </c>
      <c r="Q15" s="7" t="s">
        <v>74</v>
      </c>
      <c r="R15" s="7">
        <f t="shared" si="7"/>
        <v>2.937164136539893E-2</v>
      </c>
      <c r="S15" s="4">
        <v>0.52</v>
      </c>
      <c r="T15" s="7">
        <f t="shared" si="8"/>
        <v>1.5273253510007445E-2</v>
      </c>
      <c r="U15" s="7">
        <f t="shared" si="9"/>
        <v>1.4806646188891853E-2</v>
      </c>
      <c r="V15" s="4">
        <f t="shared" si="12"/>
        <v>14806646</v>
      </c>
      <c r="W15" s="7">
        <f t="shared" si="10"/>
        <v>1.4806646E-2</v>
      </c>
      <c r="X15" s="7">
        <f t="shared" si="11"/>
        <v>3.7283766951863848E-2</v>
      </c>
    </row>
    <row r="16" spans="2:24" ht="15.6" customHeight="1" x14ac:dyDescent="0.3">
      <c r="B16" s="7">
        <v>3</v>
      </c>
      <c r="C16" s="7">
        <v>4</v>
      </c>
      <c r="D16" s="4">
        <v>457771</v>
      </c>
      <c r="E16" s="4">
        <v>1995806</v>
      </c>
      <c r="F16" s="4">
        <v>0</v>
      </c>
      <c r="G16" s="4">
        <v>815422300</v>
      </c>
      <c r="H16" s="4">
        <v>3530115825</v>
      </c>
      <c r="I16" s="4">
        <v>0</v>
      </c>
      <c r="J16" s="7">
        <f t="shared" si="0"/>
        <v>4.6244173551942391E-3</v>
      </c>
      <c r="K16" s="7">
        <f t="shared" si="1"/>
        <v>2.0127638981393255E-2</v>
      </c>
      <c r="L16" s="7">
        <f t="shared" si="2"/>
        <v>0</v>
      </c>
      <c r="M16" s="7">
        <f t="shared" si="3"/>
        <v>3.5625773585482698</v>
      </c>
      <c r="N16" s="7">
        <f t="shared" si="4"/>
        <v>3.5375340338690235</v>
      </c>
      <c r="O16" s="7">
        <f t="shared" si="5"/>
        <v>0</v>
      </c>
      <c r="P16" s="7" t="str">
        <f t="shared" si="6"/>
        <v>(3, 4]</v>
      </c>
      <c r="Q16" s="7" t="s">
        <v>74</v>
      </c>
      <c r="R16" s="7">
        <f t="shared" si="7"/>
        <v>2.0127638981393255E-2</v>
      </c>
      <c r="S16" s="4">
        <v>0.53</v>
      </c>
      <c r="T16" s="7">
        <f t="shared" si="8"/>
        <v>1.0667648660138425E-2</v>
      </c>
      <c r="U16" s="7">
        <f t="shared" si="9"/>
        <v>1.0341745409685072E-2</v>
      </c>
      <c r="V16" s="4">
        <f t="shared" si="12"/>
        <v>10341745</v>
      </c>
      <c r="W16" s="7">
        <f t="shared" si="10"/>
        <v>1.0341744999999999E-2</v>
      </c>
      <c r="X16" s="7">
        <f t="shared" si="11"/>
        <v>3.6584274907094809E-2</v>
      </c>
    </row>
    <row r="17" spans="2:24" ht="15.6" customHeight="1" x14ac:dyDescent="0.3">
      <c r="B17" s="7">
        <v>4</v>
      </c>
      <c r="C17" s="7">
        <v>5</v>
      </c>
      <c r="D17" s="4">
        <v>297012</v>
      </c>
      <c r="E17" s="4">
        <v>1826101</v>
      </c>
      <c r="F17" s="4">
        <v>0</v>
      </c>
      <c r="G17" s="4">
        <v>670352000</v>
      </c>
      <c r="H17" s="4">
        <v>4129988800</v>
      </c>
      <c r="I17" s="4">
        <v>0</v>
      </c>
      <c r="J17" s="7">
        <f t="shared" si="0"/>
        <v>3.0004247702474624E-3</v>
      </c>
      <c r="K17" s="7">
        <f t="shared" si="1"/>
        <v>1.8416169543312929E-2</v>
      </c>
      <c r="L17" s="7">
        <f t="shared" si="2"/>
        <v>0</v>
      </c>
      <c r="M17" s="7">
        <f t="shared" si="3"/>
        <v>4.5139724994276325</v>
      </c>
      <c r="N17" s="7">
        <f t="shared" si="4"/>
        <v>4.5232862804412246</v>
      </c>
      <c r="O17" s="7">
        <f t="shared" si="5"/>
        <v>0</v>
      </c>
      <c r="P17" s="7" t="str">
        <f t="shared" si="6"/>
        <v>(4, 5]</v>
      </c>
      <c r="Q17" s="7" t="s">
        <v>74</v>
      </c>
      <c r="R17" s="7">
        <f t="shared" si="7"/>
        <v>1.8416169543312929E-2</v>
      </c>
      <c r="S17" s="4">
        <v>0.5</v>
      </c>
      <c r="T17" s="7">
        <f t="shared" si="8"/>
        <v>9.2080847716564645E-3</v>
      </c>
      <c r="U17" s="7">
        <f t="shared" si="9"/>
        <v>8.9267720988135315E-3</v>
      </c>
      <c r="V17" s="4">
        <f t="shared" si="12"/>
        <v>8926772</v>
      </c>
      <c r="W17" s="7">
        <f t="shared" si="10"/>
        <v>8.9267719999999995E-3</v>
      </c>
      <c r="X17" s="7">
        <f t="shared" si="11"/>
        <v>4.0378345316226867E-2</v>
      </c>
    </row>
    <row r="18" spans="2:24" ht="15.6" customHeight="1" x14ac:dyDescent="0.3">
      <c r="B18" s="7">
        <v>5</v>
      </c>
      <c r="C18" s="7">
        <v>6</v>
      </c>
      <c r="D18" s="4">
        <v>177151</v>
      </c>
      <c r="E18" s="4">
        <v>1461544</v>
      </c>
      <c r="F18" s="4">
        <v>0</v>
      </c>
      <c r="G18" s="4">
        <v>491783775</v>
      </c>
      <c r="H18" s="4">
        <v>4037335500</v>
      </c>
      <c r="I18" s="4">
        <v>0</v>
      </c>
      <c r="J18" s="7">
        <f t="shared" si="0"/>
        <v>1.7895850958012075E-3</v>
      </c>
      <c r="K18" s="7">
        <f t="shared" si="1"/>
        <v>1.4739623985207692E-2</v>
      </c>
      <c r="L18" s="7">
        <f t="shared" si="2"/>
        <v>0</v>
      </c>
      <c r="M18" s="7">
        <f t="shared" si="3"/>
        <v>5.5521422402357308</v>
      </c>
      <c r="N18" s="7">
        <f t="shared" si="4"/>
        <v>5.5247539588271035</v>
      </c>
      <c r="O18" s="7">
        <f t="shared" si="5"/>
        <v>0</v>
      </c>
      <c r="P18" s="7" t="str">
        <f t="shared" si="6"/>
        <v>(5, 6]</v>
      </c>
      <c r="Q18" s="7" t="s">
        <v>74</v>
      </c>
      <c r="R18" s="7">
        <f t="shared" si="7"/>
        <v>1.4739623985207692E-2</v>
      </c>
      <c r="S18" s="4">
        <v>0.3</v>
      </c>
      <c r="T18" s="7">
        <f t="shared" si="8"/>
        <v>4.421887195562307E-3</v>
      </c>
      <c r="U18" s="7">
        <f t="shared" si="9"/>
        <v>4.2867958126264613E-3</v>
      </c>
      <c r="V18" s="4">
        <f t="shared" si="12"/>
        <v>4286795</v>
      </c>
      <c r="W18" s="7">
        <f t="shared" si="10"/>
        <v>4.2867950000000004E-3</v>
      </c>
      <c r="X18" s="7">
        <f t="shared" si="11"/>
        <v>2.3683487646930231E-2</v>
      </c>
    </row>
    <row r="19" spans="2:24" ht="15.6" customHeight="1" x14ac:dyDescent="0.3">
      <c r="B19" s="7">
        <v>6</v>
      </c>
      <c r="C19" s="7">
        <v>7</v>
      </c>
      <c r="D19" s="4">
        <v>124646</v>
      </c>
      <c r="E19" s="4">
        <v>1323139</v>
      </c>
      <c r="F19" s="4">
        <v>0</v>
      </c>
      <c r="G19" s="4">
        <v>405090625</v>
      </c>
      <c r="H19" s="4">
        <v>4311237575</v>
      </c>
      <c r="I19" s="4">
        <v>0</v>
      </c>
      <c r="J19" s="7">
        <f t="shared" si="0"/>
        <v>1.2591778982406947E-3</v>
      </c>
      <c r="K19" s="7">
        <f t="shared" si="1"/>
        <v>1.3343814035132517E-2</v>
      </c>
      <c r="L19" s="7">
        <f t="shared" si="2"/>
        <v>0</v>
      </c>
      <c r="M19" s="7">
        <f t="shared" si="3"/>
        <v>6.4998575967138947</v>
      </c>
      <c r="N19" s="7">
        <f t="shared" si="4"/>
        <v>6.5166812783842065</v>
      </c>
      <c r="O19" s="7">
        <f t="shared" si="5"/>
        <v>0</v>
      </c>
      <c r="P19" s="7" t="str">
        <f t="shared" si="6"/>
        <v>(6, 7]</v>
      </c>
      <c r="Q19" s="7" t="s">
        <v>74</v>
      </c>
      <c r="R19" s="7">
        <f t="shared" si="7"/>
        <v>1.3343814035132517E-2</v>
      </c>
      <c r="S19" s="4">
        <v>0.3</v>
      </c>
      <c r="T19" s="7">
        <f t="shared" si="8"/>
        <v>4.003144210539755E-3</v>
      </c>
      <c r="U19" s="7">
        <f t="shared" si="9"/>
        <v>3.8808456842371929E-3</v>
      </c>
      <c r="V19" s="4">
        <f t="shared" si="12"/>
        <v>3880845</v>
      </c>
      <c r="W19" s="7">
        <f t="shared" si="10"/>
        <v>3.880845E-3</v>
      </c>
      <c r="X19" s="7">
        <f t="shared" si="11"/>
        <v>2.5290229955810956E-2</v>
      </c>
    </row>
    <row r="20" spans="2:24" ht="15.6" customHeight="1" x14ac:dyDescent="0.3">
      <c r="B20" s="7">
        <v>7</v>
      </c>
      <c r="C20" s="7">
        <v>8</v>
      </c>
      <c r="D20" s="4">
        <v>84482</v>
      </c>
      <c r="E20" s="4">
        <v>1121685</v>
      </c>
      <c r="F20" s="4">
        <v>0</v>
      </c>
      <c r="G20" s="4">
        <v>319837600</v>
      </c>
      <c r="H20" s="4">
        <v>4225509550</v>
      </c>
      <c r="I20" s="4">
        <v>0</v>
      </c>
      <c r="J20" s="7">
        <f t="shared" si="0"/>
        <v>8.5343987933163019E-4</v>
      </c>
      <c r="K20" s="7">
        <f t="shared" si="1"/>
        <v>1.1312156958564155E-2</v>
      </c>
      <c r="L20" s="7">
        <f t="shared" si="2"/>
        <v>0</v>
      </c>
      <c r="M20" s="7">
        <f t="shared" si="3"/>
        <v>7.5717336237304993</v>
      </c>
      <c r="N20" s="7">
        <f t="shared" si="4"/>
        <v>7.5342178062468523</v>
      </c>
      <c r="O20" s="7">
        <f t="shared" si="5"/>
        <v>0</v>
      </c>
      <c r="P20" s="7" t="str">
        <f t="shared" si="6"/>
        <v>(7, 8]</v>
      </c>
      <c r="Q20" s="7" t="s">
        <v>74</v>
      </c>
      <c r="R20" s="7">
        <f t="shared" si="7"/>
        <v>1.1312156958564155E-2</v>
      </c>
      <c r="S20" s="4">
        <v>0.3</v>
      </c>
      <c r="T20" s="7">
        <f t="shared" si="8"/>
        <v>3.3936470875692466E-3</v>
      </c>
      <c r="U20" s="7">
        <f t="shared" si="9"/>
        <v>3.2899690745443948E-3</v>
      </c>
      <c r="V20" s="4">
        <f t="shared" si="12"/>
        <v>3289969</v>
      </c>
      <c r="W20" s="7">
        <f t="shared" si="10"/>
        <v>3.2899689999999998E-3</v>
      </c>
      <c r="X20" s="7">
        <f t="shared" si="11"/>
        <v>2.4787343021800148E-2</v>
      </c>
    </row>
    <row r="21" spans="2:24" ht="15.6" customHeight="1" x14ac:dyDescent="0.3">
      <c r="B21" s="7">
        <v>8</v>
      </c>
      <c r="C21" s="7">
        <v>9</v>
      </c>
      <c r="D21" s="4">
        <v>71204</v>
      </c>
      <c r="E21" s="4">
        <v>1089744</v>
      </c>
      <c r="F21" s="4">
        <v>0</v>
      </c>
      <c r="G21" s="4">
        <v>303032850</v>
      </c>
      <c r="H21" s="4">
        <v>4639783525</v>
      </c>
      <c r="I21" s="4">
        <v>0</v>
      </c>
      <c r="J21" s="7">
        <f t="shared" si="0"/>
        <v>7.1930509656411299E-4</v>
      </c>
      <c r="K21" s="7">
        <f t="shared" si="1"/>
        <v>1.0990033006283883E-2</v>
      </c>
      <c r="L21" s="7">
        <f t="shared" si="2"/>
        <v>0</v>
      </c>
      <c r="M21" s="7">
        <f t="shared" si="3"/>
        <v>8.5116805235660919</v>
      </c>
      <c r="N21" s="7">
        <f t="shared" si="4"/>
        <v>8.5153642048040634</v>
      </c>
      <c r="O21" s="7">
        <f t="shared" si="5"/>
        <v>0</v>
      </c>
      <c r="P21" s="7" t="str">
        <f t="shared" si="6"/>
        <v>(8, 9]</v>
      </c>
      <c r="Q21" s="7" t="s">
        <v>74</v>
      </c>
      <c r="R21" s="7">
        <f t="shared" si="7"/>
        <v>1.0990033006283883E-2</v>
      </c>
      <c r="S21" s="4">
        <v>0.28000000000000003</v>
      </c>
      <c r="T21" s="7">
        <f t="shared" si="8"/>
        <v>3.0772092417594874E-3</v>
      </c>
      <c r="U21" s="7">
        <f t="shared" si="9"/>
        <v>2.9831986002240261E-3</v>
      </c>
      <c r="V21" s="4">
        <f t="shared" si="12"/>
        <v>2983198</v>
      </c>
      <c r="W21" s="7">
        <f t="shared" si="10"/>
        <v>2.9831979999999998E-3</v>
      </c>
      <c r="X21" s="7">
        <f t="shared" si="11"/>
        <v>2.540301746504307E-2</v>
      </c>
    </row>
    <row r="22" spans="2:24" ht="15.6" customHeight="1" x14ac:dyDescent="0.3">
      <c r="B22" s="7">
        <v>9</v>
      </c>
      <c r="C22" s="7">
        <v>10</v>
      </c>
      <c r="D22" s="4">
        <v>48023</v>
      </c>
      <c r="E22" s="4">
        <v>944073</v>
      </c>
      <c r="F22" s="4">
        <v>0</v>
      </c>
      <c r="G22" s="4">
        <v>228958500</v>
      </c>
      <c r="H22" s="4">
        <v>4499878525</v>
      </c>
      <c r="I22" s="4">
        <v>0</v>
      </c>
      <c r="J22" s="7">
        <f t="shared" si="0"/>
        <v>4.8512988950478059E-4</v>
      </c>
      <c r="K22" s="7">
        <f t="shared" si="1"/>
        <v>9.5209456811337738E-3</v>
      </c>
      <c r="L22" s="7">
        <f t="shared" si="2"/>
        <v>0</v>
      </c>
      <c r="M22" s="7">
        <f t="shared" si="3"/>
        <v>9.5353684692751397</v>
      </c>
      <c r="N22" s="7">
        <f t="shared" si="4"/>
        <v>9.5329037585017264</v>
      </c>
      <c r="O22" s="7">
        <f t="shared" si="5"/>
        <v>0</v>
      </c>
      <c r="P22" s="7" t="str">
        <f t="shared" si="6"/>
        <v>(9, 10]</v>
      </c>
      <c r="Q22" s="7" t="s">
        <v>74</v>
      </c>
      <c r="R22" s="7">
        <f t="shared" si="7"/>
        <v>9.5209456811337738E-3</v>
      </c>
      <c r="S22" s="4">
        <v>0.32</v>
      </c>
      <c r="T22" s="7">
        <f t="shared" si="8"/>
        <v>3.0467026179628078E-3</v>
      </c>
      <c r="U22" s="7">
        <f t="shared" si="9"/>
        <v>2.9536239726124895E-3</v>
      </c>
      <c r="V22" s="4">
        <f t="shared" si="12"/>
        <v>2953623</v>
      </c>
      <c r="W22" s="7">
        <f t="shared" si="10"/>
        <v>2.9536229999999998E-3</v>
      </c>
      <c r="X22" s="7">
        <f t="shared" si="11"/>
        <v>2.8156603797897146E-2</v>
      </c>
    </row>
    <row r="23" spans="2:24" ht="15.6" customHeight="1" x14ac:dyDescent="0.3">
      <c r="B23" s="7">
        <v>10</v>
      </c>
      <c r="C23" s="7">
        <v>15</v>
      </c>
      <c r="D23" s="4">
        <v>117843</v>
      </c>
      <c r="E23" s="4">
        <v>3698851</v>
      </c>
      <c r="F23" s="4">
        <v>0</v>
      </c>
      <c r="G23" s="4">
        <v>711361275</v>
      </c>
      <c r="H23" s="4">
        <v>22888608900</v>
      </c>
      <c r="I23" s="4">
        <v>0</v>
      </c>
      <c r="J23" s="7">
        <f t="shared" si="0"/>
        <v>1.1904537735858206E-3</v>
      </c>
      <c r="K23" s="7">
        <f t="shared" si="1"/>
        <v>3.7302792743365551E-2</v>
      </c>
      <c r="L23" s="7">
        <f t="shared" si="2"/>
        <v>0</v>
      </c>
      <c r="M23" s="7">
        <f t="shared" si="3"/>
        <v>12.07303403681169</v>
      </c>
      <c r="N23" s="7">
        <f t="shared" si="4"/>
        <v>12.376064296723495</v>
      </c>
      <c r="O23" s="7">
        <f t="shared" si="5"/>
        <v>0</v>
      </c>
      <c r="P23" s="7" t="str">
        <f t="shared" si="6"/>
        <v>(10, 15]</v>
      </c>
      <c r="Q23" s="7" t="s">
        <v>74</v>
      </c>
      <c r="R23" s="7">
        <f t="shared" si="7"/>
        <v>3.7302792743365551E-2</v>
      </c>
      <c r="S23" s="4">
        <v>0.13830000000000001</v>
      </c>
      <c r="T23" s="7">
        <f t="shared" si="8"/>
        <v>5.1589762364074561E-3</v>
      </c>
      <c r="U23" s="7">
        <f t="shared" si="9"/>
        <v>5.0013663283553301E-3</v>
      </c>
      <c r="V23" s="4">
        <f t="shared" si="12"/>
        <v>5001366</v>
      </c>
      <c r="W23" s="7">
        <f t="shared" si="10"/>
        <v>5.0013660000000001E-3</v>
      </c>
      <c r="X23" s="7">
        <f t="shared" si="11"/>
        <v>6.18972271874468E-2</v>
      </c>
    </row>
    <row r="24" spans="2:24" ht="15.6" customHeight="1" x14ac:dyDescent="0.3">
      <c r="B24" s="7">
        <v>15</v>
      </c>
      <c r="C24" s="7">
        <v>20</v>
      </c>
      <c r="D24" s="4">
        <v>45036</v>
      </c>
      <c r="E24" s="4">
        <v>2622561</v>
      </c>
      <c r="F24" s="4">
        <v>0</v>
      </c>
      <c r="G24" s="4">
        <v>386935925</v>
      </c>
      <c r="H24" s="4">
        <v>22832281425</v>
      </c>
      <c r="I24" s="4">
        <v>0</v>
      </c>
      <c r="J24" s="7">
        <f t="shared" si="0"/>
        <v>4.5495511949976674E-4</v>
      </c>
      <c r="K24" s="7">
        <f t="shared" si="1"/>
        <v>2.644844289208554E-2</v>
      </c>
      <c r="L24" s="7">
        <f t="shared" si="2"/>
        <v>0</v>
      </c>
      <c r="M24" s="7">
        <f t="shared" si="3"/>
        <v>17.183405497823962</v>
      </c>
      <c r="N24" s="7">
        <f t="shared" si="4"/>
        <v>17.412202366312929</v>
      </c>
      <c r="O24" s="7">
        <f t="shared" si="5"/>
        <v>0</v>
      </c>
      <c r="P24" s="7" t="str">
        <f t="shared" si="6"/>
        <v>(15, 20]</v>
      </c>
      <c r="Q24" s="7" t="s">
        <v>74</v>
      </c>
      <c r="R24" s="7">
        <f t="shared" si="7"/>
        <v>2.644844289208554E-2</v>
      </c>
      <c r="S24" s="4">
        <v>0.1</v>
      </c>
      <c r="T24" s="7">
        <f t="shared" si="8"/>
        <v>2.6448442892085542E-3</v>
      </c>
      <c r="U24" s="7">
        <f t="shared" si="9"/>
        <v>2.5640426638216087E-3</v>
      </c>
      <c r="V24" s="4">
        <f t="shared" si="12"/>
        <v>2564042</v>
      </c>
      <c r="W24" s="7">
        <f t="shared" si="10"/>
        <v>2.5640419999999999E-3</v>
      </c>
      <c r="X24" s="7">
        <f t="shared" si="11"/>
        <v>4.4645618179725739E-2</v>
      </c>
    </row>
    <row r="25" spans="2:24" ht="15.6" customHeight="1" x14ac:dyDescent="0.3">
      <c r="B25" s="7">
        <v>20</v>
      </c>
      <c r="C25" s="7">
        <v>25</v>
      </c>
      <c r="D25" s="4">
        <v>17393</v>
      </c>
      <c r="E25" s="4">
        <v>1975704</v>
      </c>
      <c r="F25" s="4">
        <v>0</v>
      </c>
      <c r="G25" s="4">
        <v>193861550</v>
      </c>
      <c r="H25" s="4">
        <v>22152755175</v>
      </c>
      <c r="I25" s="4">
        <v>0</v>
      </c>
      <c r="J25" s="7">
        <f t="shared" si="0"/>
        <v>1.7570464502752117E-4</v>
      </c>
      <c r="K25" s="7">
        <f t="shared" si="1"/>
        <v>1.9924910961333205E-2</v>
      </c>
      <c r="L25" s="7">
        <f t="shared" si="2"/>
        <v>0</v>
      </c>
      <c r="M25" s="7">
        <f t="shared" si="3"/>
        <v>22.291904789283045</v>
      </c>
      <c r="N25" s="7">
        <f t="shared" si="4"/>
        <v>22.425176215667932</v>
      </c>
      <c r="O25" s="7">
        <f t="shared" si="5"/>
        <v>0</v>
      </c>
      <c r="P25" s="7" t="str">
        <f t="shared" si="6"/>
        <v>(20, 25]</v>
      </c>
      <c r="Q25" s="7" t="s">
        <v>74</v>
      </c>
      <c r="R25" s="7">
        <f t="shared" si="7"/>
        <v>1.9924910961333205E-2</v>
      </c>
      <c r="S25" s="4">
        <v>7.0000000000000007E-2</v>
      </c>
      <c r="T25" s="7">
        <f t="shared" si="8"/>
        <v>1.3947437672933245E-3</v>
      </c>
      <c r="U25" s="7">
        <f t="shared" si="9"/>
        <v>1.3521334843910611E-3</v>
      </c>
      <c r="V25" s="4">
        <f t="shared" si="12"/>
        <v>1352133</v>
      </c>
      <c r="W25" s="7">
        <f t="shared" si="10"/>
        <v>1.3521329999999999E-3</v>
      </c>
      <c r="X25" s="7">
        <f t="shared" si="11"/>
        <v>3.0321820792019727E-2</v>
      </c>
    </row>
    <row r="26" spans="2:24" ht="15.6" customHeight="1" x14ac:dyDescent="0.3">
      <c r="B26" s="7">
        <v>25</v>
      </c>
      <c r="C26" s="7">
        <v>30</v>
      </c>
      <c r="D26" s="4">
        <v>8628</v>
      </c>
      <c r="E26" s="4">
        <v>1558606</v>
      </c>
      <c r="F26" s="4">
        <v>0</v>
      </c>
      <c r="G26" s="4">
        <v>117153050</v>
      </c>
      <c r="H26" s="4">
        <v>21369570800</v>
      </c>
      <c r="I26" s="4">
        <v>0</v>
      </c>
      <c r="J26" s="7">
        <f t="shared" si="0"/>
        <v>8.7160333312105603E-5</v>
      </c>
      <c r="K26" s="7">
        <f t="shared" si="1"/>
        <v>1.5718491116989034E-2</v>
      </c>
      <c r="L26" s="7">
        <f t="shared" si="2"/>
        <v>0</v>
      </c>
      <c r="M26" s="7">
        <f t="shared" si="3"/>
        <v>27.156478905887809</v>
      </c>
      <c r="N26" s="7">
        <f t="shared" si="4"/>
        <v>27.421389113092083</v>
      </c>
      <c r="O26" s="7">
        <f t="shared" si="5"/>
        <v>0</v>
      </c>
      <c r="P26" s="7" t="str">
        <f t="shared" si="6"/>
        <v>(25, 30]</v>
      </c>
      <c r="Q26" s="7" t="s">
        <v>74</v>
      </c>
      <c r="R26" s="7">
        <f t="shared" si="7"/>
        <v>1.5718491116989034E-2</v>
      </c>
      <c r="S26" s="4">
        <v>0.05</v>
      </c>
      <c r="T26" s="7">
        <f t="shared" si="8"/>
        <v>7.8592455584945177E-4</v>
      </c>
      <c r="U26" s="7">
        <f t="shared" si="9"/>
        <v>7.6191407560936473E-4</v>
      </c>
      <c r="V26" s="4">
        <f t="shared" si="12"/>
        <v>761914</v>
      </c>
      <c r="W26" s="7">
        <f t="shared" si="10"/>
        <v>7.6191400000000004E-4</v>
      </c>
      <c r="X26" s="7">
        <f t="shared" si="11"/>
        <v>2.0892740264712443E-2</v>
      </c>
    </row>
    <row r="27" spans="2:24" ht="15.6" customHeight="1" x14ac:dyDescent="0.3">
      <c r="B27" s="7">
        <v>30</v>
      </c>
      <c r="C27" s="7">
        <v>35</v>
      </c>
      <c r="D27" s="4">
        <v>4711</v>
      </c>
      <c r="E27" s="4">
        <v>1253090</v>
      </c>
      <c r="F27" s="4">
        <v>0</v>
      </c>
      <c r="G27" s="4">
        <v>76265200</v>
      </c>
      <c r="H27" s="4">
        <v>20329815100</v>
      </c>
      <c r="I27" s="4">
        <v>0</v>
      </c>
      <c r="J27" s="7">
        <f t="shared" si="0"/>
        <v>4.7590673416009442E-5</v>
      </c>
      <c r="K27" s="7">
        <f t="shared" si="1"/>
        <v>1.2637372134964056E-2</v>
      </c>
      <c r="L27" s="7">
        <f t="shared" si="2"/>
        <v>0</v>
      </c>
      <c r="M27" s="7">
        <f t="shared" si="3"/>
        <v>32.377499469327105</v>
      </c>
      <c r="N27" s="7">
        <f t="shared" si="4"/>
        <v>32.447493954943383</v>
      </c>
      <c r="O27" s="7">
        <f t="shared" si="5"/>
        <v>0</v>
      </c>
      <c r="P27" s="7" t="str">
        <f t="shared" si="6"/>
        <v>(30, 35]</v>
      </c>
      <c r="Q27" s="7" t="s">
        <v>74</v>
      </c>
      <c r="R27" s="7">
        <f t="shared" si="7"/>
        <v>1.2637372134964056E-2</v>
      </c>
      <c r="S27" s="4">
        <v>0.05</v>
      </c>
      <c r="T27" s="7">
        <f t="shared" si="8"/>
        <v>6.3186860674820284E-4</v>
      </c>
      <c r="U27" s="7">
        <f t="shared" si="9"/>
        <v>6.1256463083379559E-4</v>
      </c>
      <c r="V27" s="4">
        <f t="shared" si="12"/>
        <v>612564</v>
      </c>
      <c r="W27" s="7">
        <f t="shared" si="10"/>
        <v>6.1256400000000001E-4</v>
      </c>
      <c r="X27" s="7">
        <f t="shared" si="11"/>
        <v>1.9876166687015938E-2</v>
      </c>
    </row>
    <row r="28" spans="2:24" ht="15.6" customHeight="1" x14ac:dyDescent="0.3">
      <c r="B28" s="7">
        <v>35</v>
      </c>
      <c r="C28" s="7">
        <v>40</v>
      </c>
      <c r="D28" s="4">
        <v>2768</v>
      </c>
      <c r="E28" s="4">
        <v>1030850</v>
      </c>
      <c r="F28" s="4">
        <v>0</v>
      </c>
      <c r="G28" s="4">
        <v>51641600</v>
      </c>
      <c r="H28" s="4">
        <v>19308552850</v>
      </c>
      <c r="I28" s="4">
        <v>0</v>
      </c>
      <c r="J28" s="7">
        <f t="shared" si="0"/>
        <v>2.7962424966146069E-5</v>
      </c>
      <c r="K28" s="7">
        <f t="shared" si="1"/>
        <v>1.0396088920450804E-2</v>
      </c>
      <c r="L28" s="7">
        <f t="shared" si="2"/>
        <v>0</v>
      </c>
      <c r="M28" s="7">
        <f t="shared" si="3"/>
        <v>37.313294797687867</v>
      </c>
      <c r="N28" s="7">
        <f t="shared" si="4"/>
        <v>37.461420866275404</v>
      </c>
      <c r="O28" s="7">
        <f t="shared" si="5"/>
        <v>0</v>
      </c>
      <c r="P28" s="7" t="str">
        <f t="shared" si="6"/>
        <v>(35, 40]</v>
      </c>
      <c r="Q28" s="7" t="s">
        <v>74</v>
      </c>
      <c r="R28" s="7">
        <f t="shared" si="7"/>
        <v>1.0396088920450804E-2</v>
      </c>
      <c r="S28" s="4">
        <v>0.03</v>
      </c>
      <c r="T28" s="7">
        <f t="shared" si="8"/>
        <v>3.1188266761352412E-4</v>
      </c>
      <c r="U28" s="7">
        <f t="shared" si="9"/>
        <v>3.0235445962940481E-4</v>
      </c>
      <c r="V28" s="4">
        <f t="shared" si="12"/>
        <v>302354</v>
      </c>
      <c r="W28" s="7">
        <f t="shared" si="10"/>
        <v>3.0235400000000001E-4</v>
      </c>
      <c r="X28" s="7">
        <f t="shared" si="11"/>
        <v>1.1326610444601834E-2</v>
      </c>
    </row>
    <row r="29" spans="2:24" ht="15.6" customHeight="1" x14ac:dyDescent="0.3">
      <c r="B29" s="7">
        <v>40</v>
      </c>
      <c r="C29" s="7">
        <v>45</v>
      </c>
      <c r="D29" s="4">
        <v>1437</v>
      </c>
      <c r="E29" s="4">
        <v>860652</v>
      </c>
      <c r="F29" s="4">
        <v>0</v>
      </c>
      <c r="G29" s="4">
        <v>30360475</v>
      </c>
      <c r="H29" s="4">
        <v>18266719850</v>
      </c>
      <c r="I29" s="4">
        <v>0</v>
      </c>
      <c r="J29" s="7">
        <f t="shared" si="0"/>
        <v>1.4516620186543317E-5</v>
      </c>
      <c r="K29" s="7">
        <f t="shared" si="1"/>
        <v>8.6796475933102052E-3</v>
      </c>
      <c r="L29" s="7">
        <f t="shared" si="2"/>
        <v>0</v>
      </c>
      <c r="M29" s="7">
        <f t="shared" si="3"/>
        <v>42.255358385525405</v>
      </c>
      <c r="N29" s="7">
        <f t="shared" si="4"/>
        <v>42.448561904230743</v>
      </c>
      <c r="O29" s="7">
        <f t="shared" si="5"/>
        <v>0</v>
      </c>
      <c r="P29" s="7" t="str">
        <f t="shared" si="6"/>
        <v>(40, 45]</v>
      </c>
      <c r="Q29" s="7" t="s">
        <v>74</v>
      </c>
      <c r="R29" s="7">
        <f t="shared" si="7"/>
        <v>8.6796475933102052E-3</v>
      </c>
      <c r="S29" s="4">
        <v>0.02</v>
      </c>
      <c r="T29" s="7">
        <f t="shared" si="8"/>
        <v>1.735929518662041E-4</v>
      </c>
      <c r="U29" s="7">
        <f t="shared" si="9"/>
        <v>1.6828958004815866E-4</v>
      </c>
      <c r="V29" s="4">
        <f t="shared" si="12"/>
        <v>168289</v>
      </c>
      <c r="W29" s="7">
        <f t="shared" si="10"/>
        <v>1.6828899999999999E-4</v>
      </c>
      <c r="X29" s="7">
        <f t="shared" si="11"/>
        <v>7.1436260343010873E-3</v>
      </c>
    </row>
    <row r="30" spans="2:24" ht="15.6" customHeight="1" x14ac:dyDescent="0.3">
      <c r="B30" s="7">
        <v>45</v>
      </c>
      <c r="C30" s="7">
        <v>50</v>
      </c>
      <c r="D30" s="4">
        <v>1011</v>
      </c>
      <c r="E30" s="4">
        <v>719260</v>
      </c>
      <c r="F30" s="4">
        <v>0</v>
      </c>
      <c r="G30" s="4">
        <v>24137650</v>
      </c>
      <c r="H30" s="4">
        <v>17073945075</v>
      </c>
      <c r="I30" s="4">
        <v>0</v>
      </c>
      <c r="J30" s="7">
        <f t="shared" si="0"/>
        <v>1.0213154494499161E-5</v>
      </c>
      <c r="K30" s="7">
        <f t="shared" si="1"/>
        <v>7.2537138448110251E-3</v>
      </c>
      <c r="L30" s="7">
        <f t="shared" si="2"/>
        <v>0</v>
      </c>
      <c r="M30" s="7">
        <f t="shared" si="3"/>
        <v>47.750049455984175</v>
      </c>
      <c r="N30" s="7">
        <f t="shared" si="4"/>
        <v>47.476420418207603</v>
      </c>
      <c r="O30" s="7">
        <f t="shared" si="5"/>
        <v>0</v>
      </c>
      <c r="P30" s="7" t="str">
        <f t="shared" si="6"/>
        <v>(45, 50]</v>
      </c>
      <c r="Q30" s="7" t="s">
        <v>74</v>
      </c>
      <c r="R30" s="7">
        <f t="shared" si="7"/>
        <v>7.2537138448110251E-3</v>
      </c>
      <c r="S30" s="4">
        <v>0.05</v>
      </c>
      <c r="T30" s="7">
        <f t="shared" si="8"/>
        <v>3.626856922405513E-4</v>
      </c>
      <c r="U30" s="7">
        <f t="shared" si="9"/>
        <v>3.5160542049933832E-4</v>
      </c>
      <c r="V30" s="4">
        <f t="shared" si="12"/>
        <v>351605</v>
      </c>
      <c r="W30" s="7">
        <f t="shared" si="10"/>
        <v>3.5160500000000001E-4</v>
      </c>
      <c r="X30" s="7">
        <f t="shared" si="11"/>
        <v>1.6692946801143884E-2</v>
      </c>
    </row>
    <row r="31" spans="2:24" ht="15.6" customHeight="1" x14ac:dyDescent="0.3">
      <c r="B31" s="7">
        <v>50</v>
      </c>
      <c r="C31" s="7">
        <v>60</v>
      </c>
      <c r="D31" s="4">
        <v>1066</v>
      </c>
      <c r="E31" s="4">
        <v>1146975</v>
      </c>
      <c r="F31" s="4">
        <v>0</v>
      </c>
      <c r="G31" s="4">
        <v>28788300</v>
      </c>
      <c r="H31" s="4">
        <v>31400833225</v>
      </c>
      <c r="I31" s="4">
        <v>0</v>
      </c>
      <c r="J31" s="7">
        <f t="shared" si="0"/>
        <v>1.0768766262251341E-5</v>
      </c>
      <c r="K31" s="7">
        <f t="shared" si="1"/>
        <v>1.156720579088525E-2</v>
      </c>
      <c r="L31" s="7">
        <f t="shared" si="2"/>
        <v>0</v>
      </c>
      <c r="M31" s="7">
        <f t="shared" si="3"/>
        <v>54.011819887429645</v>
      </c>
      <c r="N31" s="7">
        <f t="shared" si="4"/>
        <v>54.754172017698728</v>
      </c>
      <c r="O31" s="7">
        <f t="shared" si="5"/>
        <v>0</v>
      </c>
      <c r="P31" s="7" t="str">
        <f t="shared" si="6"/>
        <v>(50, 60]</v>
      </c>
      <c r="Q31" s="7" t="s">
        <v>74</v>
      </c>
      <c r="R31" s="7">
        <f t="shared" si="7"/>
        <v>1.156720579088525E-2</v>
      </c>
      <c r="S31" s="4">
        <v>0.01</v>
      </c>
      <c r="T31" s="7">
        <f t="shared" si="8"/>
        <v>1.156720579088525E-4</v>
      </c>
      <c r="U31" s="7">
        <f t="shared" si="9"/>
        <v>1.1213820514896658E-4</v>
      </c>
      <c r="V31" s="4">
        <f t="shared" si="12"/>
        <v>112138</v>
      </c>
      <c r="W31" s="7">
        <f t="shared" si="10"/>
        <v>1.12138E-4</v>
      </c>
      <c r="X31" s="7">
        <f t="shared" si="11"/>
        <v>6.1400233417207E-3</v>
      </c>
    </row>
    <row r="32" spans="2:24" ht="15.6" customHeight="1" x14ac:dyDescent="0.3">
      <c r="B32" s="7">
        <v>60</v>
      </c>
      <c r="C32" s="7">
        <v>70</v>
      </c>
      <c r="D32" s="4">
        <v>484</v>
      </c>
      <c r="E32" s="4">
        <v>850662</v>
      </c>
      <c r="F32" s="4">
        <v>0</v>
      </c>
      <c r="G32" s="4">
        <v>15675575</v>
      </c>
      <c r="H32" s="4">
        <v>27559464775</v>
      </c>
      <c r="I32" s="4">
        <v>0</v>
      </c>
      <c r="J32" s="7">
        <f t="shared" si="0"/>
        <v>4.8893835562191827E-6</v>
      </c>
      <c r="K32" s="7">
        <f t="shared" si="1"/>
        <v>8.5788987663079214E-3</v>
      </c>
      <c r="L32" s="7">
        <f t="shared" si="2"/>
        <v>0</v>
      </c>
      <c r="M32" s="7">
        <f t="shared" si="3"/>
        <v>64.775103305785123</v>
      </c>
      <c r="N32" s="7">
        <f t="shared" si="4"/>
        <v>64.795335338830228</v>
      </c>
      <c r="O32" s="7">
        <f t="shared" si="5"/>
        <v>0</v>
      </c>
      <c r="P32" s="7" t="str">
        <f t="shared" si="6"/>
        <v>(60, 70]</v>
      </c>
      <c r="Q32" s="7" t="s">
        <v>74</v>
      </c>
      <c r="R32" s="7">
        <f t="shared" si="7"/>
        <v>8.5788987663079214E-3</v>
      </c>
      <c r="S32" s="4">
        <v>0.02</v>
      </c>
      <c r="T32" s="7">
        <f t="shared" si="8"/>
        <v>1.7157797532615842E-4</v>
      </c>
      <c r="U32" s="7">
        <f t="shared" si="9"/>
        <v>1.6633616228501963E-4</v>
      </c>
      <c r="V32" s="4">
        <f t="shared" si="12"/>
        <v>166336</v>
      </c>
      <c r="W32" s="7">
        <f t="shared" si="10"/>
        <v>1.66336E-4</v>
      </c>
      <c r="X32" s="7">
        <f t="shared" si="11"/>
        <v>1.0777796898919664E-2</v>
      </c>
    </row>
    <row r="33" spans="2:24" ht="15.6" customHeight="1" x14ac:dyDescent="0.3">
      <c r="B33" s="7">
        <v>70</v>
      </c>
      <c r="C33" s="7">
        <v>80</v>
      </c>
      <c r="D33" s="4">
        <v>241</v>
      </c>
      <c r="E33" s="4">
        <v>646615</v>
      </c>
      <c r="F33" s="4">
        <v>0</v>
      </c>
      <c r="G33" s="4">
        <v>8984075</v>
      </c>
      <c r="H33" s="4">
        <v>24189460400</v>
      </c>
      <c r="I33" s="4">
        <v>0</v>
      </c>
      <c r="J33" s="7">
        <f t="shared" si="0"/>
        <v>2.4345897459686427E-6</v>
      </c>
      <c r="K33" s="7">
        <f t="shared" si="1"/>
        <v>6.5210913685767053E-3</v>
      </c>
      <c r="L33" s="7">
        <f t="shared" si="2"/>
        <v>0</v>
      </c>
      <c r="M33" s="7">
        <f t="shared" si="3"/>
        <v>74.556639004149375</v>
      </c>
      <c r="N33" s="7">
        <f t="shared" si="4"/>
        <v>74.818741909791754</v>
      </c>
      <c r="O33" s="7">
        <f t="shared" si="5"/>
        <v>0</v>
      </c>
      <c r="P33" s="7" t="str">
        <f t="shared" si="6"/>
        <v>(70, 80]</v>
      </c>
      <c r="Q33" s="7" t="s">
        <v>74</v>
      </c>
      <c r="R33" s="7">
        <f t="shared" si="7"/>
        <v>6.5210913685767053E-3</v>
      </c>
      <c r="S33" s="4">
        <v>0.04</v>
      </c>
      <c r="T33" s="7">
        <f t="shared" si="8"/>
        <v>2.6084365474306822E-4</v>
      </c>
      <c r="U33" s="7">
        <f t="shared" si="9"/>
        <v>2.5287472010252719E-4</v>
      </c>
      <c r="V33" s="4">
        <f t="shared" si="12"/>
        <v>252874</v>
      </c>
      <c r="W33" s="7">
        <f t="shared" si="10"/>
        <v>2.5287399999999999E-4</v>
      </c>
      <c r="X33" s="7">
        <f t="shared" si="11"/>
        <v>1.8919714541696678E-2</v>
      </c>
    </row>
    <row r="34" spans="2:24" ht="15.6" customHeight="1" x14ac:dyDescent="0.3">
      <c r="B34" s="7">
        <v>80</v>
      </c>
      <c r="C34" s="7">
        <v>90</v>
      </c>
      <c r="D34" s="4">
        <v>119</v>
      </c>
      <c r="E34" s="4">
        <v>495129</v>
      </c>
      <c r="F34" s="4">
        <v>0</v>
      </c>
      <c r="G34" s="4">
        <v>5018625</v>
      </c>
      <c r="H34" s="4">
        <v>20992885025</v>
      </c>
      <c r="I34" s="4">
        <v>0</v>
      </c>
      <c r="J34" s="7">
        <f t="shared" si="0"/>
        <v>1.2021418247728983E-6</v>
      </c>
      <c r="K34" s="7">
        <f t="shared" si="1"/>
        <v>4.9933599564377807E-3</v>
      </c>
      <c r="L34" s="7">
        <f t="shared" si="2"/>
        <v>0</v>
      </c>
      <c r="M34" s="7">
        <f t="shared" si="3"/>
        <v>84.346638655462186</v>
      </c>
      <c r="N34" s="7">
        <f t="shared" si="4"/>
        <v>84.797638696178169</v>
      </c>
      <c r="O34" s="7">
        <f t="shared" si="5"/>
        <v>0</v>
      </c>
      <c r="P34" s="7" t="str">
        <f t="shared" si="6"/>
        <v>(80, 90]</v>
      </c>
      <c r="Q34" s="7" t="s">
        <v>74</v>
      </c>
      <c r="R34" s="7">
        <f t="shared" si="7"/>
        <v>4.9933599564377807E-3</v>
      </c>
      <c r="S34" s="4">
        <v>0.04</v>
      </c>
      <c r="T34" s="7">
        <f t="shared" si="8"/>
        <v>1.9973439825751122E-4</v>
      </c>
      <c r="U34" s="7">
        <f t="shared" si="9"/>
        <v>1.9363238911816795E-4</v>
      </c>
      <c r="V34" s="4">
        <f t="shared" si="12"/>
        <v>193632</v>
      </c>
      <c r="W34" s="7">
        <f t="shared" si="10"/>
        <v>1.9363200000000001E-4</v>
      </c>
      <c r="X34" s="7">
        <f t="shared" si="11"/>
        <v>1.6419536376018371E-2</v>
      </c>
    </row>
    <row r="35" spans="2:24" ht="15.6" customHeight="1" x14ac:dyDescent="0.3">
      <c r="B35" s="7">
        <v>90</v>
      </c>
      <c r="C35" s="7">
        <v>100</v>
      </c>
      <c r="D35" s="4">
        <v>102</v>
      </c>
      <c r="E35" s="4">
        <v>385000</v>
      </c>
      <c r="F35" s="4">
        <v>0</v>
      </c>
      <c r="G35" s="4">
        <v>4862575</v>
      </c>
      <c r="H35" s="4">
        <v>18256876250</v>
      </c>
      <c r="I35" s="4">
        <v>0</v>
      </c>
      <c r="J35" s="7">
        <f t="shared" si="0"/>
        <v>1.0304072783767698E-6</v>
      </c>
      <c r="K35" s="7">
        <f t="shared" si="1"/>
        <v>3.8827125521400394E-3</v>
      </c>
      <c r="L35" s="7">
        <f t="shared" si="2"/>
        <v>0</v>
      </c>
      <c r="M35" s="7">
        <f t="shared" si="3"/>
        <v>95.344607843137254</v>
      </c>
      <c r="N35" s="7">
        <f t="shared" si="4"/>
        <v>94.840915584415583</v>
      </c>
      <c r="O35" s="7">
        <f t="shared" si="5"/>
        <v>0</v>
      </c>
      <c r="P35" s="7" t="str">
        <f t="shared" si="6"/>
        <v>(90, 100]</v>
      </c>
      <c r="Q35" s="7" t="s">
        <v>74</v>
      </c>
      <c r="R35" s="7">
        <f t="shared" si="7"/>
        <v>3.8827125521400394E-3</v>
      </c>
      <c r="S35" s="4">
        <v>0.1</v>
      </c>
      <c r="T35" s="7">
        <f t="shared" si="8"/>
        <v>3.8827125521400394E-4</v>
      </c>
      <c r="U35" s="7">
        <f t="shared" si="9"/>
        <v>3.7640932873299012E-4</v>
      </c>
      <c r="V35" s="4">
        <f t="shared" si="12"/>
        <v>376409</v>
      </c>
      <c r="W35" s="7">
        <f t="shared" si="10"/>
        <v>3.7640900000000002E-4</v>
      </c>
      <c r="X35" s="7">
        <f t="shared" si="11"/>
        <v>3.5698974194214285E-2</v>
      </c>
    </row>
    <row r="36" spans="2:24" ht="15.6" customHeight="1" x14ac:dyDescent="0.3">
      <c r="B36" s="7">
        <v>100</v>
      </c>
      <c r="C36" s="7">
        <v>120</v>
      </c>
      <c r="D36" s="4">
        <v>61</v>
      </c>
      <c r="E36" s="4">
        <v>545375</v>
      </c>
      <c r="F36" s="4">
        <v>0</v>
      </c>
      <c r="G36" s="4">
        <v>3279425</v>
      </c>
      <c r="H36" s="4">
        <v>29785818575</v>
      </c>
      <c r="I36" s="4">
        <v>0</v>
      </c>
      <c r="J36" s="7">
        <f t="shared" si="0"/>
        <v>6.1622396059787218E-7</v>
      </c>
      <c r="K36" s="7">
        <f t="shared" si="1"/>
        <v>5.5000892418788933E-3</v>
      </c>
      <c r="L36" s="7">
        <f t="shared" si="2"/>
        <v>0</v>
      </c>
      <c r="M36" s="7">
        <f t="shared" si="3"/>
        <v>107.52213114754099</v>
      </c>
      <c r="N36" s="7">
        <f t="shared" si="4"/>
        <v>109.23059757047903</v>
      </c>
      <c r="O36" s="7">
        <f t="shared" si="5"/>
        <v>0</v>
      </c>
      <c r="P36" s="7" t="str">
        <f t="shared" si="6"/>
        <v>(100, 120]</v>
      </c>
      <c r="Q36" s="7" t="s">
        <v>74</v>
      </c>
      <c r="R36" s="7">
        <f t="shared" si="7"/>
        <v>5.5000892418788933E-3</v>
      </c>
      <c r="S36" s="4">
        <v>0.02</v>
      </c>
      <c r="T36" s="7">
        <f t="shared" si="8"/>
        <v>1.1000178483757787E-4</v>
      </c>
      <c r="U36" s="7">
        <f t="shared" si="9"/>
        <v>1.0664116241961272E-4</v>
      </c>
      <c r="V36" s="4">
        <f t="shared" si="12"/>
        <v>106641</v>
      </c>
      <c r="W36" s="7">
        <f t="shared" si="10"/>
        <v>1.06641E-4</v>
      </c>
      <c r="X36" s="7">
        <f t="shared" si="11"/>
        <v>1.1648460155513454E-2</v>
      </c>
    </row>
    <row r="37" spans="2:24" ht="15.6" customHeight="1" x14ac:dyDescent="0.3">
      <c r="B37" s="7">
        <v>120</v>
      </c>
      <c r="C37" s="7">
        <v>140</v>
      </c>
      <c r="D37" s="4">
        <v>41</v>
      </c>
      <c r="E37" s="4">
        <v>348064</v>
      </c>
      <c r="F37" s="4">
        <v>0</v>
      </c>
      <c r="G37" s="4">
        <v>2624725</v>
      </c>
      <c r="H37" s="4">
        <v>22505607075</v>
      </c>
      <c r="I37" s="4">
        <v>0</v>
      </c>
      <c r="J37" s="7">
        <f t="shared" si="0"/>
        <v>4.1418331777889771E-7</v>
      </c>
      <c r="K37" s="7">
        <f t="shared" si="1"/>
        <v>3.5102141863586249E-3</v>
      </c>
      <c r="L37" s="7">
        <f t="shared" si="2"/>
        <v>0</v>
      </c>
      <c r="M37" s="7">
        <f t="shared" si="3"/>
        <v>128.03536585365856</v>
      </c>
      <c r="N37" s="7">
        <f t="shared" si="4"/>
        <v>129.31878663119426</v>
      </c>
      <c r="O37" s="7">
        <f t="shared" si="5"/>
        <v>0</v>
      </c>
      <c r="P37" s="7" t="str">
        <f t="shared" si="6"/>
        <v>(120, 140]</v>
      </c>
      <c r="Q37" s="7" t="s">
        <v>74</v>
      </c>
      <c r="R37" s="7">
        <f t="shared" si="7"/>
        <v>3.5102141863586249E-3</v>
      </c>
      <c r="S37" s="4">
        <v>2.9100000000000001E-2</v>
      </c>
      <c r="T37" s="7">
        <f t="shared" si="8"/>
        <v>1.0214723282303599E-4</v>
      </c>
      <c r="U37" s="7">
        <f t="shared" si="9"/>
        <v>9.9026571816807185E-5</v>
      </c>
      <c r="V37" s="4">
        <f t="shared" si="12"/>
        <v>99026</v>
      </c>
      <c r="W37" s="7">
        <f t="shared" si="10"/>
        <v>9.9025999999999997E-5</v>
      </c>
      <c r="X37" s="7">
        <f t="shared" si="11"/>
        <v>1.2805922164940642E-2</v>
      </c>
    </row>
    <row r="38" spans="2:24" ht="15.6" customHeight="1" x14ac:dyDescent="0.3">
      <c r="B38" s="7">
        <v>140</v>
      </c>
      <c r="C38" s="7">
        <v>160</v>
      </c>
      <c r="D38" s="4">
        <v>17</v>
      </c>
      <c r="E38" s="4">
        <v>226250</v>
      </c>
      <c r="F38" s="4">
        <v>0</v>
      </c>
      <c r="G38" s="4">
        <v>1265925</v>
      </c>
      <c r="H38" s="4">
        <v>16890949325</v>
      </c>
      <c r="I38" s="4">
        <v>0</v>
      </c>
      <c r="J38" s="7">
        <f t="shared" si="0"/>
        <v>1.7173454639612831E-7</v>
      </c>
      <c r="K38" s="7">
        <f t="shared" si="1"/>
        <v>2.2817239348615166E-3</v>
      </c>
      <c r="L38" s="7">
        <f t="shared" si="2"/>
        <v>0</v>
      </c>
      <c r="M38" s="7">
        <f t="shared" si="3"/>
        <v>148.93235294117648</v>
      </c>
      <c r="N38" s="7">
        <f t="shared" si="4"/>
        <v>149.3122592265193</v>
      </c>
      <c r="O38" s="7">
        <f t="shared" si="5"/>
        <v>0</v>
      </c>
      <c r="P38" s="7" t="str">
        <f t="shared" si="6"/>
        <v>(140, 160]</v>
      </c>
      <c r="Q38" s="7" t="s">
        <v>74</v>
      </c>
      <c r="R38" s="7">
        <f t="shared" si="7"/>
        <v>2.2817239348615166E-3</v>
      </c>
      <c r="S38" s="4">
        <v>1E-3</v>
      </c>
      <c r="T38" s="7">
        <f t="shared" si="8"/>
        <v>2.2817239348615167E-6</v>
      </c>
      <c r="U38" s="7">
        <f t="shared" si="9"/>
        <v>2.2120158604114032E-6</v>
      </c>
      <c r="V38" s="4">
        <f t="shared" si="12"/>
        <v>2212</v>
      </c>
      <c r="W38" s="7">
        <f t="shared" si="10"/>
        <v>2.2120000000000002E-6</v>
      </c>
      <c r="X38" s="7">
        <f t="shared" si="11"/>
        <v>3.3027871740906069E-4</v>
      </c>
    </row>
    <row r="39" spans="2:24" ht="15.6" customHeight="1" x14ac:dyDescent="0.3">
      <c r="B39" s="7">
        <v>160</v>
      </c>
      <c r="C39" s="7">
        <v>180</v>
      </c>
      <c r="D39" s="4">
        <v>8</v>
      </c>
      <c r="E39" s="4">
        <v>149643</v>
      </c>
      <c r="F39" s="4">
        <v>0</v>
      </c>
      <c r="G39" s="4">
        <v>667550</v>
      </c>
      <c r="H39" s="4">
        <v>12668913150</v>
      </c>
      <c r="I39" s="4">
        <v>0</v>
      </c>
      <c r="J39" s="7">
        <f t="shared" si="0"/>
        <v>8.0816257127589797E-8</v>
      </c>
      <c r="K39" s="7">
        <f t="shared" si="1"/>
        <v>1.5091448167269918E-3</v>
      </c>
      <c r="L39" s="7">
        <f t="shared" si="2"/>
        <v>0</v>
      </c>
      <c r="M39" s="7">
        <f t="shared" si="3"/>
        <v>166.88749999999999</v>
      </c>
      <c r="N39" s="7">
        <f t="shared" si="4"/>
        <v>169.32182795052225</v>
      </c>
      <c r="O39" s="7">
        <f t="shared" si="5"/>
        <v>0</v>
      </c>
      <c r="P39" s="7" t="str">
        <f t="shared" si="6"/>
        <v>(160, 180]</v>
      </c>
      <c r="Q39" s="7" t="s">
        <v>74</v>
      </c>
      <c r="R39" s="7">
        <f t="shared" si="7"/>
        <v>1.5091448167269918E-3</v>
      </c>
      <c r="S39" s="4">
        <v>1E-3</v>
      </c>
      <c r="T39" s="7">
        <f t="shared" si="8"/>
        <v>1.5091448167269919E-6</v>
      </c>
      <c r="U39" s="7">
        <f t="shared" si="9"/>
        <v>1.4630395111582036E-6</v>
      </c>
      <c r="V39" s="4">
        <f t="shared" si="12"/>
        <v>1463</v>
      </c>
      <c r="W39" s="7">
        <f t="shared" si="10"/>
        <v>1.463E-6</v>
      </c>
      <c r="X39" s="7">
        <f t="shared" si="11"/>
        <v>2.4771783429161404E-4</v>
      </c>
    </row>
    <row r="40" spans="2:24" ht="15.6" customHeight="1" x14ac:dyDescent="0.3">
      <c r="B40" s="7">
        <v>180</v>
      </c>
      <c r="C40" s="7">
        <v>200</v>
      </c>
      <c r="D40" s="4">
        <v>7</v>
      </c>
      <c r="E40" s="4">
        <v>103250</v>
      </c>
      <c r="F40" s="4">
        <v>0</v>
      </c>
      <c r="G40" s="4">
        <v>652650</v>
      </c>
      <c r="H40" s="4">
        <v>9780306500</v>
      </c>
      <c r="I40" s="4">
        <v>0</v>
      </c>
      <c r="J40" s="7">
        <f t="shared" si="0"/>
        <v>7.0714224986641075E-8</v>
      </c>
      <c r="K40" s="7">
        <f t="shared" si="1"/>
        <v>1.0412729117102832E-3</v>
      </c>
      <c r="L40" s="7">
        <f t="shared" si="2"/>
        <v>0</v>
      </c>
      <c r="M40" s="7">
        <f t="shared" si="3"/>
        <v>186.47142857142859</v>
      </c>
      <c r="N40" s="7">
        <f t="shared" si="4"/>
        <v>189.44903631961259</v>
      </c>
      <c r="O40" s="7">
        <f t="shared" si="5"/>
        <v>0</v>
      </c>
      <c r="P40" s="7" t="str">
        <f t="shared" si="6"/>
        <v>(180, 200]</v>
      </c>
      <c r="Q40" s="7" t="s">
        <v>74</v>
      </c>
      <c r="R40" s="7">
        <f t="shared" si="7"/>
        <v>1.0412729117102832E-3</v>
      </c>
      <c r="S40" s="4">
        <v>1E-3</v>
      </c>
      <c r="T40" s="7">
        <f t="shared" si="8"/>
        <v>1.0412729117102833E-6</v>
      </c>
      <c r="U40" s="7">
        <f t="shared" si="9"/>
        <v>1.0094613816021098E-6</v>
      </c>
      <c r="V40" s="4">
        <f t="shared" si="12"/>
        <v>1009</v>
      </c>
      <c r="W40" s="7">
        <f t="shared" si="10"/>
        <v>1.009E-6</v>
      </c>
      <c r="X40" s="7">
        <f t="shared" si="11"/>
        <v>1.9115407764648911E-4</v>
      </c>
    </row>
    <row r="41" spans="2:24" ht="15.6" customHeight="1" x14ac:dyDescent="0.3">
      <c r="B41" s="7">
        <v>200</v>
      </c>
      <c r="C41" s="7">
        <v>250</v>
      </c>
      <c r="D41" s="4">
        <v>4</v>
      </c>
      <c r="E41" s="4">
        <v>138948</v>
      </c>
      <c r="F41" s="4">
        <v>0</v>
      </c>
      <c r="G41" s="4">
        <v>442675</v>
      </c>
      <c r="H41" s="4">
        <v>15369865225</v>
      </c>
      <c r="I41" s="4">
        <v>0</v>
      </c>
      <c r="J41" s="7">
        <f t="shared" si="0"/>
        <v>4.0408128563794898E-8</v>
      </c>
      <c r="K41" s="7">
        <f t="shared" si="1"/>
        <v>1.4012860875188421E-3</v>
      </c>
      <c r="L41" s="7">
        <f t="shared" si="2"/>
        <v>0</v>
      </c>
      <c r="M41" s="7">
        <f t="shared" si="3"/>
        <v>221.33750000000001</v>
      </c>
      <c r="N41" s="7">
        <f t="shared" si="4"/>
        <v>221.23190294210787</v>
      </c>
      <c r="O41" s="7">
        <f t="shared" si="5"/>
        <v>0</v>
      </c>
      <c r="P41" s="7" t="str">
        <f t="shared" si="6"/>
        <v>(200, 250]</v>
      </c>
      <c r="Q41" s="7" t="s">
        <v>74</v>
      </c>
      <c r="R41" s="7">
        <f t="shared" si="7"/>
        <v>1.4012860875188421E-3</v>
      </c>
      <c r="S41" s="4">
        <v>1E-3</v>
      </c>
      <c r="T41" s="7">
        <f t="shared" si="8"/>
        <v>1.4012860875188421E-6</v>
      </c>
      <c r="U41" s="7">
        <f t="shared" si="9"/>
        <v>1.3584759326958835E-6</v>
      </c>
      <c r="V41" s="4">
        <f t="shared" si="12"/>
        <v>1358</v>
      </c>
      <c r="W41" s="7">
        <f t="shared" si="10"/>
        <v>1.358E-6</v>
      </c>
      <c r="X41" s="7">
        <f t="shared" si="11"/>
        <v>3.0043292419538244E-4</v>
      </c>
    </row>
    <row r="42" spans="2:24" ht="15.6" customHeight="1" x14ac:dyDescent="0.3">
      <c r="B42" s="7">
        <v>250</v>
      </c>
      <c r="C42" s="7">
        <v>300</v>
      </c>
      <c r="D42" s="4">
        <v>2</v>
      </c>
      <c r="E42" s="4">
        <v>60786</v>
      </c>
      <c r="F42" s="4">
        <v>0</v>
      </c>
      <c r="G42" s="4">
        <v>267175</v>
      </c>
      <c r="H42" s="4">
        <v>8260336800</v>
      </c>
      <c r="I42" s="4">
        <v>0</v>
      </c>
      <c r="J42" s="7">
        <f t="shared" si="0"/>
        <v>2.0204064281897449E-8</v>
      </c>
      <c r="K42" s="7">
        <f t="shared" si="1"/>
        <v>6.130248446607388E-4</v>
      </c>
      <c r="L42" s="7">
        <f t="shared" si="2"/>
        <v>0</v>
      </c>
      <c r="M42" s="7">
        <f t="shared" si="3"/>
        <v>267.17500000000001</v>
      </c>
      <c r="N42" s="7">
        <f t="shared" si="4"/>
        <v>271.78418714835652</v>
      </c>
      <c r="O42" s="7">
        <f t="shared" si="5"/>
        <v>0</v>
      </c>
      <c r="P42" s="7" t="str">
        <f t="shared" si="6"/>
        <v>(250, 300]</v>
      </c>
      <c r="Q42" s="7" t="s">
        <v>74</v>
      </c>
      <c r="R42" s="7">
        <f t="shared" si="7"/>
        <v>6.130248446607388E-4</v>
      </c>
      <c r="S42" s="4">
        <v>0</v>
      </c>
      <c r="T42" s="7">
        <f t="shared" si="8"/>
        <v>0</v>
      </c>
      <c r="U42" s="7">
        <f t="shared" si="9"/>
        <v>0</v>
      </c>
      <c r="V42" s="4">
        <f t="shared" si="12"/>
        <v>0</v>
      </c>
      <c r="W42" s="7">
        <f t="shared" si="10"/>
        <v>0</v>
      </c>
      <c r="X42" s="7">
        <f t="shared" si="11"/>
        <v>0</v>
      </c>
    </row>
    <row r="43" spans="2:24" ht="15.6" customHeight="1" x14ac:dyDescent="0.3">
      <c r="B43" s="7">
        <v>300</v>
      </c>
      <c r="C43" s="7">
        <v>350</v>
      </c>
      <c r="D43" s="4">
        <v>0</v>
      </c>
      <c r="E43" s="4">
        <v>28345</v>
      </c>
      <c r="F43" s="4">
        <v>0</v>
      </c>
      <c r="G43" s="4">
        <v>0</v>
      </c>
      <c r="H43" s="4">
        <v>4564465400</v>
      </c>
      <c r="I43" s="4">
        <v>0</v>
      </c>
      <c r="J43" s="7">
        <f t="shared" si="0"/>
        <v>0</v>
      </c>
      <c r="K43" s="7">
        <f t="shared" si="1"/>
        <v>2.8585840854651796E-4</v>
      </c>
      <c r="L43" s="7">
        <f t="shared" si="2"/>
        <v>0</v>
      </c>
      <c r="M43" s="7">
        <f t="shared" si="3"/>
        <v>0</v>
      </c>
      <c r="N43" s="7">
        <f t="shared" si="4"/>
        <v>322.06494267066506</v>
      </c>
      <c r="O43" s="7">
        <f t="shared" si="5"/>
        <v>0</v>
      </c>
      <c r="P43" s="7" t="str">
        <f t="shared" si="6"/>
        <v>(300, 350]</v>
      </c>
      <c r="Q43" s="7" t="s">
        <v>74</v>
      </c>
      <c r="R43" s="7">
        <f t="shared" si="7"/>
        <v>2.8585840854651796E-4</v>
      </c>
      <c r="S43" s="4">
        <v>0</v>
      </c>
      <c r="T43" s="7">
        <f t="shared" si="8"/>
        <v>0</v>
      </c>
      <c r="U43" s="7">
        <f t="shared" si="9"/>
        <v>0</v>
      </c>
      <c r="V43" s="4">
        <f t="shared" si="12"/>
        <v>0</v>
      </c>
      <c r="W43" s="7">
        <f t="shared" si="10"/>
        <v>0</v>
      </c>
      <c r="X43" s="7">
        <f t="shared" si="11"/>
        <v>0</v>
      </c>
    </row>
    <row r="44" spans="2:24" ht="15.6" customHeight="1" x14ac:dyDescent="0.3">
      <c r="B44" s="7">
        <v>350</v>
      </c>
      <c r="C44" s="7">
        <v>400</v>
      </c>
      <c r="D44" s="4">
        <v>0</v>
      </c>
      <c r="E44" s="4">
        <v>14283</v>
      </c>
      <c r="F44" s="4">
        <v>0</v>
      </c>
      <c r="G44" s="4">
        <v>0</v>
      </c>
      <c r="H44" s="4">
        <v>2664886025</v>
      </c>
      <c r="I44" s="4">
        <v>0</v>
      </c>
      <c r="J44" s="7">
        <f t="shared" ref="J44:J64" si="13">IF(SUM(D$12:D$63)=0,0,D44/SUM(D$12:D$63))</f>
        <v>0</v>
      </c>
      <c r="K44" s="7">
        <f t="shared" ref="K44:K64" si="14">IF(SUM(E$12:E$63)=0,0,E44/SUM(E$12:E$63))</f>
        <v>1.4404359320056151E-4</v>
      </c>
      <c r="L44" s="7">
        <f t="shared" ref="L44:L64" si="15">IF(SUM(F$12:F$63)=0,0,F44/SUM(F$12:F$63))</f>
        <v>0</v>
      </c>
      <c r="M44" s="7">
        <f t="shared" ref="M44:M64" si="16">IF(D44=0,0,G44/D44/$C$3/5)</f>
        <v>0</v>
      </c>
      <c r="N44" s="7">
        <f t="shared" ref="N44:N64" si="17">IF(E44=0,0,H44/E44/$C$3/5)</f>
        <v>373.15494293915839</v>
      </c>
      <c r="O44" s="7">
        <f t="shared" ref="O44:O64" si="18">IF(F44=0,0,I44/F44/$C$3/5)</f>
        <v>0</v>
      </c>
      <c r="P44" s="7" t="str">
        <f t="shared" ref="P44:P64" si="19">"("&amp;B44&amp;", "&amp;C44&amp;"]"</f>
        <v>(350, 400]</v>
      </c>
      <c r="Q44" s="7" t="s">
        <v>74</v>
      </c>
      <c r="R44" s="7">
        <f t="shared" ref="R44:R63" si="20">IFERROR(INDEX($J44:$L44,MATCH($Q44,$J$11:$L$11,0)),0)</f>
        <v>1.4404359320056151E-4</v>
      </c>
      <c r="S44" s="4">
        <v>0</v>
      </c>
      <c r="T44" s="7">
        <f t="shared" ref="T44:T64" si="21">$R44*$S44</f>
        <v>0</v>
      </c>
      <c r="U44" s="7">
        <f t="shared" ref="U44:U75" si="22">IF(SUM(T$12:T$64)=0,0,T44/SUM(T$12:T$64))</f>
        <v>0</v>
      </c>
      <c r="V44" s="4">
        <f t="shared" si="12"/>
        <v>0</v>
      </c>
      <c r="W44" s="7">
        <f t="shared" ref="W44:W75" si="23">IF(SUM(V$12:V$64)=0,0,V44/SUM(V$12:V$64))</f>
        <v>0</v>
      </c>
      <c r="X44" s="7">
        <f t="shared" ref="X44:X64" si="24">IFERROR(INDEX($M44:$O44,MATCH($Q44,$M$11:$O$11,0)),0)*V44/$C$2</f>
        <v>0</v>
      </c>
    </row>
    <row r="45" spans="2:24" ht="15.6" customHeight="1" x14ac:dyDescent="0.3">
      <c r="B45" s="7">
        <v>400</v>
      </c>
      <c r="C45" s="7">
        <v>450</v>
      </c>
      <c r="D45" s="4">
        <v>0</v>
      </c>
      <c r="E45" s="4">
        <v>7594</v>
      </c>
      <c r="F45" s="4">
        <v>0</v>
      </c>
      <c r="G45" s="4">
        <v>0</v>
      </c>
      <c r="H45" s="4">
        <v>1604572700</v>
      </c>
      <c r="I45" s="4">
        <v>0</v>
      </c>
      <c r="J45" s="7">
        <f t="shared" si="13"/>
        <v>0</v>
      </c>
      <c r="K45" s="7">
        <f t="shared" si="14"/>
        <v>7.6585244470003783E-5</v>
      </c>
      <c r="L45" s="7">
        <f t="shared" si="15"/>
        <v>0</v>
      </c>
      <c r="M45" s="7">
        <f t="shared" si="16"/>
        <v>0</v>
      </c>
      <c r="N45" s="7">
        <f t="shared" si="17"/>
        <v>422.58959705030293</v>
      </c>
      <c r="O45" s="7">
        <f t="shared" si="18"/>
        <v>0</v>
      </c>
      <c r="P45" s="7" t="str">
        <f t="shared" si="19"/>
        <v>(400, 450]</v>
      </c>
      <c r="Q45" s="7" t="s">
        <v>74</v>
      </c>
      <c r="R45" s="7">
        <f t="shared" si="20"/>
        <v>7.6585244470003783E-5</v>
      </c>
      <c r="S45" s="4">
        <v>0</v>
      </c>
      <c r="T45" s="7">
        <f t="shared" si="21"/>
        <v>0</v>
      </c>
      <c r="U45" s="7">
        <f t="shared" si="22"/>
        <v>0</v>
      </c>
      <c r="V45" s="4">
        <f t="shared" ref="V45:V76" si="25">INT(U45*$C$2)</f>
        <v>0</v>
      </c>
      <c r="W45" s="7">
        <f t="shared" si="23"/>
        <v>0</v>
      </c>
      <c r="X45" s="7">
        <f t="shared" si="24"/>
        <v>0</v>
      </c>
    </row>
    <row r="46" spans="2:24" ht="15.6" customHeight="1" x14ac:dyDescent="0.3">
      <c r="B46" s="7">
        <v>450</v>
      </c>
      <c r="C46" s="7">
        <v>500</v>
      </c>
      <c r="D46" s="4">
        <v>0</v>
      </c>
      <c r="E46" s="4">
        <v>4278</v>
      </c>
      <c r="F46" s="4">
        <v>0</v>
      </c>
      <c r="G46" s="4">
        <v>0</v>
      </c>
      <c r="H46" s="4">
        <v>1012271950</v>
      </c>
      <c r="I46" s="4">
        <v>0</v>
      </c>
      <c r="J46" s="7">
        <f t="shared" si="13"/>
        <v>0</v>
      </c>
      <c r="K46" s="7">
        <f t="shared" si="14"/>
        <v>4.3143491683259967E-5</v>
      </c>
      <c r="L46" s="7">
        <f t="shared" si="15"/>
        <v>0</v>
      </c>
      <c r="M46" s="7">
        <f t="shared" si="16"/>
        <v>0</v>
      </c>
      <c r="N46" s="7">
        <f t="shared" si="17"/>
        <v>473.24541841982239</v>
      </c>
      <c r="O46" s="7">
        <f t="shared" si="18"/>
        <v>0</v>
      </c>
      <c r="P46" s="7" t="str">
        <f t="shared" si="19"/>
        <v>(450, 500]</v>
      </c>
      <c r="Q46" s="7" t="s">
        <v>74</v>
      </c>
      <c r="R46" s="7">
        <f t="shared" si="20"/>
        <v>4.3143491683259967E-5</v>
      </c>
      <c r="S46" s="4">
        <v>0</v>
      </c>
      <c r="T46" s="7">
        <f t="shared" si="21"/>
        <v>0</v>
      </c>
      <c r="U46" s="7">
        <f t="shared" si="22"/>
        <v>0</v>
      </c>
      <c r="V46" s="4">
        <f t="shared" si="25"/>
        <v>0</v>
      </c>
      <c r="W46" s="7">
        <f t="shared" si="23"/>
        <v>0</v>
      </c>
      <c r="X46" s="7">
        <f t="shared" si="24"/>
        <v>0</v>
      </c>
    </row>
    <row r="47" spans="2:24" ht="15.6" customHeight="1" x14ac:dyDescent="0.3">
      <c r="B47" s="7">
        <v>500</v>
      </c>
      <c r="C47" s="7">
        <v>550</v>
      </c>
      <c r="D47" s="4">
        <v>0</v>
      </c>
      <c r="E47" s="4">
        <v>2588</v>
      </c>
      <c r="F47" s="4">
        <v>0</v>
      </c>
      <c r="G47" s="4">
        <v>0</v>
      </c>
      <c r="H47" s="4">
        <v>675360325</v>
      </c>
      <c r="I47" s="4">
        <v>0</v>
      </c>
      <c r="J47" s="7">
        <f t="shared" si="13"/>
        <v>0</v>
      </c>
      <c r="K47" s="7">
        <f t="shared" si="14"/>
        <v>2.6099896324515381E-5</v>
      </c>
      <c r="L47" s="7">
        <f t="shared" si="15"/>
        <v>0</v>
      </c>
      <c r="M47" s="7">
        <f t="shared" si="16"/>
        <v>0</v>
      </c>
      <c r="N47" s="7">
        <f t="shared" si="17"/>
        <v>521.91678902627507</v>
      </c>
      <c r="O47" s="7">
        <f t="shared" si="18"/>
        <v>0</v>
      </c>
      <c r="P47" s="7" t="str">
        <f t="shared" si="19"/>
        <v>(500, 550]</v>
      </c>
      <c r="Q47" s="7" t="s">
        <v>74</v>
      </c>
      <c r="R47" s="7">
        <f t="shared" si="20"/>
        <v>2.6099896324515381E-5</v>
      </c>
      <c r="S47" s="4">
        <v>0</v>
      </c>
      <c r="T47" s="7">
        <f t="shared" si="21"/>
        <v>0</v>
      </c>
      <c r="U47" s="7">
        <f t="shared" si="22"/>
        <v>0</v>
      </c>
      <c r="V47" s="4">
        <f t="shared" si="25"/>
        <v>0</v>
      </c>
      <c r="W47" s="7">
        <f t="shared" si="23"/>
        <v>0</v>
      </c>
      <c r="X47" s="7">
        <f t="shared" si="24"/>
        <v>0</v>
      </c>
    </row>
    <row r="48" spans="2:24" ht="15.6" customHeight="1" x14ac:dyDescent="0.3">
      <c r="B48" s="7">
        <v>550</v>
      </c>
      <c r="C48" s="7">
        <v>600</v>
      </c>
      <c r="D48" s="4">
        <v>0</v>
      </c>
      <c r="E48" s="4">
        <v>1682</v>
      </c>
      <c r="F48" s="4">
        <v>0</v>
      </c>
      <c r="G48" s="4">
        <v>0</v>
      </c>
      <c r="H48" s="4">
        <v>481706800</v>
      </c>
      <c r="I48" s="4">
        <v>0</v>
      </c>
      <c r="J48" s="7">
        <f t="shared" si="13"/>
        <v>0</v>
      </c>
      <c r="K48" s="7">
        <f t="shared" si="14"/>
        <v>1.6962915617401418E-5</v>
      </c>
      <c r="L48" s="7">
        <f t="shared" si="15"/>
        <v>0</v>
      </c>
      <c r="M48" s="7">
        <f t="shared" si="16"/>
        <v>0</v>
      </c>
      <c r="N48" s="7">
        <f t="shared" si="17"/>
        <v>572.7785969084423</v>
      </c>
      <c r="O48" s="7">
        <f t="shared" si="18"/>
        <v>0</v>
      </c>
      <c r="P48" s="7" t="str">
        <f t="shared" si="19"/>
        <v>(550, 600]</v>
      </c>
      <c r="Q48" s="7" t="s">
        <v>74</v>
      </c>
      <c r="R48" s="7">
        <f t="shared" si="20"/>
        <v>1.6962915617401418E-5</v>
      </c>
      <c r="S48" s="4">
        <v>0</v>
      </c>
      <c r="T48" s="7">
        <f t="shared" si="21"/>
        <v>0</v>
      </c>
      <c r="U48" s="7">
        <f t="shared" si="22"/>
        <v>0</v>
      </c>
      <c r="V48" s="4">
        <f t="shared" si="25"/>
        <v>0</v>
      </c>
      <c r="W48" s="7">
        <f t="shared" si="23"/>
        <v>0</v>
      </c>
      <c r="X48" s="7">
        <f t="shared" si="24"/>
        <v>0</v>
      </c>
    </row>
    <row r="49" spans="2:24" ht="15.6" customHeight="1" x14ac:dyDescent="0.3">
      <c r="B49" s="7">
        <v>600</v>
      </c>
      <c r="C49" s="7">
        <v>650</v>
      </c>
      <c r="D49" s="4">
        <v>0</v>
      </c>
      <c r="E49" s="4">
        <v>994</v>
      </c>
      <c r="F49" s="4">
        <v>0</v>
      </c>
      <c r="G49" s="4">
        <v>0</v>
      </c>
      <c r="H49" s="4">
        <v>309967200</v>
      </c>
      <c r="I49" s="4">
        <v>0</v>
      </c>
      <c r="J49" s="7">
        <f t="shared" si="13"/>
        <v>0</v>
      </c>
      <c r="K49" s="7">
        <f t="shared" si="14"/>
        <v>1.0024457861888829E-5</v>
      </c>
      <c r="L49" s="7">
        <f t="shared" si="15"/>
        <v>0</v>
      </c>
      <c r="M49" s="7">
        <f t="shared" si="16"/>
        <v>0</v>
      </c>
      <c r="N49" s="7">
        <f t="shared" si="17"/>
        <v>623.67645875251515</v>
      </c>
      <c r="O49" s="7">
        <f t="shared" si="18"/>
        <v>0</v>
      </c>
      <c r="P49" s="7" t="str">
        <f t="shared" si="19"/>
        <v>(600, 650]</v>
      </c>
      <c r="Q49" s="7" t="s">
        <v>74</v>
      </c>
      <c r="R49" s="7">
        <f t="shared" si="20"/>
        <v>1.0024457861888829E-5</v>
      </c>
      <c r="S49" s="4">
        <v>0</v>
      </c>
      <c r="T49" s="7">
        <f t="shared" si="21"/>
        <v>0</v>
      </c>
      <c r="U49" s="7">
        <f t="shared" si="22"/>
        <v>0</v>
      </c>
      <c r="V49" s="4">
        <f t="shared" si="25"/>
        <v>0</v>
      </c>
      <c r="W49" s="7">
        <f t="shared" si="23"/>
        <v>0</v>
      </c>
      <c r="X49" s="7">
        <f t="shared" si="24"/>
        <v>0</v>
      </c>
    </row>
    <row r="50" spans="2:24" ht="15.6" customHeight="1" x14ac:dyDescent="0.3">
      <c r="B50" s="7">
        <v>650</v>
      </c>
      <c r="C50" s="7">
        <v>700</v>
      </c>
      <c r="D50" s="4">
        <v>0</v>
      </c>
      <c r="E50" s="4">
        <v>630</v>
      </c>
      <c r="F50" s="4">
        <v>0</v>
      </c>
      <c r="G50" s="4">
        <v>0</v>
      </c>
      <c r="H50" s="4">
        <v>211839550</v>
      </c>
      <c r="I50" s="4">
        <v>0</v>
      </c>
      <c r="J50" s="7">
        <f t="shared" si="13"/>
        <v>0</v>
      </c>
      <c r="K50" s="7">
        <f t="shared" si="14"/>
        <v>6.3535296307746095E-6</v>
      </c>
      <c r="L50" s="7">
        <f t="shared" si="15"/>
        <v>0</v>
      </c>
      <c r="M50" s="7">
        <f t="shared" si="16"/>
        <v>0</v>
      </c>
      <c r="N50" s="7">
        <f t="shared" si="17"/>
        <v>672.50650793650789</v>
      </c>
      <c r="O50" s="7">
        <f t="shared" si="18"/>
        <v>0</v>
      </c>
      <c r="P50" s="7" t="str">
        <f t="shared" si="19"/>
        <v>(650, 700]</v>
      </c>
      <c r="Q50" s="7" t="s">
        <v>74</v>
      </c>
      <c r="R50" s="7">
        <f t="shared" si="20"/>
        <v>6.3535296307746095E-6</v>
      </c>
      <c r="S50" s="4">
        <v>0</v>
      </c>
      <c r="T50" s="7">
        <f t="shared" si="21"/>
        <v>0</v>
      </c>
      <c r="U50" s="7">
        <f t="shared" si="22"/>
        <v>0</v>
      </c>
      <c r="V50" s="4">
        <f t="shared" si="25"/>
        <v>0</v>
      </c>
      <c r="W50" s="7">
        <f t="shared" si="23"/>
        <v>0</v>
      </c>
      <c r="X50" s="7">
        <f t="shared" si="24"/>
        <v>0</v>
      </c>
    </row>
    <row r="51" spans="2:24" ht="15.6" customHeight="1" x14ac:dyDescent="0.3">
      <c r="B51" s="7">
        <v>700</v>
      </c>
      <c r="C51" s="7">
        <v>750</v>
      </c>
      <c r="D51" s="4">
        <v>0</v>
      </c>
      <c r="E51" s="4">
        <v>446</v>
      </c>
      <c r="F51" s="4">
        <v>0</v>
      </c>
      <c r="G51" s="4">
        <v>0</v>
      </c>
      <c r="H51" s="4">
        <v>161844225</v>
      </c>
      <c r="I51" s="4">
        <v>0</v>
      </c>
      <c r="J51" s="7">
        <f t="shared" si="13"/>
        <v>0</v>
      </c>
      <c r="K51" s="7">
        <f t="shared" si="14"/>
        <v>4.4978955798817078E-6</v>
      </c>
      <c r="L51" s="7">
        <f t="shared" si="15"/>
        <v>0</v>
      </c>
      <c r="M51" s="7">
        <f t="shared" si="16"/>
        <v>0</v>
      </c>
      <c r="N51" s="7">
        <f t="shared" si="17"/>
        <v>725.75885650224222</v>
      </c>
      <c r="O51" s="7">
        <f t="shared" si="18"/>
        <v>0</v>
      </c>
      <c r="P51" s="7" t="str">
        <f t="shared" si="19"/>
        <v>(700, 750]</v>
      </c>
      <c r="Q51" s="7" t="s">
        <v>74</v>
      </c>
      <c r="R51" s="7">
        <f t="shared" si="20"/>
        <v>4.4978955798817078E-6</v>
      </c>
      <c r="S51" s="4">
        <v>0</v>
      </c>
      <c r="T51" s="7">
        <f t="shared" si="21"/>
        <v>0</v>
      </c>
      <c r="U51" s="7">
        <f t="shared" si="22"/>
        <v>0</v>
      </c>
      <c r="V51" s="4">
        <f t="shared" si="25"/>
        <v>0</v>
      </c>
      <c r="W51" s="7">
        <f t="shared" si="23"/>
        <v>0</v>
      </c>
      <c r="X51" s="7">
        <f t="shared" si="24"/>
        <v>0</v>
      </c>
    </row>
    <row r="52" spans="2:24" ht="15.6" customHeight="1" x14ac:dyDescent="0.3">
      <c r="B52" s="7">
        <v>750</v>
      </c>
      <c r="C52" s="7">
        <v>800</v>
      </c>
      <c r="D52" s="4">
        <v>0</v>
      </c>
      <c r="E52" s="4">
        <v>400</v>
      </c>
      <c r="F52" s="4">
        <v>0</v>
      </c>
      <c r="G52" s="4">
        <v>0</v>
      </c>
      <c r="H52" s="4">
        <v>154544850</v>
      </c>
      <c r="I52" s="4">
        <v>0</v>
      </c>
      <c r="J52" s="7">
        <f t="shared" si="13"/>
        <v>0</v>
      </c>
      <c r="K52" s="7">
        <f t="shared" si="14"/>
        <v>4.033987067158482E-6</v>
      </c>
      <c r="L52" s="7">
        <f t="shared" si="15"/>
        <v>0</v>
      </c>
      <c r="M52" s="7">
        <f t="shared" si="16"/>
        <v>0</v>
      </c>
      <c r="N52" s="7">
        <f t="shared" si="17"/>
        <v>772.72424999999998</v>
      </c>
      <c r="O52" s="7">
        <f t="shared" si="18"/>
        <v>0</v>
      </c>
      <c r="P52" s="7" t="str">
        <f t="shared" si="19"/>
        <v>(750, 800]</v>
      </c>
      <c r="Q52" s="7" t="s">
        <v>74</v>
      </c>
      <c r="R52" s="7">
        <f t="shared" si="20"/>
        <v>4.033987067158482E-6</v>
      </c>
      <c r="S52" s="4">
        <v>0</v>
      </c>
      <c r="T52" s="7">
        <f t="shared" si="21"/>
        <v>0</v>
      </c>
      <c r="U52" s="7">
        <f t="shared" si="22"/>
        <v>0</v>
      </c>
      <c r="V52" s="4">
        <f t="shared" si="25"/>
        <v>0</v>
      </c>
      <c r="W52" s="7">
        <f t="shared" si="23"/>
        <v>0</v>
      </c>
      <c r="X52" s="7">
        <f t="shared" si="24"/>
        <v>0</v>
      </c>
    </row>
    <row r="53" spans="2:24" ht="15.6" customHeight="1" x14ac:dyDescent="0.3">
      <c r="B53" s="7">
        <v>800</v>
      </c>
      <c r="C53" s="7">
        <v>850</v>
      </c>
      <c r="D53" s="4">
        <v>0</v>
      </c>
      <c r="E53" s="4">
        <v>222</v>
      </c>
      <c r="F53" s="4">
        <v>0</v>
      </c>
      <c r="G53" s="4">
        <v>0</v>
      </c>
      <c r="H53" s="4">
        <v>91442900</v>
      </c>
      <c r="I53" s="4">
        <v>0</v>
      </c>
      <c r="J53" s="7">
        <f t="shared" si="13"/>
        <v>0</v>
      </c>
      <c r="K53" s="7">
        <f t="shared" si="14"/>
        <v>2.2388628222729575E-6</v>
      </c>
      <c r="L53" s="7">
        <f t="shared" si="15"/>
        <v>0</v>
      </c>
      <c r="M53" s="7">
        <f t="shared" si="16"/>
        <v>0</v>
      </c>
      <c r="N53" s="7">
        <f t="shared" si="17"/>
        <v>823.80990990990995</v>
      </c>
      <c r="O53" s="7">
        <f t="shared" si="18"/>
        <v>0</v>
      </c>
      <c r="P53" s="7" t="str">
        <f t="shared" si="19"/>
        <v>(800, 850]</v>
      </c>
      <c r="Q53" s="7" t="s">
        <v>74</v>
      </c>
      <c r="R53" s="7">
        <f t="shared" si="20"/>
        <v>2.2388628222729575E-6</v>
      </c>
      <c r="S53" s="4">
        <v>0</v>
      </c>
      <c r="T53" s="7">
        <f t="shared" si="21"/>
        <v>0</v>
      </c>
      <c r="U53" s="7">
        <f t="shared" si="22"/>
        <v>0</v>
      </c>
      <c r="V53" s="4">
        <f t="shared" si="25"/>
        <v>0</v>
      </c>
      <c r="W53" s="7">
        <f t="shared" si="23"/>
        <v>0</v>
      </c>
      <c r="X53" s="7">
        <f t="shared" si="24"/>
        <v>0</v>
      </c>
    </row>
    <row r="54" spans="2:24" ht="15.6" customHeight="1" x14ac:dyDescent="0.3">
      <c r="B54" s="7">
        <v>850</v>
      </c>
      <c r="C54" s="7">
        <v>900</v>
      </c>
      <c r="D54" s="4">
        <v>0</v>
      </c>
      <c r="E54" s="4">
        <v>141</v>
      </c>
      <c r="F54" s="4">
        <v>0</v>
      </c>
      <c r="G54" s="4">
        <v>0</v>
      </c>
      <c r="H54" s="4">
        <v>61482425</v>
      </c>
      <c r="I54" s="4">
        <v>0</v>
      </c>
      <c r="J54" s="7">
        <f t="shared" si="13"/>
        <v>0</v>
      </c>
      <c r="K54" s="7">
        <f t="shared" si="14"/>
        <v>1.421980441173365E-6</v>
      </c>
      <c r="L54" s="7">
        <f t="shared" si="15"/>
        <v>0</v>
      </c>
      <c r="M54" s="7">
        <f t="shared" si="16"/>
        <v>0</v>
      </c>
      <c r="N54" s="7">
        <f t="shared" si="17"/>
        <v>872.0911347517731</v>
      </c>
      <c r="O54" s="7">
        <f t="shared" si="18"/>
        <v>0</v>
      </c>
      <c r="P54" s="7" t="str">
        <f t="shared" si="19"/>
        <v>(850, 900]</v>
      </c>
      <c r="Q54" s="7" t="s">
        <v>74</v>
      </c>
      <c r="R54" s="7">
        <f t="shared" si="20"/>
        <v>1.421980441173365E-6</v>
      </c>
      <c r="S54" s="4">
        <v>0</v>
      </c>
      <c r="T54" s="7">
        <f t="shared" si="21"/>
        <v>0</v>
      </c>
      <c r="U54" s="7">
        <f t="shared" si="22"/>
        <v>0</v>
      </c>
      <c r="V54" s="4">
        <f t="shared" si="25"/>
        <v>0</v>
      </c>
      <c r="W54" s="7">
        <f t="shared" si="23"/>
        <v>0</v>
      </c>
      <c r="X54" s="7">
        <f t="shared" si="24"/>
        <v>0</v>
      </c>
    </row>
    <row r="55" spans="2:24" ht="15.6" customHeight="1" x14ac:dyDescent="0.3">
      <c r="B55" s="7">
        <v>900</v>
      </c>
      <c r="C55" s="7">
        <v>950</v>
      </c>
      <c r="D55" s="4">
        <v>0</v>
      </c>
      <c r="E55" s="4">
        <v>113</v>
      </c>
      <c r="F55" s="4">
        <v>0</v>
      </c>
      <c r="G55" s="4">
        <v>0</v>
      </c>
      <c r="H55" s="4">
        <v>52353125</v>
      </c>
      <c r="I55" s="4">
        <v>0</v>
      </c>
      <c r="J55" s="7">
        <f t="shared" si="13"/>
        <v>0</v>
      </c>
      <c r="K55" s="7">
        <f t="shared" si="14"/>
        <v>1.1396013464722713E-6</v>
      </c>
      <c r="L55" s="7">
        <f t="shared" si="15"/>
        <v>0</v>
      </c>
      <c r="M55" s="7">
        <f t="shared" si="16"/>
        <v>0</v>
      </c>
      <c r="N55" s="7">
        <f t="shared" si="17"/>
        <v>926.60398230088481</v>
      </c>
      <c r="O55" s="7">
        <f t="shared" si="18"/>
        <v>0</v>
      </c>
      <c r="P55" s="7" t="str">
        <f t="shared" si="19"/>
        <v>(900, 950]</v>
      </c>
      <c r="Q55" s="7" t="s">
        <v>74</v>
      </c>
      <c r="R55" s="7">
        <f t="shared" si="20"/>
        <v>1.1396013464722713E-6</v>
      </c>
      <c r="S55" s="4">
        <v>0</v>
      </c>
      <c r="T55" s="7">
        <f t="shared" si="21"/>
        <v>0</v>
      </c>
      <c r="U55" s="7">
        <f t="shared" si="22"/>
        <v>0</v>
      </c>
      <c r="V55" s="4">
        <f t="shared" si="25"/>
        <v>0</v>
      </c>
      <c r="W55" s="7">
        <f t="shared" si="23"/>
        <v>0</v>
      </c>
      <c r="X55" s="7">
        <f t="shared" si="24"/>
        <v>0</v>
      </c>
    </row>
    <row r="56" spans="2:24" ht="15.6" customHeight="1" x14ac:dyDescent="0.3">
      <c r="B56" s="7">
        <v>950</v>
      </c>
      <c r="C56" s="7">
        <v>1000</v>
      </c>
      <c r="D56" s="4">
        <v>0</v>
      </c>
      <c r="E56" s="4">
        <v>90</v>
      </c>
      <c r="F56" s="4">
        <v>0</v>
      </c>
      <c r="G56" s="4">
        <v>0</v>
      </c>
      <c r="H56" s="4">
        <v>43820550</v>
      </c>
      <c r="I56" s="4">
        <v>0</v>
      </c>
      <c r="J56" s="7">
        <f t="shared" si="13"/>
        <v>0</v>
      </c>
      <c r="K56" s="7">
        <f t="shared" si="14"/>
        <v>9.0764709011065854E-7</v>
      </c>
      <c r="L56" s="7">
        <f t="shared" si="15"/>
        <v>0</v>
      </c>
      <c r="M56" s="7">
        <f t="shared" si="16"/>
        <v>0</v>
      </c>
      <c r="N56" s="7">
        <f t="shared" si="17"/>
        <v>973.79</v>
      </c>
      <c r="O56" s="7">
        <f t="shared" si="18"/>
        <v>0</v>
      </c>
      <c r="P56" s="7" t="str">
        <f t="shared" si="19"/>
        <v>(950, 1000]</v>
      </c>
      <c r="Q56" s="7" t="s">
        <v>74</v>
      </c>
      <c r="R56" s="7">
        <f t="shared" si="20"/>
        <v>9.0764709011065854E-7</v>
      </c>
      <c r="S56" s="4">
        <v>0</v>
      </c>
      <c r="T56" s="7">
        <f t="shared" si="21"/>
        <v>0</v>
      </c>
      <c r="U56" s="7">
        <f t="shared" si="22"/>
        <v>0</v>
      </c>
      <c r="V56" s="4">
        <f t="shared" si="25"/>
        <v>0</v>
      </c>
      <c r="W56" s="7">
        <f t="shared" si="23"/>
        <v>0</v>
      </c>
      <c r="X56" s="7">
        <f t="shared" si="24"/>
        <v>0</v>
      </c>
    </row>
    <row r="57" spans="2:24" ht="15.6" customHeight="1" x14ac:dyDescent="0.3">
      <c r="B57" s="7">
        <v>1000</v>
      </c>
      <c r="C57" s="7">
        <v>2000</v>
      </c>
      <c r="D57" s="4">
        <v>0</v>
      </c>
      <c r="E57" s="4">
        <v>302</v>
      </c>
      <c r="F57" s="4">
        <v>0</v>
      </c>
      <c r="G57" s="4">
        <v>0</v>
      </c>
      <c r="H57" s="4">
        <v>178348475</v>
      </c>
      <c r="I57" s="4">
        <v>0</v>
      </c>
      <c r="J57" s="7">
        <f t="shared" si="13"/>
        <v>0</v>
      </c>
      <c r="K57" s="7">
        <f t="shared" si="14"/>
        <v>3.0456602357046541E-6</v>
      </c>
      <c r="L57" s="7">
        <f t="shared" si="15"/>
        <v>0</v>
      </c>
      <c r="M57" s="7">
        <f t="shared" si="16"/>
        <v>0</v>
      </c>
      <c r="N57" s="7">
        <f t="shared" si="17"/>
        <v>1181.1157284768212</v>
      </c>
      <c r="O57" s="7">
        <f t="shared" si="18"/>
        <v>0</v>
      </c>
      <c r="P57" s="7" t="str">
        <f t="shared" si="19"/>
        <v>(1000, 2000]</v>
      </c>
      <c r="Q57" s="7" t="s">
        <v>74</v>
      </c>
      <c r="R57" s="7">
        <f t="shared" si="20"/>
        <v>3.0456602357046541E-6</v>
      </c>
      <c r="S57" s="4">
        <v>0</v>
      </c>
      <c r="T57" s="7">
        <f t="shared" si="21"/>
        <v>0</v>
      </c>
      <c r="U57" s="7">
        <f t="shared" si="22"/>
        <v>0</v>
      </c>
      <c r="V57" s="4">
        <f t="shared" si="25"/>
        <v>0</v>
      </c>
      <c r="W57" s="7">
        <f t="shared" si="23"/>
        <v>0</v>
      </c>
      <c r="X57" s="7">
        <f t="shared" si="24"/>
        <v>0</v>
      </c>
    </row>
    <row r="58" spans="2:24" ht="15.6" customHeight="1" x14ac:dyDescent="0.3">
      <c r="B58" s="7">
        <v>2000</v>
      </c>
      <c r="C58" s="7">
        <v>3000</v>
      </c>
      <c r="D58" s="4">
        <v>0</v>
      </c>
      <c r="E58" s="4">
        <v>1</v>
      </c>
      <c r="F58" s="4">
        <v>0</v>
      </c>
      <c r="G58" s="4">
        <v>0</v>
      </c>
      <c r="H58" s="4">
        <v>1044650</v>
      </c>
      <c r="I58" s="4">
        <v>0</v>
      </c>
      <c r="J58" s="7">
        <f t="shared" si="13"/>
        <v>0</v>
      </c>
      <c r="K58" s="7">
        <f t="shared" si="14"/>
        <v>1.0084967667896206E-8</v>
      </c>
      <c r="L58" s="7">
        <f t="shared" si="15"/>
        <v>0</v>
      </c>
      <c r="M58" s="7">
        <f t="shared" si="16"/>
        <v>0</v>
      </c>
      <c r="N58" s="7">
        <f t="shared" si="17"/>
        <v>2089.3000000000002</v>
      </c>
      <c r="O58" s="7">
        <f t="shared" si="18"/>
        <v>0</v>
      </c>
      <c r="P58" s="7" t="str">
        <f t="shared" si="19"/>
        <v>(2000, 3000]</v>
      </c>
      <c r="Q58" s="7" t="s">
        <v>74</v>
      </c>
      <c r="R58" s="7">
        <f t="shared" si="20"/>
        <v>1.0084967667896206E-8</v>
      </c>
      <c r="S58" s="4">
        <v>0</v>
      </c>
      <c r="T58" s="7">
        <f t="shared" si="21"/>
        <v>0</v>
      </c>
      <c r="U58" s="7">
        <f t="shared" si="22"/>
        <v>0</v>
      </c>
      <c r="V58" s="4">
        <f t="shared" si="25"/>
        <v>0</v>
      </c>
      <c r="W58" s="7">
        <f t="shared" si="23"/>
        <v>0</v>
      </c>
      <c r="X58" s="7">
        <f t="shared" si="24"/>
        <v>0</v>
      </c>
    </row>
    <row r="59" spans="2:24" ht="15.6" customHeight="1" x14ac:dyDescent="0.3">
      <c r="B59" s="7">
        <v>3000</v>
      </c>
      <c r="C59" s="7">
        <v>4000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7">
        <f t="shared" si="13"/>
        <v>0</v>
      </c>
      <c r="K59" s="7">
        <f t="shared" si="14"/>
        <v>0</v>
      </c>
      <c r="L59" s="7">
        <f t="shared" si="15"/>
        <v>0</v>
      </c>
      <c r="M59" s="7">
        <f t="shared" si="16"/>
        <v>0</v>
      </c>
      <c r="N59" s="7">
        <f t="shared" si="17"/>
        <v>0</v>
      </c>
      <c r="O59" s="7">
        <f t="shared" si="18"/>
        <v>0</v>
      </c>
      <c r="P59" s="7" t="str">
        <f t="shared" si="19"/>
        <v>(3000, 4000]</v>
      </c>
      <c r="Q59" s="7" t="s">
        <v>74</v>
      </c>
      <c r="R59" s="7">
        <f t="shared" si="20"/>
        <v>0</v>
      </c>
      <c r="S59" s="4">
        <v>0</v>
      </c>
      <c r="T59" s="7">
        <f t="shared" si="21"/>
        <v>0</v>
      </c>
      <c r="U59" s="7">
        <f t="shared" si="22"/>
        <v>0</v>
      </c>
      <c r="V59" s="4">
        <f t="shared" si="25"/>
        <v>0</v>
      </c>
      <c r="W59" s="7">
        <f t="shared" si="23"/>
        <v>0</v>
      </c>
      <c r="X59" s="7">
        <f t="shared" si="24"/>
        <v>0</v>
      </c>
    </row>
    <row r="60" spans="2:24" ht="15.6" customHeight="1" x14ac:dyDescent="0.3">
      <c r="B60" s="7">
        <v>4000</v>
      </c>
      <c r="C60" s="7">
        <v>5000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7">
        <f t="shared" si="13"/>
        <v>0</v>
      </c>
      <c r="K60" s="7">
        <f t="shared" si="14"/>
        <v>0</v>
      </c>
      <c r="L60" s="7">
        <f t="shared" si="15"/>
        <v>0</v>
      </c>
      <c r="M60" s="7">
        <f t="shared" si="16"/>
        <v>0</v>
      </c>
      <c r="N60" s="7">
        <f t="shared" si="17"/>
        <v>0</v>
      </c>
      <c r="O60" s="7">
        <f t="shared" si="18"/>
        <v>0</v>
      </c>
      <c r="P60" s="7" t="str">
        <f t="shared" si="19"/>
        <v>(4000, 5000]</v>
      </c>
      <c r="Q60" s="7" t="s">
        <v>74</v>
      </c>
      <c r="R60" s="7">
        <f t="shared" si="20"/>
        <v>0</v>
      </c>
      <c r="S60" s="4">
        <v>0</v>
      </c>
      <c r="T60" s="7">
        <f t="shared" si="21"/>
        <v>0</v>
      </c>
      <c r="U60" s="7">
        <f t="shared" si="22"/>
        <v>0</v>
      </c>
      <c r="V60" s="4">
        <f t="shared" si="25"/>
        <v>0</v>
      </c>
      <c r="W60" s="7">
        <f t="shared" si="23"/>
        <v>0</v>
      </c>
      <c r="X60" s="7">
        <f t="shared" si="24"/>
        <v>0</v>
      </c>
    </row>
    <row r="61" spans="2:24" ht="15.6" customHeight="1" x14ac:dyDescent="0.3">
      <c r="B61" s="7">
        <v>5000</v>
      </c>
      <c r="C61" s="7">
        <v>6000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7">
        <f t="shared" si="13"/>
        <v>0</v>
      </c>
      <c r="K61" s="7">
        <f t="shared" si="14"/>
        <v>0</v>
      </c>
      <c r="L61" s="7">
        <f t="shared" si="15"/>
        <v>0</v>
      </c>
      <c r="M61" s="7">
        <f t="shared" si="16"/>
        <v>0</v>
      </c>
      <c r="N61" s="7">
        <f t="shared" si="17"/>
        <v>0</v>
      </c>
      <c r="O61" s="7">
        <f t="shared" si="18"/>
        <v>0</v>
      </c>
      <c r="P61" s="7" t="str">
        <f t="shared" si="19"/>
        <v>(5000, 6000]</v>
      </c>
      <c r="Q61" s="7" t="s">
        <v>74</v>
      </c>
      <c r="R61" s="7">
        <f t="shared" si="20"/>
        <v>0</v>
      </c>
      <c r="S61" s="4">
        <v>0</v>
      </c>
      <c r="T61" s="7">
        <f t="shared" si="21"/>
        <v>0</v>
      </c>
      <c r="U61" s="7">
        <f t="shared" si="22"/>
        <v>0</v>
      </c>
      <c r="V61" s="4">
        <f t="shared" si="25"/>
        <v>0</v>
      </c>
      <c r="W61" s="7">
        <f t="shared" si="23"/>
        <v>0</v>
      </c>
      <c r="X61" s="7">
        <f t="shared" si="24"/>
        <v>0</v>
      </c>
    </row>
    <row r="62" spans="2:24" ht="15.6" customHeight="1" x14ac:dyDescent="0.3">
      <c r="B62" s="7">
        <v>6000</v>
      </c>
      <c r="C62" s="7">
        <v>7000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7">
        <f t="shared" si="13"/>
        <v>0</v>
      </c>
      <c r="K62" s="7">
        <f t="shared" si="14"/>
        <v>0</v>
      </c>
      <c r="L62" s="7">
        <f t="shared" si="15"/>
        <v>0</v>
      </c>
      <c r="M62" s="7">
        <f t="shared" si="16"/>
        <v>0</v>
      </c>
      <c r="N62" s="7">
        <f t="shared" si="17"/>
        <v>0</v>
      </c>
      <c r="O62" s="7">
        <f t="shared" si="18"/>
        <v>0</v>
      </c>
      <c r="P62" s="7" t="str">
        <f t="shared" si="19"/>
        <v>(6000, 7000]</v>
      </c>
      <c r="Q62" s="7" t="s">
        <v>74</v>
      </c>
      <c r="R62" s="7">
        <f t="shared" si="20"/>
        <v>0</v>
      </c>
      <c r="S62" s="4">
        <v>0</v>
      </c>
      <c r="T62" s="7">
        <f t="shared" si="21"/>
        <v>0</v>
      </c>
      <c r="U62" s="7">
        <f t="shared" si="22"/>
        <v>0</v>
      </c>
      <c r="V62" s="4">
        <f t="shared" si="25"/>
        <v>0</v>
      </c>
      <c r="W62" s="7">
        <f t="shared" si="23"/>
        <v>0</v>
      </c>
      <c r="X62" s="7">
        <f t="shared" si="24"/>
        <v>0</v>
      </c>
    </row>
    <row r="63" spans="2:24" ht="15.6" customHeight="1" x14ac:dyDescent="0.3">
      <c r="B63" s="7">
        <v>7000</v>
      </c>
      <c r="C63" s="7">
        <v>8000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7">
        <f t="shared" si="13"/>
        <v>0</v>
      </c>
      <c r="K63" s="7">
        <f t="shared" si="14"/>
        <v>0</v>
      </c>
      <c r="L63" s="7">
        <f t="shared" si="15"/>
        <v>0</v>
      </c>
      <c r="M63" s="7">
        <f t="shared" si="16"/>
        <v>0</v>
      </c>
      <c r="N63" s="7">
        <f t="shared" si="17"/>
        <v>0</v>
      </c>
      <c r="O63" s="7">
        <f t="shared" si="18"/>
        <v>0</v>
      </c>
      <c r="P63" s="7" t="str">
        <f t="shared" si="19"/>
        <v>(7000, 8000]</v>
      </c>
      <c r="Q63" s="7" t="s">
        <v>74</v>
      </c>
      <c r="R63" s="7">
        <f t="shared" si="20"/>
        <v>0</v>
      </c>
      <c r="S63" s="4">
        <v>0</v>
      </c>
      <c r="T63" s="7">
        <f t="shared" si="21"/>
        <v>0</v>
      </c>
      <c r="U63" s="7">
        <f t="shared" si="22"/>
        <v>0</v>
      </c>
      <c r="V63" s="4">
        <f t="shared" si="25"/>
        <v>0</v>
      </c>
      <c r="W63" s="7">
        <f t="shared" si="23"/>
        <v>0</v>
      </c>
      <c r="X63" s="7">
        <f t="shared" si="24"/>
        <v>0</v>
      </c>
    </row>
    <row r="64" spans="2:24" ht="15.6" customHeight="1" x14ac:dyDescent="0.3">
      <c r="B64" s="7" t="s">
        <v>180</v>
      </c>
      <c r="C64" s="7">
        <v>1.010016E-2</v>
      </c>
      <c r="D64" s="4">
        <v>1010016</v>
      </c>
      <c r="E64" s="4">
        <v>842518</v>
      </c>
      <c r="F64" s="4">
        <v>0</v>
      </c>
      <c r="G64" s="4">
        <v>184759625</v>
      </c>
      <c r="H64" s="4">
        <v>12104979525</v>
      </c>
      <c r="I64" s="4">
        <v>0</v>
      </c>
      <c r="J64" s="7">
        <f t="shared" si="13"/>
        <v>1.0203214094872468E-2</v>
      </c>
      <c r="K64" s="7">
        <f t="shared" si="14"/>
        <v>8.4967667896205749E-3</v>
      </c>
      <c r="L64" s="7">
        <f t="shared" si="15"/>
        <v>0</v>
      </c>
      <c r="M64" s="7">
        <f t="shared" si="16"/>
        <v>0.36585484784399458</v>
      </c>
      <c r="N64" s="7">
        <f t="shared" si="17"/>
        <v>28.735242511139226</v>
      </c>
      <c r="O64" s="7">
        <f t="shared" si="18"/>
        <v>0</v>
      </c>
      <c r="P64" s="7" t="str">
        <f t="shared" si="19"/>
        <v>(FG Trigger, 0.01010016]</v>
      </c>
      <c r="Q64" s="7" t="s">
        <v>40</v>
      </c>
      <c r="R64" s="4">
        <v>8.4899999999999993E-3</v>
      </c>
      <c r="S64" s="4">
        <v>1</v>
      </c>
      <c r="T64" s="7">
        <f t="shared" si="21"/>
        <v>8.4899999999999993E-3</v>
      </c>
      <c r="U64" s="7">
        <f>T64</f>
        <v>8.4899999999999993E-3</v>
      </c>
      <c r="V64" s="4">
        <f t="shared" si="25"/>
        <v>8490000</v>
      </c>
      <c r="W64" s="7">
        <f t="shared" si="23"/>
        <v>8.4899999999999993E-3</v>
      </c>
      <c r="X64" s="7">
        <f t="shared" si="24"/>
        <v>3.1061076581955136E-3</v>
      </c>
    </row>
    <row r="65" spans="2:24" ht="15.6" customHeight="1" x14ac:dyDescent="0.3">
      <c r="B65" s="3" t="s">
        <v>166</v>
      </c>
      <c r="V65" s="4">
        <f>SUM(V12:V64)</f>
        <v>1000000000</v>
      </c>
    </row>
    <row r="68" spans="2:24" ht="15.6" customHeight="1" x14ac:dyDescent="0.3">
      <c r="B68" s="1" t="s">
        <v>17</v>
      </c>
      <c r="D68" s="3" t="s">
        <v>171</v>
      </c>
      <c r="G68" s="3" t="s">
        <v>172</v>
      </c>
      <c r="J68" s="3" t="s">
        <v>173</v>
      </c>
      <c r="M68" s="3" t="s">
        <v>174</v>
      </c>
    </row>
    <row r="69" spans="2:24" ht="15.6" customHeight="1" x14ac:dyDescent="0.3">
      <c r="B69" s="3" t="s">
        <v>159</v>
      </c>
      <c r="C69" s="3" t="s">
        <v>160</v>
      </c>
      <c r="D69" s="3" t="s">
        <v>92</v>
      </c>
      <c r="E69" s="3" t="s">
        <v>93</v>
      </c>
      <c r="F69" s="3" t="s">
        <v>181</v>
      </c>
      <c r="G69" s="3" t="s">
        <v>92</v>
      </c>
      <c r="H69" s="3" t="s">
        <v>93</v>
      </c>
      <c r="I69" s="3" t="s">
        <v>181</v>
      </c>
      <c r="J69" s="3" t="s">
        <v>92</v>
      </c>
      <c r="K69" s="3" t="s">
        <v>93</v>
      </c>
      <c r="L69" s="3" t="s">
        <v>181</v>
      </c>
      <c r="M69" s="3" t="s">
        <v>92</v>
      </c>
      <c r="N69" s="3" t="s">
        <v>93</v>
      </c>
      <c r="O69" s="3" t="s">
        <v>181</v>
      </c>
      <c r="P69" s="3" t="s">
        <v>161</v>
      </c>
      <c r="Q69" s="3" t="s">
        <v>162</v>
      </c>
      <c r="R69" s="3" t="s">
        <v>163</v>
      </c>
      <c r="S69" s="3" t="s">
        <v>176</v>
      </c>
      <c r="T69" s="3" t="s">
        <v>177</v>
      </c>
      <c r="U69" s="3" t="s">
        <v>178</v>
      </c>
      <c r="V69" s="3" t="s">
        <v>91</v>
      </c>
      <c r="W69" s="3" t="s">
        <v>170</v>
      </c>
      <c r="X69" s="3" t="s">
        <v>179</v>
      </c>
    </row>
    <row r="70" spans="2:24" ht="15.6" customHeight="1" x14ac:dyDescent="0.3">
      <c r="B70" s="7">
        <v>-1</v>
      </c>
      <c r="C70" s="7">
        <v>0</v>
      </c>
      <c r="D70" s="4">
        <v>0</v>
      </c>
      <c r="E70" s="4">
        <v>316</v>
      </c>
      <c r="F70" s="4">
        <v>0</v>
      </c>
      <c r="G70" s="4">
        <v>0</v>
      </c>
      <c r="H70" s="4">
        <v>0</v>
      </c>
      <c r="I70" s="4">
        <v>0</v>
      </c>
      <c r="J70" s="7">
        <f t="shared" ref="J70:J101" si="26">IF(SUM(D$70:D$128)=0,0,D70/SUM(D$70:D$128))</f>
        <v>0</v>
      </c>
      <c r="K70" s="7">
        <f t="shared" ref="K70:K101" si="27">IF(SUM(E$70:E$128)=0,0,E70/SUM(E$70:E$128))</f>
        <v>3.128663308304027E-4</v>
      </c>
      <c r="L70" s="7">
        <f t="shared" ref="L70:L101" si="28">IF(SUM(F$70:F$128)=0,0,F70/SUM(F$70:F$128))</f>
        <v>0</v>
      </c>
      <c r="M70" s="7">
        <f t="shared" ref="M70:M101" si="29">IF(D70=0,0,G70/D70/$C$3/5)</f>
        <v>0</v>
      </c>
      <c r="N70" s="7">
        <f t="shared" ref="N70:N101" si="30">IF(E70=0,0,H70/E70/$C$3/5)</f>
        <v>0</v>
      </c>
      <c r="O70" s="7">
        <f t="shared" ref="O70:O101" si="31">IF(F70=0,0,I70/F70/$C$3/5)</f>
        <v>0</v>
      </c>
      <c r="P70" s="7" t="str">
        <f t="shared" ref="P70:P101" si="32">"("&amp;B70&amp;", "&amp;C70&amp;"]"</f>
        <v>(-1, 0]</v>
      </c>
      <c r="Q70" s="7" t="s">
        <v>93</v>
      </c>
      <c r="R70" s="7">
        <f t="shared" ref="R70:R101" si="33">IFERROR(INDEX($J70:$L70,MATCH($Q70,$J$69:$L$69,0)),0)</f>
        <v>3.128663308304027E-4</v>
      </c>
      <c r="S70" s="4">
        <v>0</v>
      </c>
      <c r="T70" s="7">
        <f t="shared" ref="T70:T101" si="34">$R70*$S70</f>
        <v>0</v>
      </c>
      <c r="U70" s="7">
        <f t="shared" ref="U70:U101" si="35">IF(SUM(T$70:T$128)=0,0,T70/SUM(T$70:T$128))</f>
        <v>0</v>
      </c>
      <c r="V70" s="4">
        <f t="shared" ref="V70:V101" si="36">INT(U70*$C$2)</f>
        <v>0</v>
      </c>
      <c r="W70" s="7">
        <f t="shared" ref="W70:W101" si="37">IF(SUM(V$70:V$128)=0,0,V70/SUM(V$70:V$128))</f>
        <v>0</v>
      </c>
      <c r="X70" s="7">
        <f t="shared" ref="X70:X101" si="38">IFERROR(INDEX($M70:$O70,MATCH($Q70,$M$69:$O$69,0)),0)*V70/$C$2</f>
        <v>0</v>
      </c>
    </row>
    <row r="71" spans="2:24" ht="15.6" customHeight="1" x14ac:dyDescent="0.3">
      <c r="B71" s="7">
        <v>0</v>
      </c>
      <c r="C71" s="7">
        <v>1</v>
      </c>
      <c r="D71" s="4">
        <v>0</v>
      </c>
      <c r="E71" s="4">
        <v>2222</v>
      </c>
      <c r="F71" s="4">
        <v>0</v>
      </c>
      <c r="G71" s="4">
        <v>0</v>
      </c>
      <c r="H71" s="4">
        <v>676000</v>
      </c>
      <c r="I71" s="4">
        <v>0</v>
      </c>
      <c r="J71" s="7">
        <f t="shared" si="26"/>
        <v>0</v>
      </c>
      <c r="K71" s="7">
        <f t="shared" si="27"/>
        <v>2.1999651490669453E-3</v>
      </c>
      <c r="L71" s="7">
        <f t="shared" si="28"/>
        <v>0</v>
      </c>
      <c r="M71" s="7">
        <f t="shared" si="29"/>
        <v>0</v>
      </c>
      <c r="N71" s="7">
        <f t="shared" si="30"/>
        <v>0.60846084608460838</v>
      </c>
      <c r="O71" s="7">
        <f t="shared" si="31"/>
        <v>0</v>
      </c>
      <c r="P71" s="7" t="str">
        <f t="shared" si="32"/>
        <v>(0, 1]</v>
      </c>
      <c r="Q71" s="7" t="s">
        <v>93</v>
      </c>
      <c r="R71" s="7">
        <f t="shared" si="33"/>
        <v>2.1999651490669453E-3</v>
      </c>
      <c r="S71" s="4">
        <v>0</v>
      </c>
      <c r="T71" s="7">
        <f t="shared" si="34"/>
        <v>0</v>
      </c>
      <c r="U71" s="7">
        <f t="shared" si="35"/>
        <v>0</v>
      </c>
      <c r="V71" s="4">
        <f t="shared" si="36"/>
        <v>0</v>
      </c>
      <c r="W71" s="7">
        <f t="shared" si="37"/>
        <v>0</v>
      </c>
      <c r="X71" s="7">
        <f t="shared" si="38"/>
        <v>0</v>
      </c>
    </row>
    <row r="72" spans="2:24" ht="15.6" customHeight="1" x14ac:dyDescent="0.3">
      <c r="B72" s="7">
        <v>1</v>
      </c>
      <c r="C72" s="7">
        <v>2</v>
      </c>
      <c r="D72" s="4">
        <v>0</v>
      </c>
      <c r="E72" s="4">
        <v>2756</v>
      </c>
      <c r="F72" s="4">
        <v>0</v>
      </c>
      <c r="G72" s="4">
        <v>0</v>
      </c>
      <c r="H72" s="4">
        <v>2169950</v>
      </c>
      <c r="I72" s="4">
        <v>0</v>
      </c>
      <c r="J72" s="7">
        <f t="shared" si="26"/>
        <v>0</v>
      </c>
      <c r="K72" s="7">
        <f t="shared" si="27"/>
        <v>2.7286696448373094E-3</v>
      </c>
      <c r="L72" s="7">
        <f t="shared" si="28"/>
        <v>0</v>
      </c>
      <c r="M72" s="7">
        <f t="shared" si="29"/>
        <v>0</v>
      </c>
      <c r="N72" s="7">
        <f t="shared" si="30"/>
        <v>1.5747097242380261</v>
      </c>
      <c r="O72" s="7">
        <f t="shared" si="31"/>
        <v>0</v>
      </c>
      <c r="P72" s="7" t="str">
        <f t="shared" si="32"/>
        <v>(1, 2]</v>
      </c>
      <c r="Q72" s="7" t="s">
        <v>93</v>
      </c>
      <c r="R72" s="7">
        <f t="shared" si="33"/>
        <v>2.7286696448373094E-3</v>
      </c>
      <c r="S72" s="4">
        <v>0</v>
      </c>
      <c r="T72" s="7">
        <f t="shared" si="34"/>
        <v>0</v>
      </c>
      <c r="U72" s="7">
        <f t="shared" si="35"/>
        <v>0</v>
      </c>
      <c r="V72" s="4">
        <f t="shared" si="36"/>
        <v>0</v>
      </c>
      <c r="W72" s="7">
        <f t="shared" si="37"/>
        <v>0</v>
      </c>
      <c r="X72" s="7">
        <f t="shared" si="38"/>
        <v>0</v>
      </c>
    </row>
    <row r="73" spans="2:24" ht="15.6" customHeight="1" x14ac:dyDescent="0.3">
      <c r="B73" s="7">
        <v>2</v>
      </c>
      <c r="C73" s="7">
        <v>3</v>
      </c>
      <c r="D73" s="4">
        <v>0</v>
      </c>
      <c r="E73" s="4">
        <v>3023</v>
      </c>
      <c r="F73" s="4">
        <v>0</v>
      </c>
      <c r="G73" s="4">
        <v>0</v>
      </c>
      <c r="H73" s="4">
        <v>3886500</v>
      </c>
      <c r="I73" s="4">
        <v>0</v>
      </c>
      <c r="J73" s="7">
        <f t="shared" si="26"/>
        <v>0</v>
      </c>
      <c r="K73" s="7">
        <f t="shared" si="27"/>
        <v>2.9930218927224916E-3</v>
      </c>
      <c r="L73" s="7">
        <f t="shared" si="28"/>
        <v>0</v>
      </c>
      <c r="M73" s="7">
        <f t="shared" si="29"/>
        <v>0</v>
      </c>
      <c r="N73" s="7">
        <f t="shared" si="30"/>
        <v>2.5712868011908698</v>
      </c>
      <c r="O73" s="7">
        <f t="shared" si="31"/>
        <v>0</v>
      </c>
      <c r="P73" s="7" t="str">
        <f t="shared" si="32"/>
        <v>(2, 3]</v>
      </c>
      <c r="Q73" s="7" t="s">
        <v>93</v>
      </c>
      <c r="R73" s="7">
        <f t="shared" si="33"/>
        <v>2.9930218927224916E-3</v>
      </c>
      <c r="S73" s="4">
        <v>0</v>
      </c>
      <c r="T73" s="7">
        <f t="shared" si="34"/>
        <v>0</v>
      </c>
      <c r="U73" s="7">
        <f t="shared" si="35"/>
        <v>0</v>
      </c>
      <c r="V73" s="4">
        <f t="shared" si="36"/>
        <v>0</v>
      </c>
      <c r="W73" s="7">
        <f t="shared" si="37"/>
        <v>0</v>
      </c>
      <c r="X73" s="7">
        <f t="shared" si="38"/>
        <v>0</v>
      </c>
    </row>
    <row r="74" spans="2:24" ht="15.6" customHeight="1" x14ac:dyDescent="0.3">
      <c r="B74" s="7">
        <v>3</v>
      </c>
      <c r="C74" s="7">
        <v>4</v>
      </c>
      <c r="D74" s="4">
        <v>0</v>
      </c>
      <c r="E74" s="4">
        <v>3095</v>
      </c>
      <c r="F74" s="4">
        <v>0</v>
      </c>
      <c r="G74" s="4">
        <v>0</v>
      </c>
      <c r="H74" s="4">
        <v>5503800</v>
      </c>
      <c r="I74" s="4">
        <v>0</v>
      </c>
      <c r="J74" s="7">
        <f t="shared" si="26"/>
        <v>0</v>
      </c>
      <c r="K74" s="7">
        <f t="shared" si="27"/>
        <v>3.0643078921522037E-3</v>
      </c>
      <c r="L74" s="7">
        <f t="shared" si="28"/>
        <v>0</v>
      </c>
      <c r="M74" s="7">
        <f t="shared" si="29"/>
        <v>0</v>
      </c>
      <c r="N74" s="7">
        <f t="shared" si="30"/>
        <v>3.5565751211631662</v>
      </c>
      <c r="O74" s="7">
        <f t="shared" si="31"/>
        <v>0</v>
      </c>
      <c r="P74" s="7" t="str">
        <f t="shared" si="32"/>
        <v>(3, 4]</v>
      </c>
      <c r="Q74" s="7" t="s">
        <v>93</v>
      </c>
      <c r="R74" s="7">
        <f t="shared" si="33"/>
        <v>3.0643078921522037E-3</v>
      </c>
      <c r="S74" s="4">
        <v>0</v>
      </c>
      <c r="T74" s="7">
        <f t="shared" si="34"/>
        <v>0</v>
      </c>
      <c r="U74" s="7">
        <f t="shared" si="35"/>
        <v>0</v>
      </c>
      <c r="V74" s="4">
        <f t="shared" si="36"/>
        <v>0</v>
      </c>
      <c r="W74" s="7">
        <f t="shared" si="37"/>
        <v>0</v>
      </c>
      <c r="X74" s="7">
        <f t="shared" si="38"/>
        <v>0</v>
      </c>
    </row>
    <row r="75" spans="2:24" ht="15.6" customHeight="1" x14ac:dyDescent="0.3">
      <c r="B75" s="7">
        <v>4</v>
      </c>
      <c r="C75" s="7">
        <v>5</v>
      </c>
      <c r="D75" s="4">
        <v>0</v>
      </c>
      <c r="E75" s="4">
        <v>3068</v>
      </c>
      <c r="F75" s="4">
        <v>0</v>
      </c>
      <c r="G75" s="4">
        <v>0</v>
      </c>
      <c r="H75" s="4">
        <v>7011850</v>
      </c>
      <c r="I75" s="4">
        <v>0</v>
      </c>
      <c r="J75" s="7">
        <f t="shared" si="26"/>
        <v>0</v>
      </c>
      <c r="K75" s="7">
        <f t="shared" si="27"/>
        <v>3.0375756423660616E-3</v>
      </c>
      <c r="L75" s="7">
        <f t="shared" si="28"/>
        <v>0</v>
      </c>
      <c r="M75" s="7">
        <f t="shared" si="29"/>
        <v>0</v>
      </c>
      <c r="N75" s="7">
        <f t="shared" si="30"/>
        <v>4.5709582790091261</v>
      </c>
      <c r="O75" s="7">
        <f t="shared" si="31"/>
        <v>0</v>
      </c>
      <c r="P75" s="7" t="str">
        <f t="shared" si="32"/>
        <v>(4, 5]</v>
      </c>
      <c r="Q75" s="7" t="s">
        <v>93</v>
      </c>
      <c r="R75" s="7">
        <f t="shared" si="33"/>
        <v>3.0375756423660616E-3</v>
      </c>
      <c r="S75" s="4">
        <v>0</v>
      </c>
      <c r="T75" s="7">
        <f t="shared" si="34"/>
        <v>0</v>
      </c>
      <c r="U75" s="7">
        <f t="shared" si="35"/>
        <v>0</v>
      </c>
      <c r="V75" s="4">
        <f t="shared" si="36"/>
        <v>0</v>
      </c>
      <c r="W75" s="7">
        <f t="shared" si="37"/>
        <v>0</v>
      </c>
      <c r="X75" s="7">
        <f t="shared" si="38"/>
        <v>0</v>
      </c>
    </row>
    <row r="76" spans="2:24" ht="15.6" customHeight="1" x14ac:dyDescent="0.3">
      <c r="B76" s="7">
        <v>5</v>
      </c>
      <c r="C76" s="7">
        <v>6</v>
      </c>
      <c r="D76" s="4">
        <v>0</v>
      </c>
      <c r="E76" s="4">
        <v>3185</v>
      </c>
      <c r="F76" s="4">
        <v>0</v>
      </c>
      <c r="G76" s="4">
        <v>0</v>
      </c>
      <c r="H76" s="4">
        <v>8850050</v>
      </c>
      <c r="I76" s="4">
        <v>0</v>
      </c>
      <c r="J76" s="7">
        <f t="shared" si="26"/>
        <v>0</v>
      </c>
      <c r="K76" s="7">
        <f t="shared" si="27"/>
        <v>3.1534153914393437E-3</v>
      </c>
      <c r="L76" s="7">
        <f t="shared" si="28"/>
        <v>0</v>
      </c>
      <c r="M76" s="7">
        <f t="shared" si="29"/>
        <v>0</v>
      </c>
      <c r="N76" s="7">
        <f t="shared" si="30"/>
        <v>5.5573312401883834</v>
      </c>
      <c r="O76" s="7">
        <f t="shared" si="31"/>
        <v>0</v>
      </c>
      <c r="P76" s="7" t="str">
        <f t="shared" si="32"/>
        <v>(5, 6]</v>
      </c>
      <c r="Q76" s="7" t="s">
        <v>93</v>
      </c>
      <c r="R76" s="7">
        <f t="shared" si="33"/>
        <v>3.1534153914393437E-3</v>
      </c>
      <c r="S76" s="4">
        <v>0</v>
      </c>
      <c r="T76" s="7">
        <f t="shared" si="34"/>
        <v>0</v>
      </c>
      <c r="U76" s="7">
        <f t="shared" si="35"/>
        <v>0</v>
      </c>
      <c r="V76" s="4">
        <f t="shared" si="36"/>
        <v>0</v>
      </c>
      <c r="W76" s="7">
        <f t="shared" si="37"/>
        <v>0</v>
      </c>
      <c r="X76" s="7">
        <f t="shared" si="38"/>
        <v>0</v>
      </c>
    </row>
    <row r="77" spans="2:24" ht="15.6" customHeight="1" x14ac:dyDescent="0.3">
      <c r="B77" s="7">
        <v>6</v>
      </c>
      <c r="C77" s="7">
        <v>7</v>
      </c>
      <c r="D77" s="4">
        <v>0</v>
      </c>
      <c r="E77" s="4">
        <v>3215</v>
      </c>
      <c r="F77" s="4">
        <v>0</v>
      </c>
      <c r="G77" s="4">
        <v>0</v>
      </c>
      <c r="H77" s="4">
        <v>10540600</v>
      </c>
      <c r="I77" s="4">
        <v>0</v>
      </c>
      <c r="J77" s="7">
        <f t="shared" si="26"/>
        <v>0</v>
      </c>
      <c r="K77" s="7">
        <f t="shared" si="27"/>
        <v>3.1831178912017236E-3</v>
      </c>
      <c r="L77" s="7">
        <f t="shared" si="28"/>
        <v>0</v>
      </c>
      <c r="M77" s="7">
        <f t="shared" si="29"/>
        <v>0</v>
      </c>
      <c r="N77" s="7">
        <f t="shared" si="30"/>
        <v>6.5571384136858484</v>
      </c>
      <c r="O77" s="7">
        <f t="shared" si="31"/>
        <v>0</v>
      </c>
      <c r="P77" s="7" t="str">
        <f t="shared" si="32"/>
        <v>(6, 7]</v>
      </c>
      <c r="Q77" s="7" t="s">
        <v>93</v>
      </c>
      <c r="R77" s="7">
        <f t="shared" si="33"/>
        <v>3.1831178912017236E-3</v>
      </c>
      <c r="S77" s="4">
        <v>0</v>
      </c>
      <c r="T77" s="7">
        <f t="shared" si="34"/>
        <v>0</v>
      </c>
      <c r="U77" s="7">
        <f t="shared" si="35"/>
        <v>0</v>
      </c>
      <c r="V77" s="4">
        <f t="shared" si="36"/>
        <v>0</v>
      </c>
      <c r="W77" s="7">
        <f t="shared" si="37"/>
        <v>0</v>
      </c>
      <c r="X77" s="7">
        <f t="shared" si="38"/>
        <v>0</v>
      </c>
    </row>
    <row r="78" spans="2:24" ht="15.6" customHeight="1" x14ac:dyDescent="0.3">
      <c r="B78" s="7">
        <v>7</v>
      </c>
      <c r="C78" s="7">
        <v>8</v>
      </c>
      <c r="D78" s="4">
        <v>0</v>
      </c>
      <c r="E78" s="4">
        <v>3055</v>
      </c>
      <c r="F78" s="4">
        <v>0</v>
      </c>
      <c r="G78" s="4">
        <v>0</v>
      </c>
      <c r="H78" s="4">
        <v>11542100</v>
      </c>
      <c r="I78" s="4">
        <v>0</v>
      </c>
      <c r="J78" s="7">
        <f t="shared" si="26"/>
        <v>0</v>
      </c>
      <c r="K78" s="7">
        <f t="shared" si="27"/>
        <v>3.024704559135697E-3</v>
      </c>
      <c r="L78" s="7">
        <f t="shared" si="28"/>
        <v>0</v>
      </c>
      <c r="M78" s="7">
        <f t="shared" si="29"/>
        <v>0</v>
      </c>
      <c r="N78" s="7">
        <f t="shared" si="30"/>
        <v>7.5562029459901794</v>
      </c>
      <c r="O78" s="7">
        <f t="shared" si="31"/>
        <v>0</v>
      </c>
      <c r="P78" s="7" t="str">
        <f t="shared" si="32"/>
        <v>(7, 8]</v>
      </c>
      <c r="Q78" s="7" t="s">
        <v>93</v>
      </c>
      <c r="R78" s="7">
        <f t="shared" si="33"/>
        <v>3.024704559135697E-3</v>
      </c>
      <c r="S78" s="4">
        <v>0</v>
      </c>
      <c r="T78" s="7">
        <f t="shared" si="34"/>
        <v>0</v>
      </c>
      <c r="U78" s="7">
        <f t="shared" si="35"/>
        <v>0</v>
      </c>
      <c r="V78" s="4">
        <f t="shared" si="36"/>
        <v>0</v>
      </c>
      <c r="W78" s="7">
        <f t="shared" si="37"/>
        <v>0</v>
      </c>
      <c r="X78" s="7">
        <f t="shared" si="38"/>
        <v>0</v>
      </c>
    </row>
    <row r="79" spans="2:24" ht="15.6" customHeight="1" x14ac:dyDescent="0.3">
      <c r="B79" s="7">
        <v>8</v>
      </c>
      <c r="C79" s="7">
        <v>9</v>
      </c>
      <c r="D79" s="4">
        <v>0</v>
      </c>
      <c r="E79" s="4">
        <v>3155</v>
      </c>
      <c r="F79" s="4">
        <v>0</v>
      </c>
      <c r="G79" s="4">
        <v>0</v>
      </c>
      <c r="H79" s="4">
        <v>13497550</v>
      </c>
      <c r="I79" s="4">
        <v>0</v>
      </c>
      <c r="J79" s="7">
        <f t="shared" si="26"/>
        <v>0</v>
      </c>
      <c r="K79" s="7">
        <f t="shared" si="27"/>
        <v>3.1237128916769634E-3</v>
      </c>
      <c r="L79" s="7">
        <f t="shared" si="28"/>
        <v>0</v>
      </c>
      <c r="M79" s="7">
        <f t="shared" si="29"/>
        <v>0</v>
      </c>
      <c r="N79" s="7">
        <f t="shared" si="30"/>
        <v>8.5562916006339158</v>
      </c>
      <c r="O79" s="7">
        <f t="shared" si="31"/>
        <v>0</v>
      </c>
      <c r="P79" s="7" t="str">
        <f t="shared" si="32"/>
        <v>(8, 9]</v>
      </c>
      <c r="Q79" s="7" t="s">
        <v>93</v>
      </c>
      <c r="R79" s="7">
        <f t="shared" si="33"/>
        <v>3.1237128916769634E-3</v>
      </c>
      <c r="S79" s="4">
        <v>0</v>
      </c>
      <c r="T79" s="7">
        <f t="shared" si="34"/>
        <v>0</v>
      </c>
      <c r="U79" s="7">
        <f t="shared" si="35"/>
        <v>0</v>
      </c>
      <c r="V79" s="4">
        <f t="shared" si="36"/>
        <v>0</v>
      </c>
      <c r="W79" s="7">
        <f t="shared" si="37"/>
        <v>0</v>
      </c>
      <c r="X79" s="7">
        <f t="shared" si="38"/>
        <v>0</v>
      </c>
    </row>
    <row r="80" spans="2:24" ht="15.6" customHeight="1" x14ac:dyDescent="0.3">
      <c r="B80" s="7">
        <v>9</v>
      </c>
      <c r="C80" s="7">
        <v>10</v>
      </c>
      <c r="D80" s="4">
        <v>0</v>
      </c>
      <c r="E80" s="4">
        <v>3289</v>
      </c>
      <c r="F80" s="4">
        <v>0</v>
      </c>
      <c r="G80" s="4">
        <v>0</v>
      </c>
      <c r="H80" s="4">
        <v>15750950</v>
      </c>
      <c r="I80" s="4">
        <v>0</v>
      </c>
      <c r="J80" s="7">
        <f t="shared" si="26"/>
        <v>0</v>
      </c>
      <c r="K80" s="7">
        <f t="shared" si="27"/>
        <v>3.2563840572822607E-3</v>
      </c>
      <c r="L80" s="7">
        <f t="shared" si="28"/>
        <v>0</v>
      </c>
      <c r="M80" s="7">
        <f t="shared" si="29"/>
        <v>0</v>
      </c>
      <c r="N80" s="7">
        <f t="shared" si="30"/>
        <v>9.5779568257829126</v>
      </c>
      <c r="O80" s="7">
        <f t="shared" si="31"/>
        <v>0</v>
      </c>
      <c r="P80" s="7" t="str">
        <f t="shared" si="32"/>
        <v>(9, 10]</v>
      </c>
      <c r="Q80" s="7" t="s">
        <v>93</v>
      </c>
      <c r="R80" s="7">
        <f t="shared" si="33"/>
        <v>3.2563840572822607E-3</v>
      </c>
      <c r="S80" s="4">
        <v>0</v>
      </c>
      <c r="T80" s="7">
        <f t="shared" si="34"/>
        <v>0</v>
      </c>
      <c r="U80" s="7">
        <f t="shared" si="35"/>
        <v>0</v>
      </c>
      <c r="V80" s="4">
        <f t="shared" si="36"/>
        <v>0</v>
      </c>
      <c r="W80" s="7">
        <f t="shared" si="37"/>
        <v>0</v>
      </c>
      <c r="X80" s="7">
        <f t="shared" si="38"/>
        <v>0</v>
      </c>
    </row>
    <row r="81" spans="2:24" ht="15.6" customHeight="1" x14ac:dyDescent="0.3">
      <c r="B81" s="7">
        <v>10</v>
      </c>
      <c r="C81" s="7">
        <v>15</v>
      </c>
      <c r="D81" s="4">
        <v>0</v>
      </c>
      <c r="E81" s="4">
        <v>16424</v>
      </c>
      <c r="F81" s="4">
        <v>0</v>
      </c>
      <c r="G81" s="4">
        <v>0</v>
      </c>
      <c r="H81" s="4">
        <v>103238050</v>
      </c>
      <c r="I81" s="4">
        <v>0</v>
      </c>
      <c r="J81" s="7">
        <f t="shared" si="26"/>
        <v>0</v>
      </c>
      <c r="K81" s="7">
        <f t="shared" si="27"/>
        <v>1.626112853657764E-2</v>
      </c>
      <c r="L81" s="7">
        <f t="shared" si="28"/>
        <v>0</v>
      </c>
      <c r="M81" s="7">
        <f t="shared" si="29"/>
        <v>0</v>
      </c>
      <c r="N81" s="7">
        <f t="shared" si="30"/>
        <v>12.571608621529469</v>
      </c>
      <c r="O81" s="7">
        <f t="shared" si="31"/>
        <v>0</v>
      </c>
      <c r="P81" s="7" t="str">
        <f t="shared" si="32"/>
        <v>(10, 15]</v>
      </c>
      <c r="Q81" s="7" t="s">
        <v>93</v>
      </c>
      <c r="R81" s="7">
        <f t="shared" si="33"/>
        <v>1.626112853657764E-2</v>
      </c>
      <c r="S81" s="4">
        <v>1</v>
      </c>
      <c r="T81" s="7">
        <f t="shared" si="34"/>
        <v>1.626112853657764E-2</v>
      </c>
      <c r="U81" s="7">
        <f t="shared" si="35"/>
        <v>0.10680196115687206</v>
      </c>
      <c r="V81" s="4">
        <f t="shared" si="36"/>
        <v>106801961</v>
      </c>
      <c r="W81" s="7">
        <f t="shared" si="37"/>
        <v>0.10680196206801962</v>
      </c>
      <c r="X81" s="7">
        <f t="shared" si="38"/>
        <v>1.3426724537038541</v>
      </c>
    </row>
    <row r="82" spans="2:24" ht="15.6" customHeight="1" x14ac:dyDescent="0.3">
      <c r="B82" s="7">
        <v>15</v>
      </c>
      <c r="C82" s="7">
        <v>20</v>
      </c>
      <c r="D82" s="4">
        <v>0</v>
      </c>
      <c r="E82" s="4">
        <v>17312</v>
      </c>
      <c r="F82" s="4">
        <v>0</v>
      </c>
      <c r="G82" s="4">
        <v>0</v>
      </c>
      <c r="H82" s="4">
        <v>152147550</v>
      </c>
      <c r="I82" s="4">
        <v>0</v>
      </c>
      <c r="J82" s="7">
        <f t="shared" si="26"/>
        <v>0</v>
      </c>
      <c r="K82" s="7">
        <f t="shared" si="27"/>
        <v>1.7140322529544085E-2</v>
      </c>
      <c r="L82" s="7">
        <f t="shared" si="28"/>
        <v>0</v>
      </c>
      <c r="M82" s="7">
        <f t="shared" si="29"/>
        <v>0</v>
      </c>
      <c r="N82" s="7">
        <f t="shared" si="30"/>
        <v>17.577119916820703</v>
      </c>
      <c r="O82" s="7">
        <f t="shared" si="31"/>
        <v>0</v>
      </c>
      <c r="P82" s="7" t="str">
        <f t="shared" si="32"/>
        <v>(15, 20]</v>
      </c>
      <c r="Q82" s="7" t="s">
        <v>93</v>
      </c>
      <c r="R82" s="7">
        <f t="shared" si="33"/>
        <v>1.7140322529544085E-2</v>
      </c>
      <c r="S82" s="4">
        <v>1.0349999999999999</v>
      </c>
      <c r="T82" s="7">
        <f t="shared" si="34"/>
        <v>1.7740233818078127E-2</v>
      </c>
      <c r="U82" s="7">
        <f t="shared" si="35"/>
        <v>0.11651662176400027</v>
      </c>
      <c r="V82" s="4">
        <f t="shared" si="36"/>
        <v>116516621</v>
      </c>
      <c r="W82" s="7">
        <f t="shared" si="37"/>
        <v>0.11651662216516623</v>
      </c>
      <c r="X82" s="7">
        <f t="shared" si="38"/>
        <v>2.0480266196197494</v>
      </c>
    </row>
    <row r="83" spans="2:24" ht="15.6" customHeight="1" x14ac:dyDescent="0.3">
      <c r="B83" s="7">
        <v>20</v>
      </c>
      <c r="C83" s="7">
        <v>25</v>
      </c>
      <c r="D83" s="4">
        <v>0</v>
      </c>
      <c r="E83" s="4">
        <v>17755</v>
      </c>
      <c r="F83" s="4">
        <v>0</v>
      </c>
      <c r="G83" s="4">
        <v>0</v>
      </c>
      <c r="H83" s="4">
        <v>200341300</v>
      </c>
      <c r="I83" s="4">
        <v>0</v>
      </c>
      <c r="J83" s="7">
        <f t="shared" si="26"/>
        <v>0</v>
      </c>
      <c r="K83" s="7">
        <f t="shared" si="27"/>
        <v>1.7578929442701896E-2</v>
      </c>
      <c r="L83" s="7">
        <f t="shared" si="28"/>
        <v>0</v>
      </c>
      <c r="M83" s="7">
        <f t="shared" si="29"/>
        <v>0</v>
      </c>
      <c r="N83" s="7">
        <f t="shared" si="30"/>
        <v>22.567310616727681</v>
      </c>
      <c r="O83" s="7">
        <f t="shared" si="31"/>
        <v>0</v>
      </c>
      <c r="P83" s="7" t="str">
        <f t="shared" si="32"/>
        <v>(20, 25]</v>
      </c>
      <c r="Q83" s="7" t="s">
        <v>93</v>
      </c>
      <c r="R83" s="7">
        <f t="shared" si="33"/>
        <v>1.7578929442701896E-2</v>
      </c>
      <c r="S83" s="4">
        <v>1.2</v>
      </c>
      <c r="T83" s="7">
        <f t="shared" si="34"/>
        <v>2.1094715331242273E-2</v>
      </c>
      <c r="U83" s="7">
        <f t="shared" si="35"/>
        <v>0.13854862301560614</v>
      </c>
      <c r="V83" s="4">
        <f t="shared" si="36"/>
        <v>138548623</v>
      </c>
      <c r="W83" s="7">
        <f t="shared" si="37"/>
        <v>0.13854862438548624</v>
      </c>
      <c r="X83" s="7">
        <f t="shared" si="38"/>
        <v>3.1266698107609008</v>
      </c>
    </row>
    <row r="84" spans="2:24" ht="15.6" customHeight="1" x14ac:dyDescent="0.3">
      <c r="B84" s="7">
        <v>25</v>
      </c>
      <c r="C84" s="7">
        <v>30</v>
      </c>
      <c r="D84" s="4">
        <v>0</v>
      </c>
      <c r="E84" s="4">
        <v>18253</v>
      </c>
      <c r="F84" s="4">
        <v>0</v>
      </c>
      <c r="G84" s="4">
        <v>0</v>
      </c>
      <c r="H84" s="4">
        <v>251527900</v>
      </c>
      <c r="I84" s="4">
        <v>0</v>
      </c>
      <c r="J84" s="7">
        <f t="shared" si="26"/>
        <v>0</v>
      </c>
      <c r="K84" s="7">
        <f t="shared" si="27"/>
        <v>1.8071990938757405E-2</v>
      </c>
      <c r="L84" s="7">
        <f t="shared" si="28"/>
        <v>0</v>
      </c>
      <c r="M84" s="7">
        <f t="shared" si="29"/>
        <v>0</v>
      </c>
      <c r="N84" s="7">
        <f t="shared" si="30"/>
        <v>27.560170930805896</v>
      </c>
      <c r="O84" s="7">
        <f t="shared" si="31"/>
        <v>0</v>
      </c>
      <c r="P84" s="7" t="str">
        <f t="shared" si="32"/>
        <v>(25, 30]</v>
      </c>
      <c r="Q84" s="7" t="s">
        <v>93</v>
      </c>
      <c r="R84" s="7">
        <f t="shared" si="33"/>
        <v>1.8071990938757405E-2</v>
      </c>
      <c r="S84" s="4">
        <v>1.2</v>
      </c>
      <c r="T84" s="7">
        <f t="shared" si="34"/>
        <v>2.1686389126508884E-2</v>
      </c>
      <c r="U84" s="7">
        <f t="shared" si="35"/>
        <v>0.14243469534800671</v>
      </c>
      <c r="V84" s="4">
        <f t="shared" si="36"/>
        <v>142434695</v>
      </c>
      <c r="W84" s="7">
        <f t="shared" si="37"/>
        <v>0.14243469642434697</v>
      </c>
      <c r="X84" s="7">
        <f t="shared" si="38"/>
        <v>3.9255245406772037</v>
      </c>
    </row>
    <row r="85" spans="2:24" ht="15.6" customHeight="1" x14ac:dyDescent="0.3">
      <c r="B85" s="7">
        <v>30</v>
      </c>
      <c r="C85" s="7">
        <v>35</v>
      </c>
      <c r="D85" s="4">
        <v>0</v>
      </c>
      <c r="E85" s="4">
        <v>18334</v>
      </c>
      <c r="F85" s="4">
        <v>0</v>
      </c>
      <c r="G85" s="4">
        <v>0</v>
      </c>
      <c r="H85" s="4">
        <v>298518250</v>
      </c>
      <c r="I85" s="4">
        <v>0</v>
      </c>
      <c r="J85" s="7">
        <f t="shared" si="26"/>
        <v>0</v>
      </c>
      <c r="K85" s="7">
        <f t="shared" si="27"/>
        <v>1.8152187688115832E-2</v>
      </c>
      <c r="L85" s="7">
        <f t="shared" si="28"/>
        <v>0</v>
      </c>
      <c r="M85" s="7">
        <f t="shared" si="29"/>
        <v>0</v>
      </c>
      <c r="N85" s="7">
        <f t="shared" si="30"/>
        <v>32.564443111159598</v>
      </c>
      <c r="O85" s="7">
        <f t="shared" si="31"/>
        <v>0</v>
      </c>
      <c r="P85" s="7" t="str">
        <f t="shared" si="32"/>
        <v>(30, 35]</v>
      </c>
      <c r="Q85" s="7" t="s">
        <v>93</v>
      </c>
      <c r="R85" s="7">
        <f t="shared" si="33"/>
        <v>1.8152187688115832E-2</v>
      </c>
      <c r="S85" s="4">
        <v>1.2</v>
      </c>
      <c r="T85" s="7">
        <f t="shared" si="34"/>
        <v>2.1782625225738997E-2</v>
      </c>
      <c r="U85" s="7">
        <f t="shared" si="35"/>
        <v>0.1430667673538791</v>
      </c>
      <c r="V85" s="4">
        <f t="shared" si="36"/>
        <v>143066767</v>
      </c>
      <c r="W85" s="7">
        <f t="shared" si="37"/>
        <v>0.14306676843066768</v>
      </c>
      <c r="X85" s="7">
        <f t="shared" si="38"/>
        <v>4.6588895950690254</v>
      </c>
    </row>
    <row r="86" spans="2:24" ht="15.6" customHeight="1" x14ac:dyDescent="0.3">
      <c r="B86" s="7">
        <v>35</v>
      </c>
      <c r="C86" s="7">
        <v>40</v>
      </c>
      <c r="D86" s="4">
        <v>0</v>
      </c>
      <c r="E86" s="4">
        <v>18324</v>
      </c>
      <c r="F86" s="4">
        <v>0</v>
      </c>
      <c r="G86" s="4">
        <v>0</v>
      </c>
      <c r="H86" s="4">
        <v>344092900</v>
      </c>
      <c r="I86" s="4">
        <v>0</v>
      </c>
      <c r="J86" s="7">
        <f t="shared" si="26"/>
        <v>0</v>
      </c>
      <c r="K86" s="7">
        <f t="shared" si="27"/>
        <v>1.8142286854861706E-2</v>
      </c>
      <c r="L86" s="7">
        <f t="shared" si="28"/>
        <v>0</v>
      </c>
      <c r="M86" s="7">
        <f t="shared" si="29"/>
        <v>0</v>
      </c>
      <c r="N86" s="7">
        <f t="shared" si="30"/>
        <v>37.556526959179216</v>
      </c>
      <c r="O86" s="7">
        <f t="shared" si="31"/>
        <v>0</v>
      </c>
      <c r="P86" s="7" t="str">
        <f t="shared" si="32"/>
        <v>(35, 40]</v>
      </c>
      <c r="Q86" s="7" t="s">
        <v>93</v>
      </c>
      <c r="R86" s="7">
        <f t="shared" si="33"/>
        <v>1.8142286854861706E-2</v>
      </c>
      <c r="S86" s="4">
        <v>1.2</v>
      </c>
      <c r="T86" s="7">
        <f t="shared" si="34"/>
        <v>2.1770744225834048E-2</v>
      </c>
      <c r="U86" s="7">
        <f t="shared" si="35"/>
        <v>0.14298873377290722</v>
      </c>
      <c r="V86" s="4">
        <f t="shared" si="36"/>
        <v>142988733</v>
      </c>
      <c r="W86" s="7">
        <f t="shared" si="37"/>
        <v>0.14298873442988735</v>
      </c>
      <c r="X86" s="7">
        <f t="shared" si="38"/>
        <v>5.3701602057733782</v>
      </c>
    </row>
    <row r="87" spans="2:24" ht="15.6" customHeight="1" x14ac:dyDescent="0.3">
      <c r="B87" s="7">
        <v>40</v>
      </c>
      <c r="C87" s="7">
        <v>45</v>
      </c>
      <c r="D87" s="4">
        <v>0</v>
      </c>
      <c r="E87" s="4">
        <v>18489</v>
      </c>
      <c r="F87" s="4">
        <v>0</v>
      </c>
      <c r="G87" s="4">
        <v>0</v>
      </c>
      <c r="H87" s="4">
        <v>393412650</v>
      </c>
      <c r="I87" s="4">
        <v>0</v>
      </c>
      <c r="J87" s="7">
        <f t="shared" si="26"/>
        <v>0</v>
      </c>
      <c r="K87" s="7">
        <f t="shared" si="27"/>
        <v>1.8305650603554796E-2</v>
      </c>
      <c r="L87" s="7">
        <f t="shared" si="28"/>
        <v>0</v>
      </c>
      <c r="M87" s="7">
        <f t="shared" si="29"/>
        <v>0</v>
      </c>
      <c r="N87" s="7">
        <f t="shared" si="30"/>
        <v>42.556401103358752</v>
      </c>
      <c r="O87" s="7">
        <f t="shared" si="31"/>
        <v>0</v>
      </c>
      <c r="P87" s="7" t="str">
        <f t="shared" si="32"/>
        <v>(40, 45]</v>
      </c>
      <c r="Q87" s="7" t="s">
        <v>93</v>
      </c>
      <c r="R87" s="7">
        <f t="shared" si="33"/>
        <v>1.8305650603554796E-2</v>
      </c>
      <c r="S87" s="4">
        <v>0.5</v>
      </c>
      <c r="T87" s="7">
        <f t="shared" si="34"/>
        <v>9.1528253017773981E-3</v>
      </c>
      <c r="U87" s="7">
        <f t="shared" si="35"/>
        <v>6.011511994122648E-2</v>
      </c>
      <c r="V87" s="4">
        <f t="shared" si="36"/>
        <v>60115119</v>
      </c>
      <c r="W87" s="7">
        <f t="shared" si="37"/>
        <v>6.0115119601151193E-2</v>
      </c>
      <c r="X87" s="7">
        <f t="shared" si="38"/>
        <v>2.5582831165401427</v>
      </c>
    </row>
    <row r="88" spans="2:24" ht="15.6" customHeight="1" x14ac:dyDescent="0.3">
      <c r="B88" s="7">
        <v>45</v>
      </c>
      <c r="C88" s="7">
        <v>50</v>
      </c>
      <c r="D88" s="4">
        <v>0</v>
      </c>
      <c r="E88" s="4">
        <v>18523</v>
      </c>
      <c r="F88" s="4">
        <v>0</v>
      </c>
      <c r="G88" s="4">
        <v>0</v>
      </c>
      <c r="H88" s="4">
        <v>440355950</v>
      </c>
      <c r="I88" s="4">
        <v>0</v>
      </c>
      <c r="J88" s="7">
        <f t="shared" si="26"/>
        <v>0</v>
      </c>
      <c r="K88" s="7">
        <f t="shared" si="27"/>
        <v>1.8339313436618827E-2</v>
      </c>
      <c r="L88" s="7">
        <f t="shared" si="28"/>
        <v>0</v>
      </c>
      <c r="M88" s="7">
        <f t="shared" si="29"/>
        <v>0</v>
      </c>
      <c r="N88" s="7">
        <f t="shared" si="30"/>
        <v>47.546936241429577</v>
      </c>
      <c r="O88" s="7">
        <f t="shared" si="31"/>
        <v>0</v>
      </c>
      <c r="P88" s="7" t="str">
        <f t="shared" si="32"/>
        <v>(45, 50]</v>
      </c>
      <c r="Q88" s="7" t="s">
        <v>93</v>
      </c>
      <c r="R88" s="7">
        <f t="shared" si="33"/>
        <v>1.8339313436618827E-2</v>
      </c>
      <c r="S88" s="4">
        <v>0.1</v>
      </c>
      <c r="T88" s="7">
        <f t="shared" si="34"/>
        <v>1.8339313436618828E-3</v>
      </c>
      <c r="U88" s="7">
        <f t="shared" si="35"/>
        <v>1.2045133502854001E-2</v>
      </c>
      <c r="V88" s="4">
        <f t="shared" si="36"/>
        <v>12045133</v>
      </c>
      <c r="W88" s="7">
        <f t="shared" si="37"/>
        <v>1.2045133120451331E-2</v>
      </c>
      <c r="X88" s="7">
        <f t="shared" si="38"/>
        <v>0.5727091707705394</v>
      </c>
    </row>
    <row r="89" spans="2:24" ht="15.6" customHeight="1" x14ac:dyDescent="0.3">
      <c r="B89" s="7">
        <v>50</v>
      </c>
      <c r="C89" s="7">
        <v>60</v>
      </c>
      <c r="D89" s="4">
        <v>0</v>
      </c>
      <c r="E89" s="4">
        <v>37030</v>
      </c>
      <c r="F89" s="4">
        <v>0</v>
      </c>
      <c r="G89" s="4">
        <v>0</v>
      </c>
      <c r="H89" s="4">
        <v>1019239350</v>
      </c>
      <c r="I89" s="4">
        <v>0</v>
      </c>
      <c r="J89" s="7">
        <f t="shared" si="26"/>
        <v>0</v>
      </c>
      <c r="K89" s="7">
        <f t="shared" si="27"/>
        <v>3.6662785540031051E-2</v>
      </c>
      <c r="L89" s="7">
        <f t="shared" si="28"/>
        <v>0</v>
      </c>
      <c r="M89" s="7">
        <f t="shared" si="29"/>
        <v>0</v>
      </c>
      <c r="N89" s="7">
        <f t="shared" si="30"/>
        <v>55.049384283013772</v>
      </c>
      <c r="O89" s="7">
        <f t="shared" si="31"/>
        <v>0</v>
      </c>
      <c r="P89" s="7" t="str">
        <f t="shared" si="32"/>
        <v>(50, 60]</v>
      </c>
      <c r="Q89" s="7" t="s">
        <v>93</v>
      </c>
      <c r="R89" s="7">
        <f t="shared" si="33"/>
        <v>3.6662785540031051E-2</v>
      </c>
      <c r="S89" s="4">
        <v>0.4</v>
      </c>
      <c r="T89" s="7">
        <f t="shared" si="34"/>
        <v>1.4665114216012421E-2</v>
      </c>
      <c r="U89" s="7">
        <f t="shared" si="35"/>
        <v>9.6319450112980334E-2</v>
      </c>
      <c r="V89" s="4">
        <f t="shared" si="36"/>
        <v>96319450</v>
      </c>
      <c r="W89" s="7">
        <f t="shared" si="37"/>
        <v>9.6319450963194511E-2</v>
      </c>
      <c r="X89" s="7">
        <f t="shared" si="38"/>
        <v>5.3023264169785307</v>
      </c>
    </row>
    <row r="90" spans="2:24" ht="15.6" customHeight="1" x14ac:dyDescent="0.3">
      <c r="B90" s="7">
        <v>60</v>
      </c>
      <c r="C90" s="7">
        <v>70</v>
      </c>
      <c r="D90" s="4">
        <v>0</v>
      </c>
      <c r="E90" s="4">
        <v>36419</v>
      </c>
      <c r="F90" s="4">
        <v>0</v>
      </c>
      <c r="G90" s="4">
        <v>0</v>
      </c>
      <c r="H90" s="4">
        <v>1184108850</v>
      </c>
      <c r="I90" s="4">
        <v>0</v>
      </c>
      <c r="J90" s="7">
        <f t="shared" si="26"/>
        <v>0</v>
      </c>
      <c r="K90" s="7">
        <f t="shared" si="27"/>
        <v>3.6057844628203911E-2</v>
      </c>
      <c r="L90" s="7">
        <f t="shared" si="28"/>
        <v>0</v>
      </c>
      <c r="M90" s="7">
        <f t="shared" si="29"/>
        <v>0</v>
      </c>
      <c r="N90" s="7">
        <f t="shared" si="30"/>
        <v>65.02698316812652</v>
      </c>
      <c r="O90" s="7">
        <f t="shared" si="31"/>
        <v>0</v>
      </c>
      <c r="P90" s="7" t="str">
        <f t="shared" si="32"/>
        <v>(60, 70]</v>
      </c>
      <c r="Q90" s="7" t="s">
        <v>93</v>
      </c>
      <c r="R90" s="7">
        <f t="shared" si="33"/>
        <v>3.6057844628203911E-2</v>
      </c>
      <c r="S90" s="4">
        <v>0.1</v>
      </c>
      <c r="T90" s="7">
        <f t="shared" si="34"/>
        <v>3.6057844628203913E-3</v>
      </c>
      <c r="U90" s="7">
        <f t="shared" si="35"/>
        <v>2.3682541545129832E-2</v>
      </c>
      <c r="V90" s="4">
        <f t="shared" si="36"/>
        <v>23682541</v>
      </c>
      <c r="W90" s="7">
        <f t="shared" si="37"/>
        <v>2.3682541236825411E-2</v>
      </c>
      <c r="X90" s="7">
        <f t="shared" si="38"/>
        <v>1.5400041949854661</v>
      </c>
    </row>
    <row r="91" spans="2:24" ht="15.6" customHeight="1" x14ac:dyDescent="0.3">
      <c r="B91" s="7">
        <v>70</v>
      </c>
      <c r="C91" s="7">
        <v>80</v>
      </c>
      <c r="D91" s="4">
        <v>0</v>
      </c>
      <c r="E91" s="4">
        <v>35182</v>
      </c>
      <c r="F91" s="4">
        <v>0</v>
      </c>
      <c r="G91" s="4">
        <v>0</v>
      </c>
      <c r="H91" s="4">
        <v>1320433850</v>
      </c>
      <c r="I91" s="4">
        <v>0</v>
      </c>
      <c r="J91" s="7">
        <f t="shared" si="26"/>
        <v>0</v>
      </c>
      <c r="K91" s="7">
        <f t="shared" si="27"/>
        <v>3.4833111554668443E-2</v>
      </c>
      <c r="L91" s="7">
        <f t="shared" si="28"/>
        <v>0</v>
      </c>
      <c r="M91" s="7">
        <f t="shared" si="29"/>
        <v>0</v>
      </c>
      <c r="N91" s="7">
        <f t="shared" si="30"/>
        <v>75.06303507475414</v>
      </c>
      <c r="O91" s="7">
        <f t="shared" si="31"/>
        <v>0</v>
      </c>
      <c r="P91" s="7" t="str">
        <f t="shared" si="32"/>
        <v>(70, 80]</v>
      </c>
      <c r="Q91" s="7" t="s">
        <v>93</v>
      </c>
      <c r="R91" s="7">
        <f t="shared" si="33"/>
        <v>3.4833111554668443E-2</v>
      </c>
      <c r="S91" s="4">
        <v>0.02</v>
      </c>
      <c r="T91" s="7">
        <f t="shared" si="34"/>
        <v>6.9666223109336885E-4</v>
      </c>
      <c r="U91" s="7">
        <f t="shared" si="35"/>
        <v>4.5756290762555682E-3</v>
      </c>
      <c r="V91" s="4">
        <f t="shared" si="36"/>
        <v>4575629</v>
      </c>
      <c r="W91" s="7">
        <f t="shared" si="37"/>
        <v>4.5756290457562906E-3</v>
      </c>
      <c r="X91" s="7">
        <f t="shared" si="38"/>
        <v>0.34346060011606222</v>
      </c>
    </row>
    <row r="92" spans="2:24" ht="15.6" customHeight="1" x14ac:dyDescent="0.3">
      <c r="B92" s="7">
        <v>80</v>
      </c>
      <c r="C92" s="7">
        <v>90</v>
      </c>
      <c r="D92" s="4">
        <v>0</v>
      </c>
      <c r="E92" s="4">
        <v>34216</v>
      </c>
      <c r="F92" s="4">
        <v>0</v>
      </c>
      <c r="G92" s="4">
        <v>0</v>
      </c>
      <c r="H92" s="4">
        <v>1454819850</v>
      </c>
      <c r="I92" s="4">
        <v>0</v>
      </c>
      <c r="J92" s="7">
        <f t="shared" si="26"/>
        <v>0</v>
      </c>
      <c r="K92" s="7">
        <f t="shared" si="27"/>
        <v>3.3876691062319803E-2</v>
      </c>
      <c r="L92" s="7">
        <f t="shared" si="28"/>
        <v>0</v>
      </c>
      <c r="M92" s="7">
        <f t="shared" si="29"/>
        <v>0</v>
      </c>
      <c r="N92" s="7">
        <f t="shared" si="30"/>
        <v>85.037400631283617</v>
      </c>
      <c r="O92" s="7">
        <f t="shared" si="31"/>
        <v>0</v>
      </c>
      <c r="P92" s="7" t="str">
        <f t="shared" si="32"/>
        <v>(80, 90]</v>
      </c>
      <c r="Q92" s="7" t="s">
        <v>93</v>
      </c>
      <c r="R92" s="7">
        <f t="shared" si="33"/>
        <v>3.3876691062319803E-2</v>
      </c>
      <c r="S92" s="4">
        <v>0.01</v>
      </c>
      <c r="T92" s="7">
        <f t="shared" si="34"/>
        <v>3.3876691062319805E-4</v>
      </c>
      <c r="U92" s="7">
        <f t="shared" si="35"/>
        <v>2.2249975054454054E-3</v>
      </c>
      <c r="V92" s="4">
        <f t="shared" si="36"/>
        <v>2224997</v>
      </c>
      <c r="W92" s="7">
        <f t="shared" si="37"/>
        <v>2.2249970222499704E-3</v>
      </c>
      <c r="X92" s="7">
        <f t="shared" si="38"/>
        <v>0.18920796129240414</v>
      </c>
    </row>
    <row r="93" spans="2:24" ht="15.6" customHeight="1" x14ac:dyDescent="0.3">
      <c r="B93" s="7">
        <v>90</v>
      </c>
      <c r="C93" s="7">
        <v>100</v>
      </c>
      <c r="D93" s="4">
        <v>0</v>
      </c>
      <c r="E93" s="4">
        <v>32576</v>
      </c>
      <c r="F93" s="4">
        <v>0</v>
      </c>
      <c r="G93" s="4">
        <v>0</v>
      </c>
      <c r="H93" s="4">
        <v>1548048600</v>
      </c>
      <c r="I93" s="4">
        <v>0</v>
      </c>
      <c r="J93" s="7">
        <f t="shared" si="26"/>
        <v>0</v>
      </c>
      <c r="K93" s="7">
        <f t="shared" si="27"/>
        <v>3.2252954408643029E-2</v>
      </c>
      <c r="L93" s="7">
        <f t="shared" si="28"/>
        <v>0</v>
      </c>
      <c r="M93" s="7">
        <f t="shared" si="29"/>
        <v>0</v>
      </c>
      <c r="N93" s="7">
        <f t="shared" si="30"/>
        <v>95.042276522593326</v>
      </c>
      <c r="O93" s="7">
        <f t="shared" si="31"/>
        <v>0</v>
      </c>
      <c r="P93" s="7" t="str">
        <f t="shared" si="32"/>
        <v>(90, 100]</v>
      </c>
      <c r="Q93" s="7" t="s">
        <v>93</v>
      </c>
      <c r="R93" s="7">
        <f t="shared" si="33"/>
        <v>3.2252954408643029E-2</v>
      </c>
      <c r="S93" s="4">
        <v>0.01</v>
      </c>
      <c r="T93" s="7">
        <f t="shared" si="34"/>
        <v>3.2252954408643032E-4</v>
      </c>
      <c r="U93" s="7">
        <f t="shared" si="35"/>
        <v>2.1183516114504771E-3</v>
      </c>
      <c r="V93" s="4">
        <f t="shared" si="36"/>
        <v>2118351</v>
      </c>
      <c r="W93" s="7">
        <f t="shared" si="37"/>
        <v>2.1183510211835103E-3</v>
      </c>
      <c r="X93" s="7">
        <f t="shared" si="38"/>
        <v>0.20133290151391209</v>
      </c>
    </row>
    <row r="94" spans="2:24" ht="15.6" customHeight="1" x14ac:dyDescent="0.3">
      <c r="B94" s="7">
        <v>100</v>
      </c>
      <c r="C94" s="7">
        <v>120</v>
      </c>
      <c r="D94" s="4">
        <v>0</v>
      </c>
      <c r="E94" s="4">
        <v>62171</v>
      </c>
      <c r="F94" s="4">
        <v>0</v>
      </c>
      <c r="G94" s="4">
        <v>0</v>
      </c>
      <c r="H94" s="4">
        <v>3416294900</v>
      </c>
      <c r="I94" s="4">
        <v>0</v>
      </c>
      <c r="J94" s="7">
        <f t="shared" si="26"/>
        <v>0</v>
      </c>
      <c r="K94" s="7">
        <f t="shared" si="27"/>
        <v>6.15544704242309E-2</v>
      </c>
      <c r="L94" s="7">
        <f t="shared" si="28"/>
        <v>0</v>
      </c>
      <c r="M94" s="7">
        <f t="shared" si="29"/>
        <v>0</v>
      </c>
      <c r="N94" s="7">
        <f t="shared" si="30"/>
        <v>109.89995013752392</v>
      </c>
      <c r="O94" s="7">
        <f t="shared" si="31"/>
        <v>0</v>
      </c>
      <c r="P94" s="7" t="str">
        <f t="shared" si="32"/>
        <v>(100, 120]</v>
      </c>
      <c r="Q94" s="7" t="s">
        <v>93</v>
      </c>
      <c r="R94" s="7">
        <f t="shared" si="33"/>
        <v>6.15544704242309E-2</v>
      </c>
      <c r="S94" s="4">
        <v>0.02</v>
      </c>
      <c r="T94" s="7">
        <f t="shared" si="34"/>
        <v>1.231089408484618E-3</v>
      </c>
      <c r="U94" s="7">
        <f t="shared" si="35"/>
        <v>8.0857096043398576E-3</v>
      </c>
      <c r="V94" s="4">
        <f t="shared" si="36"/>
        <v>8085709</v>
      </c>
      <c r="W94" s="7">
        <f t="shared" si="37"/>
        <v>8.0857090808570901E-3</v>
      </c>
      <c r="X94" s="7">
        <f t="shared" si="38"/>
        <v>0.88861901592652837</v>
      </c>
    </row>
    <row r="95" spans="2:24" ht="15.6" customHeight="1" x14ac:dyDescent="0.3">
      <c r="B95" s="7">
        <v>120</v>
      </c>
      <c r="C95" s="7">
        <v>140</v>
      </c>
      <c r="D95" s="4">
        <v>0</v>
      </c>
      <c r="E95" s="4">
        <v>57718</v>
      </c>
      <c r="F95" s="4">
        <v>0</v>
      </c>
      <c r="G95" s="4">
        <v>0</v>
      </c>
      <c r="H95" s="4">
        <v>3749181050</v>
      </c>
      <c r="I95" s="4">
        <v>0</v>
      </c>
      <c r="J95" s="7">
        <f t="shared" si="26"/>
        <v>0</v>
      </c>
      <c r="K95" s="7">
        <f t="shared" si="27"/>
        <v>5.7145629376168301E-2</v>
      </c>
      <c r="L95" s="7">
        <f t="shared" si="28"/>
        <v>0</v>
      </c>
      <c r="M95" s="7">
        <f t="shared" si="29"/>
        <v>0</v>
      </c>
      <c r="N95" s="7">
        <f t="shared" si="30"/>
        <v>129.91375480785891</v>
      </c>
      <c r="O95" s="7">
        <f t="shared" si="31"/>
        <v>0</v>
      </c>
      <c r="P95" s="7" t="str">
        <f t="shared" si="32"/>
        <v>(120, 140]</v>
      </c>
      <c r="Q95" s="7" t="s">
        <v>93</v>
      </c>
      <c r="R95" s="7">
        <f t="shared" si="33"/>
        <v>5.7145629376168301E-2</v>
      </c>
      <c r="S95" s="4">
        <v>1E-3</v>
      </c>
      <c r="T95" s="7">
        <f t="shared" si="34"/>
        <v>5.7145629376168304E-5</v>
      </c>
      <c r="U95" s="7">
        <f t="shared" si="35"/>
        <v>3.7532851887800422E-4</v>
      </c>
      <c r="V95" s="4">
        <f t="shared" si="36"/>
        <v>375328</v>
      </c>
      <c r="W95" s="7">
        <f t="shared" si="37"/>
        <v>3.7532800375328004E-4</v>
      </c>
      <c r="X95" s="7">
        <f t="shared" si="38"/>
        <v>4.8760269764524064E-2</v>
      </c>
    </row>
    <row r="96" spans="2:24" ht="15.6" customHeight="1" x14ac:dyDescent="0.3">
      <c r="B96" s="7">
        <v>140</v>
      </c>
      <c r="C96" s="7">
        <v>160</v>
      </c>
      <c r="D96" s="4">
        <v>0</v>
      </c>
      <c r="E96" s="4">
        <v>52249</v>
      </c>
      <c r="F96" s="4">
        <v>0</v>
      </c>
      <c r="G96" s="4">
        <v>0</v>
      </c>
      <c r="H96" s="4">
        <v>3915899150</v>
      </c>
      <c r="I96" s="4">
        <v>0</v>
      </c>
      <c r="J96" s="7">
        <f t="shared" si="26"/>
        <v>0</v>
      </c>
      <c r="K96" s="7">
        <f t="shared" si="27"/>
        <v>5.1730863669486427E-2</v>
      </c>
      <c r="L96" s="7">
        <f t="shared" si="28"/>
        <v>0</v>
      </c>
      <c r="M96" s="7">
        <f t="shared" si="29"/>
        <v>0</v>
      </c>
      <c r="N96" s="7">
        <f t="shared" si="30"/>
        <v>149.89374533483894</v>
      </c>
      <c r="O96" s="7">
        <f t="shared" si="31"/>
        <v>0</v>
      </c>
      <c r="P96" s="7" t="str">
        <f t="shared" si="32"/>
        <v>(140, 160]</v>
      </c>
      <c r="Q96" s="7" t="s">
        <v>93</v>
      </c>
      <c r="R96" s="7">
        <f t="shared" si="33"/>
        <v>5.1730863669486427E-2</v>
      </c>
      <c r="S96" s="4">
        <v>1E-4</v>
      </c>
      <c r="T96" s="7">
        <f t="shared" si="34"/>
        <v>5.1730863669486426E-6</v>
      </c>
      <c r="U96" s="7">
        <f t="shared" si="35"/>
        <v>3.3976471435006133E-5</v>
      </c>
      <c r="V96" s="4">
        <f t="shared" si="36"/>
        <v>33976</v>
      </c>
      <c r="W96" s="7">
        <f t="shared" si="37"/>
        <v>3.397600033976E-5</v>
      </c>
      <c r="X96" s="7">
        <f t="shared" si="38"/>
        <v>5.0927898914964881E-3</v>
      </c>
    </row>
    <row r="97" spans="2:24" ht="15.6" customHeight="1" x14ac:dyDescent="0.3">
      <c r="B97" s="7">
        <v>160</v>
      </c>
      <c r="C97" s="7">
        <v>180</v>
      </c>
      <c r="D97" s="4">
        <v>0</v>
      </c>
      <c r="E97" s="4">
        <v>48027</v>
      </c>
      <c r="F97" s="4">
        <v>0</v>
      </c>
      <c r="G97" s="4">
        <v>0</v>
      </c>
      <c r="H97" s="4">
        <v>4079866100</v>
      </c>
      <c r="I97" s="4">
        <v>0</v>
      </c>
      <c r="J97" s="7">
        <f t="shared" si="26"/>
        <v>0</v>
      </c>
      <c r="K97" s="7">
        <f t="shared" si="27"/>
        <v>4.7550731869594146E-2</v>
      </c>
      <c r="L97" s="7">
        <f t="shared" si="28"/>
        <v>0</v>
      </c>
      <c r="M97" s="7">
        <f t="shared" si="29"/>
        <v>0</v>
      </c>
      <c r="N97" s="7">
        <f t="shared" si="30"/>
        <v>169.89885272867346</v>
      </c>
      <c r="O97" s="7">
        <f t="shared" si="31"/>
        <v>0</v>
      </c>
      <c r="P97" s="7" t="str">
        <f t="shared" si="32"/>
        <v>(160, 180]</v>
      </c>
      <c r="Q97" s="7" t="s">
        <v>93</v>
      </c>
      <c r="R97" s="7">
        <f t="shared" si="33"/>
        <v>4.7550731869594146E-2</v>
      </c>
      <c r="S97" s="4">
        <v>1E-4</v>
      </c>
      <c r="T97" s="7">
        <f t="shared" si="34"/>
        <v>4.7550731869594151E-6</v>
      </c>
      <c r="U97" s="7">
        <f t="shared" si="35"/>
        <v>3.1230989944478168E-5</v>
      </c>
      <c r="V97" s="4">
        <f t="shared" si="36"/>
        <v>31230</v>
      </c>
      <c r="W97" s="7">
        <f t="shared" si="37"/>
        <v>3.1230000312300002E-5</v>
      </c>
      <c r="X97" s="7">
        <f t="shared" si="38"/>
        <v>5.305941170716472E-3</v>
      </c>
    </row>
    <row r="98" spans="2:24" ht="15.6" customHeight="1" x14ac:dyDescent="0.3">
      <c r="B98" s="7">
        <v>180</v>
      </c>
      <c r="C98" s="7">
        <v>200</v>
      </c>
      <c r="D98" s="4">
        <v>0</v>
      </c>
      <c r="E98" s="4">
        <v>43646</v>
      </c>
      <c r="F98" s="4">
        <v>0</v>
      </c>
      <c r="G98" s="4">
        <v>0</v>
      </c>
      <c r="H98" s="4">
        <v>4144070650</v>
      </c>
      <c r="I98" s="4">
        <v>0</v>
      </c>
      <c r="J98" s="7">
        <f t="shared" si="26"/>
        <v>0</v>
      </c>
      <c r="K98" s="7">
        <f t="shared" si="27"/>
        <v>4.3213176820961249E-2</v>
      </c>
      <c r="L98" s="7">
        <f t="shared" si="28"/>
        <v>0</v>
      </c>
      <c r="M98" s="7">
        <f t="shared" si="29"/>
        <v>0</v>
      </c>
      <c r="N98" s="7">
        <f t="shared" si="30"/>
        <v>189.8946363927966</v>
      </c>
      <c r="O98" s="7">
        <f t="shared" si="31"/>
        <v>0</v>
      </c>
      <c r="P98" s="7" t="str">
        <f t="shared" si="32"/>
        <v>(180, 200]</v>
      </c>
      <c r="Q98" s="7" t="s">
        <v>93</v>
      </c>
      <c r="R98" s="7">
        <f t="shared" si="33"/>
        <v>4.3213176820961249E-2</v>
      </c>
      <c r="S98" s="4">
        <v>1E-4</v>
      </c>
      <c r="T98" s="7">
        <f t="shared" si="34"/>
        <v>4.3213176820961255E-6</v>
      </c>
      <c r="U98" s="7">
        <f t="shared" si="35"/>
        <v>2.838211395916243E-5</v>
      </c>
      <c r="V98" s="4">
        <f t="shared" si="36"/>
        <v>28382</v>
      </c>
      <c r="W98" s="7">
        <f t="shared" si="37"/>
        <v>2.8382000283820002E-5</v>
      </c>
      <c r="X98" s="7">
        <f t="shared" si="38"/>
        <v>5.3895895701003534E-3</v>
      </c>
    </row>
    <row r="99" spans="2:24" ht="15.6" customHeight="1" x14ac:dyDescent="0.3">
      <c r="B99" s="7">
        <v>200</v>
      </c>
      <c r="C99" s="7">
        <v>250</v>
      </c>
      <c r="D99" s="4">
        <v>0</v>
      </c>
      <c r="E99" s="4">
        <v>91232</v>
      </c>
      <c r="F99" s="4">
        <v>0</v>
      </c>
      <c r="G99" s="4">
        <v>0</v>
      </c>
      <c r="H99" s="4">
        <v>10217268800</v>
      </c>
      <c r="I99" s="4">
        <v>0</v>
      </c>
      <c r="J99" s="7">
        <f t="shared" si="26"/>
        <v>0</v>
      </c>
      <c r="K99" s="7">
        <f t="shared" si="27"/>
        <v>9.0327281944048404E-2</v>
      </c>
      <c r="L99" s="7">
        <f t="shared" si="28"/>
        <v>0</v>
      </c>
      <c r="M99" s="7">
        <f t="shared" si="29"/>
        <v>0</v>
      </c>
      <c r="N99" s="7">
        <f t="shared" si="30"/>
        <v>223.9843212907752</v>
      </c>
      <c r="O99" s="7">
        <f t="shared" si="31"/>
        <v>0</v>
      </c>
      <c r="P99" s="7" t="str">
        <f t="shared" si="32"/>
        <v>(200, 250]</v>
      </c>
      <c r="Q99" s="7" t="s">
        <v>93</v>
      </c>
      <c r="R99" s="7">
        <f t="shared" si="33"/>
        <v>9.0327281944048404E-2</v>
      </c>
      <c r="S99" s="4">
        <v>1.0000000000000001E-5</v>
      </c>
      <c r="T99" s="7">
        <f t="shared" si="34"/>
        <v>9.032728194404841E-7</v>
      </c>
      <c r="U99" s="7">
        <f t="shared" si="35"/>
        <v>5.932633049356886E-6</v>
      </c>
      <c r="V99" s="4">
        <f t="shared" si="36"/>
        <v>5932</v>
      </c>
      <c r="W99" s="7">
        <f t="shared" si="37"/>
        <v>5.9320000593200002E-6</v>
      </c>
      <c r="X99" s="7">
        <f t="shared" si="38"/>
        <v>1.3286749938968786E-3</v>
      </c>
    </row>
    <row r="100" spans="2:24" ht="15.6" customHeight="1" x14ac:dyDescent="0.3">
      <c r="B100" s="7">
        <v>250</v>
      </c>
      <c r="C100" s="7">
        <v>300</v>
      </c>
      <c r="D100" s="4">
        <v>0</v>
      </c>
      <c r="E100" s="4">
        <v>70648</v>
      </c>
      <c r="F100" s="4">
        <v>0</v>
      </c>
      <c r="G100" s="4">
        <v>0</v>
      </c>
      <c r="H100" s="4">
        <v>9676992550</v>
      </c>
      <c r="I100" s="4">
        <v>0</v>
      </c>
      <c r="J100" s="7">
        <f t="shared" si="26"/>
        <v>0</v>
      </c>
      <c r="K100" s="7">
        <f t="shared" si="27"/>
        <v>6.9947406773754078E-2</v>
      </c>
      <c r="L100" s="7">
        <f t="shared" si="28"/>
        <v>0</v>
      </c>
      <c r="M100" s="7">
        <f t="shared" si="29"/>
        <v>0</v>
      </c>
      <c r="N100" s="7">
        <f t="shared" si="30"/>
        <v>273.94951166345828</v>
      </c>
      <c r="O100" s="7">
        <f t="shared" si="31"/>
        <v>0</v>
      </c>
      <c r="P100" s="7" t="str">
        <f t="shared" si="32"/>
        <v>(250, 300]</v>
      </c>
      <c r="Q100" s="7" t="s">
        <v>93</v>
      </c>
      <c r="R100" s="7">
        <f t="shared" si="33"/>
        <v>6.9947406773754078E-2</v>
      </c>
      <c r="S100" s="4">
        <v>9.9999999999999995E-7</v>
      </c>
      <c r="T100" s="7">
        <f t="shared" si="34"/>
        <v>6.9947406773754077E-8</v>
      </c>
      <c r="U100" s="7">
        <f t="shared" si="35"/>
        <v>4.5940970237522505E-7</v>
      </c>
      <c r="V100" s="4">
        <f t="shared" si="36"/>
        <v>459</v>
      </c>
      <c r="W100" s="7">
        <f t="shared" si="37"/>
        <v>4.5900000459000004E-7</v>
      </c>
      <c r="X100" s="7">
        <f t="shared" si="38"/>
        <v>1.2574282585352736E-4</v>
      </c>
    </row>
    <row r="101" spans="2:24" ht="15.6" customHeight="1" x14ac:dyDescent="0.3">
      <c r="B101" s="7">
        <v>300</v>
      </c>
      <c r="C101" s="7">
        <v>350</v>
      </c>
      <c r="D101" s="4">
        <v>0</v>
      </c>
      <c r="E101" s="4">
        <v>54523</v>
      </c>
      <c r="F101" s="4">
        <v>0</v>
      </c>
      <c r="G101" s="4">
        <v>0</v>
      </c>
      <c r="H101" s="4">
        <v>8829816300</v>
      </c>
      <c r="I101" s="4">
        <v>0</v>
      </c>
      <c r="J101" s="7">
        <f t="shared" si="26"/>
        <v>0</v>
      </c>
      <c r="K101" s="7">
        <f t="shared" si="27"/>
        <v>5.398231315147483E-2</v>
      </c>
      <c r="L101" s="7">
        <f t="shared" si="28"/>
        <v>0</v>
      </c>
      <c r="M101" s="7">
        <f t="shared" si="29"/>
        <v>0</v>
      </c>
      <c r="N101" s="7">
        <f t="shared" si="30"/>
        <v>323.89326706160705</v>
      </c>
      <c r="O101" s="7">
        <f t="shared" si="31"/>
        <v>0</v>
      </c>
      <c r="P101" s="7" t="str">
        <f t="shared" si="32"/>
        <v>(300, 350]</v>
      </c>
      <c r="Q101" s="7" t="s">
        <v>93</v>
      </c>
      <c r="R101" s="7">
        <f t="shared" si="33"/>
        <v>5.398231315147483E-2</v>
      </c>
      <c r="S101" s="4">
        <v>9.9999999999999995E-7</v>
      </c>
      <c r="T101" s="7">
        <f t="shared" si="34"/>
        <v>5.3982313151474826E-8</v>
      </c>
      <c r="U101" s="7">
        <f t="shared" si="35"/>
        <v>3.5455207794423614E-7</v>
      </c>
      <c r="V101" s="4">
        <f t="shared" si="36"/>
        <v>354</v>
      </c>
      <c r="W101" s="7">
        <f t="shared" si="37"/>
        <v>3.5400000354000005E-7</v>
      </c>
      <c r="X101" s="7">
        <f t="shared" si="38"/>
        <v>1.146582165398089E-4</v>
      </c>
    </row>
    <row r="102" spans="2:24" ht="15.6" customHeight="1" x14ac:dyDescent="0.3">
      <c r="B102" s="7">
        <v>350</v>
      </c>
      <c r="C102" s="7">
        <v>400</v>
      </c>
      <c r="D102" s="4">
        <v>0</v>
      </c>
      <c r="E102" s="4">
        <v>41467</v>
      </c>
      <c r="F102" s="4">
        <v>0</v>
      </c>
      <c r="G102" s="4">
        <v>0</v>
      </c>
      <c r="H102" s="4">
        <v>7754132000</v>
      </c>
      <c r="I102" s="4">
        <v>0</v>
      </c>
      <c r="J102" s="7">
        <f t="shared" ref="J102:J128" si="39">IF(SUM(D$70:D$128)=0,0,D102/SUM(D$70:D$128))</f>
        <v>0</v>
      </c>
      <c r="K102" s="7">
        <f t="shared" ref="K102:K128" si="40">IF(SUM(E$70:E$128)=0,0,E102/SUM(E$70:E$128))</f>
        <v>4.1055785254887053E-2</v>
      </c>
      <c r="L102" s="7">
        <f t="shared" ref="L102:L128" si="41">IF(SUM(F$70:F$128)=0,0,F102/SUM(F$70:F$128))</f>
        <v>0</v>
      </c>
      <c r="M102" s="7">
        <f t="shared" ref="M102:M128" si="42">IF(D102=0,0,G102/D102/$C$3/5)</f>
        <v>0</v>
      </c>
      <c r="N102" s="7">
        <f t="shared" ref="N102:N128" si="43">IF(E102=0,0,H102/E102/$C$3/5)</f>
        <v>373.99049846866188</v>
      </c>
      <c r="O102" s="7">
        <f t="shared" ref="O102:O128" si="44">IF(F102=0,0,I102/F102/$C$3/5)</f>
        <v>0</v>
      </c>
      <c r="P102" s="7" t="str">
        <f t="shared" ref="P102:P128" si="45">"("&amp;B102&amp;", "&amp;C102&amp;"]"</f>
        <v>(350, 400]</v>
      </c>
      <c r="Q102" s="7" t="s">
        <v>93</v>
      </c>
      <c r="R102" s="7">
        <f t="shared" ref="R102:R128" si="46">IFERROR(INDEX($J102:$L102,MATCH($Q102,$J$69:$L$69,0)),0)</f>
        <v>4.1055785254887053E-2</v>
      </c>
      <c r="S102" s="4">
        <v>0</v>
      </c>
      <c r="T102" s="7">
        <f t="shared" ref="T102:T128" si="47">$R102*$S102</f>
        <v>0</v>
      </c>
      <c r="U102" s="7">
        <f t="shared" ref="U102:U133" si="48">IF(SUM(T$70:T$128)=0,0,T102/SUM(T$70:T$128))</f>
        <v>0</v>
      </c>
      <c r="V102" s="4">
        <f t="shared" ref="V102:V133" si="49">INT(U102*$C$2)</f>
        <v>0</v>
      </c>
      <c r="W102" s="7">
        <f t="shared" ref="W102:W133" si="50">IF(SUM(V$70:V$128)=0,0,V102/SUM(V$70:V$128))</f>
        <v>0</v>
      </c>
      <c r="X102" s="7">
        <f t="shared" ref="X102:X128" si="51">IFERROR(INDEX($M102:$O102,MATCH($Q102,$M$69:$O$69,0)),0)*V102/$C$2</f>
        <v>0</v>
      </c>
    </row>
    <row r="103" spans="2:24" ht="15.6" customHeight="1" x14ac:dyDescent="0.3">
      <c r="B103" s="7">
        <v>400</v>
      </c>
      <c r="C103" s="7">
        <v>450</v>
      </c>
      <c r="D103" s="4">
        <v>0</v>
      </c>
      <c r="E103" s="4">
        <v>32070</v>
      </c>
      <c r="F103" s="4">
        <v>0</v>
      </c>
      <c r="G103" s="4">
        <v>0</v>
      </c>
      <c r="H103" s="4">
        <v>6796737650</v>
      </c>
      <c r="I103" s="4">
        <v>0</v>
      </c>
      <c r="J103" s="7">
        <f t="shared" si="39"/>
        <v>0</v>
      </c>
      <c r="K103" s="7">
        <f t="shared" si="40"/>
        <v>3.1751972245984222E-2</v>
      </c>
      <c r="L103" s="7">
        <f t="shared" si="41"/>
        <v>0</v>
      </c>
      <c r="M103" s="7">
        <f t="shared" si="42"/>
        <v>0</v>
      </c>
      <c r="N103" s="7">
        <f t="shared" si="43"/>
        <v>423.86888992828187</v>
      </c>
      <c r="O103" s="7">
        <f t="shared" si="44"/>
        <v>0</v>
      </c>
      <c r="P103" s="7" t="str">
        <f t="shared" si="45"/>
        <v>(400, 450]</v>
      </c>
      <c r="Q103" s="7" t="s">
        <v>93</v>
      </c>
      <c r="R103" s="7">
        <f t="shared" si="46"/>
        <v>3.1751972245984222E-2</v>
      </c>
      <c r="S103" s="4">
        <v>0</v>
      </c>
      <c r="T103" s="7">
        <f t="shared" si="47"/>
        <v>0</v>
      </c>
      <c r="U103" s="7">
        <f t="shared" si="48"/>
        <v>0</v>
      </c>
      <c r="V103" s="4">
        <f t="shared" si="49"/>
        <v>0</v>
      </c>
      <c r="W103" s="7">
        <f t="shared" si="50"/>
        <v>0</v>
      </c>
      <c r="X103" s="7">
        <f t="shared" si="51"/>
        <v>0</v>
      </c>
    </row>
    <row r="104" spans="2:24" ht="15.6" customHeight="1" x14ac:dyDescent="0.3">
      <c r="B104" s="7">
        <v>450</v>
      </c>
      <c r="C104" s="7">
        <v>500</v>
      </c>
      <c r="D104" s="4">
        <v>0</v>
      </c>
      <c r="E104" s="4">
        <v>24701</v>
      </c>
      <c r="F104" s="4">
        <v>0</v>
      </c>
      <c r="G104" s="4">
        <v>0</v>
      </c>
      <c r="H104" s="4">
        <v>5855884550</v>
      </c>
      <c r="I104" s="4">
        <v>0</v>
      </c>
      <c r="J104" s="7">
        <f t="shared" si="39"/>
        <v>0</v>
      </c>
      <c r="K104" s="7">
        <f t="shared" si="40"/>
        <v>2.4456048221018281E-2</v>
      </c>
      <c r="L104" s="7">
        <f t="shared" si="41"/>
        <v>0</v>
      </c>
      <c r="M104" s="7">
        <f t="shared" si="42"/>
        <v>0</v>
      </c>
      <c r="N104" s="7">
        <f t="shared" si="43"/>
        <v>474.14149629569658</v>
      </c>
      <c r="O104" s="7">
        <f t="shared" si="44"/>
        <v>0</v>
      </c>
      <c r="P104" s="7" t="str">
        <f t="shared" si="45"/>
        <v>(450, 500]</v>
      </c>
      <c r="Q104" s="7" t="s">
        <v>93</v>
      </c>
      <c r="R104" s="7">
        <f t="shared" si="46"/>
        <v>2.4456048221018281E-2</v>
      </c>
      <c r="S104" s="4">
        <v>0</v>
      </c>
      <c r="T104" s="7">
        <f t="shared" si="47"/>
        <v>0</v>
      </c>
      <c r="U104" s="7">
        <f t="shared" si="48"/>
        <v>0</v>
      </c>
      <c r="V104" s="4">
        <f t="shared" si="49"/>
        <v>0</v>
      </c>
      <c r="W104" s="7">
        <f t="shared" si="50"/>
        <v>0</v>
      </c>
      <c r="X104" s="7">
        <f t="shared" si="51"/>
        <v>0</v>
      </c>
    </row>
    <row r="105" spans="2:24" ht="15.6" customHeight="1" x14ac:dyDescent="0.3">
      <c r="B105" s="7">
        <v>500</v>
      </c>
      <c r="C105" s="7">
        <v>550</v>
      </c>
      <c r="D105" s="4">
        <v>0</v>
      </c>
      <c r="E105" s="4">
        <v>18693</v>
      </c>
      <c r="F105" s="4">
        <v>0</v>
      </c>
      <c r="G105" s="4">
        <v>0</v>
      </c>
      <c r="H105" s="4">
        <v>4896892450</v>
      </c>
      <c r="I105" s="4">
        <v>0</v>
      </c>
      <c r="J105" s="7">
        <f t="shared" si="39"/>
        <v>0</v>
      </c>
      <c r="K105" s="7">
        <f t="shared" si="40"/>
        <v>1.850762760193898E-2</v>
      </c>
      <c r="L105" s="7">
        <f t="shared" si="41"/>
        <v>0</v>
      </c>
      <c r="M105" s="7">
        <f t="shared" si="42"/>
        <v>0</v>
      </c>
      <c r="N105" s="7">
        <f t="shared" si="43"/>
        <v>523.92793559086283</v>
      </c>
      <c r="O105" s="7">
        <f t="shared" si="44"/>
        <v>0</v>
      </c>
      <c r="P105" s="7" t="str">
        <f t="shared" si="45"/>
        <v>(500, 550]</v>
      </c>
      <c r="Q105" s="7" t="s">
        <v>93</v>
      </c>
      <c r="R105" s="7">
        <f t="shared" si="46"/>
        <v>1.850762760193898E-2</v>
      </c>
      <c r="S105" s="4">
        <v>0</v>
      </c>
      <c r="T105" s="7">
        <f t="shared" si="47"/>
        <v>0</v>
      </c>
      <c r="U105" s="7">
        <f t="shared" si="48"/>
        <v>0</v>
      </c>
      <c r="V105" s="4">
        <f t="shared" si="49"/>
        <v>0</v>
      </c>
      <c r="W105" s="7">
        <f t="shared" si="50"/>
        <v>0</v>
      </c>
      <c r="X105" s="7">
        <f t="shared" si="51"/>
        <v>0</v>
      </c>
    </row>
    <row r="106" spans="2:24" ht="15.6" customHeight="1" x14ac:dyDescent="0.3">
      <c r="B106" s="7">
        <v>550</v>
      </c>
      <c r="C106" s="7">
        <v>600</v>
      </c>
      <c r="D106" s="4">
        <v>0</v>
      </c>
      <c r="E106" s="4">
        <v>14382</v>
      </c>
      <c r="F106" s="4">
        <v>0</v>
      </c>
      <c r="G106" s="4">
        <v>0</v>
      </c>
      <c r="H106" s="4">
        <v>4126960050</v>
      </c>
      <c r="I106" s="4">
        <v>0</v>
      </c>
      <c r="J106" s="7">
        <f t="shared" si="39"/>
        <v>0</v>
      </c>
      <c r="K106" s="7">
        <f t="shared" si="40"/>
        <v>1.4239378386084973E-2</v>
      </c>
      <c r="L106" s="7">
        <f t="shared" si="41"/>
        <v>0</v>
      </c>
      <c r="M106" s="7">
        <f t="shared" si="42"/>
        <v>0</v>
      </c>
      <c r="N106" s="7">
        <f t="shared" si="43"/>
        <v>573.90627868168554</v>
      </c>
      <c r="O106" s="7">
        <f t="shared" si="44"/>
        <v>0</v>
      </c>
      <c r="P106" s="7" t="str">
        <f t="shared" si="45"/>
        <v>(550, 600]</v>
      </c>
      <c r="Q106" s="7" t="s">
        <v>93</v>
      </c>
      <c r="R106" s="7">
        <f t="shared" si="46"/>
        <v>1.4239378386084973E-2</v>
      </c>
      <c r="S106" s="4">
        <v>0</v>
      </c>
      <c r="T106" s="7">
        <f t="shared" si="47"/>
        <v>0</v>
      </c>
      <c r="U106" s="7">
        <f t="shared" si="48"/>
        <v>0</v>
      </c>
      <c r="V106" s="4">
        <f t="shared" si="49"/>
        <v>0</v>
      </c>
      <c r="W106" s="7">
        <f t="shared" si="50"/>
        <v>0</v>
      </c>
      <c r="X106" s="7">
        <f t="shared" si="51"/>
        <v>0</v>
      </c>
    </row>
    <row r="107" spans="2:24" ht="15.6" customHeight="1" x14ac:dyDescent="0.3">
      <c r="B107" s="7">
        <v>600</v>
      </c>
      <c r="C107" s="7">
        <v>650</v>
      </c>
      <c r="D107" s="4">
        <v>0</v>
      </c>
      <c r="E107" s="4">
        <v>11018</v>
      </c>
      <c r="F107" s="4">
        <v>0</v>
      </c>
      <c r="G107" s="4">
        <v>0</v>
      </c>
      <c r="H107" s="4">
        <v>3437432450</v>
      </c>
      <c r="I107" s="4">
        <v>0</v>
      </c>
      <c r="J107" s="7">
        <f t="shared" si="39"/>
        <v>0</v>
      </c>
      <c r="K107" s="7">
        <f t="shared" si="40"/>
        <v>1.0908738079396763E-2</v>
      </c>
      <c r="L107" s="7">
        <f t="shared" si="41"/>
        <v>0</v>
      </c>
      <c r="M107" s="7">
        <f t="shared" si="42"/>
        <v>0</v>
      </c>
      <c r="N107" s="7">
        <f t="shared" si="43"/>
        <v>623.96668179342896</v>
      </c>
      <c r="O107" s="7">
        <f t="shared" si="44"/>
        <v>0</v>
      </c>
      <c r="P107" s="7" t="str">
        <f t="shared" si="45"/>
        <v>(600, 650]</v>
      </c>
      <c r="Q107" s="7" t="s">
        <v>93</v>
      </c>
      <c r="R107" s="7">
        <f t="shared" si="46"/>
        <v>1.0908738079396763E-2</v>
      </c>
      <c r="S107" s="4">
        <v>0</v>
      </c>
      <c r="T107" s="7">
        <f t="shared" si="47"/>
        <v>0</v>
      </c>
      <c r="U107" s="7">
        <f t="shared" si="48"/>
        <v>0</v>
      </c>
      <c r="V107" s="4">
        <f t="shared" si="49"/>
        <v>0</v>
      </c>
      <c r="W107" s="7">
        <f t="shared" si="50"/>
        <v>0</v>
      </c>
      <c r="X107" s="7">
        <f t="shared" si="51"/>
        <v>0</v>
      </c>
    </row>
    <row r="108" spans="2:24" ht="15.6" customHeight="1" x14ac:dyDescent="0.3">
      <c r="B108" s="7">
        <v>650</v>
      </c>
      <c r="C108" s="7">
        <v>700</v>
      </c>
      <c r="D108" s="4">
        <v>0</v>
      </c>
      <c r="E108" s="4">
        <v>8525</v>
      </c>
      <c r="F108" s="4">
        <v>0</v>
      </c>
      <c r="G108" s="4">
        <v>0</v>
      </c>
      <c r="H108" s="4">
        <v>2873631750</v>
      </c>
      <c r="I108" s="4">
        <v>0</v>
      </c>
      <c r="J108" s="7">
        <f t="shared" si="39"/>
        <v>0</v>
      </c>
      <c r="K108" s="7">
        <f t="shared" si="40"/>
        <v>8.4404603491429839E-3</v>
      </c>
      <c r="L108" s="7">
        <f t="shared" si="41"/>
        <v>0</v>
      </c>
      <c r="M108" s="7">
        <f t="shared" si="42"/>
        <v>0</v>
      </c>
      <c r="N108" s="7">
        <f t="shared" si="43"/>
        <v>674.16580645161287</v>
      </c>
      <c r="O108" s="7">
        <f t="shared" si="44"/>
        <v>0</v>
      </c>
      <c r="P108" s="7" t="str">
        <f t="shared" si="45"/>
        <v>(650, 700]</v>
      </c>
      <c r="Q108" s="7" t="s">
        <v>93</v>
      </c>
      <c r="R108" s="7">
        <f t="shared" si="46"/>
        <v>8.4404603491429839E-3</v>
      </c>
      <c r="S108" s="4">
        <v>0</v>
      </c>
      <c r="T108" s="7">
        <f t="shared" si="47"/>
        <v>0</v>
      </c>
      <c r="U108" s="7">
        <f t="shared" si="48"/>
        <v>0</v>
      </c>
      <c r="V108" s="4">
        <f t="shared" si="49"/>
        <v>0</v>
      </c>
      <c r="W108" s="7">
        <f t="shared" si="50"/>
        <v>0</v>
      </c>
      <c r="X108" s="7">
        <f t="shared" si="51"/>
        <v>0</v>
      </c>
    </row>
    <row r="109" spans="2:24" ht="15.6" customHeight="1" x14ac:dyDescent="0.3">
      <c r="B109" s="7">
        <v>700</v>
      </c>
      <c r="C109" s="7">
        <v>750</v>
      </c>
      <c r="D109" s="4">
        <v>0</v>
      </c>
      <c r="E109" s="4">
        <v>6553</v>
      </c>
      <c r="F109" s="4">
        <v>0</v>
      </c>
      <c r="G109" s="4">
        <v>0</v>
      </c>
      <c r="H109" s="4">
        <v>2371188850</v>
      </c>
      <c r="I109" s="4">
        <v>0</v>
      </c>
      <c r="J109" s="7">
        <f t="shared" si="39"/>
        <v>0</v>
      </c>
      <c r="K109" s="7">
        <f t="shared" si="40"/>
        <v>6.4880160314292048E-3</v>
      </c>
      <c r="L109" s="7">
        <f t="shared" si="41"/>
        <v>0</v>
      </c>
      <c r="M109" s="7">
        <f t="shared" si="42"/>
        <v>0</v>
      </c>
      <c r="N109" s="7">
        <f t="shared" si="43"/>
        <v>723.6956661071265</v>
      </c>
      <c r="O109" s="7">
        <f t="shared" si="44"/>
        <v>0</v>
      </c>
      <c r="P109" s="7" t="str">
        <f t="shared" si="45"/>
        <v>(700, 750]</v>
      </c>
      <c r="Q109" s="7" t="s">
        <v>93</v>
      </c>
      <c r="R109" s="7">
        <f t="shared" si="46"/>
        <v>6.4880160314292048E-3</v>
      </c>
      <c r="S109" s="4">
        <v>0</v>
      </c>
      <c r="T109" s="7">
        <f t="shared" si="47"/>
        <v>0</v>
      </c>
      <c r="U109" s="7">
        <f t="shared" si="48"/>
        <v>0</v>
      </c>
      <c r="V109" s="4">
        <f t="shared" si="49"/>
        <v>0</v>
      </c>
      <c r="W109" s="7">
        <f t="shared" si="50"/>
        <v>0</v>
      </c>
      <c r="X109" s="7">
        <f t="shared" si="51"/>
        <v>0</v>
      </c>
    </row>
    <row r="110" spans="2:24" ht="15.6" customHeight="1" x14ac:dyDescent="0.3">
      <c r="B110" s="7">
        <v>750</v>
      </c>
      <c r="C110" s="7">
        <v>800</v>
      </c>
      <c r="D110" s="4">
        <v>0</v>
      </c>
      <c r="E110" s="4">
        <v>5015</v>
      </c>
      <c r="F110" s="4">
        <v>0</v>
      </c>
      <c r="G110" s="4">
        <v>0</v>
      </c>
      <c r="H110" s="4">
        <v>1940909900</v>
      </c>
      <c r="I110" s="4">
        <v>0</v>
      </c>
      <c r="J110" s="7">
        <f t="shared" si="39"/>
        <v>0</v>
      </c>
      <c r="K110" s="7">
        <f t="shared" si="40"/>
        <v>4.9652678769445237E-3</v>
      </c>
      <c r="L110" s="7">
        <f t="shared" si="41"/>
        <v>0</v>
      </c>
      <c r="M110" s="7">
        <f t="shared" si="42"/>
        <v>0</v>
      </c>
      <c r="N110" s="7">
        <f t="shared" si="43"/>
        <v>774.04183449651043</v>
      </c>
      <c r="O110" s="7">
        <f t="shared" si="44"/>
        <v>0</v>
      </c>
      <c r="P110" s="7" t="str">
        <f t="shared" si="45"/>
        <v>(750, 800]</v>
      </c>
      <c r="Q110" s="7" t="s">
        <v>93</v>
      </c>
      <c r="R110" s="7">
        <f t="shared" si="46"/>
        <v>4.9652678769445237E-3</v>
      </c>
      <c r="S110" s="4">
        <v>0</v>
      </c>
      <c r="T110" s="7">
        <f t="shared" si="47"/>
        <v>0</v>
      </c>
      <c r="U110" s="7">
        <f t="shared" si="48"/>
        <v>0</v>
      </c>
      <c r="V110" s="4">
        <f t="shared" si="49"/>
        <v>0</v>
      </c>
      <c r="W110" s="7">
        <f t="shared" si="50"/>
        <v>0</v>
      </c>
      <c r="X110" s="7">
        <f t="shared" si="51"/>
        <v>0</v>
      </c>
    </row>
    <row r="111" spans="2:24" ht="15.6" customHeight="1" x14ac:dyDescent="0.3">
      <c r="B111" s="7">
        <v>800</v>
      </c>
      <c r="C111" s="7">
        <v>850</v>
      </c>
      <c r="D111" s="4">
        <v>0</v>
      </c>
      <c r="E111" s="4">
        <v>3891</v>
      </c>
      <c r="F111" s="4">
        <v>0</v>
      </c>
      <c r="G111" s="4">
        <v>0</v>
      </c>
      <c r="H111" s="4">
        <v>1602722200</v>
      </c>
      <c r="I111" s="4">
        <v>0</v>
      </c>
      <c r="J111" s="7">
        <f t="shared" si="39"/>
        <v>0</v>
      </c>
      <c r="K111" s="7">
        <f t="shared" si="40"/>
        <v>3.8524142191806864E-3</v>
      </c>
      <c r="L111" s="7">
        <f t="shared" si="41"/>
        <v>0</v>
      </c>
      <c r="M111" s="7">
        <f t="shared" si="42"/>
        <v>0</v>
      </c>
      <c r="N111" s="7">
        <f t="shared" si="43"/>
        <v>823.80992032896427</v>
      </c>
      <c r="O111" s="7">
        <f t="shared" si="44"/>
        <v>0</v>
      </c>
      <c r="P111" s="7" t="str">
        <f t="shared" si="45"/>
        <v>(800, 850]</v>
      </c>
      <c r="Q111" s="7" t="s">
        <v>93</v>
      </c>
      <c r="R111" s="7">
        <f t="shared" si="46"/>
        <v>3.8524142191806864E-3</v>
      </c>
      <c r="S111" s="4">
        <v>0</v>
      </c>
      <c r="T111" s="7">
        <f t="shared" si="47"/>
        <v>0</v>
      </c>
      <c r="U111" s="7">
        <f t="shared" si="48"/>
        <v>0</v>
      </c>
      <c r="V111" s="4">
        <f t="shared" si="49"/>
        <v>0</v>
      </c>
      <c r="W111" s="7">
        <f t="shared" si="50"/>
        <v>0</v>
      </c>
      <c r="X111" s="7">
        <f t="shared" si="51"/>
        <v>0</v>
      </c>
    </row>
    <row r="112" spans="2:24" ht="15.6" customHeight="1" x14ac:dyDescent="0.3">
      <c r="B112" s="7">
        <v>850</v>
      </c>
      <c r="C112" s="7">
        <v>900</v>
      </c>
      <c r="D112" s="4">
        <v>0</v>
      </c>
      <c r="E112" s="4">
        <v>3026</v>
      </c>
      <c r="F112" s="4">
        <v>0</v>
      </c>
      <c r="G112" s="4">
        <v>0</v>
      </c>
      <c r="H112" s="4">
        <v>1322516550</v>
      </c>
      <c r="I112" s="4">
        <v>0</v>
      </c>
      <c r="J112" s="7">
        <f t="shared" si="39"/>
        <v>0</v>
      </c>
      <c r="K112" s="7">
        <f t="shared" si="40"/>
        <v>2.9959921426987294E-3</v>
      </c>
      <c r="L112" s="7">
        <f t="shared" si="41"/>
        <v>0</v>
      </c>
      <c r="M112" s="7">
        <f t="shared" si="42"/>
        <v>0</v>
      </c>
      <c r="N112" s="7">
        <f t="shared" si="43"/>
        <v>874.10214805023134</v>
      </c>
      <c r="O112" s="7">
        <f t="shared" si="44"/>
        <v>0</v>
      </c>
      <c r="P112" s="7" t="str">
        <f t="shared" si="45"/>
        <v>(850, 900]</v>
      </c>
      <c r="Q112" s="7" t="s">
        <v>93</v>
      </c>
      <c r="R112" s="7">
        <f t="shared" si="46"/>
        <v>2.9959921426987294E-3</v>
      </c>
      <c r="S112" s="4">
        <v>0</v>
      </c>
      <c r="T112" s="7">
        <f t="shared" si="47"/>
        <v>0</v>
      </c>
      <c r="U112" s="7">
        <f t="shared" si="48"/>
        <v>0</v>
      </c>
      <c r="V112" s="4">
        <f t="shared" si="49"/>
        <v>0</v>
      </c>
      <c r="W112" s="7">
        <f t="shared" si="50"/>
        <v>0</v>
      </c>
      <c r="X112" s="7">
        <f t="shared" si="51"/>
        <v>0</v>
      </c>
    </row>
    <row r="113" spans="2:24" ht="15.6" customHeight="1" x14ac:dyDescent="0.3">
      <c r="B113" s="7">
        <v>900</v>
      </c>
      <c r="C113" s="7">
        <v>950</v>
      </c>
      <c r="D113" s="4">
        <v>0</v>
      </c>
      <c r="E113" s="4">
        <v>2280</v>
      </c>
      <c r="F113" s="4">
        <v>0</v>
      </c>
      <c r="G113" s="4">
        <v>0</v>
      </c>
      <c r="H113" s="4">
        <v>1052730900</v>
      </c>
      <c r="I113" s="4">
        <v>0</v>
      </c>
      <c r="J113" s="7">
        <f t="shared" si="39"/>
        <v>0</v>
      </c>
      <c r="K113" s="7">
        <f t="shared" si="40"/>
        <v>2.25738998194088E-3</v>
      </c>
      <c r="L113" s="7">
        <f t="shared" si="41"/>
        <v>0</v>
      </c>
      <c r="M113" s="7">
        <f t="shared" si="42"/>
        <v>0</v>
      </c>
      <c r="N113" s="7">
        <f t="shared" si="43"/>
        <v>923.44815789473682</v>
      </c>
      <c r="O113" s="7">
        <f t="shared" si="44"/>
        <v>0</v>
      </c>
      <c r="P113" s="7" t="str">
        <f t="shared" si="45"/>
        <v>(900, 950]</v>
      </c>
      <c r="Q113" s="7" t="s">
        <v>93</v>
      </c>
      <c r="R113" s="7">
        <f t="shared" si="46"/>
        <v>2.25738998194088E-3</v>
      </c>
      <c r="S113" s="4">
        <v>0</v>
      </c>
      <c r="T113" s="7">
        <f t="shared" si="47"/>
        <v>0</v>
      </c>
      <c r="U113" s="7">
        <f t="shared" si="48"/>
        <v>0</v>
      </c>
      <c r="V113" s="4">
        <f t="shared" si="49"/>
        <v>0</v>
      </c>
      <c r="W113" s="7">
        <f t="shared" si="50"/>
        <v>0</v>
      </c>
      <c r="X113" s="7">
        <f t="shared" si="51"/>
        <v>0</v>
      </c>
    </row>
    <row r="114" spans="2:24" ht="15.6" customHeight="1" x14ac:dyDescent="0.3">
      <c r="B114" s="7">
        <v>950</v>
      </c>
      <c r="C114" s="7">
        <v>1000</v>
      </c>
      <c r="D114" s="4">
        <v>0</v>
      </c>
      <c r="E114" s="4">
        <v>1906</v>
      </c>
      <c r="F114" s="4">
        <v>0</v>
      </c>
      <c r="G114" s="4">
        <v>0</v>
      </c>
      <c r="H114" s="4">
        <v>927921350</v>
      </c>
      <c r="I114" s="4">
        <v>0</v>
      </c>
      <c r="J114" s="7">
        <f t="shared" si="39"/>
        <v>0</v>
      </c>
      <c r="K114" s="7">
        <f t="shared" si="40"/>
        <v>1.8870988182365428E-3</v>
      </c>
      <c r="L114" s="7">
        <f t="shared" si="41"/>
        <v>0</v>
      </c>
      <c r="M114" s="7">
        <f t="shared" si="42"/>
        <v>0</v>
      </c>
      <c r="N114" s="7">
        <f t="shared" si="43"/>
        <v>973.68452256033584</v>
      </c>
      <c r="O114" s="7">
        <f t="shared" si="44"/>
        <v>0</v>
      </c>
      <c r="P114" s="7" t="str">
        <f t="shared" si="45"/>
        <v>(950, 1000]</v>
      </c>
      <c r="Q114" s="7" t="s">
        <v>93</v>
      </c>
      <c r="R114" s="7">
        <f t="shared" si="46"/>
        <v>1.8870988182365428E-3</v>
      </c>
      <c r="S114" s="4">
        <v>0</v>
      </c>
      <c r="T114" s="7">
        <f t="shared" si="47"/>
        <v>0</v>
      </c>
      <c r="U114" s="7">
        <f t="shared" si="48"/>
        <v>0</v>
      </c>
      <c r="V114" s="4">
        <f t="shared" si="49"/>
        <v>0</v>
      </c>
      <c r="W114" s="7">
        <f t="shared" si="50"/>
        <v>0</v>
      </c>
      <c r="X114" s="7">
        <f t="shared" si="51"/>
        <v>0</v>
      </c>
    </row>
    <row r="115" spans="2:24" ht="15.6" customHeight="1" x14ac:dyDescent="0.3">
      <c r="B115" s="7">
        <v>1000</v>
      </c>
      <c r="C115" s="7">
        <v>2000</v>
      </c>
      <c r="D115" s="4">
        <v>0</v>
      </c>
      <c r="E115" s="4">
        <v>6902</v>
      </c>
      <c r="F115" s="4">
        <v>0</v>
      </c>
      <c r="G115" s="4">
        <v>0</v>
      </c>
      <c r="H115" s="4">
        <v>4187611700</v>
      </c>
      <c r="I115" s="4">
        <v>0</v>
      </c>
      <c r="J115" s="7">
        <f t="shared" si="39"/>
        <v>0</v>
      </c>
      <c r="K115" s="7">
        <f t="shared" si="40"/>
        <v>6.8335551119982256E-3</v>
      </c>
      <c r="L115" s="7">
        <f t="shared" si="41"/>
        <v>0</v>
      </c>
      <c r="M115" s="7">
        <f t="shared" si="42"/>
        <v>0</v>
      </c>
      <c r="N115" s="7">
        <f t="shared" si="43"/>
        <v>1213.4487684729065</v>
      </c>
      <c r="O115" s="7">
        <f t="shared" si="44"/>
        <v>0</v>
      </c>
      <c r="P115" s="7" t="str">
        <f t="shared" si="45"/>
        <v>(1000, 2000]</v>
      </c>
      <c r="Q115" s="7" t="s">
        <v>93</v>
      </c>
      <c r="R115" s="7">
        <f t="shared" si="46"/>
        <v>6.8335551119982256E-3</v>
      </c>
      <c r="S115" s="4">
        <v>0</v>
      </c>
      <c r="T115" s="7">
        <f t="shared" si="47"/>
        <v>0</v>
      </c>
      <c r="U115" s="7">
        <f t="shared" si="48"/>
        <v>0</v>
      </c>
      <c r="V115" s="4">
        <f t="shared" si="49"/>
        <v>0</v>
      </c>
      <c r="W115" s="7">
        <f t="shared" si="50"/>
        <v>0</v>
      </c>
      <c r="X115" s="7">
        <f t="shared" si="51"/>
        <v>0</v>
      </c>
    </row>
    <row r="116" spans="2:24" ht="15.6" customHeight="1" x14ac:dyDescent="0.3">
      <c r="B116" s="7">
        <v>2000</v>
      </c>
      <c r="C116" s="7">
        <v>3000</v>
      </c>
      <c r="D116" s="4">
        <v>0</v>
      </c>
      <c r="E116" s="4">
        <v>143</v>
      </c>
      <c r="F116" s="4">
        <v>0</v>
      </c>
      <c r="G116" s="4">
        <v>0</v>
      </c>
      <c r="H116" s="4">
        <v>162549250</v>
      </c>
      <c r="I116" s="4">
        <v>0</v>
      </c>
      <c r="J116" s="7">
        <f t="shared" si="39"/>
        <v>0</v>
      </c>
      <c r="K116" s="7">
        <f t="shared" si="40"/>
        <v>1.4158191553401134E-4</v>
      </c>
      <c r="L116" s="7">
        <f t="shared" si="41"/>
        <v>0</v>
      </c>
      <c r="M116" s="7">
        <f t="shared" si="42"/>
        <v>0</v>
      </c>
      <c r="N116" s="7">
        <f t="shared" si="43"/>
        <v>2273.4160839160841</v>
      </c>
      <c r="O116" s="7">
        <f t="shared" si="44"/>
        <v>0</v>
      </c>
      <c r="P116" s="7" t="str">
        <f t="shared" si="45"/>
        <v>(2000, 3000]</v>
      </c>
      <c r="Q116" s="7" t="s">
        <v>93</v>
      </c>
      <c r="R116" s="7">
        <f t="shared" si="46"/>
        <v>1.4158191553401134E-4</v>
      </c>
      <c r="S116" s="4">
        <v>0</v>
      </c>
      <c r="T116" s="7">
        <f t="shared" si="47"/>
        <v>0</v>
      </c>
      <c r="U116" s="7">
        <f t="shared" si="48"/>
        <v>0</v>
      </c>
      <c r="V116" s="4">
        <f t="shared" si="49"/>
        <v>0</v>
      </c>
      <c r="W116" s="7">
        <f t="shared" si="50"/>
        <v>0</v>
      </c>
      <c r="X116" s="7">
        <f t="shared" si="51"/>
        <v>0</v>
      </c>
    </row>
    <row r="117" spans="2:24" ht="15.6" customHeight="1" x14ac:dyDescent="0.3">
      <c r="B117" s="7">
        <v>3000</v>
      </c>
      <c r="C117" s="7">
        <v>4000</v>
      </c>
      <c r="D117" s="4">
        <v>0</v>
      </c>
      <c r="E117" s="4">
        <v>14</v>
      </c>
      <c r="F117" s="4">
        <v>0</v>
      </c>
      <c r="G117" s="4">
        <v>0</v>
      </c>
      <c r="H117" s="4">
        <v>23546150</v>
      </c>
      <c r="I117" s="4">
        <v>0</v>
      </c>
      <c r="J117" s="7">
        <f t="shared" si="39"/>
        <v>0</v>
      </c>
      <c r="K117" s="7">
        <f t="shared" si="40"/>
        <v>1.3861166555777333E-5</v>
      </c>
      <c r="L117" s="7">
        <f t="shared" si="41"/>
        <v>0</v>
      </c>
      <c r="M117" s="7">
        <f t="shared" si="42"/>
        <v>0</v>
      </c>
      <c r="N117" s="7">
        <f t="shared" si="43"/>
        <v>3363.7357142857136</v>
      </c>
      <c r="O117" s="7">
        <f t="shared" si="44"/>
        <v>0</v>
      </c>
      <c r="P117" s="7" t="str">
        <f t="shared" si="45"/>
        <v>(3000, 4000]</v>
      </c>
      <c r="Q117" s="7" t="s">
        <v>93</v>
      </c>
      <c r="R117" s="7">
        <f t="shared" si="46"/>
        <v>1.3861166555777333E-5</v>
      </c>
      <c r="S117" s="4">
        <v>0</v>
      </c>
      <c r="T117" s="7">
        <f t="shared" si="47"/>
        <v>0</v>
      </c>
      <c r="U117" s="7">
        <f t="shared" si="48"/>
        <v>0</v>
      </c>
      <c r="V117" s="4">
        <f t="shared" si="49"/>
        <v>0</v>
      </c>
      <c r="W117" s="7">
        <f t="shared" si="50"/>
        <v>0</v>
      </c>
      <c r="X117" s="7">
        <f t="shared" si="51"/>
        <v>0</v>
      </c>
    </row>
    <row r="118" spans="2:24" ht="15.6" customHeight="1" x14ac:dyDescent="0.3">
      <c r="B118" s="7">
        <v>4000</v>
      </c>
      <c r="C118" s="7">
        <v>5000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7">
        <f t="shared" si="39"/>
        <v>0</v>
      </c>
      <c r="K118" s="7">
        <f t="shared" si="40"/>
        <v>0</v>
      </c>
      <c r="L118" s="7">
        <f t="shared" si="41"/>
        <v>0</v>
      </c>
      <c r="M118" s="7">
        <f t="shared" si="42"/>
        <v>0</v>
      </c>
      <c r="N118" s="7">
        <f t="shared" si="43"/>
        <v>0</v>
      </c>
      <c r="O118" s="7">
        <f t="shared" si="44"/>
        <v>0</v>
      </c>
      <c r="P118" s="7" t="str">
        <f t="shared" si="45"/>
        <v>(4000, 5000]</v>
      </c>
      <c r="Q118" s="7" t="s">
        <v>93</v>
      </c>
      <c r="R118" s="7">
        <f t="shared" si="46"/>
        <v>0</v>
      </c>
      <c r="S118" s="4">
        <v>0</v>
      </c>
      <c r="T118" s="7">
        <f t="shared" si="47"/>
        <v>0</v>
      </c>
      <c r="U118" s="7">
        <f t="shared" si="48"/>
        <v>0</v>
      </c>
      <c r="V118" s="4">
        <f t="shared" si="49"/>
        <v>0</v>
      </c>
      <c r="W118" s="7">
        <f t="shared" si="50"/>
        <v>0</v>
      </c>
      <c r="X118" s="7">
        <f t="shared" si="51"/>
        <v>0</v>
      </c>
    </row>
    <row r="119" spans="2:24" ht="15.6" customHeight="1" x14ac:dyDescent="0.3">
      <c r="B119" s="7">
        <v>5000</v>
      </c>
      <c r="C119" s="7">
        <v>6000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7">
        <f t="shared" si="39"/>
        <v>0</v>
      </c>
      <c r="K119" s="7">
        <f t="shared" si="40"/>
        <v>0</v>
      </c>
      <c r="L119" s="7">
        <f t="shared" si="41"/>
        <v>0</v>
      </c>
      <c r="M119" s="7">
        <f t="shared" si="42"/>
        <v>0</v>
      </c>
      <c r="N119" s="7">
        <f t="shared" si="43"/>
        <v>0</v>
      </c>
      <c r="O119" s="7">
        <f t="shared" si="44"/>
        <v>0</v>
      </c>
      <c r="P119" s="7" t="str">
        <f t="shared" si="45"/>
        <v>(5000, 6000]</v>
      </c>
      <c r="Q119" s="7" t="s">
        <v>93</v>
      </c>
      <c r="R119" s="7">
        <f t="shared" si="46"/>
        <v>0</v>
      </c>
      <c r="S119" s="4">
        <v>0</v>
      </c>
      <c r="T119" s="7">
        <f t="shared" si="47"/>
        <v>0</v>
      </c>
      <c r="U119" s="7">
        <f t="shared" si="48"/>
        <v>0</v>
      </c>
      <c r="V119" s="4">
        <f t="shared" si="49"/>
        <v>0</v>
      </c>
      <c r="W119" s="7">
        <f t="shared" si="50"/>
        <v>0</v>
      </c>
      <c r="X119" s="7">
        <f t="shared" si="51"/>
        <v>0</v>
      </c>
    </row>
    <row r="120" spans="2:24" ht="15.6" customHeight="1" x14ac:dyDescent="0.3">
      <c r="B120" s="7">
        <v>6000</v>
      </c>
      <c r="C120" s="7">
        <v>7000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7">
        <f t="shared" si="39"/>
        <v>0</v>
      </c>
      <c r="K120" s="7">
        <f t="shared" si="40"/>
        <v>0</v>
      </c>
      <c r="L120" s="7">
        <f t="shared" si="41"/>
        <v>0</v>
      </c>
      <c r="M120" s="7">
        <f t="shared" si="42"/>
        <v>0</v>
      </c>
      <c r="N120" s="7">
        <f t="shared" si="43"/>
        <v>0</v>
      </c>
      <c r="O120" s="7">
        <f t="shared" si="44"/>
        <v>0</v>
      </c>
      <c r="P120" s="7" t="str">
        <f t="shared" si="45"/>
        <v>(6000, 7000]</v>
      </c>
      <c r="Q120" s="7" t="s">
        <v>93</v>
      </c>
      <c r="R120" s="7">
        <f t="shared" si="46"/>
        <v>0</v>
      </c>
      <c r="S120" s="4">
        <v>0</v>
      </c>
      <c r="T120" s="7">
        <f t="shared" si="47"/>
        <v>0</v>
      </c>
      <c r="U120" s="7">
        <f t="shared" si="48"/>
        <v>0</v>
      </c>
      <c r="V120" s="4">
        <f t="shared" si="49"/>
        <v>0</v>
      </c>
      <c r="W120" s="7">
        <f t="shared" si="50"/>
        <v>0</v>
      </c>
      <c r="X120" s="7">
        <f t="shared" si="51"/>
        <v>0</v>
      </c>
    </row>
    <row r="121" spans="2:24" ht="15.6" customHeight="1" x14ac:dyDescent="0.3">
      <c r="B121" s="7">
        <v>7000</v>
      </c>
      <c r="C121" s="7">
        <v>8000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7">
        <f t="shared" si="39"/>
        <v>0</v>
      </c>
      <c r="K121" s="7">
        <f t="shared" si="40"/>
        <v>0</v>
      </c>
      <c r="L121" s="7">
        <f t="shared" si="41"/>
        <v>0</v>
      </c>
      <c r="M121" s="7">
        <f t="shared" si="42"/>
        <v>0</v>
      </c>
      <c r="N121" s="7">
        <f t="shared" si="43"/>
        <v>0</v>
      </c>
      <c r="O121" s="7">
        <f t="shared" si="44"/>
        <v>0</v>
      </c>
      <c r="P121" s="7" t="str">
        <f t="shared" si="45"/>
        <v>(7000, 8000]</v>
      </c>
      <c r="Q121" s="7" t="s">
        <v>93</v>
      </c>
      <c r="R121" s="7">
        <f t="shared" si="46"/>
        <v>0</v>
      </c>
      <c r="S121" s="4">
        <v>0</v>
      </c>
      <c r="T121" s="7">
        <f t="shared" si="47"/>
        <v>0</v>
      </c>
      <c r="U121" s="7">
        <f t="shared" si="48"/>
        <v>0</v>
      </c>
      <c r="V121" s="4">
        <f t="shared" si="49"/>
        <v>0</v>
      </c>
      <c r="W121" s="7">
        <f t="shared" si="50"/>
        <v>0</v>
      </c>
      <c r="X121" s="7">
        <f t="shared" si="51"/>
        <v>0</v>
      </c>
    </row>
    <row r="122" spans="2:24" ht="15.6" customHeight="1" x14ac:dyDescent="0.3">
      <c r="B122" s="7"/>
      <c r="C122" s="7"/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7">
        <f t="shared" si="39"/>
        <v>0</v>
      </c>
      <c r="K122" s="7">
        <f t="shared" si="40"/>
        <v>0</v>
      </c>
      <c r="L122" s="7">
        <f t="shared" si="41"/>
        <v>0</v>
      </c>
      <c r="M122" s="7">
        <f t="shared" si="42"/>
        <v>0</v>
      </c>
      <c r="N122" s="7">
        <f t="shared" si="43"/>
        <v>0</v>
      </c>
      <c r="O122" s="7">
        <f t="shared" si="44"/>
        <v>0</v>
      </c>
      <c r="P122" s="7" t="str">
        <f t="shared" si="45"/>
        <v>(, ]</v>
      </c>
      <c r="Q122" s="7" t="s">
        <v>93</v>
      </c>
      <c r="R122" s="7">
        <f t="shared" si="46"/>
        <v>0</v>
      </c>
      <c r="S122" s="4">
        <v>0</v>
      </c>
      <c r="T122" s="7">
        <f t="shared" si="47"/>
        <v>0</v>
      </c>
      <c r="U122" s="7">
        <f t="shared" si="48"/>
        <v>0</v>
      </c>
      <c r="V122" s="4">
        <f t="shared" si="49"/>
        <v>0</v>
      </c>
      <c r="W122" s="7">
        <f t="shared" si="50"/>
        <v>0</v>
      </c>
      <c r="X122" s="7">
        <f t="shared" si="51"/>
        <v>0</v>
      </c>
    </row>
    <row r="123" spans="2:24" ht="15.6" customHeight="1" x14ac:dyDescent="0.3">
      <c r="B123" s="7"/>
      <c r="C123" s="7"/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7">
        <f t="shared" si="39"/>
        <v>0</v>
      </c>
      <c r="K123" s="7">
        <f t="shared" si="40"/>
        <v>0</v>
      </c>
      <c r="L123" s="7">
        <f t="shared" si="41"/>
        <v>0</v>
      </c>
      <c r="M123" s="7">
        <f t="shared" si="42"/>
        <v>0</v>
      </c>
      <c r="N123" s="7">
        <f t="shared" si="43"/>
        <v>0</v>
      </c>
      <c r="O123" s="7">
        <f t="shared" si="44"/>
        <v>0</v>
      </c>
      <c r="P123" s="7" t="str">
        <f t="shared" si="45"/>
        <v>(, ]</v>
      </c>
      <c r="Q123" s="7" t="s">
        <v>93</v>
      </c>
      <c r="R123" s="7">
        <f t="shared" si="46"/>
        <v>0</v>
      </c>
      <c r="S123" s="4">
        <v>0</v>
      </c>
      <c r="T123" s="7">
        <f t="shared" si="47"/>
        <v>0</v>
      </c>
      <c r="U123" s="7">
        <f t="shared" si="48"/>
        <v>0</v>
      </c>
      <c r="V123" s="4">
        <f t="shared" si="49"/>
        <v>0</v>
      </c>
      <c r="W123" s="7">
        <f t="shared" si="50"/>
        <v>0</v>
      </c>
      <c r="X123" s="7">
        <f t="shared" si="51"/>
        <v>0</v>
      </c>
    </row>
    <row r="124" spans="2:24" ht="15.6" customHeight="1" x14ac:dyDescent="0.3">
      <c r="B124" s="7"/>
      <c r="C124" s="7"/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7">
        <f t="shared" si="39"/>
        <v>0</v>
      </c>
      <c r="K124" s="7">
        <f t="shared" si="40"/>
        <v>0</v>
      </c>
      <c r="L124" s="7">
        <f t="shared" si="41"/>
        <v>0</v>
      </c>
      <c r="M124" s="7">
        <f t="shared" si="42"/>
        <v>0</v>
      </c>
      <c r="N124" s="7">
        <f t="shared" si="43"/>
        <v>0</v>
      </c>
      <c r="O124" s="7">
        <f t="shared" si="44"/>
        <v>0</v>
      </c>
      <c r="P124" s="7" t="str">
        <f t="shared" si="45"/>
        <v>(, ]</v>
      </c>
      <c r="Q124" s="7" t="s">
        <v>93</v>
      </c>
      <c r="R124" s="7">
        <f t="shared" si="46"/>
        <v>0</v>
      </c>
      <c r="S124" s="4">
        <v>0</v>
      </c>
      <c r="T124" s="7">
        <f t="shared" si="47"/>
        <v>0</v>
      </c>
      <c r="U124" s="7">
        <f t="shared" si="48"/>
        <v>0</v>
      </c>
      <c r="V124" s="4">
        <f t="shared" si="49"/>
        <v>0</v>
      </c>
      <c r="W124" s="7">
        <f t="shared" si="50"/>
        <v>0</v>
      </c>
      <c r="X124" s="7">
        <f t="shared" si="51"/>
        <v>0</v>
      </c>
    </row>
    <row r="125" spans="2:24" ht="15.6" customHeight="1" x14ac:dyDescent="0.3">
      <c r="B125" s="7"/>
      <c r="C125" s="7"/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7">
        <f t="shared" si="39"/>
        <v>0</v>
      </c>
      <c r="K125" s="7">
        <f t="shared" si="40"/>
        <v>0</v>
      </c>
      <c r="L125" s="7">
        <f t="shared" si="41"/>
        <v>0</v>
      </c>
      <c r="M125" s="7">
        <f t="shared" si="42"/>
        <v>0</v>
      </c>
      <c r="N125" s="7">
        <f t="shared" si="43"/>
        <v>0</v>
      </c>
      <c r="O125" s="7">
        <f t="shared" si="44"/>
        <v>0</v>
      </c>
      <c r="P125" s="7" t="str">
        <f t="shared" si="45"/>
        <v>(, ]</v>
      </c>
      <c r="Q125" s="7" t="s">
        <v>93</v>
      </c>
      <c r="R125" s="7">
        <f t="shared" si="46"/>
        <v>0</v>
      </c>
      <c r="S125" s="4">
        <v>0</v>
      </c>
      <c r="T125" s="7">
        <f t="shared" si="47"/>
        <v>0</v>
      </c>
      <c r="U125" s="7">
        <f t="shared" si="48"/>
        <v>0</v>
      </c>
      <c r="V125" s="4">
        <f t="shared" si="49"/>
        <v>0</v>
      </c>
      <c r="W125" s="7">
        <f t="shared" si="50"/>
        <v>0</v>
      </c>
      <c r="X125" s="7">
        <f t="shared" si="51"/>
        <v>0</v>
      </c>
    </row>
    <row r="126" spans="2:24" ht="15.6" customHeight="1" x14ac:dyDescent="0.3">
      <c r="B126" s="7"/>
      <c r="C126" s="7"/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7">
        <f t="shared" si="39"/>
        <v>0</v>
      </c>
      <c r="K126" s="7">
        <f t="shared" si="40"/>
        <v>0</v>
      </c>
      <c r="L126" s="7">
        <f t="shared" si="41"/>
        <v>0</v>
      </c>
      <c r="M126" s="7">
        <f t="shared" si="42"/>
        <v>0</v>
      </c>
      <c r="N126" s="7">
        <f t="shared" si="43"/>
        <v>0</v>
      </c>
      <c r="O126" s="7">
        <f t="shared" si="44"/>
        <v>0</v>
      </c>
      <c r="P126" s="7" t="str">
        <f t="shared" si="45"/>
        <v>(, ]</v>
      </c>
      <c r="Q126" s="7" t="s">
        <v>93</v>
      </c>
      <c r="R126" s="7">
        <f t="shared" si="46"/>
        <v>0</v>
      </c>
      <c r="S126" s="4">
        <v>0</v>
      </c>
      <c r="T126" s="7">
        <f t="shared" si="47"/>
        <v>0</v>
      </c>
      <c r="U126" s="7">
        <f t="shared" si="48"/>
        <v>0</v>
      </c>
      <c r="V126" s="4">
        <f t="shared" si="49"/>
        <v>0</v>
      </c>
      <c r="W126" s="7">
        <f t="shared" si="50"/>
        <v>0</v>
      </c>
      <c r="X126" s="7">
        <f t="shared" si="51"/>
        <v>0</v>
      </c>
    </row>
    <row r="127" spans="2:24" ht="15.6" customHeight="1" x14ac:dyDescent="0.3">
      <c r="B127" s="7"/>
      <c r="C127" s="7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7">
        <f t="shared" si="39"/>
        <v>0</v>
      </c>
      <c r="K127" s="7">
        <f t="shared" si="40"/>
        <v>0</v>
      </c>
      <c r="L127" s="7">
        <f t="shared" si="41"/>
        <v>0</v>
      </c>
      <c r="M127" s="7">
        <f t="shared" si="42"/>
        <v>0</v>
      </c>
      <c r="N127" s="7">
        <f t="shared" si="43"/>
        <v>0</v>
      </c>
      <c r="O127" s="7">
        <f t="shared" si="44"/>
        <v>0</v>
      </c>
      <c r="P127" s="7" t="str">
        <f t="shared" si="45"/>
        <v>(, ]</v>
      </c>
      <c r="Q127" s="7" t="s">
        <v>93</v>
      </c>
      <c r="R127" s="7">
        <f t="shared" si="46"/>
        <v>0</v>
      </c>
      <c r="S127" s="4">
        <v>0</v>
      </c>
      <c r="T127" s="7">
        <f t="shared" si="47"/>
        <v>0</v>
      </c>
      <c r="U127" s="7">
        <f t="shared" si="48"/>
        <v>0</v>
      </c>
      <c r="V127" s="4">
        <f t="shared" si="49"/>
        <v>0</v>
      </c>
      <c r="W127" s="7">
        <f t="shared" si="50"/>
        <v>0</v>
      </c>
      <c r="X127" s="7">
        <f t="shared" si="51"/>
        <v>0</v>
      </c>
    </row>
    <row r="128" spans="2:24" ht="15.6" customHeight="1" x14ac:dyDescent="0.3">
      <c r="B128" s="7"/>
      <c r="C128" s="7"/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7">
        <f t="shared" si="39"/>
        <v>0</v>
      </c>
      <c r="K128" s="7">
        <f t="shared" si="40"/>
        <v>0</v>
      </c>
      <c r="L128" s="7">
        <f t="shared" si="41"/>
        <v>0</v>
      </c>
      <c r="M128" s="7">
        <f t="shared" si="42"/>
        <v>0</v>
      </c>
      <c r="N128" s="7">
        <f t="shared" si="43"/>
        <v>0</v>
      </c>
      <c r="O128" s="7">
        <f t="shared" si="44"/>
        <v>0</v>
      </c>
      <c r="P128" s="7" t="str">
        <f t="shared" si="45"/>
        <v>(, ]</v>
      </c>
      <c r="Q128" s="7" t="s">
        <v>93</v>
      </c>
      <c r="R128" s="7">
        <f t="shared" si="46"/>
        <v>0</v>
      </c>
      <c r="S128" s="4">
        <v>0</v>
      </c>
      <c r="T128" s="7">
        <f t="shared" si="47"/>
        <v>0</v>
      </c>
      <c r="U128" s="7">
        <f t="shared" si="48"/>
        <v>0</v>
      </c>
      <c r="V128" s="4">
        <f t="shared" si="49"/>
        <v>0</v>
      </c>
      <c r="W128" s="7">
        <f t="shared" si="50"/>
        <v>0</v>
      </c>
      <c r="X128" s="7">
        <f t="shared" si="51"/>
        <v>0</v>
      </c>
    </row>
    <row r="129" spans="2:24" ht="15.6" customHeight="1" x14ac:dyDescent="0.3">
      <c r="B129" s="3" t="s">
        <v>166</v>
      </c>
      <c r="V129" s="4">
        <f>SUM(V70:V128)</f>
        <v>999999990</v>
      </c>
    </row>
    <row r="132" spans="2:24" ht="15.6" customHeight="1" x14ac:dyDescent="0.3">
      <c r="B132" s="1" t="s">
        <v>10</v>
      </c>
      <c r="D132" s="3" t="s">
        <v>171</v>
      </c>
      <c r="G132" s="3" t="s">
        <v>172</v>
      </c>
      <c r="J132" s="3" t="s">
        <v>173</v>
      </c>
      <c r="M132" s="3" t="s">
        <v>174</v>
      </c>
    </row>
    <row r="133" spans="2:24" ht="15.6" customHeight="1" x14ac:dyDescent="0.3">
      <c r="B133" s="3" t="s">
        <v>159</v>
      </c>
      <c r="C133" s="3" t="s">
        <v>160</v>
      </c>
      <c r="D133" s="3" t="s">
        <v>92</v>
      </c>
      <c r="E133" s="3" t="s">
        <v>93</v>
      </c>
      <c r="F133" s="3" t="s">
        <v>181</v>
      </c>
      <c r="G133" s="3" t="s">
        <v>92</v>
      </c>
      <c r="H133" s="3" t="s">
        <v>93</v>
      </c>
      <c r="I133" s="3" t="s">
        <v>181</v>
      </c>
      <c r="J133" s="3" t="s">
        <v>92</v>
      </c>
      <c r="K133" s="3" t="s">
        <v>93</v>
      </c>
      <c r="L133" s="3" t="s">
        <v>181</v>
      </c>
      <c r="M133" s="3" t="s">
        <v>92</v>
      </c>
      <c r="N133" s="3" t="s">
        <v>93</v>
      </c>
      <c r="O133" s="3" t="s">
        <v>181</v>
      </c>
      <c r="P133" s="3" t="s">
        <v>161</v>
      </c>
      <c r="Q133" s="3" t="s">
        <v>162</v>
      </c>
      <c r="R133" s="3" t="s">
        <v>163</v>
      </c>
      <c r="S133" s="3" t="s">
        <v>176</v>
      </c>
      <c r="T133" s="3" t="s">
        <v>177</v>
      </c>
      <c r="U133" s="3" t="s">
        <v>178</v>
      </c>
      <c r="V133" s="3" t="s">
        <v>91</v>
      </c>
      <c r="W133" s="3" t="s">
        <v>170</v>
      </c>
      <c r="X133" s="3" t="s">
        <v>179</v>
      </c>
    </row>
    <row r="134" spans="2:24" ht="15.6" customHeight="1" x14ac:dyDescent="0.3">
      <c r="B134" s="7">
        <v>-1</v>
      </c>
      <c r="C134" s="7">
        <v>0</v>
      </c>
      <c r="D134" s="4">
        <v>0</v>
      </c>
      <c r="E134" s="4">
        <v>316</v>
      </c>
      <c r="F134" s="4">
        <v>0</v>
      </c>
      <c r="G134" s="4">
        <v>0</v>
      </c>
      <c r="H134" s="4">
        <v>0</v>
      </c>
      <c r="I134" s="4">
        <v>0</v>
      </c>
      <c r="J134" s="7">
        <f t="shared" ref="J134:J165" si="52">IF(SUM(D$134:D$192)=0,0,D134/SUM(D$134:D$192))</f>
        <v>0</v>
      </c>
      <c r="K134" s="7">
        <f t="shared" ref="K134:K165" si="53">IF(SUM(E$134:E$192)=0,0,E134/SUM(E$134:E$192))</f>
        <v>3.128663308304027E-4</v>
      </c>
      <c r="L134" s="7">
        <f t="shared" ref="L134:L165" si="54">IF(SUM(F$134:F$192)=0,0,F134/SUM(F$134:F$192))</f>
        <v>0</v>
      </c>
      <c r="M134" s="7">
        <f t="shared" ref="M134:M165" si="55">IF(D134=0,0,G134/D134/$C$3/5)</f>
        <v>0</v>
      </c>
      <c r="N134" s="7">
        <f t="shared" ref="N134:N165" si="56">IF(E134=0,0,H134/E134/$C$3/5)</f>
        <v>0</v>
      </c>
      <c r="O134" s="7">
        <f t="shared" ref="O134:O165" si="57">IF(F134=0,0,I134/F134/$C$3/5)</f>
        <v>0</v>
      </c>
      <c r="P134" s="7" t="str">
        <f t="shared" ref="P134:P165" si="58">"("&amp;B134&amp;", "&amp;C134&amp;"]"</f>
        <v>(-1, 0]</v>
      </c>
      <c r="Q134" s="7" t="s">
        <v>93</v>
      </c>
      <c r="R134" s="7">
        <f t="shared" ref="R134:R165" si="59">IFERROR(INDEX($J134:$L134,MATCH($Q134,$J$133:$L$133,0)),0)</f>
        <v>3.128663308304027E-4</v>
      </c>
      <c r="S134" s="4">
        <v>0</v>
      </c>
      <c r="T134" s="7">
        <f t="shared" ref="T134:T165" si="60">$R134*$S134</f>
        <v>0</v>
      </c>
      <c r="U134" s="7">
        <f t="shared" ref="U134:U165" si="61">IF(SUM(T$134:T$192)=0,0,T134/SUM(T$134:T$192))</f>
        <v>0</v>
      </c>
      <c r="V134" s="4">
        <f t="shared" ref="V134:V165" si="62">INT(U134*$C$2)</f>
        <v>0</v>
      </c>
      <c r="W134" s="7">
        <f t="shared" ref="W134:W165" si="63">IF(SUM(V$134:V$192)=0,0,V134/SUM(V$134:V$192))</f>
        <v>0</v>
      </c>
      <c r="X134" s="7">
        <f t="shared" ref="X134:X165" si="64">IFERROR(INDEX($M134:$O134,MATCH($Q134,$M$133:$O$133,0)),0)*V134/$C$2</f>
        <v>0</v>
      </c>
    </row>
    <row r="135" spans="2:24" ht="15.6" customHeight="1" x14ac:dyDescent="0.3">
      <c r="B135" s="7">
        <v>0</v>
      </c>
      <c r="C135" s="7">
        <v>1</v>
      </c>
      <c r="D135" s="4">
        <v>0</v>
      </c>
      <c r="E135" s="4">
        <v>2222</v>
      </c>
      <c r="F135" s="4">
        <v>0</v>
      </c>
      <c r="G135" s="4">
        <v>0</v>
      </c>
      <c r="H135" s="4">
        <v>676000</v>
      </c>
      <c r="I135" s="4">
        <v>0</v>
      </c>
      <c r="J135" s="7">
        <f t="shared" si="52"/>
        <v>0</v>
      </c>
      <c r="K135" s="7">
        <f t="shared" si="53"/>
        <v>2.1999651490669453E-3</v>
      </c>
      <c r="L135" s="7">
        <f t="shared" si="54"/>
        <v>0</v>
      </c>
      <c r="M135" s="7">
        <f t="shared" si="55"/>
        <v>0</v>
      </c>
      <c r="N135" s="7">
        <f t="shared" si="56"/>
        <v>0.60846084608460838</v>
      </c>
      <c r="O135" s="7">
        <f t="shared" si="57"/>
        <v>0</v>
      </c>
      <c r="P135" s="7" t="str">
        <f t="shared" si="58"/>
        <v>(0, 1]</v>
      </c>
      <c r="Q135" s="7" t="s">
        <v>93</v>
      </c>
      <c r="R135" s="7">
        <f t="shared" si="59"/>
        <v>2.1999651490669453E-3</v>
      </c>
      <c r="S135" s="4">
        <v>0</v>
      </c>
      <c r="T135" s="7">
        <f t="shared" si="60"/>
        <v>0</v>
      </c>
      <c r="U135" s="7">
        <f t="shared" si="61"/>
        <v>0</v>
      </c>
      <c r="V135" s="4">
        <f t="shared" si="62"/>
        <v>0</v>
      </c>
      <c r="W135" s="7">
        <f t="shared" si="63"/>
        <v>0</v>
      </c>
      <c r="X135" s="7">
        <f t="shared" si="64"/>
        <v>0</v>
      </c>
    </row>
    <row r="136" spans="2:24" ht="15.6" customHeight="1" x14ac:dyDescent="0.3">
      <c r="B136" s="7">
        <v>1</v>
      </c>
      <c r="C136" s="7">
        <v>2</v>
      </c>
      <c r="D136" s="4">
        <v>0</v>
      </c>
      <c r="E136" s="4">
        <v>2756</v>
      </c>
      <c r="F136" s="4">
        <v>0</v>
      </c>
      <c r="G136" s="4">
        <v>0</v>
      </c>
      <c r="H136" s="4">
        <v>2169950</v>
      </c>
      <c r="I136" s="4">
        <v>0</v>
      </c>
      <c r="J136" s="7">
        <f t="shared" si="52"/>
        <v>0</v>
      </c>
      <c r="K136" s="7">
        <f t="shared" si="53"/>
        <v>2.7286696448373094E-3</v>
      </c>
      <c r="L136" s="7">
        <f t="shared" si="54"/>
        <v>0</v>
      </c>
      <c r="M136" s="7">
        <f t="shared" si="55"/>
        <v>0</v>
      </c>
      <c r="N136" s="7">
        <f t="shared" si="56"/>
        <v>1.5747097242380261</v>
      </c>
      <c r="O136" s="7">
        <f t="shared" si="57"/>
        <v>0</v>
      </c>
      <c r="P136" s="7" t="str">
        <f t="shared" si="58"/>
        <v>(1, 2]</v>
      </c>
      <c r="Q136" s="7" t="s">
        <v>93</v>
      </c>
      <c r="R136" s="7">
        <f t="shared" si="59"/>
        <v>2.7286696448373094E-3</v>
      </c>
      <c r="S136" s="4">
        <v>0</v>
      </c>
      <c r="T136" s="7">
        <f t="shared" si="60"/>
        <v>0</v>
      </c>
      <c r="U136" s="7">
        <f t="shared" si="61"/>
        <v>0</v>
      </c>
      <c r="V136" s="4">
        <f t="shared" si="62"/>
        <v>0</v>
      </c>
      <c r="W136" s="7">
        <f t="shared" si="63"/>
        <v>0</v>
      </c>
      <c r="X136" s="7">
        <f t="shared" si="64"/>
        <v>0</v>
      </c>
    </row>
    <row r="137" spans="2:24" ht="15.6" customHeight="1" x14ac:dyDescent="0.3">
      <c r="B137" s="7">
        <v>2</v>
      </c>
      <c r="C137" s="7">
        <v>3</v>
      </c>
      <c r="D137" s="4">
        <v>0</v>
      </c>
      <c r="E137" s="4">
        <v>3023</v>
      </c>
      <c r="F137" s="4">
        <v>0</v>
      </c>
      <c r="G137" s="4">
        <v>0</v>
      </c>
      <c r="H137" s="4">
        <v>3886500</v>
      </c>
      <c r="I137" s="4">
        <v>0</v>
      </c>
      <c r="J137" s="7">
        <f t="shared" si="52"/>
        <v>0</v>
      </c>
      <c r="K137" s="7">
        <f t="shared" si="53"/>
        <v>2.9930218927224916E-3</v>
      </c>
      <c r="L137" s="7">
        <f t="shared" si="54"/>
        <v>0</v>
      </c>
      <c r="M137" s="7">
        <f t="shared" si="55"/>
        <v>0</v>
      </c>
      <c r="N137" s="7">
        <f t="shared" si="56"/>
        <v>2.5712868011908698</v>
      </c>
      <c r="O137" s="7">
        <f t="shared" si="57"/>
        <v>0</v>
      </c>
      <c r="P137" s="7" t="str">
        <f t="shared" si="58"/>
        <v>(2, 3]</v>
      </c>
      <c r="Q137" s="7" t="s">
        <v>93</v>
      </c>
      <c r="R137" s="7">
        <f t="shared" si="59"/>
        <v>2.9930218927224916E-3</v>
      </c>
      <c r="S137" s="4">
        <v>0</v>
      </c>
      <c r="T137" s="7">
        <f t="shared" si="60"/>
        <v>0</v>
      </c>
      <c r="U137" s="7">
        <f t="shared" si="61"/>
        <v>0</v>
      </c>
      <c r="V137" s="4">
        <f t="shared" si="62"/>
        <v>0</v>
      </c>
      <c r="W137" s="7">
        <f t="shared" si="63"/>
        <v>0</v>
      </c>
      <c r="X137" s="7">
        <f t="shared" si="64"/>
        <v>0</v>
      </c>
    </row>
    <row r="138" spans="2:24" ht="15.6" customHeight="1" x14ac:dyDescent="0.3">
      <c r="B138" s="7">
        <v>3</v>
      </c>
      <c r="C138" s="7">
        <v>4</v>
      </c>
      <c r="D138" s="4">
        <v>0</v>
      </c>
      <c r="E138" s="4">
        <v>3095</v>
      </c>
      <c r="F138" s="4">
        <v>0</v>
      </c>
      <c r="G138" s="4">
        <v>0</v>
      </c>
      <c r="H138" s="4">
        <v>5503800</v>
      </c>
      <c r="I138" s="4">
        <v>0</v>
      </c>
      <c r="J138" s="7">
        <f t="shared" si="52"/>
        <v>0</v>
      </c>
      <c r="K138" s="7">
        <f t="shared" si="53"/>
        <v>3.0643078921522037E-3</v>
      </c>
      <c r="L138" s="7">
        <f t="shared" si="54"/>
        <v>0</v>
      </c>
      <c r="M138" s="7">
        <f t="shared" si="55"/>
        <v>0</v>
      </c>
      <c r="N138" s="7">
        <f t="shared" si="56"/>
        <v>3.5565751211631662</v>
      </c>
      <c r="O138" s="7">
        <f t="shared" si="57"/>
        <v>0</v>
      </c>
      <c r="P138" s="7" t="str">
        <f t="shared" si="58"/>
        <v>(3, 4]</v>
      </c>
      <c r="Q138" s="7" t="s">
        <v>93</v>
      </c>
      <c r="R138" s="7">
        <f t="shared" si="59"/>
        <v>3.0643078921522037E-3</v>
      </c>
      <c r="S138" s="4">
        <v>0</v>
      </c>
      <c r="T138" s="7">
        <f t="shared" si="60"/>
        <v>0</v>
      </c>
      <c r="U138" s="7">
        <f t="shared" si="61"/>
        <v>0</v>
      </c>
      <c r="V138" s="4">
        <f t="shared" si="62"/>
        <v>0</v>
      </c>
      <c r="W138" s="7">
        <f t="shared" si="63"/>
        <v>0</v>
      </c>
      <c r="X138" s="7">
        <f t="shared" si="64"/>
        <v>0</v>
      </c>
    </row>
    <row r="139" spans="2:24" ht="15.6" customHeight="1" x14ac:dyDescent="0.3">
      <c r="B139" s="7">
        <v>4</v>
      </c>
      <c r="C139" s="7">
        <v>5</v>
      </c>
      <c r="D139" s="4">
        <v>0</v>
      </c>
      <c r="E139" s="4">
        <v>3068</v>
      </c>
      <c r="F139" s="4">
        <v>0</v>
      </c>
      <c r="G139" s="4">
        <v>0</v>
      </c>
      <c r="H139" s="4">
        <v>7011850</v>
      </c>
      <c r="I139" s="4">
        <v>0</v>
      </c>
      <c r="J139" s="7">
        <f t="shared" si="52"/>
        <v>0</v>
      </c>
      <c r="K139" s="7">
        <f t="shared" si="53"/>
        <v>3.0375756423660616E-3</v>
      </c>
      <c r="L139" s="7">
        <f t="shared" si="54"/>
        <v>0</v>
      </c>
      <c r="M139" s="7">
        <f t="shared" si="55"/>
        <v>0</v>
      </c>
      <c r="N139" s="7">
        <f t="shared" si="56"/>
        <v>4.5709582790091261</v>
      </c>
      <c r="O139" s="7">
        <f t="shared" si="57"/>
        <v>0</v>
      </c>
      <c r="P139" s="7" t="str">
        <f t="shared" si="58"/>
        <v>(4, 5]</v>
      </c>
      <c r="Q139" s="7" t="s">
        <v>93</v>
      </c>
      <c r="R139" s="7">
        <f t="shared" si="59"/>
        <v>3.0375756423660616E-3</v>
      </c>
      <c r="S139" s="4">
        <v>3.0000000000000001E-3</v>
      </c>
      <c r="T139" s="7">
        <f t="shared" si="60"/>
        <v>9.1127269270981855E-6</v>
      </c>
      <c r="U139" s="7">
        <f t="shared" si="61"/>
        <v>7.7956993188093898E-5</v>
      </c>
      <c r="V139" s="4">
        <f t="shared" si="62"/>
        <v>77956</v>
      </c>
      <c r="W139" s="7">
        <f t="shared" si="63"/>
        <v>7.7956001247296019E-5</v>
      </c>
      <c r="X139" s="7">
        <f t="shared" si="64"/>
        <v>3.5633362359843544E-4</v>
      </c>
    </row>
    <row r="140" spans="2:24" ht="15.6" customHeight="1" x14ac:dyDescent="0.3">
      <c r="B140" s="7">
        <v>5</v>
      </c>
      <c r="C140" s="7">
        <v>6</v>
      </c>
      <c r="D140" s="4">
        <v>0</v>
      </c>
      <c r="E140" s="4">
        <v>3185</v>
      </c>
      <c r="F140" s="4">
        <v>0</v>
      </c>
      <c r="G140" s="4">
        <v>0</v>
      </c>
      <c r="H140" s="4">
        <v>8850050</v>
      </c>
      <c r="I140" s="4">
        <v>0</v>
      </c>
      <c r="J140" s="7">
        <f t="shared" si="52"/>
        <v>0</v>
      </c>
      <c r="K140" s="7">
        <f t="shared" si="53"/>
        <v>3.1534153914393437E-3</v>
      </c>
      <c r="L140" s="7">
        <f t="shared" si="54"/>
        <v>0</v>
      </c>
      <c r="M140" s="7">
        <f t="shared" si="55"/>
        <v>0</v>
      </c>
      <c r="N140" s="7">
        <f t="shared" si="56"/>
        <v>5.5573312401883834</v>
      </c>
      <c r="O140" s="7">
        <f t="shared" si="57"/>
        <v>0</v>
      </c>
      <c r="P140" s="7" t="str">
        <f t="shared" si="58"/>
        <v>(5, 6]</v>
      </c>
      <c r="Q140" s="7" t="s">
        <v>93</v>
      </c>
      <c r="R140" s="7">
        <f t="shared" si="59"/>
        <v>3.1534153914393437E-3</v>
      </c>
      <c r="S140" s="4">
        <v>2.4E-2</v>
      </c>
      <c r="T140" s="7">
        <f t="shared" si="60"/>
        <v>7.5681969394544247E-5</v>
      </c>
      <c r="U140" s="7">
        <f t="shared" si="61"/>
        <v>6.4743943495196624E-4</v>
      </c>
      <c r="V140" s="4">
        <f t="shared" si="62"/>
        <v>647439</v>
      </c>
      <c r="W140" s="7">
        <f t="shared" si="63"/>
        <v>6.4743901035902416E-4</v>
      </c>
      <c r="X140" s="7">
        <f t="shared" si="64"/>
        <v>3.5980329808163267E-3</v>
      </c>
    </row>
    <row r="141" spans="2:24" ht="15.6" customHeight="1" x14ac:dyDescent="0.3">
      <c r="B141" s="7">
        <v>6</v>
      </c>
      <c r="C141" s="7">
        <v>7</v>
      </c>
      <c r="D141" s="4">
        <v>0</v>
      </c>
      <c r="E141" s="4">
        <v>3215</v>
      </c>
      <c r="F141" s="4">
        <v>0</v>
      </c>
      <c r="G141" s="4">
        <v>0</v>
      </c>
      <c r="H141" s="4">
        <v>10540600</v>
      </c>
      <c r="I141" s="4">
        <v>0</v>
      </c>
      <c r="J141" s="7">
        <f t="shared" si="52"/>
        <v>0</v>
      </c>
      <c r="K141" s="7">
        <f t="shared" si="53"/>
        <v>3.1831178912017236E-3</v>
      </c>
      <c r="L141" s="7">
        <f t="shared" si="54"/>
        <v>0</v>
      </c>
      <c r="M141" s="7">
        <f t="shared" si="55"/>
        <v>0</v>
      </c>
      <c r="N141" s="7">
        <f t="shared" si="56"/>
        <v>6.5571384136858484</v>
      </c>
      <c r="O141" s="7">
        <f t="shared" si="57"/>
        <v>0</v>
      </c>
      <c r="P141" s="7" t="str">
        <f t="shared" si="58"/>
        <v>(6, 7]</v>
      </c>
      <c r="Q141" s="7" t="s">
        <v>93</v>
      </c>
      <c r="R141" s="7">
        <f t="shared" si="59"/>
        <v>3.1831178912017236E-3</v>
      </c>
      <c r="S141" s="4">
        <v>3.15E-2</v>
      </c>
      <c r="T141" s="7">
        <f t="shared" si="60"/>
        <v>1.0026821357285429E-4</v>
      </c>
      <c r="U141" s="7">
        <f t="shared" si="61"/>
        <v>8.5776831732303771E-4</v>
      </c>
      <c r="V141" s="4">
        <f t="shared" si="62"/>
        <v>857768</v>
      </c>
      <c r="W141" s="7">
        <f t="shared" si="63"/>
        <v>8.5776801372428827E-4</v>
      </c>
      <c r="X141" s="7">
        <f t="shared" si="64"/>
        <v>5.6245035028304833E-3</v>
      </c>
    </row>
    <row r="142" spans="2:24" ht="15.6" customHeight="1" x14ac:dyDescent="0.3">
      <c r="B142" s="7">
        <v>7</v>
      </c>
      <c r="C142" s="7">
        <v>8</v>
      </c>
      <c r="D142" s="4">
        <v>0</v>
      </c>
      <c r="E142" s="4">
        <v>3055</v>
      </c>
      <c r="F142" s="4">
        <v>0</v>
      </c>
      <c r="G142" s="4">
        <v>0</v>
      </c>
      <c r="H142" s="4">
        <v>11542100</v>
      </c>
      <c r="I142" s="4">
        <v>0</v>
      </c>
      <c r="J142" s="7">
        <f t="shared" si="52"/>
        <v>0</v>
      </c>
      <c r="K142" s="7">
        <f t="shared" si="53"/>
        <v>3.024704559135697E-3</v>
      </c>
      <c r="L142" s="7">
        <f t="shared" si="54"/>
        <v>0</v>
      </c>
      <c r="M142" s="7">
        <f t="shared" si="55"/>
        <v>0</v>
      </c>
      <c r="N142" s="7">
        <f t="shared" si="56"/>
        <v>7.5562029459901794</v>
      </c>
      <c r="O142" s="7">
        <f t="shared" si="57"/>
        <v>0</v>
      </c>
      <c r="P142" s="7" t="str">
        <f t="shared" si="58"/>
        <v>(7, 8]</v>
      </c>
      <c r="Q142" s="7" t="s">
        <v>93</v>
      </c>
      <c r="R142" s="7">
        <f t="shared" si="59"/>
        <v>3.024704559135697E-3</v>
      </c>
      <c r="S142" s="4">
        <v>3.7999999999999999E-2</v>
      </c>
      <c r="T142" s="7">
        <f t="shared" si="60"/>
        <v>1.1493877324715648E-4</v>
      </c>
      <c r="U142" s="7">
        <f t="shared" si="61"/>
        <v>9.8327111464643858E-4</v>
      </c>
      <c r="V142" s="4">
        <f t="shared" si="62"/>
        <v>983271</v>
      </c>
      <c r="W142" s="7">
        <f t="shared" si="63"/>
        <v>9.832710157323362E-4</v>
      </c>
      <c r="X142" s="7">
        <f t="shared" si="64"/>
        <v>7.429795226906709E-3</v>
      </c>
    </row>
    <row r="143" spans="2:24" ht="15.6" customHeight="1" x14ac:dyDescent="0.3">
      <c r="B143" s="7">
        <v>8</v>
      </c>
      <c r="C143" s="7">
        <v>9</v>
      </c>
      <c r="D143" s="4">
        <v>0</v>
      </c>
      <c r="E143" s="4">
        <v>3155</v>
      </c>
      <c r="F143" s="4">
        <v>0</v>
      </c>
      <c r="G143" s="4">
        <v>0</v>
      </c>
      <c r="H143" s="4">
        <v>13497550</v>
      </c>
      <c r="I143" s="4">
        <v>0</v>
      </c>
      <c r="J143" s="7">
        <f t="shared" si="52"/>
        <v>0</v>
      </c>
      <c r="K143" s="7">
        <f t="shared" si="53"/>
        <v>3.1237128916769634E-3</v>
      </c>
      <c r="L143" s="7">
        <f t="shared" si="54"/>
        <v>0</v>
      </c>
      <c r="M143" s="7">
        <f t="shared" si="55"/>
        <v>0</v>
      </c>
      <c r="N143" s="7">
        <f t="shared" si="56"/>
        <v>8.5562916006339158</v>
      </c>
      <c r="O143" s="7">
        <f t="shared" si="57"/>
        <v>0</v>
      </c>
      <c r="P143" s="7" t="str">
        <f t="shared" si="58"/>
        <v>(8, 9]</v>
      </c>
      <c r="Q143" s="7" t="s">
        <v>93</v>
      </c>
      <c r="R143" s="7">
        <f t="shared" si="59"/>
        <v>3.1237128916769634E-3</v>
      </c>
      <c r="S143" s="4">
        <v>4.2500000000000003E-2</v>
      </c>
      <c r="T143" s="7">
        <f t="shared" si="60"/>
        <v>1.3275779789627095E-4</v>
      </c>
      <c r="U143" s="7">
        <f t="shared" si="61"/>
        <v>1.1357082055745915E-3</v>
      </c>
      <c r="V143" s="4">
        <f t="shared" si="62"/>
        <v>1135708</v>
      </c>
      <c r="W143" s="7">
        <f t="shared" si="63"/>
        <v>1.1357080181713282E-3</v>
      </c>
      <c r="X143" s="7">
        <f t="shared" si="64"/>
        <v>9.7174488211727444E-3</v>
      </c>
    </row>
    <row r="144" spans="2:24" ht="15.6" customHeight="1" x14ac:dyDescent="0.3">
      <c r="B144" s="7">
        <v>9</v>
      </c>
      <c r="C144" s="7">
        <v>10</v>
      </c>
      <c r="D144" s="4">
        <v>0</v>
      </c>
      <c r="E144" s="4">
        <v>3289</v>
      </c>
      <c r="F144" s="4">
        <v>0</v>
      </c>
      <c r="G144" s="4">
        <v>0</v>
      </c>
      <c r="H144" s="4">
        <v>15750950</v>
      </c>
      <c r="I144" s="4">
        <v>0</v>
      </c>
      <c r="J144" s="7">
        <f t="shared" si="52"/>
        <v>0</v>
      </c>
      <c r="K144" s="7">
        <f t="shared" si="53"/>
        <v>3.2563840572822607E-3</v>
      </c>
      <c r="L144" s="7">
        <f t="shared" si="54"/>
        <v>0</v>
      </c>
      <c r="M144" s="7">
        <f t="shared" si="55"/>
        <v>0</v>
      </c>
      <c r="N144" s="7">
        <f t="shared" si="56"/>
        <v>9.5779568257829126</v>
      </c>
      <c r="O144" s="7">
        <f t="shared" si="57"/>
        <v>0</v>
      </c>
      <c r="P144" s="7" t="str">
        <f t="shared" si="58"/>
        <v>(9, 10]</v>
      </c>
      <c r="Q144" s="7" t="s">
        <v>93</v>
      </c>
      <c r="R144" s="7">
        <f t="shared" si="59"/>
        <v>3.2563840572822607E-3</v>
      </c>
      <c r="S144" s="4">
        <v>5.1499999999999997E-2</v>
      </c>
      <c r="T144" s="7">
        <f t="shared" si="60"/>
        <v>1.6770377895003642E-4</v>
      </c>
      <c r="U144" s="7">
        <f t="shared" si="61"/>
        <v>1.4346619247800414E-3</v>
      </c>
      <c r="V144" s="4">
        <f t="shared" si="62"/>
        <v>1434661</v>
      </c>
      <c r="W144" s="7">
        <f t="shared" si="63"/>
        <v>1.4346610229545764E-3</v>
      </c>
      <c r="X144" s="7">
        <f t="shared" si="64"/>
        <v>1.3741121117634538E-2</v>
      </c>
    </row>
    <row r="145" spans="2:24" ht="15.6" customHeight="1" x14ac:dyDescent="0.3">
      <c r="B145" s="7">
        <v>10</v>
      </c>
      <c r="C145" s="7">
        <v>15</v>
      </c>
      <c r="D145" s="4">
        <v>0</v>
      </c>
      <c r="E145" s="4">
        <v>16424</v>
      </c>
      <c r="F145" s="4">
        <v>0</v>
      </c>
      <c r="G145" s="4">
        <v>0</v>
      </c>
      <c r="H145" s="4">
        <v>103238050</v>
      </c>
      <c r="I145" s="4">
        <v>0</v>
      </c>
      <c r="J145" s="7">
        <f t="shared" si="52"/>
        <v>0</v>
      </c>
      <c r="K145" s="7">
        <f t="shared" si="53"/>
        <v>1.626112853657764E-2</v>
      </c>
      <c r="L145" s="7">
        <f t="shared" si="54"/>
        <v>0</v>
      </c>
      <c r="M145" s="7">
        <f t="shared" si="55"/>
        <v>0</v>
      </c>
      <c r="N145" s="7">
        <f t="shared" si="56"/>
        <v>12.571608621529469</v>
      </c>
      <c r="O145" s="7">
        <f t="shared" si="57"/>
        <v>0</v>
      </c>
      <c r="P145" s="7" t="str">
        <f t="shared" si="58"/>
        <v>(10, 15]</v>
      </c>
      <c r="Q145" s="7" t="s">
        <v>93</v>
      </c>
      <c r="R145" s="7">
        <f t="shared" si="59"/>
        <v>1.626112853657764E-2</v>
      </c>
      <c r="S145" s="4">
        <v>6.8150000000000002E-2</v>
      </c>
      <c r="T145" s="7">
        <f t="shared" si="60"/>
        <v>1.1081959097677661E-3</v>
      </c>
      <c r="U145" s="7">
        <f t="shared" si="61"/>
        <v>9.4803258870777354E-3</v>
      </c>
      <c r="V145" s="4">
        <f t="shared" si="62"/>
        <v>9480325</v>
      </c>
      <c r="W145" s="7">
        <f t="shared" si="63"/>
        <v>9.4803251516852021E-3</v>
      </c>
      <c r="X145" s="7">
        <f t="shared" si="64"/>
        <v>0.11918293550490136</v>
      </c>
    </row>
    <row r="146" spans="2:24" ht="15.6" customHeight="1" x14ac:dyDescent="0.3">
      <c r="B146" s="7">
        <v>15</v>
      </c>
      <c r="C146" s="7">
        <v>20</v>
      </c>
      <c r="D146" s="4">
        <v>0</v>
      </c>
      <c r="E146" s="4">
        <v>17312</v>
      </c>
      <c r="F146" s="4">
        <v>0</v>
      </c>
      <c r="G146" s="4">
        <v>0</v>
      </c>
      <c r="H146" s="4">
        <v>152147550</v>
      </c>
      <c r="I146" s="4">
        <v>0</v>
      </c>
      <c r="J146" s="7">
        <f t="shared" si="52"/>
        <v>0</v>
      </c>
      <c r="K146" s="7">
        <f t="shared" si="53"/>
        <v>1.7140322529544085E-2</v>
      </c>
      <c r="L146" s="7">
        <f t="shared" si="54"/>
        <v>0</v>
      </c>
      <c r="M146" s="7">
        <f t="shared" si="55"/>
        <v>0</v>
      </c>
      <c r="N146" s="7">
        <f t="shared" si="56"/>
        <v>17.577119916820703</v>
      </c>
      <c r="O146" s="7">
        <f t="shared" si="57"/>
        <v>0</v>
      </c>
      <c r="P146" s="7" t="str">
        <f t="shared" si="58"/>
        <v>(15, 20]</v>
      </c>
      <c r="Q146" s="7" t="s">
        <v>93</v>
      </c>
      <c r="R146" s="7">
        <f t="shared" si="59"/>
        <v>1.7140322529544085E-2</v>
      </c>
      <c r="S146" s="4">
        <v>0.09</v>
      </c>
      <c r="T146" s="7">
        <f t="shared" si="60"/>
        <v>1.5426290276589676E-3</v>
      </c>
      <c r="U146" s="7">
        <f t="shared" si="61"/>
        <v>1.3196787477890626E-2</v>
      </c>
      <c r="V146" s="4">
        <f t="shared" si="62"/>
        <v>13196787</v>
      </c>
      <c r="W146" s="7">
        <f t="shared" si="63"/>
        <v>1.3196787211148595E-2</v>
      </c>
      <c r="X146" s="7">
        <f t="shared" si="64"/>
        <v>0.23196150761574053</v>
      </c>
    </row>
    <row r="147" spans="2:24" ht="15.6" customHeight="1" x14ac:dyDescent="0.3">
      <c r="B147" s="7">
        <v>20</v>
      </c>
      <c r="C147" s="7">
        <v>25</v>
      </c>
      <c r="D147" s="4">
        <v>0</v>
      </c>
      <c r="E147" s="4">
        <v>17755</v>
      </c>
      <c r="F147" s="4">
        <v>0</v>
      </c>
      <c r="G147" s="4">
        <v>0</v>
      </c>
      <c r="H147" s="4">
        <v>200341300</v>
      </c>
      <c r="I147" s="4">
        <v>0</v>
      </c>
      <c r="J147" s="7">
        <f t="shared" si="52"/>
        <v>0</v>
      </c>
      <c r="K147" s="7">
        <f t="shared" si="53"/>
        <v>1.7578929442701896E-2</v>
      </c>
      <c r="L147" s="7">
        <f t="shared" si="54"/>
        <v>0</v>
      </c>
      <c r="M147" s="7">
        <f t="shared" si="55"/>
        <v>0</v>
      </c>
      <c r="N147" s="7">
        <f t="shared" si="56"/>
        <v>22.567310616727681</v>
      </c>
      <c r="O147" s="7">
        <f t="shared" si="57"/>
        <v>0</v>
      </c>
      <c r="P147" s="7" t="str">
        <f t="shared" si="58"/>
        <v>(20, 25]</v>
      </c>
      <c r="Q147" s="7" t="s">
        <v>93</v>
      </c>
      <c r="R147" s="7">
        <f t="shared" si="59"/>
        <v>1.7578929442701896E-2</v>
      </c>
      <c r="S147" s="4">
        <v>0.13</v>
      </c>
      <c r="T147" s="7">
        <f t="shared" si="60"/>
        <v>2.2852608275512466E-3</v>
      </c>
      <c r="U147" s="7">
        <f t="shared" si="61"/>
        <v>1.9549808108115921E-2</v>
      </c>
      <c r="V147" s="4">
        <f t="shared" si="62"/>
        <v>19549808</v>
      </c>
      <c r="W147" s="7">
        <f t="shared" si="63"/>
        <v>1.9549808312796933E-2</v>
      </c>
      <c r="X147" s="7">
        <f t="shared" si="64"/>
        <v>0.44118658963338775</v>
      </c>
    </row>
    <row r="148" spans="2:24" ht="15.6" customHeight="1" x14ac:dyDescent="0.3">
      <c r="B148" s="7">
        <v>25</v>
      </c>
      <c r="C148" s="7">
        <v>30</v>
      </c>
      <c r="D148" s="4">
        <v>0</v>
      </c>
      <c r="E148" s="4">
        <v>18253</v>
      </c>
      <c r="F148" s="4">
        <v>0</v>
      </c>
      <c r="G148" s="4">
        <v>0</v>
      </c>
      <c r="H148" s="4">
        <v>251527900</v>
      </c>
      <c r="I148" s="4">
        <v>0</v>
      </c>
      <c r="J148" s="7">
        <f t="shared" si="52"/>
        <v>0</v>
      </c>
      <c r="K148" s="7">
        <f t="shared" si="53"/>
        <v>1.8071990938757405E-2</v>
      </c>
      <c r="L148" s="7">
        <f t="shared" si="54"/>
        <v>0</v>
      </c>
      <c r="M148" s="7">
        <f t="shared" si="55"/>
        <v>0</v>
      </c>
      <c r="N148" s="7">
        <f t="shared" si="56"/>
        <v>27.560170930805896</v>
      </c>
      <c r="O148" s="7">
        <f t="shared" si="57"/>
        <v>0</v>
      </c>
      <c r="P148" s="7" t="str">
        <f t="shared" si="58"/>
        <v>(25, 30]</v>
      </c>
      <c r="Q148" s="7" t="s">
        <v>93</v>
      </c>
      <c r="R148" s="7">
        <f t="shared" si="59"/>
        <v>1.8071990938757405E-2</v>
      </c>
      <c r="S148" s="4">
        <v>0.16</v>
      </c>
      <c r="T148" s="7">
        <f t="shared" si="60"/>
        <v>2.891518550201185E-3</v>
      </c>
      <c r="U148" s="7">
        <f t="shared" si="61"/>
        <v>2.4736184209687578E-2</v>
      </c>
      <c r="V148" s="4">
        <f t="shared" si="62"/>
        <v>24736184</v>
      </c>
      <c r="W148" s="7">
        <f t="shared" si="63"/>
        <v>2.4736184395778949E-2</v>
      </c>
      <c r="X148" s="7">
        <f t="shared" si="64"/>
        <v>0.68173345921586581</v>
      </c>
    </row>
    <row r="149" spans="2:24" ht="15.6" customHeight="1" x14ac:dyDescent="0.3">
      <c r="B149" s="7">
        <v>30</v>
      </c>
      <c r="C149" s="7">
        <v>35</v>
      </c>
      <c r="D149" s="4">
        <v>0</v>
      </c>
      <c r="E149" s="4">
        <v>18334</v>
      </c>
      <c r="F149" s="4">
        <v>0</v>
      </c>
      <c r="G149" s="4">
        <v>0</v>
      </c>
      <c r="H149" s="4">
        <v>298518250</v>
      </c>
      <c r="I149" s="4">
        <v>0</v>
      </c>
      <c r="J149" s="7">
        <f t="shared" si="52"/>
        <v>0</v>
      </c>
      <c r="K149" s="7">
        <f t="shared" si="53"/>
        <v>1.8152187688115832E-2</v>
      </c>
      <c r="L149" s="7">
        <f t="shared" si="54"/>
        <v>0</v>
      </c>
      <c r="M149" s="7">
        <f t="shared" si="55"/>
        <v>0</v>
      </c>
      <c r="N149" s="7">
        <f t="shared" si="56"/>
        <v>32.564443111159598</v>
      </c>
      <c r="O149" s="7">
        <f t="shared" si="57"/>
        <v>0</v>
      </c>
      <c r="P149" s="7" t="str">
        <f t="shared" si="58"/>
        <v>(30, 35]</v>
      </c>
      <c r="Q149" s="7" t="s">
        <v>93</v>
      </c>
      <c r="R149" s="7">
        <f t="shared" si="59"/>
        <v>1.8152187688115832E-2</v>
      </c>
      <c r="S149" s="4">
        <v>2.8</v>
      </c>
      <c r="T149" s="7">
        <f t="shared" si="60"/>
        <v>5.0826125526724324E-2</v>
      </c>
      <c r="U149" s="7">
        <f t="shared" si="61"/>
        <v>0.43480419781719226</v>
      </c>
      <c r="V149" s="4">
        <f t="shared" si="62"/>
        <v>434804197</v>
      </c>
      <c r="W149" s="7">
        <f t="shared" si="63"/>
        <v>0.43480420395686725</v>
      </c>
      <c r="X149" s="7">
        <f t="shared" si="64"/>
        <v>14.15915653769993</v>
      </c>
    </row>
    <row r="150" spans="2:24" ht="15.6" customHeight="1" x14ac:dyDescent="0.3">
      <c r="B150" s="7">
        <v>35</v>
      </c>
      <c r="C150" s="7">
        <v>40</v>
      </c>
      <c r="D150" s="4">
        <v>0</v>
      </c>
      <c r="E150" s="4">
        <v>18324</v>
      </c>
      <c r="F150" s="4">
        <v>0</v>
      </c>
      <c r="G150" s="4">
        <v>0</v>
      </c>
      <c r="H150" s="4">
        <v>344092900</v>
      </c>
      <c r="I150" s="4">
        <v>0</v>
      </c>
      <c r="J150" s="7">
        <f t="shared" si="52"/>
        <v>0</v>
      </c>
      <c r="K150" s="7">
        <f t="shared" si="53"/>
        <v>1.8142286854861706E-2</v>
      </c>
      <c r="L150" s="7">
        <f t="shared" si="54"/>
        <v>0</v>
      </c>
      <c r="M150" s="7">
        <f t="shared" si="55"/>
        <v>0</v>
      </c>
      <c r="N150" s="7">
        <f t="shared" si="56"/>
        <v>37.556526959179216</v>
      </c>
      <c r="O150" s="7">
        <f t="shared" si="57"/>
        <v>0</v>
      </c>
      <c r="P150" s="7" t="str">
        <f t="shared" si="58"/>
        <v>(35, 40]</v>
      </c>
      <c r="Q150" s="7" t="s">
        <v>93</v>
      </c>
      <c r="R150" s="7">
        <f t="shared" si="59"/>
        <v>1.8142286854861706E-2</v>
      </c>
      <c r="S150" s="4">
        <v>1.38</v>
      </c>
      <c r="T150" s="7">
        <f t="shared" si="60"/>
        <v>2.5036355859709154E-2</v>
      </c>
      <c r="U150" s="7">
        <f t="shared" si="61"/>
        <v>0.2141794699681131</v>
      </c>
      <c r="V150" s="4">
        <f t="shared" si="62"/>
        <v>214179469</v>
      </c>
      <c r="W150" s="7">
        <f t="shared" si="63"/>
        <v>0.21417947242687155</v>
      </c>
      <c r="X150" s="7">
        <f t="shared" si="64"/>
        <v>8.0438370016011902</v>
      </c>
    </row>
    <row r="151" spans="2:24" ht="15.6" customHeight="1" x14ac:dyDescent="0.3">
      <c r="B151" s="7">
        <v>40</v>
      </c>
      <c r="C151" s="7">
        <v>45</v>
      </c>
      <c r="D151" s="4">
        <v>0</v>
      </c>
      <c r="E151" s="4">
        <v>18489</v>
      </c>
      <c r="F151" s="4">
        <v>0</v>
      </c>
      <c r="G151" s="4">
        <v>0</v>
      </c>
      <c r="H151" s="4">
        <v>393412650</v>
      </c>
      <c r="I151" s="4">
        <v>0</v>
      </c>
      <c r="J151" s="7">
        <f t="shared" si="52"/>
        <v>0</v>
      </c>
      <c r="K151" s="7">
        <f t="shared" si="53"/>
        <v>1.8305650603554796E-2</v>
      </c>
      <c r="L151" s="7">
        <f t="shared" si="54"/>
        <v>0</v>
      </c>
      <c r="M151" s="7">
        <f t="shared" si="55"/>
        <v>0</v>
      </c>
      <c r="N151" s="7">
        <f t="shared" si="56"/>
        <v>42.556401103358752</v>
      </c>
      <c r="O151" s="7">
        <f t="shared" si="57"/>
        <v>0</v>
      </c>
      <c r="P151" s="7" t="str">
        <f t="shared" si="58"/>
        <v>(40, 45]</v>
      </c>
      <c r="Q151" s="7" t="s">
        <v>93</v>
      </c>
      <c r="R151" s="7">
        <f t="shared" si="59"/>
        <v>1.8305650603554796E-2</v>
      </c>
      <c r="S151" s="4">
        <v>0.75</v>
      </c>
      <c r="T151" s="7">
        <f t="shared" si="60"/>
        <v>1.3729237952666097E-2</v>
      </c>
      <c r="U151" s="7">
        <f t="shared" si="61"/>
        <v>0.11745003642883541</v>
      </c>
      <c r="V151" s="4">
        <f t="shared" si="62"/>
        <v>117450036</v>
      </c>
      <c r="W151" s="7">
        <f t="shared" si="63"/>
        <v>0.11745003787920061</v>
      </c>
      <c r="X151" s="7">
        <f t="shared" si="64"/>
        <v>4.9982508416199254</v>
      </c>
    </row>
    <row r="152" spans="2:24" ht="15.6" customHeight="1" x14ac:dyDescent="0.3">
      <c r="B152" s="7">
        <v>45</v>
      </c>
      <c r="C152" s="7">
        <v>50</v>
      </c>
      <c r="D152" s="4">
        <v>0</v>
      </c>
      <c r="E152" s="4">
        <v>18523</v>
      </c>
      <c r="F152" s="4">
        <v>0</v>
      </c>
      <c r="G152" s="4">
        <v>0</v>
      </c>
      <c r="H152" s="4">
        <v>440355950</v>
      </c>
      <c r="I152" s="4">
        <v>0</v>
      </c>
      <c r="J152" s="7">
        <f t="shared" si="52"/>
        <v>0</v>
      </c>
      <c r="K152" s="7">
        <f t="shared" si="53"/>
        <v>1.8339313436618827E-2</v>
      </c>
      <c r="L152" s="7">
        <f t="shared" si="54"/>
        <v>0</v>
      </c>
      <c r="M152" s="7">
        <f t="shared" si="55"/>
        <v>0</v>
      </c>
      <c r="N152" s="7">
        <f t="shared" si="56"/>
        <v>47.546936241429577</v>
      </c>
      <c r="O152" s="7">
        <f t="shared" si="57"/>
        <v>0</v>
      </c>
      <c r="P152" s="7" t="str">
        <f t="shared" si="58"/>
        <v>(45, 50]</v>
      </c>
      <c r="Q152" s="7" t="s">
        <v>93</v>
      </c>
      <c r="R152" s="7">
        <f t="shared" si="59"/>
        <v>1.8339313436618827E-2</v>
      </c>
      <c r="S152" s="4">
        <v>0.437</v>
      </c>
      <c r="T152" s="7">
        <f t="shared" si="60"/>
        <v>8.0142799718024276E-3</v>
      </c>
      <c r="U152" s="7">
        <f t="shared" si="61"/>
        <v>6.8560067054289298E-2</v>
      </c>
      <c r="V152" s="4">
        <f t="shared" si="62"/>
        <v>68560067</v>
      </c>
      <c r="W152" s="7">
        <f t="shared" si="63"/>
        <v>6.8560068096961094E-2</v>
      </c>
      <c r="X152" s="7">
        <f t="shared" si="64"/>
        <v>3.2598211343571402</v>
      </c>
    </row>
    <row r="153" spans="2:24" ht="15.6" customHeight="1" x14ac:dyDescent="0.3">
      <c r="B153" s="7">
        <v>50</v>
      </c>
      <c r="C153" s="7">
        <v>60</v>
      </c>
      <c r="D153" s="4">
        <v>0</v>
      </c>
      <c r="E153" s="4">
        <v>37030</v>
      </c>
      <c r="F153" s="4">
        <v>0</v>
      </c>
      <c r="G153" s="4">
        <v>0</v>
      </c>
      <c r="H153" s="4">
        <v>1019239350</v>
      </c>
      <c r="I153" s="4">
        <v>0</v>
      </c>
      <c r="J153" s="7">
        <f t="shared" si="52"/>
        <v>0</v>
      </c>
      <c r="K153" s="7">
        <f t="shared" si="53"/>
        <v>3.6662785540031051E-2</v>
      </c>
      <c r="L153" s="7">
        <f t="shared" si="54"/>
        <v>0</v>
      </c>
      <c r="M153" s="7">
        <f t="shared" si="55"/>
        <v>0</v>
      </c>
      <c r="N153" s="7">
        <f t="shared" si="56"/>
        <v>55.049384283013772</v>
      </c>
      <c r="O153" s="7">
        <f t="shared" si="57"/>
        <v>0</v>
      </c>
      <c r="P153" s="7" t="str">
        <f t="shared" si="58"/>
        <v>(50, 60]</v>
      </c>
      <c r="Q153" s="7" t="s">
        <v>93</v>
      </c>
      <c r="R153" s="7">
        <f t="shared" si="59"/>
        <v>3.6662785540031051E-2</v>
      </c>
      <c r="S153" s="4">
        <v>0.13500000000000001</v>
      </c>
      <c r="T153" s="7">
        <f t="shared" si="60"/>
        <v>4.9494760479041923E-3</v>
      </c>
      <c r="U153" s="7">
        <f t="shared" si="61"/>
        <v>4.2341471837998787E-2</v>
      </c>
      <c r="V153" s="4">
        <f t="shared" si="62"/>
        <v>42341471</v>
      </c>
      <c r="W153" s="7">
        <f t="shared" si="63"/>
        <v>4.2341471677463549E-2</v>
      </c>
      <c r="X153" s="7">
        <f t="shared" si="64"/>
        <v>2.3308719081870835</v>
      </c>
    </row>
    <row r="154" spans="2:24" ht="15.6" customHeight="1" x14ac:dyDescent="0.3">
      <c r="B154" s="7">
        <v>60</v>
      </c>
      <c r="C154" s="7">
        <v>70</v>
      </c>
      <c r="D154" s="4">
        <v>0</v>
      </c>
      <c r="E154" s="4">
        <v>36419</v>
      </c>
      <c r="F154" s="4">
        <v>0</v>
      </c>
      <c r="G154" s="4">
        <v>0</v>
      </c>
      <c r="H154" s="4">
        <v>1184108850</v>
      </c>
      <c r="I154" s="4">
        <v>0</v>
      </c>
      <c r="J154" s="7">
        <f t="shared" si="52"/>
        <v>0</v>
      </c>
      <c r="K154" s="7">
        <f t="shared" si="53"/>
        <v>3.6057844628203911E-2</v>
      </c>
      <c r="L154" s="7">
        <f t="shared" si="54"/>
        <v>0</v>
      </c>
      <c r="M154" s="7">
        <f t="shared" si="55"/>
        <v>0</v>
      </c>
      <c r="N154" s="7">
        <f t="shared" si="56"/>
        <v>65.02698316812652</v>
      </c>
      <c r="O154" s="7">
        <f t="shared" si="57"/>
        <v>0</v>
      </c>
      <c r="P154" s="7" t="str">
        <f t="shared" si="58"/>
        <v>(60, 70]</v>
      </c>
      <c r="Q154" s="7" t="s">
        <v>93</v>
      </c>
      <c r="R154" s="7">
        <f t="shared" si="59"/>
        <v>3.6057844628203911E-2</v>
      </c>
      <c r="S154" s="4">
        <v>0.06</v>
      </c>
      <c r="T154" s="7">
        <f t="shared" si="60"/>
        <v>2.1634706776922346E-3</v>
      </c>
      <c r="U154" s="7">
        <f t="shared" si="61"/>
        <v>1.8507925260216374E-2</v>
      </c>
      <c r="V154" s="4">
        <f t="shared" si="62"/>
        <v>18507925</v>
      </c>
      <c r="W154" s="7">
        <f t="shared" si="63"/>
        <v>1.8507925296126805E-2</v>
      </c>
      <c r="X154" s="7">
        <f t="shared" si="64"/>
        <v>1.2035145274519479</v>
      </c>
    </row>
    <row r="155" spans="2:24" ht="15.6" customHeight="1" x14ac:dyDescent="0.3">
      <c r="B155" s="7">
        <v>70</v>
      </c>
      <c r="C155" s="7">
        <v>80</v>
      </c>
      <c r="D155" s="4">
        <v>0</v>
      </c>
      <c r="E155" s="4">
        <v>35182</v>
      </c>
      <c r="F155" s="4">
        <v>0</v>
      </c>
      <c r="G155" s="4">
        <v>0</v>
      </c>
      <c r="H155" s="4">
        <v>1320433850</v>
      </c>
      <c r="I155" s="4">
        <v>0</v>
      </c>
      <c r="J155" s="7">
        <f t="shared" si="52"/>
        <v>0</v>
      </c>
      <c r="K155" s="7">
        <f t="shared" si="53"/>
        <v>3.4833111554668443E-2</v>
      </c>
      <c r="L155" s="7">
        <f t="shared" si="54"/>
        <v>0</v>
      </c>
      <c r="M155" s="7">
        <f t="shared" si="55"/>
        <v>0</v>
      </c>
      <c r="N155" s="7">
        <f t="shared" si="56"/>
        <v>75.06303507475414</v>
      </c>
      <c r="O155" s="7">
        <f t="shared" si="57"/>
        <v>0</v>
      </c>
      <c r="P155" s="7" t="str">
        <f t="shared" si="58"/>
        <v>(70, 80]</v>
      </c>
      <c r="Q155" s="7" t="s">
        <v>93</v>
      </c>
      <c r="R155" s="7">
        <f t="shared" si="59"/>
        <v>3.4833111554668443E-2</v>
      </c>
      <c r="S155" s="4">
        <v>3.3000000000000002E-2</v>
      </c>
      <c r="T155" s="7">
        <f t="shared" si="60"/>
        <v>1.1494926813040587E-3</v>
      </c>
      <c r="U155" s="7">
        <f t="shared" si="61"/>
        <v>9.8336089562512125E-3</v>
      </c>
      <c r="V155" s="4">
        <f t="shared" si="62"/>
        <v>9833608</v>
      </c>
      <c r="W155" s="7">
        <f t="shared" si="63"/>
        <v>9.8336081573377303E-3</v>
      </c>
      <c r="X155" s="7">
        <f t="shared" si="64"/>
        <v>0.73814046221538299</v>
      </c>
    </row>
    <row r="156" spans="2:24" ht="15.6" customHeight="1" x14ac:dyDescent="0.3">
      <c r="B156" s="7">
        <v>80</v>
      </c>
      <c r="C156" s="7">
        <v>90</v>
      </c>
      <c r="D156" s="4">
        <v>0</v>
      </c>
      <c r="E156" s="4">
        <v>34216</v>
      </c>
      <c r="F156" s="4">
        <v>0</v>
      </c>
      <c r="G156" s="4">
        <v>0</v>
      </c>
      <c r="H156" s="4">
        <v>1454819850</v>
      </c>
      <c r="I156" s="4">
        <v>0</v>
      </c>
      <c r="J156" s="7">
        <f t="shared" si="52"/>
        <v>0</v>
      </c>
      <c r="K156" s="7">
        <f t="shared" si="53"/>
        <v>3.3876691062319803E-2</v>
      </c>
      <c r="L156" s="7">
        <f t="shared" si="54"/>
        <v>0</v>
      </c>
      <c r="M156" s="7">
        <f t="shared" si="55"/>
        <v>0</v>
      </c>
      <c r="N156" s="7">
        <f t="shared" si="56"/>
        <v>85.037400631283617</v>
      </c>
      <c r="O156" s="7">
        <f t="shared" si="57"/>
        <v>0</v>
      </c>
      <c r="P156" s="7" t="str">
        <f t="shared" si="58"/>
        <v>(80, 90]</v>
      </c>
      <c r="Q156" s="7" t="s">
        <v>93</v>
      </c>
      <c r="R156" s="7">
        <f t="shared" si="59"/>
        <v>3.3876691062319803E-2</v>
      </c>
      <c r="S156" s="4">
        <v>0.02</v>
      </c>
      <c r="T156" s="7">
        <f t="shared" si="60"/>
        <v>6.775338212463961E-4</v>
      </c>
      <c r="U156" s="7">
        <f t="shared" si="61"/>
        <v>5.7961244652842692E-3</v>
      </c>
      <c r="V156" s="4">
        <f t="shared" si="62"/>
        <v>5796124</v>
      </c>
      <c r="W156" s="7">
        <f t="shared" si="63"/>
        <v>5.7961240927379854E-3</v>
      </c>
      <c r="X156" s="7">
        <f t="shared" si="64"/>
        <v>0.49288731869659813</v>
      </c>
    </row>
    <row r="157" spans="2:24" ht="15.6" customHeight="1" x14ac:dyDescent="0.3">
      <c r="B157" s="7">
        <v>90</v>
      </c>
      <c r="C157" s="7">
        <v>100</v>
      </c>
      <c r="D157" s="4">
        <v>0</v>
      </c>
      <c r="E157" s="4">
        <v>32576</v>
      </c>
      <c r="F157" s="4">
        <v>0</v>
      </c>
      <c r="G157" s="4">
        <v>0</v>
      </c>
      <c r="H157" s="4">
        <v>1548048600</v>
      </c>
      <c r="I157" s="4">
        <v>0</v>
      </c>
      <c r="J157" s="7">
        <f t="shared" si="52"/>
        <v>0</v>
      </c>
      <c r="K157" s="7">
        <f t="shared" si="53"/>
        <v>3.2252954408643029E-2</v>
      </c>
      <c r="L157" s="7">
        <f t="shared" si="54"/>
        <v>0</v>
      </c>
      <c r="M157" s="7">
        <f t="shared" si="55"/>
        <v>0</v>
      </c>
      <c r="N157" s="7">
        <f t="shared" si="56"/>
        <v>95.042276522593326</v>
      </c>
      <c r="O157" s="7">
        <f t="shared" si="57"/>
        <v>0</v>
      </c>
      <c r="P157" s="7" t="str">
        <f t="shared" si="58"/>
        <v>(90, 100]</v>
      </c>
      <c r="Q157" s="7" t="s">
        <v>93</v>
      </c>
      <c r="R157" s="7">
        <f t="shared" si="59"/>
        <v>3.2252954408643029E-2</v>
      </c>
      <c r="S157" s="4">
        <v>1.35E-2</v>
      </c>
      <c r="T157" s="7">
        <f t="shared" si="60"/>
        <v>4.3541488451668089E-4</v>
      </c>
      <c r="U157" s="7">
        <f t="shared" si="61"/>
        <v>3.7248603472715318E-3</v>
      </c>
      <c r="V157" s="4">
        <f t="shared" si="62"/>
        <v>3724860</v>
      </c>
      <c r="W157" s="7">
        <f t="shared" si="63"/>
        <v>3.7248600595977612E-3</v>
      </c>
      <c r="X157" s="7">
        <f t="shared" si="64"/>
        <v>0.35401917412794698</v>
      </c>
    </row>
    <row r="158" spans="2:24" ht="15.6" customHeight="1" x14ac:dyDescent="0.3">
      <c r="B158" s="7">
        <v>100</v>
      </c>
      <c r="C158" s="7">
        <v>120</v>
      </c>
      <c r="D158" s="4">
        <v>0</v>
      </c>
      <c r="E158" s="4">
        <v>62171</v>
      </c>
      <c r="F158" s="4">
        <v>0</v>
      </c>
      <c r="G158" s="4">
        <v>0</v>
      </c>
      <c r="H158" s="4">
        <v>3416294900</v>
      </c>
      <c r="I158" s="4">
        <v>0</v>
      </c>
      <c r="J158" s="7">
        <f t="shared" si="52"/>
        <v>0</v>
      </c>
      <c r="K158" s="7">
        <f t="shared" si="53"/>
        <v>6.15544704242309E-2</v>
      </c>
      <c r="L158" s="7">
        <f t="shared" si="54"/>
        <v>0</v>
      </c>
      <c r="M158" s="7">
        <f t="shared" si="55"/>
        <v>0</v>
      </c>
      <c r="N158" s="7">
        <f t="shared" si="56"/>
        <v>109.89995013752392</v>
      </c>
      <c r="O158" s="7">
        <f t="shared" si="57"/>
        <v>0</v>
      </c>
      <c r="P158" s="7" t="str">
        <f t="shared" si="58"/>
        <v>(100, 120]</v>
      </c>
      <c r="Q158" s="7" t="s">
        <v>93</v>
      </c>
      <c r="R158" s="7">
        <f t="shared" si="59"/>
        <v>6.15544704242309E-2</v>
      </c>
      <c r="S158" s="4">
        <v>5.7000000000000002E-3</v>
      </c>
      <c r="T158" s="7">
        <f t="shared" si="60"/>
        <v>3.5086048141811613E-4</v>
      </c>
      <c r="U158" s="7">
        <f t="shared" si="61"/>
        <v>3.0015195647471551E-3</v>
      </c>
      <c r="V158" s="4">
        <f t="shared" si="62"/>
        <v>3001519</v>
      </c>
      <c r="W158" s="7">
        <f t="shared" si="63"/>
        <v>3.0015190480243048E-3</v>
      </c>
      <c r="X158" s="7">
        <f t="shared" si="64"/>
        <v>0.32986678843683065</v>
      </c>
    </row>
    <row r="159" spans="2:24" ht="15.6" customHeight="1" x14ac:dyDescent="0.3">
      <c r="B159" s="7">
        <v>120</v>
      </c>
      <c r="C159" s="7">
        <v>140</v>
      </c>
      <c r="D159" s="4">
        <v>0</v>
      </c>
      <c r="E159" s="4">
        <v>57718</v>
      </c>
      <c r="F159" s="4">
        <v>0</v>
      </c>
      <c r="G159" s="4">
        <v>0</v>
      </c>
      <c r="H159" s="4">
        <v>3749181050</v>
      </c>
      <c r="I159" s="4">
        <v>0</v>
      </c>
      <c r="J159" s="7">
        <f t="shared" si="52"/>
        <v>0</v>
      </c>
      <c r="K159" s="7">
        <f t="shared" si="53"/>
        <v>5.7145629376168301E-2</v>
      </c>
      <c r="L159" s="7">
        <f t="shared" si="54"/>
        <v>0</v>
      </c>
      <c r="M159" s="7">
        <f t="shared" si="55"/>
        <v>0</v>
      </c>
      <c r="N159" s="7">
        <f t="shared" si="56"/>
        <v>129.91375480785891</v>
      </c>
      <c r="O159" s="7">
        <f t="shared" si="57"/>
        <v>0</v>
      </c>
      <c r="P159" s="7" t="str">
        <f t="shared" si="58"/>
        <v>(120, 140]</v>
      </c>
      <c r="Q159" s="7" t="s">
        <v>93</v>
      </c>
      <c r="R159" s="7">
        <f t="shared" si="59"/>
        <v>5.7145629376168301E-2</v>
      </c>
      <c r="S159" s="4">
        <v>3.6600000000000001E-3</v>
      </c>
      <c r="T159" s="7">
        <f t="shared" si="60"/>
        <v>2.0915300351677599E-4</v>
      </c>
      <c r="U159" s="7">
        <f t="shared" si="61"/>
        <v>1.7892491897174357E-3</v>
      </c>
      <c r="V159" s="4">
        <f t="shared" si="62"/>
        <v>1789249</v>
      </c>
      <c r="W159" s="7">
        <f t="shared" si="63"/>
        <v>1.7892490286279844E-3</v>
      </c>
      <c r="X159" s="7">
        <f t="shared" si="64"/>
        <v>0.23244805587620676</v>
      </c>
    </row>
    <row r="160" spans="2:24" ht="15.6" customHeight="1" x14ac:dyDescent="0.3">
      <c r="B160" s="7">
        <v>140</v>
      </c>
      <c r="C160" s="7">
        <v>160</v>
      </c>
      <c r="D160" s="4">
        <v>0</v>
      </c>
      <c r="E160" s="4">
        <v>52249</v>
      </c>
      <c r="F160" s="4">
        <v>0</v>
      </c>
      <c r="G160" s="4">
        <v>0</v>
      </c>
      <c r="H160" s="4">
        <v>3915899150</v>
      </c>
      <c r="I160" s="4">
        <v>0</v>
      </c>
      <c r="J160" s="7">
        <f t="shared" si="52"/>
        <v>0</v>
      </c>
      <c r="K160" s="7">
        <f t="shared" si="53"/>
        <v>5.1730863669486427E-2</v>
      </c>
      <c r="L160" s="7">
        <f t="shared" si="54"/>
        <v>0</v>
      </c>
      <c r="M160" s="7">
        <f t="shared" si="55"/>
        <v>0</v>
      </c>
      <c r="N160" s="7">
        <f t="shared" si="56"/>
        <v>149.89374533483894</v>
      </c>
      <c r="O160" s="7">
        <f t="shared" si="57"/>
        <v>0</v>
      </c>
      <c r="P160" s="7" t="str">
        <f t="shared" si="58"/>
        <v>(140, 160]</v>
      </c>
      <c r="Q160" s="7" t="s">
        <v>93</v>
      </c>
      <c r="R160" s="7">
        <f t="shared" si="59"/>
        <v>5.1730863669486427E-2</v>
      </c>
      <c r="S160" s="4">
        <v>2.65E-3</v>
      </c>
      <c r="T160" s="7">
        <f t="shared" si="60"/>
        <v>1.3708678872413903E-4</v>
      </c>
      <c r="U160" s="7">
        <f t="shared" si="61"/>
        <v>1.1727415887955784E-3</v>
      </c>
      <c r="V160" s="4">
        <f t="shared" si="62"/>
        <v>1172741</v>
      </c>
      <c r="W160" s="7">
        <f t="shared" si="63"/>
        <v>1.1727410187638563E-3</v>
      </c>
      <c r="X160" s="7">
        <f t="shared" si="64"/>
        <v>0.17578654079772438</v>
      </c>
    </row>
    <row r="161" spans="2:24" ht="15.6" customHeight="1" x14ac:dyDescent="0.3">
      <c r="B161" s="7">
        <v>160</v>
      </c>
      <c r="C161" s="7">
        <v>180</v>
      </c>
      <c r="D161" s="4">
        <v>0</v>
      </c>
      <c r="E161" s="4">
        <v>48027</v>
      </c>
      <c r="F161" s="4">
        <v>0</v>
      </c>
      <c r="G161" s="4">
        <v>0</v>
      </c>
      <c r="H161" s="4">
        <v>4079866100</v>
      </c>
      <c r="I161" s="4">
        <v>0</v>
      </c>
      <c r="J161" s="7">
        <f t="shared" si="52"/>
        <v>0</v>
      </c>
      <c r="K161" s="7">
        <f t="shared" si="53"/>
        <v>4.7550731869594146E-2</v>
      </c>
      <c r="L161" s="7">
        <f t="shared" si="54"/>
        <v>0</v>
      </c>
      <c r="M161" s="7">
        <f t="shared" si="55"/>
        <v>0</v>
      </c>
      <c r="N161" s="7">
        <f t="shared" si="56"/>
        <v>169.89885272867346</v>
      </c>
      <c r="O161" s="7">
        <f t="shared" si="57"/>
        <v>0</v>
      </c>
      <c r="P161" s="7" t="str">
        <f t="shared" si="58"/>
        <v>(160, 180]</v>
      </c>
      <c r="Q161" s="7" t="s">
        <v>93</v>
      </c>
      <c r="R161" s="7">
        <f t="shared" si="59"/>
        <v>4.7550731869594146E-2</v>
      </c>
      <c r="S161" s="4">
        <v>1.8E-3</v>
      </c>
      <c r="T161" s="7">
        <f t="shared" si="60"/>
        <v>8.5591317365269455E-5</v>
      </c>
      <c r="U161" s="7">
        <f t="shared" si="61"/>
        <v>7.3221131261628136E-4</v>
      </c>
      <c r="V161" s="4">
        <f t="shared" si="62"/>
        <v>732211</v>
      </c>
      <c r="W161" s="7">
        <f t="shared" si="63"/>
        <v>7.3221101171537615E-4</v>
      </c>
      <c r="X161" s="7">
        <f t="shared" si="64"/>
        <v>0.12440180885531471</v>
      </c>
    </row>
    <row r="162" spans="2:24" ht="15.6" customHeight="1" x14ac:dyDescent="0.3">
      <c r="B162" s="7">
        <v>180</v>
      </c>
      <c r="C162" s="7">
        <v>200</v>
      </c>
      <c r="D162" s="4">
        <v>0</v>
      </c>
      <c r="E162" s="4">
        <v>43646</v>
      </c>
      <c r="F162" s="4">
        <v>0</v>
      </c>
      <c r="G162" s="4">
        <v>0</v>
      </c>
      <c r="H162" s="4">
        <v>4144070650</v>
      </c>
      <c r="I162" s="4">
        <v>0</v>
      </c>
      <c r="J162" s="7">
        <f t="shared" si="52"/>
        <v>0</v>
      </c>
      <c r="K162" s="7">
        <f t="shared" si="53"/>
        <v>4.3213176820961249E-2</v>
      </c>
      <c r="L162" s="7">
        <f t="shared" si="54"/>
        <v>0</v>
      </c>
      <c r="M162" s="7">
        <f t="shared" si="55"/>
        <v>0</v>
      </c>
      <c r="N162" s="7">
        <f t="shared" si="56"/>
        <v>189.8946363927966</v>
      </c>
      <c r="O162" s="7">
        <f t="shared" si="57"/>
        <v>0</v>
      </c>
      <c r="P162" s="7" t="str">
        <f t="shared" si="58"/>
        <v>(180, 200]</v>
      </c>
      <c r="Q162" s="7" t="s">
        <v>93</v>
      </c>
      <c r="R162" s="7">
        <f t="shared" si="59"/>
        <v>4.3213176820961249E-2</v>
      </c>
      <c r="S162" s="4">
        <v>1.8E-3</v>
      </c>
      <c r="T162" s="7">
        <f t="shared" si="60"/>
        <v>7.7783718277730246E-5</v>
      </c>
      <c r="U162" s="7">
        <f t="shared" si="61"/>
        <v>6.6541934641868561E-4</v>
      </c>
      <c r="V162" s="4">
        <f t="shared" si="62"/>
        <v>665419</v>
      </c>
      <c r="W162" s="7">
        <f t="shared" si="63"/>
        <v>6.6541901064670421E-4</v>
      </c>
      <c r="X162" s="7">
        <f t="shared" si="64"/>
        <v>0.12635949905385832</v>
      </c>
    </row>
    <row r="163" spans="2:24" ht="15.6" customHeight="1" x14ac:dyDescent="0.3">
      <c r="B163" s="7">
        <v>200</v>
      </c>
      <c r="C163" s="7">
        <v>250</v>
      </c>
      <c r="D163" s="4">
        <v>0</v>
      </c>
      <c r="E163" s="4">
        <v>91232</v>
      </c>
      <c r="F163" s="4">
        <v>0</v>
      </c>
      <c r="G163" s="4">
        <v>0</v>
      </c>
      <c r="H163" s="4">
        <v>10217268800</v>
      </c>
      <c r="I163" s="4">
        <v>0</v>
      </c>
      <c r="J163" s="7">
        <f t="shared" si="52"/>
        <v>0</v>
      </c>
      <c r="K163" s="7">
        <f t="shared" si="53"/>
        <v>9.0327281944048404E-2</v>
      </c>
      <c r="L163" s="7">
        <f t="shared" si="54"/>
        <v>0</v>
      </c>
      <c r="M163" s="7">
        <f t="shared" si="55"/>
        <v>0</v>
      </c>
      <c r="N163" s="7">
        <f t="shared" si="56"/>
        <v>223.9843212907752</v>
      </c>
      <c r="O163" s="7">
        <f t="shared" si="57"/>
        <v>0</v>
      </c>
      <c r="P163" s="7" t="str">
        <f t="shared" si="58"/>
        <v>(200, 250]</v>
      </c>
      <c r="Q163" s="7" t="s">
        <v>93</v>
      </c>
      <c r="R163" s="7">
        <f t="shared" si="59"/>
        <v>9.0327281944048404E-2</v>
      </c>
      <c r="S163" s="4">
        <v>1.5E-3</v>
      </c>
      <c r="T163" s="7">
        <f t="shared" si="60"/>
        <v>1.354909229160726E-4</v>
      </c>
      <c r="U163" s="7">
        <f t="shared" si="61"/>
        <v>1.1590893745984652E-3</v>
      </c>
      <c r="V163" s="4">
        <f t="shared" si="62"/>
        <v>1159089</v>
      </c>
      <c r="W163" s="7">
        <f t="shared" si="63"/>
        <v>1.1590890185454244E-3</v>
      </c>
      <c r="X163" s="7">
        <f t="shared" si="64"/>
        <v>0.25961776298060335</v>
      </c>
    </row>
    <row r="164" spans="2:24" ht="15.6" customHeight="1" x14ac:dyDescent="0.3">
      <c r="B164" s="7">
        <v>250</v>
      </c>
      <c r="C164" s="7">
        <v>300</v>
      </c>
      <c r="D164" s="4">
        <v>0</v>
      </c>
      <c r="E164" s="4">
        <v>70648</v>
      </c>
      <c r="F164" s="4">
        <v>0</v>
      </c>
      <c r="G164" s="4">
        <v>0</v>
      </c>
      <c r="H164" s="4">
        <v>9676992550</v>
      </c>
      <c r="I164" s="4">
        <v>0</v>
      </c>
      <c r="J164" s="7">
        <f t="shared" si="52"/>
        <v>0</v>
      </c>
      <c r="K164" s="7">
        <f t="shared" si="53"/>
        <v>6.9947406773754078E-2</v>
      </c>
      <c r="L164" s="7">
        <f t="shared" si="54"/>
        <v>0</v>
      </c>
      <c r="M164" s="7">
        <f t="shared" si="55"/>
        <v>0</v>
      </c>
      <c r="N164" s="7">
        <f t="shared" si="56"/>
        <v>273.94951166345828</v>
      </c>
      <c r="O164" s="7">
        <f t="shared" si="57"/>
        <v>0</v>
      </c>
      <c r="P164" s="7" t="str">
        <f t="shared" si="58"/>
        <v>(250, 300]</v>
      </c>
      <c r="Q164" s="7" t="s">
        <v>93</v>
      </c>
      <c r="R164" s="7">
        <f t="shared" si="59"/>
        <v>6.9947406773754078E-2</v>
      </c>
      <c r="S164" s="4">
        <v>1.8E-3</v>
      </c>
      <c r="T164" s="7">
        <f t="shared" si="60"/>
        <v>1.2590533219275735E-4</v>
      </c>
      <c r="U164" s="7">
        <f t="shared" si="61"/>
        <v>1.0770871554274689E-3</v>
      </c>
      <c r="V164" s="4">
        <f t="shared" si="62"/>
        <v>1077087</v>
      </c>
      <c r="W164" s="7">
        <f t="shared" si="63"/>
        <v>1.0770870172333922E-3</v>
      </c>
      <c r="X164" s="7">
        <f t="shared" si="64"/>
        <v>0.29506745766905929</v>
      </c>
    </row>
    <row r="165" spans="2:24" ht="15.6" customHeight="1" x14ac:dyDescent="0.3">
      <c r="B165" s="7">
        <v>300</v>
      </c>
      <c r="C165" s="7">
        <v>350</v>
      </c>
      <c r="D165" s="4">
        <v>0</v>
      </c>
      <c r="E165" s="4">
        <v>54523</v>
      </c>
      <c r="F165" s="4">
        <v>0</v>
      </c>
      <c r="G165" s="4">
        <v>0</v>
      </c>
      <c r="H165" s="4">
        <v>8829816300</v>
      </c>
      <c r="I165" s="4">
        <v>0</v>
      </c>
      <c r="J165" s="7">
        <f t="shared" si="52"/>
        <v>0</v>
      </c>
      <c r="K165" s="7">
        <f t="shared" si="53"/>
        <v>5.398231315147483E-2</v>
      </c>
      <c r="L165" s="7">
        <f t="shared" si="54"/>
        <v>0</v>
      </c>
      <c r="M165" s="7">
        <f t="shared" si="55"/>
        <v>0</v>
      </c>
      <c r="N165" s="7">
        <f t="shared" si="56"/>
        <v>323.89326706160705</v>
      </c>
      <c r="O165" s="7">
        <f t="shared" si="57"/>
        <v>0</v>
      </c>
      <c r="P165" s="7" t="str">
        <f t="shared" si="58"/>
        <v>(300, 350]</v>
      </c>
      <c r="Q165" s="7" t="s">
        <v>93</v>
      </c>
      <c r="R165" s="7">
        <f t="shared" si="59"/>
        <v>5.398231315147483E-2</v>
      </c>
      <c r="S165" s="4">
        <v>1.75E-3</v>
      </c>
      <c r="T165" s="7">
        <f t="shared" si="60"/>
        <v>9.4469048015080958E-5</v>
      </c>
      <c r="U165" s="7">
        <f t="shared" si="61"/>
        <v>8.0815797417321561E-4</v>
      </c>
      <c r="V165" s="4">
        <f t="shared" si="62"/>
        <v>808157</v>
      </c>
      <c r="W165" s="7">
        <f t="shared" si="63"/>
        <v>8.0815701293051223E-4</v>
      </c>
      <c r="X165" s="7">
        <f t="shared" si="64"/>
        <v>0.26175661102870718</v>
      </c>
    </row>
    <row r="166" spans="2:24" ht="15.6" customHeight="1" x14ac:dyDescent="0.3">
      <c r="B166" s="7">
        <v>350</v>
      </c>
      <c r="C166" s="7">
        <v>400</v>
      </c>
      <c r="D166" s="4">
        <v>0</v>
      </c>
      <c r="E166" s="4">
        <v>41467</v>
      </c>
      <c r="F166" s="4">
        <v>0</v>
      </c>
      <c r="G166" s="4">
        <v>0</v>
      </c>
      <c r="H166" s="4">
        <v>7754132000</v>
      </c>
      <c r="I166" s="4">
        <v>0</v>
      </c>
      <c r="J166" s="7">
        <f t="shared" ref="J166:J192" si="65">IF(SUM(D$134:D$192)=0,0,D166/SUM(D$134:D$192))</f>
        <v>0</v>
      </c>
      <c r="K166" s="7">
        <f t="shared" ref="K166:K192" si="66">IF(SUM(E$134:E$192)=0,0,E166/SUM(E$134:E$192))</f>
        <v>4.1055785254887053E-2</v>
      </c>
      <c r="L166" s="7">
        <f t="shared" ref="L166:L192" si="67">IF(SUM(F$134:F$192)=0,0,F166/SUM(F$134:F$192))</f>
        <v>0</v>
      </c>
      <c r="M166" s="7">
        <f t="shared" ref="M166:M192" si="68">IF(D166=0,0,G166/D166/$C$3/5)</f>
        <v>0</v>
      </c>
      <c r="N166" s="7">
        <f t="shared" ref="N166:N192" si="69">IF(E166=0,0,H166/E166/$C$3/5)</f>
        <v>373.99049846866188</v>
      </c>
      <c r="O166" s="7">
        <f t="shared" ref="O166:O192" si="70">IF(F166=0,0,I166/F166/$C$3/5)</f>
        <v>0</v>
      </c>
      <c r="P166" s="7" t="str">
        <f t="shared" ref="P166:P192" si="71">"("&amp;B166&amp;", "&amp;C166&amp;"]"</f>
        <v>(350, 400]</v>
      </c>
      <c r="Q166" s="7" t="s">
        <v>93</v>
      </c>
      <c r="R166" s="7">
        <f t="shared" ref="R166:R192" si="72">IFERROR(INDEX($J166:$L166,MATCH($Q166,$J$133:$L$133,0)),0)</f>
        <v>4.1055785254887053E-2</v>
      </c>
      <c r="S166" s="4">
        <v>1.8E-3</v>
      </c>
      <c r="T166" s="7">
        <f t="shared" ref="T166:T192" si="73">$R166*$S166</f>
        <v>7.3900413458796694E-5</v>
      </c>
      <c r="U166" s="7">
        <f t="shared" ref="U166:U197" si="74">IF(SUM(T$134:T$192)=0,0,T166/SUM(T$134:T$192))</f>
        <v>6.3219869032542827E-4</v>
      </c>
      <c r="V166" s="4">
        <f t="shared" ref="V166:V197" si="75">INT(U166*$C$2)</f>
        <v>632198</v>
      </c>
      <c r="W166" s="7">
        <f t="shared" ref="W166:W197" si="76">IF(SUM(V$134:V$192)=0,0,V166/SUM(V$134:V$192))</f>
        <v>6.3219801011516819E-4</v>
      </c>
      <c r="X166" s="7">
        <f t="shared" ref="X166:X192" si="77">IFERROR(INDEX($M166:$O166,MATCH($Q166,$M$133:$O$133,0)),0)*V166/$C$2</f>
        <v>0.23643604515089109</v>
      </c>
    </row>
    <row r="167" spans="2:24" ht="15.6" customHeight="1" x14ac:dyDescent="0.3">
      <c r="B167" s="7">
        <v>400</v>
      </c>
      <c r="C167" s="7">
        <v>450</v>
      </c>
      <c r="D167" s="4">
        <v>0</v>
      </c>
      <c r="E167" s="4">
        <v>32070</v>
      </c>
      <c r="F167" s="4">
        <v>0</v>
      </c>
      <c r="G167" s="4">
        <v>0</v>
      </c>
      <c r="H167" s="4">
        <v>6796737650</v>
      </c>
      <c r="I167" s="4">
        <v>0</v>
      </c>
      <c r="J167" s="7">
        <f t="shared" si="65"/>
        <v>0</v>
      </c>
      <c r="K167" s="7">
        <f t="shared" si="66"/>
        <v>3.1751972245984222E-2</v>
      </c>
      <c r="L167" s="7">
        <f t="shared" si="67"/>
        <v>0</v>
      </c>
      <c r="M167" s="7">
        <f t="shared" si="68"/>
        <v>0</v>
      </c>
      <c r="N167" s="7">
        <f t="shared" si="69"/>
        <v>423.86888992828187</v>
      </c>
      <c r="O167" s="7">
        <f t="shared" si="70"/>
        <v>0</v>
      </c>
      <c r="P167" s="7" t="str">
        <f t="shared" si="71"/>
        <v>(400, 450]</v>
      </c>
      <c r="Q167" s="7" t="s">
        <v>93</v>
      </c>
      <c r="R167" s="7">
        <f t="shared" si="72"/>
        <v>3.1751972245984222E-2</v>
      </c>
      <c r="S167" s="4">
        <v>2.5000000000000001E-3</v>
      </c>
      <c r="T167" s="7">
        <f t="shared" si="73"/>
        <v>7.9379930614960554E-5</v>
      </c>
      <c r="U167" s="7">
        <f t="shared" si="74"/>
        <v>6.7907452508207602E-4</v>
      </c>
      <c r="V167" s="4">
        <f t="shared" si="75"/>
        <v>679074</v>
      </c>
      <c r="W167" s="7">
        <f t="shared" si="76"/>
        <v>6.7907401086518418E-4</v>
      </c>
      <c r="X167" s="7">
        <f t="shared" si="77"/>
        <v>0.28783834255915808</v>
      </c>
    </row>
    <row r="168" spans="2:24" ht="15.6" customHeight="1" x14ac:dyDescent="0.3">
      <c r="B168" s="7">
        <v>450</v>
      </c>
      <c r="C168" s="7">
        <v>500</v>
      </c>
      <c r="D168" s="4">
        <v>0</v>
      </c>
      <c r="E168" s="4">
        <v>24701</v>
      </c>
      <c r="F168" s="4">
        <v>0</v>
      </c>
      <c r="G168" s="4">
        <v>0</v>
      </c>
      <c r="H168" s="4">
        <v>5855884550</v>
      </c>
      <c r="I168" s="4">
        <v>0</v>
      </c>
      <c r="J168" s="7">
        <f t="shared" si="65"/>
        <v>0</v>
      </c>
      <c r="K168" s="7">
        <f t="shared" si="66"/>
        <v>2.4456048221018281E-2</v>
      </c>
      <c r="L168" s="7">
        <f t="shared" si="67"/>
        <v>0</v>
      </c>
      <c r="M168" s="7">
        <f t="shared" si="68"/>
        <v>0</v>
      </c>
      <c r="N168" s="7">
        <f t="shared" si="69"/>
        <v>474.14149629569658</v>
      </c>
      <c r="O168" s="7">
        <f t="shared" si="70"/>
        <v>0</v>
      </c>
      <c r="P168" s="7" t="str">
        <f t="shared" si="71"/>
        <v>(450, 500]</v>
      </c>
      <c r="Q168" s="7" t="s">
        <v>93</v>
      </c>
      <c r="R168" s="7">
        <f t="shared" si="72"/>
        <v>2.4456048221018281E-2</v>
      </c>
      <c r="S168" s="4">
        <v>3.5000000000000001E-3</v>
      </c>
      <c r="T168" s="7">
        <f t="shared" si="73"/>
        <v>8.5596168773563984E-5</v>
      </c>
      <c r="U168" s="7">
        <f t="shared" si="74"/>
        <v>7.3225281514416297E-4</v>
      </c>
      <c r="V168" s="4">
        <f t="shared" si="75"/>
        <v>732252</v>
      </c>
      <c r="W168" s="7">
        <f t="shared" si="76"/>
        <v>7.3225201171603219E-4</v>
      </c>
      <c r="X168" s="7">
        <f t="shared" si="77"/>
        <v>0.34719105894551638</v>
      </c>
    </row>
    <row r="169" spans="2:24" ht="15.6" customHeight="1" x14ac:dyDescent="0.3">
      <c r="B169" s="7">
        <v>500</v>
      </c>
      <c r="C169" s="7">
        <v>550</v>
      </c>
      <c r="D169" s="4">
        <v>0</v>
      </c>
      <c r="E169" s="4">
        <v>18693</v>
      </c>
      <c r="F169" s="4">
        <v>0</v>
      </c>
      <c r="G169" s="4">
        <v>0</v>
      </c>
      <c r="H169" s="4">
        <v>4896892450</v>
      </c>
      <c r="I169" s="4">
        <v>0</v>
      </c>
      <c r="J169" s="7">
        <f t="shared" si="65"/>
        <v>0</v>
      </c>
      <c r="K169" s="7">
        <f t="shared" si="66"/>
        <v>1.850762760193898E-2</v>
      </c>
      <c r="L169" s="7">
        <f t="shared" si="67"/>
        <v>0</v>
      </c>
      <c r="M169" s="7">
        <f t="shared" si="68"/>
        <v>0</v>
      </c>
      <c r="N169" s="7">
        <f t="shared" si="69"/>
        <v>523.92793559086283</v>
      </c>
      <c r="O169" s="7">
        <f t="shared" si="70"/>
        <v>0</v>
      </c>
      <c r="P169" s="7" t="str">
        <f t="shared" si="71"/>
        <v>(500, 550]</v>
      </c>
      <c r="Q169" s="7" t="s">
        <v>93</v>
      </c>
      <c r="R169" s="7">
        <f t="shared" si="72"/>
        <v>1.850762760193898E-2</v>
      </c>
      <c r="S169" s="4">
        <v>1.6000000000000001E-3</v>
      </c>
      <c r="T169" s="7">
        <f t="shared" si="73"/>
        <v>2.9612204163102369E-5</v>
      </c>
      <c r="U169" s="7">
        <f t="shared" si="74"/>
        <v>2.5332465426597818E-4</v>
      </c>
      <c r="V169" s="4">
        <f t="shared" si="75"/>
        <v>253324</v>
      </c>
      <c r="W169" s="7">
        <f t="shared" si="76"/>
        <v>2.5332400405318409E-4</v>
      </c>
      <c r="X169" s="7">
        <f t="shared" si="77"/>
        <v>0.13272352035561974</v>
      </c>
    </row>
    <row r="170" spans="2:24" ht="15.6" customHeight="1" x14ac:dyDescent="0.3">
      <c r="B170" s="7">
        <v>550</v>
      </c>
      <c r="C170" s="7">
        <v>600</v>
      </c>
      <c r="D170" s="4">
        <v>0</v>
      </c>
      <c r="E170" s="4">
        <v>14382</v>
      </c>
      <c r="F170" s="4">
        <v>0</v>
      </c>
      <c r="G170" s="4">
        <v>0</v>
      </c>
      <c r="H170" s="4">
        <v>4126960050</v>
      </c>
      <c r="I170" s="4">
        <v>0</v>
      </c>
      <c r="J170" s="7">
        <f t="shared" si="65"/>
        <v>0</v>
      </c>
      <c r="K170" s="7">
        <f t="shared" si="66"/>
        <v>1.4239378386084973E-2</v>
      </c>
      <c r="L170" s="7">
        <f t="shared" si="67"/>
        <v>0</v>
      </c>
      <c r="M170" s="7">
        <f t="shared" si="68"/>
        <v>0</v>
      </c>
      <c r="N170" s="7">
        <f t="shared" si="69"/>
        <v>573.90627868168554</v>
      </c>
      <c r="O170" s="7">
        <f t="shared" si="70"/>
        <v>0</v>
      </c>
      <c r="P170" s="7" t="str">
        <f t="shared" si="71"/>
        <v>(550, 600]</v>
      </c>
      <c r="Q170" s="7" t="s">
        <v>93</v>
      </c>
      <c r="R170" s="7">
        <f t="shared" si="72"/>
        <v>1.4239378386084973E-2</v>
      </c>
      <c r="S170" s="4">
        <v>0</v>
      </c>
      <c r="T170" s="7">
        <f t="shared" si="73"/>
        <v>0</v>
      </c>
      <c r="U170" s="7">
        <f t="shared" si="74"/>
        <v>0</v>
      </c>
      <c r="V170" s="4">
        <f t="shared" si="75"/>
        <v>0</v>
      </c>
      <c r="W170" s="7">
        <f t="shared" si="76"/>
        <v>0</v>
      </c>
      <c r="X170" s="7">
        <f t="shared" si="77"/>
        <v>0</v>
      </c>
    </row>
    <row r="171" spans="2:24" ht="15.6" customHeight="1" x14ac:dyDescent="0.3">
      <c r="B171" s="7">
        <v>600</v>
      </c>
      <c r="C171" s="7">
        <v>650</v>
      </c>
      <c r="D171" s="4">
        <v>0</v>
      </c>
      <c r="E171" s="4">
        <v>11018</v>
      </c>
      <c r="F171" s="4">
        <v>0</v>
      </c>
      <c r="G171" s="4">
        <v>0</v>
      </c>
      <c r="H171" s="4">
        <v>3437432450</v>
      </c>
      <c r="I171" s="4">
        <v>0</v>
      </c>
      <c r="J171" s="7">
        <f t="shared" si="65"/>
        <v>0</v>
      </c>
      <c r="K171" s="7">
        <f t="shared" si="66"/>
        <v>1.0908738079396763E-2</v>
      </c>
      <c r="L171" s="7">
        <f t="shared" si="67"/>
        <v>0</v>
      </c>
      <c r="M171" s="7">
        <f t="shared" si="68"/>
        <v>0</v>
      </c>
      <c r="N171" s="7">
        <f t="shared" si="69"/>
        <v>623.96668179342896</v>
      </c>
      <c r="O171" s="7">
        <f t="shared" si="70"/>
        <v>0</v>
      </c>
      <c r="P171" s="7" t="str">
        <f t="shared" si="71"/>
        <v>(600, 650]</v>
      </c>
      <c r="Q171" s="7" t="s">
        <v>93</v>
      </c>
      <c r="R171" s="7">
        <f t="shared" si="72"/>
        <v>1.0908738079396763E-2</v>
      </c>
      <c r="S171" s="4">
        <v>0</v>
      </c>
      <c r="T171" s="7">
        <f t="shared" si="73"/>
        <v>0</v>
      </c>
      <c r="U171" s="7">
        <f t="shared" si="74"/>
        <v>0</v>
      </c>
      <c r="V171" s="4">
        <f t="shared" si="75"/>
        <v>0</v>
      </c>
      <c r="W171" s="7">
        <f t="shared" si="76"/>
        <v>0</v>
      </c>
      <c r="X171" s="7">
        <f t="shared" si="77"/>
        <v>0</v>
      </c>
    </row>
    <row r="172" spans="2:24" ht="15.6" customHeight="1" x14ac:dyDescent="0.3">
      <c r="B172" s="7">
        <v>650</v>
      </c>
      <c r="C172" s="7">
        <v>700</v>
      </c>
      <c r="D172" s="4">
        <v>0</v>
      </c>
      <c r="E172" s="4">
        <v>8525</v>
      </c>
      <c r="F172" s="4">
        <v>0</v>
      </c>
      <c r="G172" s="4">
        <v>0</v>
      </c>
      <c r="H172" s="4">
        <v>2873631750</v>
      </c>
      <c r="I172" s="4">
        <v>0</v>
      </c>
      <c r="J172" s="7">
        <f t="shared" si="65"/>
        <v>0</v>
      </c>
      <c r="K172" s="7">
        <f t="shared" si="66"/>
        <v>8.4404603491429839E-3</v>
      </c>
      <c r="L172" s="7">
        <f t="shared" si="67"/>
        <v>0</v>
      </c>
      <c r="M172" s="7">
        <f t="shared" si="68"/>
        <v>0</v>
      </c>
      <c r="N172" s="7">
        <f t="shared" si="69"/>
        <v>674.16580645161287</v>
      </c>
      <c r="O172" s="7">
        <f t="shared" si="70"/>
        <v>0</v>
      </c>
      <c r="P172" s="7" t="str">
        <f t="shared" si="71"/>
        <v>(650, 700]</v>
      </c>
      <c r="Q172" s="7" t="s">
        <v>93</v>
      </c>
      <c r="R172" s="7">
        <f t="shared" si="72"/>
        <v>8.4404603491429839E-3</v>
      </c>
      <c r="S172" s="4">
        <v>0</v>
      </c>
      <c r="T172" s="7">
        <f t="shared" si="73"/>
        <v>0</v>
      </c>
      <c r="U172" s="7">
        <f t="shared" si="74"/>
        <v>0</v>
      </c>
      <c r="V172" s="4">
        <f t="shared" si="75"/>
        <v>0</v>
      </c>
      <c r="W172" s="7">
        <f t="shared" si="76"/>
        <v>0</v>
      </c>
      <c r="X172" s="7">
        <f t="shared" si="77"/>
        <v>0</v>
      </c>
    </row>
    <row r="173" spans="2:24" ht="15.6" customHeight="1" x14ac:dyDescent="0.3">
      <c r="B173" s="7">
        <v>700</v>
      </c>
      <c r="C173" s="7">
        <v>750</v>
      </c>
      <c r="D173" s="4">
        <v>0</v>
      </c>
      <c r="E173" s="4">
        <v>6553</v>
      </c>
      <c r="F173" s="4">
        <v>0</v>
      </c>
      <c r="G173" s="4">
        <v>0</v>
      </c>
      <c r="H173" s="4">
        <v>2371188850</v>
      </c>
      <c r="I173" s="4">
        <v>0</v>
      </c>
      <c r="J173" s="7">
        <f t="shared" si="65"/>
        <v>0</v>
      </c>
      <c r="K173" s="7">
        <f t="shared" si="66"/>
        <v>6.4880160314292048E-3</v>
      </c>
      <c r="L173" s="7">
        <f t="shared" si="67"/>
        <v>0</v>
      </c>
      <c r="M173" s="7">
        <f t="shared" si="68"/>
        <v>0</v>
      </c>
      <c r="N173" s="7">
        <f t="shared" si="69"/>
        <v>723.6956661071265</v>
      </c>
      <c r="O173" s="7">
        <f t="shared" si="70"/>
        <v>0</v>
      </c>
      <c r="P173" s="7" t="str">
        <f t="shared" si="71"/>
        <v>(700, 750]</v>
      </c>
      <c r="Q173" s="7" t="s">
        <v>93</v>
      </c>
      <c r="R173" s="7">
        <f t="shared" si="72"/>
        <v>6.4880160314292048E-3</v>
      </c>
      <c r="S173" s="4">
        <v>0</v>
      </c>
      <c r="T173" s="7">
        <f t="shared" si="73"/>
        <v>0</v>
      </c>
      <c r="U173" s="7">
        <f t="shared" si="74"/>
        <v>0</v>
      </c>
      <c r="V173" s="4">
        <f t="shared" si="75"/>
        <v>0</v>
      </c>
      <c r="W173" s="7">
        <f t="shared" si="76"/>
        <v>0</v>
      </c>
      <c r="X173" s="7">
        <f t="shared" si="77"/>
        <v>0</v>
      </c>
    </row>
    <row r="174" spans="2:24" ht="15.6" customHeight="1" x14ac:dyDescent="0.3">
      <c r="B174" s="7">
        <v>750</v>
      </c>
      <c r="C174" s="7">
        <v>800</v>
      </c>
      <c r="D174" s="4">
        <v>0</v>
      </c>
      <c r="E174" s="4">
        <v>5015</v>
      </c>
      <c r="F174" s="4">
        <v>0</v>
      </c>
      <c r="G174" s="4">
        <v>0</v>
      </c>
      <c r="H174" s="4">
        <v>1940909900</v>
      </c>
      <c r="I174" s="4">
        <v>0</v>
      </c>
      <c r="J174" s="7">
        <f t="shared" si="65"/>
        <v>0</v>
      </c>
      <c r="K174" s="7">
        <f t="shared" si="66"/>
        <v>4.9652678769445237E-3</v>
      </c>
      <c r="L174" s="7">
        <f t="shared" si="67"/>
        <v>0</v>
      </c>
      <c r="M174" s="7">
        <f t="shared" si="68"/>
        <v>0</v>
      </c>
      <c r="N174" s="7">
        <f t="shared" si="69"/>
        <v>774.04183449651043</v>
      </c>
      <c r="O174" s="7">
        <f t="shared" si="70"/>
        <v>0</v>
      </c>
      <c r="P174" s="7" t="str">
        <f t="shared" si="71"/>
        <v>(750, 800]</v>
      </c>
      <c r="Q174" s="7" t="s">
        <v>93</v>
      </c>
      <c r="R174" s="7">
        <f t="shared" si="72"/>
        <v>4.9652678769445237E-3</v>
      </c>
      <c r="S174" s="4">
        <v>0</v>
      </c>
      <c r="T174" s="7">
        <f t="shared" si="73"/>
        <v>0</v>
      </c>
      <c r="U174" s="7">
        <f t="shared" si="74"/>
        <v>0</v>
      </c>
      <c r="V174" s="4">
        <f t="shared" si="75"/>
        <v>0</v>
      </c>
      <c r="W174" s="7">
        <f t="shared" si="76"/>
        <v>0</v>
      </c>
      <c r="X174" s="7">
        <f t="shared" si="77"/>
        <v>0</v>
      </c>
    </row>
    <row r="175" spans="2:24" ht="15.6" customHeight="1" x14ac:dyDescent="0.3">
      <c r="B175" s="7">
        <v>800</v>
      </c>
      <c r="C175" s="7">
        <v>850</v>
      </c>
      <c r="D175" s="4">
        <v>0</v>
      </c>
      <c r="E175" s="4">
        <v>3891</v>
      </c>
      <c r="F175" s="4">
        <v>0</v>
      </c>
      <c r="G175" s="4">
        <v>0</v>
      </c>
      <c r="H175" s="4">
        <v>1602722200</v>
      </c>
      <c r="I175" s="4">
        <v>0</v>
      </c>
      <c r="J175" s="7">
        <f t="shared" si="65"/>
        <v>0</v>
      </c>
      <c r="K175" s="7">
        <f t="shared" si="66"/>
        <v>3.8524142191806864E-3</v>
      </c>
      <c r="L175" s="7">
        <f t="shared" si="67"/>
        <v>0</v>
      </c>
      <c r="M175" s="7">
        <f t="shared" si="68"/>
        <v>0</v>
      </c>
      <c r="N175" s="7">
        <f t="shared" si="69"/>
        <v>823.80992032896427</v>
      </c>
      <c r="O175" s="7">
        <f t="shared" si="70"/>
        <v>0</v>
      </c>
      <c r="P175" s="7" t="str">
        <f t="shared" si="71"/>
        <v>(800, 850]</v>
      </c>
      <c r="Q175" s="7" t="s">
        <v>93</v>
      </c>
      <c r="R175" s="7">
        <f t="shared" si="72"/>
        <v>3.8524142191806864E-3</v>
      </c>
      <c r="S175" s="4">
        <v>0</v>
      </c>
      <c r="T175" s="7">
        <f t="shared" si="73"/>
        <v>0</v>
      </c>
      <c r="U175" s="7">
        <f t="shared" si="74"/>
        <v>0</v>
      </c>
      <c r="V175" s="4">
        <f t="shared" si="75"/>
        <v>0</v>
      </c>
      <c r="W175" s="7">
        <f t="shared" si="76"/>
        <v>0</v>
      </c>
      <c r="X175" s="7">
        <f t="shared" si="77"/>
        <v>0</v>
      </c>
    </row>
    <row r="176" spans="2:24" ht="15.6" customHeight="1" x14ac:dyDescent="0.3">
      <c r="B176" s="7">
        <v>850</v>
      </c>
      <c r="C176" s="7">
        <v>900</v>
      </c>
      <c r="D176" s="4">
        <v>0</v>
      </c>
      <c r="E176" s="4">
        <v>3026</v>
      </c>
      <c r="F176" s="4">
        <v>0</v>
      </c>
      <c r="G176" s="4">
        <v>0</v>
      </c>
      <c r="H176" s="4">
        <v>1322516550</v>
      </c>
      <c r="I176" s="4">
        <v>0</v>
      </c>
      <c r="J176" s="7">
        <f t="shared" si="65"/>
        <v>0</v>
      </c>
      <c r="K176" s="7">
        <f t="shared" si="66"/>
        <v>2.9959921426987294E-3</v>
      </c>
      <c r="L176" s="7">
        <f t="shared" si="67"/>
        <v>0</v>
      </c>
      <c r="M176" s="7">
        <f t="shared" si="68"/>
        <v>0</v>
      </c>
      <c r="N176" s="7">
        <f t="shared" si="69"/>
        <v>874.10214805023134</v>
      </c>
      <c r="O176" s="7">
        <f t="shared" si="70"/>
        <v>0</v>
      </c>
      <c r="P176" s="7" t="str">
        <f t="shared" si="71"/>
        <v>(850, 900]</v>
      </c>
      <c r="Q176" s="7" t="s">
        <v>93</v>
      </c>
      <c r="R176" s="7">
        <f t="shared" si="72"/>
        <v>2.9959921426987294E-3</v>
      </c>
      <c r="S176" s="4">
        <v>0</v>
      </c>
      <c r="T176" s="7">
        <f t="shared" si="73"/>
        <v>0</v>
      </c>
      <c r="U176" s="7">
        <f t="shared" si="74"/>
        <v>0</v>
      </c>
      <c r="V176" s="4">
        <f t="shared" si="75"/>
        <v>0</v>
      </c>
      <c r="W176" s="7">
        <f t="shared" si="76"/>
        <v>0</v>
      </c>
      <c r="X176" s="7">
        <f t="shared" si="77"/>
        <v>0</v>
      </c>
    </row>
    <row r="177" spans="2:24" ht="15.6" customHeight="1" x14ac:dyDescent="0.3">
      <c r="B177" s="7">
        <v>900</v>
      </c>
      <c r="C177" s="7">
        <v>950</v>
      </c>
      <c r="D177" s="4">
        <v>0</v>
      </c>
      <c r="E177" s="4">
        <v>2280</v>
      </c>
      <c r="F177" s="4">
        <v>0</v>
      </c>
      <c r="G177" s="4">
        <v>0</v>
      </c>
      <c r="H177" s="4">
        <v>1052730900</v>
      </c>
      <c r="I177" s="4">
        <v>0</v>
      </c>
      <c r="J177" s="7">
        <f t="shared" si="65"/>
        <v>0</v>
      </c>
      <c r="K177" s="7">
        <f t="shared" si="66"/>
        <v>2.25738998194088E-3</v>
      </c>
      <c r="L177" s="7">
        <f t="shared" si="67"/>
        <v>0</v>
      </c>
      <c r="M177" s="7">
        <f t="shared" si="68"/>
        <v>0</v>
      </c>
      <c r="N177" s="7">
        <f t="shared" si="69"/>
        <v>923.44815789473682</v>
      </c>
      <c r="O177" s="7">
        <f t="shared" si="70"/>
        <v>0</v>
      </c>
      <c r="P177" s="7" t="str">
        <f t="shared" si="71"/>
        <v>(900, 950]</v>
      </c>
      <c r="Q177" s="7" t="s">
        <v>93</v>
      </c>
      <c r="R177" s="7">
        <f t="shared" si="72"/>
        <v>2.25738998194088E-3</v>
      </c>
      <c r="S177" s="4">
        <v>0</v>
      </c>
      <c r="T177" s="7">
        <f t="shared" si="73"/>
        <v>0</v>
      </c>
      <c r="U177" s="7">
        <f t="shared" si="74"/>
        <v>0</v>
      </c>
      <c r="V177" s="4">
        <f t="shared" si="75"/>
        <v>0</v>
      </c>
      <c r="W177" s="7">
        <f t="shared" si="76"/>
        <v>0</v>
      </c>
      <c r="X177" s="7">
        <f t="shared" si="77"/>
        <v>0</v>
      </c>
    </row>
    <row r="178" spans="2:24" ht="15.6" customHeight="1" x14ac:dyDescent="0.3">
      <c r="B178" s="7">
        <v>950</v>
      </c>
      <c r="C178" s="7">
        <v>1000</v>
      </c>
      <c r="D178" s="4">
        <v>0</v>
      </c>
      <c r="E178" s="4">
        <v>1906</v>
      </c>
      <c r="F178" s="4">
        <v>0</v>
      </c>
      <c r="G178" s="4">
        <v>0</v>
      </c>
      <c r="H178" s="4">
        <v>927921350</v>
      </c>
      <c r="I178" s="4">
        <v>0</v>
      </c>
      <c r="J178" s="7">
        <f t="shared" si="65"/>
        <v>0</v>
      </c>
      <c r="K178" s="7">
        <f t="shared" si="66"/>
        <v>1.8870988182365428E-3</v>
      </c>
      <c r="L178" s="7">
        <f t="shared" si="67"/>
        <v>0</v>
      </c>
      <c r="M178" s="7">
        <f t="shared" si="68"/>
        <v>0</v>
      </c>
      <c r="N178" s="7">
        <f t="shared" si="69"/>
        <v>973.68452256033584</v>
      </c>
      <c r="O178" s="7">
        <f t="shared" si="70"/>
        <v>0</v>
      </c>
      <c r="P178" s="7" t="str">
        <f t="shared" si="71"/>
        <v>(950, 1000]</v>
      </c>
      <c r="Q178" s="7" t="s">
        <v>93</v>
      </c>
      <c r="R178" s="7">
        <f t="shared" si="72"/>
        <v>1.8870988182365428E-3</v>
      </c>
      <c r="S178" s="4">
        <v>0</v>
      </c>
      <c r="T178" s="7">
        <f t="shared" si="73"/>
        <v>0</v>
      </c>
      <c r="U178" s="7">
        <f t="shared" si="74"/>
        <v>0</v>
      </c>
      <c r="V178" s="4">
        <f t="shared" si="75"/>
        <v>0</v>
      </c>
      <c r="W178" s="7">
        <f t="shared" si="76"/>
        <v>0</v>
      </c>
      <c r="X178" s="7">
        <f t="shared" si="77"/>
        <v>0</v>
      </c>
    </row>
    <row r="179" spans="2:24" ht="15.6" customHeight="1" x14ac:dyDescent="0.3">
      <c r="B179" s="7">
        <v>1000</v>
      </c>
      <c r="C179" s="7">
        <v>2000</v>
      </c>
      <c r="D179" s="4">
        <v>0</v>
      </c>
      <c r="E179" s="4">
        <v>6902</v>
      </c>
      <c r="F179" s="4">
        <v>0</v>
      </c>
      <c r="G179" s="4">
        <v>0</v>
      </c>
      <c r="H179" s="4">
        <v>4187611700</v>
      </c>
      <c r="I179" s="4">
        <v>0</v>
      </c>
      <c r="J179" s="7">
        <f t="shared" si="65"/>
        <v>0</v>
      </c>
      <c r="K179" s="7">
        <f t="shared" si="66"/>
        <v>6.8335551119982256E-3</v>
      </c>
      <c r="L179" s="7">
        <f t="shared" si="67"/>
        <v>0</v>
      </c>
      <c r="M179" s="7">
        <f t="shared" si="68"/>
        <v>0</v>
      </c>
      <c r="N179" s="7">
        <f t="shared" si="69"/>
        <v>1213.4487684729065</v>
      </c>
      <c r="O179" s="7">
        <f t="shared" si="70"/>
        <v>0</v>
      </c>
      <c r="P179" s="7" t="str">
        <f t="shared" si="71"/>
        <v>(1000, 2000]</v>
      </c>
      <c r="Q179" s="7" t="s">
        <v>93</v>
      </c>
      <c r="R179" s="7">
        <f t="shared" si="72"/>
        <v>6.8335551119982256E-3</v>
      </c>
      <c r="S179" s="4">
        <v>0</v>
      </c>
      <c r="T179" s="7">
        <f t="shared" si="73"/>
        <v>0</v>
      </c>
      <c r="U179" s="7">
        <f t="shared" si="74"/>
        <v>0</v>
      </c>
      <c r="V179" s="4">
        <f t="shared" si="75"/>
        <v>0</v>
      </c>
      <c r="W179" s="7">
        <f t="shared" si="76"/>
        <v>0</v>
      </c>
      <c r="X179" s="7">
        <f t="shared" si="77"/>
        <v>0</v>
      </c>
    </row>
    <row r="180" spans="2:24" ht="15.6" customHeight="1" x14ac:dyDescent="0.3">
      <c r="B180" s="7">
        <v>2000</v>
      </c>
      <c r="C180" s="7">
        <v>3000</v>
      </c>
      <c r="D180" s="4">
        <v>0</v>
      </c>
      <c r="E180" s="4">
        <v>143</v>
      </c>
      <c r="F180" s="4">
        <v>0</v>
      </c>
      <c r="G180" s="4">
        <v>0</v>
      </c>
      <c r="H180" s="4">
        <v>162549250</v>
      </c>
      <c r="I180" s="4">
        <v>0</v>
      </c>
      <c r="J180" s="7">
        <f t="shared" si="65"/>
        <v>0</v>
      </c>
      <c r="K180" s="7">
        <f t="shared" si="66"/>
        <v>1.4158191553401134E-4</v>
      </c>
      <c r="L180" s="7">
        <f t="shared" si="67"/>
        <v>0</v>
      </c>
      <c r="M180" s="7">
        <f t="shared" si="68"/>
        <v>0</v>
      </c>
      <c r="N180" s="7">
        <f t="shared" si="69"/>
        <v>2273.4160839160841</v>
      </c>
      <c r="O180" s="7">
        <f t="shared" si="70"/>
        <v>0</v>
      </c>
      <c r="P180" s="7" t="str">
        <f t="shared" si="71"/>
        <v>(2000, 3000]</v>
      </c>
      <c r="Q180" s="7" t="s">
        <v>93</v>
      </c>
      <c r="R180" s="7">
        <f t="shared" si="72"/>
        <v>1.4158191553401134E-4</v>
      </c>
      <c r="S180" s="4">
        <v>0</v>
      </c>
      <c r="T180" s="7">
        <f t="shared" si="73"/>
        <v>0</v>
      </c>
      <c r="U180" s="7">
        <f t="shared" si="74"/>
        <v>0</v>
      </c>
      <c r="V180" s="4">
        <f t="shared" si="75"/>
        <v>0</v>
      </c>
      <c r="W180" s="7">
        <f t="shared" si="76"/>
        <v>0</v>
      </c>
      <c r="X180" s="7">
        <f t="shared" si="77"/>
        <v>0</v>
      </c>
    </row>
    <row r="181" spans="2:24" ht="15.6" customHeight="1" x14ac:dyDescent="0.3">
      <c r="B181" s="7">
        <v>3000</v>
      </c>
      <c r="C181" s="7">
        <v>4000</v>
      </c>
      <c r="D181" s="4">
        <v>0</v>
      </c>
      <c r="E181" s="4">
        <v>14</v>
      </c>
      <c r="F181" s="4">
        <v>0</v>
      </c>
      <c r="G181" s="4">
        <v>0</v>
      </c>
      <c r="H181" s="4">
        <v>23546150</v>
      </c>
      <c r="I181" s="4">
        <v>0</v>
      </c>
      <c r="J181" s="7">
        <f t="shared" si="65"/>
        <v>0</v>
      </c>
      <c r="K181" s="7">
        <f t="shared" si="66"/>
        <v>1.3861166555777333E-5</v>
      </c>
      <c r="L181" s="7">
        <f t="shared" si="67"/>
        <v>0</v>
      </c>
      <c r="M181" s="7">
        <f t="shared" si="68"/>
        <v>0</v>
      </c>
      <c r="N181" s="7">
        <f t="shared" si="69"/>
        <v>3363.7357142857136</v>
      </c>
      <c r="O181" s="7">
        <f t="shared" si="70"/>
        <v>0</v>
      </c>
      <c r="P181" s="7" t="str">
        <f t="shared" si="71"/>
        <v>(3000, 4000]</v>
      </c>
      <c r="Q181" s="7" t="s">
        <v>93</v>
      </c>
      <c r="R181" s="7">
        <f t="shared" si="72"/>
        <v>1.3861166555777333E-5</v>
      </c>
      <c r="S181" s="4">
        <v>0</v>
      </c>
      <c r="T181" s="7">
        <f t="shared" si="73"/>
        <v>0</v>
      </c>
      <c r="U181" s="7">
        <f t="shared" si="74"/>
        <v>0</v>
      </c>
      <c r="V181" s="4">
        <f t="shared" si="75"/>
        <v>0</v>
      </c>
      <c r="W181" s="7">
        <f t="shared" si="76"/>
        <v>0</v>
      </c>
      <c r="X181" s="7">
        <f t="shared" si="77"/>
        <v>0</v>
      </c>
    </row>
    <row r="182" spans="2:24" ht="15.6" customHeight="1" x14ac:dyDescent="0.3">
      <c r="B182" s="7">
        <v>4000</v>
      </c>
      <c r="C182" s="7">
        <v>5000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7">
        <f t="shared" si="65"/>
        <v>0</v>
      </c>
      <c r="K182" s="7">
        <f t="shared" si="66"/>
        <v>0</v>
      </c>
      <c r="L182" s="7">
        <f t="shared" si="67"/>
        <v>0</v>
      </c>
      <c r="M182" s="7">
        <f t="shared" si="68"/>
        <v>0</v>
      </c>
      <c r="N182" s="7">
        <f t="shared" si="69"/>
        <v>0</v>
      </c>
      <c r="O182" s="7">
        <f t="shared" si="70"/>
        <v>0</v>
      </c>
      <c r="P182" s="7" t="str">
        <f t="shared" si="71"/>
        <v>(4000, 5000]</v>
      </c>
      <c r="Q182" s="7" t="s">
        <v>93</v>
      </c>
      <c r="R182" s="7">
        <f t="shared" si="72"/>
        <v>0</v>
      </c>
      <c r="S182" s="4">
        <v>0</v>
      </c>
      <c r="T182" s="7">
        <f t="shared" si="73"/>
        <v>0</v>
      </c>
      <c r="U182" s="7">
        <f t="shared" si="74"/>
        <v>0</v>
      </c>
      <c r="V182" s="4">
        <f t="shared" si="75"/>
        <v>0</v>
      </c>
      <c r="W182" s="7">
        <f t="shared" si="76"/>
        <v>0</v>
      </c>
      <c r="X182" s="7">
        <f t="shared" si="77"/>
        <v>0</v>
      </c>
    </row>
    <row r="183" spans="2:24" ht="15.6" customHeight="1" x14ac:dyDescent="0.3">
      <c r="B183" s="7">
        <v>5000</v>
      </c>
      <c r="C183" s="7">
        <v>6000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7">
        <f t="shared" si="65"/>
        <v>0</v>
      </c>
      <c r="K183" s="7">
        <f t="shared" si="66"/>
        <v>0</v>
      </c>
      <c r="L183" s="7">
        <f t="shared" si="67"/>
        <v>0</v>
      </c>
      <c r="M183" s="7">
        <f t="shared" si="68"/>
        <v>0</v>
      </c>
      <c r="N183" s="7">
        <f t="shared" si="69"/>
        <v>0</v>
      </c>
      <c r="O183" s="7">
        <f t="shared" si="70"/>
        <v>0</v>
      </c>
      <c r="P183" s="7" t="str">
        <f t="shared" si="71"/>
        <v>(5000, 6000]</v>
      </c>
      <c r="Q183" s="7" t="s">
        <v>93</v>
      </c>
      <c r="R183" s="7">
        <f t="shared" si="72"/>
        <v>0</v>
      </c>
      <c r="S183" s="4">
        <v>0</v>
      </c>
      <c r="T183" s="7">
        <f t="shared" si="73"/>
        <v>0</v>
      </c>
      <c r="U183" s="7">
        <f t="shared" si="74"/>
        <v>0</v>
      </c>
      <c r="V183" s="4">
        <f t="shared" si="75"/>
        <v>0</v>
      </c>
      <c r="W183" s="7">
        <f t="shared" si="76"/>
        <v>0</v>
      </c>
      <c r="X183" s="7">
        <f t="shared" si="77"/>
        <v>0</v>
      </c>
    </row>
    <row r="184" spans="2:24" ht="15.6" customHeight="1" x14ac:dyDescent="0.3">
      <c r="B184" s="7">
        <v>6000</v>
      </c>
      <c r="C184" s="7">
        <v>7000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7">
        <f t="shared" si="65"/>
        <v>0</v>
      </c>
      <c r="K184" s="7">
        <f t="shared" si="66"/>
        <v>0</v>
      </c>
      <c r="L184" s="7">
        <f t="shared" si="67"/>
        <v>0</v>
      </c>
      <c r="M184" s="7">
        <f t="shared" si="68"/>
        <v>0</v>
      </c>
      <c r="N184" s="7">
        <f t="shared" si="69"/>
        <v>0</v>
      </c>
      <c r="O184" s="7">
        <f t="shared" si="70"/>
        <v>0</v>
      </c>
      <c r="P184" s="7" t="str">
        <f t="shared" si="71"/>
        <v>(6000, 7000]</v>
      </c>
      <c r="Q184" s="7" t="s">
        <v>93</v>
      </c>
      <c r="R184" s="7">
        <f t="shared" si="72"/>
        <v>0</v>
      </c>
      <c r="S184" s="4">
        <v>0</v>
      </c>
      <c r="T184" s="7">
        <f t="shared" si="73"/>
        <v>0</v>
      </c>
      <c r="U184" s="7">
        <f t="shared" si="74"/>
        <v>0</v>
      </c>
      <c r="V184" s="4">
        <f t="shared" si="75"/>
        <v>0</v>
      </c>
      <c r="W184" s="7">
        <f t="shared" si="76"/>
        <v>0</v>
      </c>
      <c r="X184" s="7">
        <f t="shared" si="77"/>
        <v>0</v>
      </c>
    </row>
    <row r="185" spans="2:24" ht="15.6" customHeight="1" x14ac:dyDescent="0.3">
      <c r="B185" s="7">
        <v>7000</v>
      </c>
      <c r="C185" s="7">
        <v>8000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7">
        <f t="shared" si="65"/>
        <v>0</v>
      </c>
      <c r="K185" s="7">
        <f t="shared" si="66"/>
        <v>0</v>
      </c>
      <c r="L185" s="7">
        <f t="shared" si="67"/>
        <v>0</v>
      </c>
      <c r="M185" s="7">
        <f t="shared" si="68"/>
        <v>0</v>
      </c>
      <c r="N185" s="7">
        <f t="shared" si="69"/>
        <v>0</v>
      </c>
      <c r="O185" s="7">
        <f t="shared" si="70"/>
        <v>0</v>
      </c>
      <c r="P185" s="7" t="str">
        <f t="shared" si="71"/>
        <v>(7000, 8000]</v>
      </c>
      <c r="Q185" s="7" t="s">
        <v>93</v>
      </c>
      <c r="R185" s="7">
        <f t="shared" si="72"/>
        <v>0</v>
      </c>
      <c r="S185" s="4">
        <v>0</v>
      </c>
      <c r="T185" s="7">
        <f t="shared" si="73"/>
        <v>0</v>
      </c>
      <c r="U185" s="7">
        <f t="shared" si="74"/>
        <v>0</v>
      </c>
      <c r="V185" s="4">
        <f t="shared" si="75"/>
        <v>0</v>
      </c>
      <c r="W185" s="7">
        <f t="shared" si="76"/>
        <v>0</v>
      </c>
      <c r="X185" s="7">
        <f t="shared" si="77"/>
        <v>0</v>
      </c>
    </row>
    <row r="186" spans="2:24" ht="15.6" customHeight="1" x14ac:dyDescent="0.3">
      <c r="B186" s="7"/>
      <c r="C186" s="7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7">
        <f t="shared" si="65"/>
        <v>0</v>
      </c>
      <c r="K186" s="7">
        <f t="shared" si="66"/>
        <v>0</v>
      </c>
      <c r="L186" s="7">
        <f t="shared" si="67"/>
        <v>0</v>
      </c>
      <c r="M186" s="7">
        <f t="shared" si="68"/>
        <v>0</v>
      </c>
      <c r="N186" s="7">
        <f t="shared" si="69"/>
        <v>0</v>
      </c>
      <c r="O186" s="7">
        <f t="shared" si="70"/>
        <v>0</v>
      </c>
      <c r="P186" s="7" t="str">
        <f t="shared" si="71"/>
        <v>(, ]</v>
      </c>
      <c r="Q186" s="7" t="s">
        <v>93</v>
      </c>
      <c r="R186" s="7">
        <f t="shared" si="72"/>
        <v>0</v>
      </c>
      <c r="S186" s="4">
        <v>0</v>
      </c>
      <c r="T186" s="7">
        <f t="shared" si="73"/>
        <v>0</v>
      </c>
      <c r="U186" s="7">
        <f t="shared" si="74"/>
        <v>0</v>
      </c>
      <c r="V186" s="4">
        <f t="shared" si="75"/>
        <v>0</v>
      </c>
      <c r="W186" s="7">
        <f t="shared" si="76"/>
        <v>0</v>
      </c>
      <c r="X186" s="7">
        <f t="shared" si="77"/>
        <v>0</v>
      </c>
    </row>
    <row r="187" spans="2:24" ht="15.6" customHeight="1" x14ac:dyDescent="0.3">
      <c r="B187" s="7"/>
      <c r="C187" s="7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7">
        <f t="shared" si="65"/>
        <v>0</v>
      </c>
      <c r="K187" s="7">
        <f t="shared" si="66"/>
        <v>0</v>
      </c>
      <c r="L187" s="7">
        <f t="shared" si="67"/>
        <v>0</v>
      </c>
      <c r="M187" s="7">
        <f t="shared" si="68"/>
        <v>0</v>
      </c>
      <c r="N187" s="7">
        <f t="shared" si="69"/>
        <v>0</v>
      </c>
      <c r="O187" s="7">
        <f t="shared" si="70"/>
        <v>0</v>
      </c>
      <c r="P187" s="7" t="str">
        <f t="shared" si="71"/>
        <v>(, ]</v>
      </c>
      <c r="Q187" s="7" t="s">
        <v>93</v>
      </c>
      <c r="R187" s="7">
        <f t="shared" si="72"/>
        <v>0</v>
      </c>
      <c r="S187" s="4">
        <v>0</v>
      </c>
      <c r="T187" s="7">
        <f t="shared" si="73"/>
        <v>0</v>
      </c>
      <c r="U187" s="7">
        <f t="shared" si="74"/>
        <v>0</v>
      </c>
      <c r="V187" s="4">
        <f t="shared" si="75"/>
        <v>0</v>
      </c>
      <c r="W187" s="7">
        <f t="shared" si="76"/>
        <v>0</v>
      </c>
      <c r="X187" s="7">
        <f t="shared" si="77"/>
        <v>0</v>
      </c>
    </row>
    <row r="188" spans="2:24" ht="15.6" customHeight="1" x14ac:dyDescent="0.3">
      <c r="B188" s="7"/>
      <c r="C188" s="7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7">
        <f t="shared" si="65"/>
        <v>0</v>
      </c>
      <c r="K188" s="7">
        <f t="shared" si="66"/>
        <v>0</v>
      </c>
      <c r="L188" s="7">
        <f t="shared" si="67"/>
        <v>0</v>
      </c>
      <c r="M188" s="7">
        <f t="shared" si="68"/>
        <v>0</v>
      </c>
      <c r="N188" s="7">
        <f t="shared" si="69"/>
        <v>0</v>
      </c>
      <c r="O188" s="7">
        <f t="shared" si="70"/>
        <v>0</v>
      </c>
      <c r="P188" s="7" t="str">
        <f t="shared" si="71"/>
        <v>(, ]</v>
      </c>
      <c r="Q188" s="7" t="s">
        <v>93</v>
      </c>
      <c r="R188" s="7">
        <f t="shared" si="72"/>
        <v>0</v>
      </c>
      <c r="S188" s="4">
        <v>0</v>
      </c>
      <c r="T188" s="7">
        <f t="shared" si="73"/>
        <v>0</v>
      </c>
      <c r="U188" s="7">
        <f t="shared" si="74"/>
        <v>0</v>
      </c>
      <c r="V188" s="4">
        <f t="shared" si="75"/>
        <v>0</v>
      </c>
      <c r="W188" s="7">
        <f t="shared" si="76"/>
        <v>0</v>
      </c>
      <c r="X188" s="7">
        <f t="shared" si="77"/>
        <v>0</v>
      </c>
    </row>
    <row r="189" spans="2:24" ht="15.6" customHeight="1" x14ac:dyDescent="0.3">
      <c r="B189" s="7"/>
      <c r="C189" s="7"/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7">
        <f t="shared" si="65"/>
        <v>0</v>
      </c>
      <c r="K189" s="7">
        <f t="shared" si="66"/>
        <v>0</v>
      </c>
      <c r="L189" s="7">
        <f t="shared" si="67"/>
        <v>0</v>
      </c>
      <c r="M189" s="7">
        <f t="shared" si="68"/>
        <v>0</v>
      </c>
      <c r="N189" s="7">
        <f t="shared" si="69"/>
        <v>0</v>
      </c>
      <c r="O189" s="7">
        <f t="shared" si="70"/>
        <v>0</v>
      </c>
      <c r="P189" s="7" t="str">
        <f t="shared" si="71"/>
        <v>(, ]</v>
      </c>
      <c r="Q189" s="7" t="s">
        <v>93</v>
      </c>
      <c r="R189" s="7">
        <f t="shared" si="72"/>
        <v>0</v>
      </c>
      <c r="S189" s="4">
        <v>0</v>
      </c>
      <c r="T189" s="7">
        <f t="shared" si="73"/>
        <v>0</v>
      </c>
      <c r="U189" s="7">
        <f t="shared" si="74"/>
        <v>0</v>
      </c>
      <c r="V189" s="4">
        <f t="shared" si="75"/>
        <v>0</v>
      </c>
      <c r="W189" s="7">
        <f t="shared" si="76"/>
        <v>0</v>
      </c>
      <c r="X189" s="7">
        <f t="shared" si="77"/>
        <v>0</v>
      </c>
    </row>
    <row r="190" spans="2:24" ht="15.6" customHeight="1" x14ac:dyDescent="0.3">
      <c r="B190" s="7"/>
      <c r="C190" s="7"/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7">
        <f t="shared" si="65"/>
        <v>0</v>
      </c>
      <c r="K190" s="7">
        <f t="shared" si="66"/>
        <v>0</v>
      </c>
      <c r="L190" s="7">
        <f t="shared" si="67"/>
        <v>0</v>
      </c>
      <c r="M190" s="7">
        <f t="shared" si="68"/>
        <v>0</v>
      </c>
      <c r="N190" s="7">
        <f t="shared" si="69"/>
        <v>0</v>
      </c>
      <c r="O190" s="7">
        <f t="shared" si="70"/>
        <v>0</v>
      </c>
      <c r="P190" s="7" t="str">
        <f t="shared" si="71"/>
        <v>(, ]</v>
      </c>
      <c r="Q190" s="7" t="s">
        <v>93</v>
      </c>
      <c r="R190" s="7">
        <f t="shared" si="72"/>
        <v>0</v>
      </c>
      <c r="S190" s="4">
        <v>0</v>
      </c>
      <c r="T190" s="7">
        <f t="shared" si="73"/>
        <v>0</v>
      </c>
      <c r="U190" s="7">
        <f t="shared" si="74"/>
        <v>0</v>
      </c>
      <c r="V190" s="4">
        <f t="shared" si="75"/>
        <v>0</v>
      </c>
      <c r="W190" s="7">
        <f t="shared" si="76"/>
        <v>0</v>
      </c>
      <c r="X190" s="7">
        <f t="shared" si="77"/>
        <v>0</v>
      </c>
    </row>
    <row r="191" spans="2:24" ht="15.6" customHeight="1" x14ac:dyDescent="0.3">
      <c r="B191" s="7"/>
      <c r="C191" s="7"/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7">
        <f t="shared" si="65"/>
        <v>0</v>
      </c>
      <c r="K191" s="7">
        <f t="shared" si="66"/>
        <v>0</v>
      </c>
      <c r="L191" s="7">
        <f t="shared" si="67"/>
        <v>0</v>
      </c>
      <c r="M191" s="7">
        <f t="shared" si="68"/>
        <v>0</v>
      </c>
      <c r="N191" s="7">
        <f t="shared" si="69"/>
        <v>0</v>
      </c>
      <c r="O191" s="7">
        <f t="shared" si="70"/>
        <v>0</v>
      </c>
      <c r="P191" s="7" t="str">
        <f t="shared" si="71"/>
        <v>(, ]</v>
      </c>
      <c r="Q191" s="7" t="s">
        <v>93</v>
      </c>
      <c r="R191" s="7">
        <f t="shared" si="72"/>
        <v>0</v>
      </c>
      <c r="S191" s="4">
        <v>0</v>
      </c>
      <c r="T191" s="7">
        <f t="shared" si="73"/>
        <v>0</v>
      </c>
      <c r="U191" s="7">
        <f t="shared" si="74"/>
        <v>0</v>
      </c>
      <c r="V191" s="4">
        <f t="shared" si="75"/>
        <v>0</v>
      </c>
      <c r="W191" s="7">
        <f t="shared" si="76"/>
        <v>0</v>
      </c>
      <c r="X191" s="7">
        <f t="shared" si="77"/>
        <v>0</v>
      </c>
    </row>
    <row r="192" spans="2:24" ht="15.6" customHeight="1" x14ac:dyDescent="0.3">
      <c r="B192" s="7"/>
      <c r="C192" s="7"/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7">
        <f t="shared" si="65"/>
        <v>0</v>
      </c>
      <c r="K192" s="7">
        <f t="shared" si="66"/>
        <v>0</v>
      </c>
      <c r="L192" s="7">
        <f t="shared" si="67"/>
        <v>0</v>
      </c>
      <c r="M192" s="7">
        <f t="shared" si="68"/>
        <v>0</v>
      </c>
      <c r="N192" s="7">
        <f t="shared" si="69"/>
        <v>0</v>
      </c>
      <c r="O192" s="7">
        <f t="shared" si="70"/>
        <v>0</v>
      </c>
      <c r="P192" s="7" t="str">
        <f t="shared" si="71"/>
        <v>(, ]</v>
      </c>
      <c r="Q192" s="7" t="s">
        <v>93</v>
      </c>
      <c r="R192" s="7">
        <f t="shared" si="72"/>
        <v>0</v>
      </c>
      <c r="S192" s="4">
        <v>0</v>
      </c>
      <c r="T192" s="7">
        <f t="shared" si="73"/>
        <v>0</v>
      </c>
      <c r="U192" s="7">
        <f t="shared" si="74"/>
        <v>0</v>
      </c>
      <c r="V192" s="4">
        <f t="shared" si="75"/>
        <v>0</v>
      </c>
      <c r="W192" s="7">
        <f t="shared" si="76"/>
        <v>0</v>
      </c>
      <c r="X192" s="7">
        <f t="shared" si="77"/>
        <v>0</v>
      </c>
    </row>
    <row r="193" spans="2:22" ht="15.6" customHeight="1" x14ac:dyDescent="0.3">
      <c r="B193" s="3" t="s">
        <v>166</v>
      </c>
      <c r="V193" s="4">
        <f>SUM(V134:V192)</f>
        <v>999999984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8"/>
  <sheetViews>
    <sheetView workbookViewId="0"/>
  </sheetViews>
  <sheetFormatPr defaultRowHeight="15" x14ac:dyDescent="0.3"/>
  <cols>
    <col min="1" max="1" width="4" customWidth="1"/>
    <col min="2" max="8" width="18" customWidth="1"/>
  </cols>
  <sheetData>
    <row r="2" spans="2:12" ht="15.6" customHeight="1" x14ac:dyDescent="0.3">
      <c r="B2" s="1" t="s">
        <v>183</v>
      </c>
      <c r="F2" s="1" t="s">
        <v>184</v>
      </c>
      <c r="J2" s="1" t="s">
        <v>10</v>
      </c>
    </row>
    <row r="3" spans="2:12" ht="15.6" customHeight="1" x14ac:dyDescent="0.3">
      <c r="B3" s="3" t="s">
        <v>185</v>
      </c>
      <c r="C3" s="3" t="s">
        <v>186</v>
      </c>
      <c r="D3" s="3" t="s">
        <v>187</v>
      </c>
      <c r="F3" s="3" t="s">
        <v>185</v>
      </c>
      <c r="G3" s="3" t="s">
        <v>186</v>
      </c>
      <c r="H3" s="3" t="s">
        <v>187</v>
      </c>
      <c r="J3" s="3" t="s">
        <v>185</v>
      </c>
      <c r="K3" s="3" t="s">
        <v>186</v>
      </c>
      <c r="L3" s="3" t="s">
        <v>187</v>
      </c>
    </row>
    <row r="4" spans="2:12" ht="15.6" customHeight="1" x14ac:dyDescent="0.3">
      <c r="B4" s="7" t="s">
        <v>188</v>
      </c>
      <c r="C4" s="7">
        <v>0</v>
      </c>
      <c r="D4" s="4">
        <v>68973231</v>
      </c>
      <c r="F4" s="7" t="s">
        <v>188</v>
      </c>
      <c r="G4" s="7">
        <v>0</v>
      </c>
      <c r="H4" s="4">
        <v>69402436</v>
      </c>
      <c r="J4" s="7" t="s">
        <v>188</v>
      </c>
      <c r="K4" s="7">
        <v>0</v>
      </c>
      <c r="L4" s="4">
        <v>0</v>
      </c>
    </row>
    <row r="5" spans="2:12" ht="15.6" customHeight="1" x14ac:dyDescent="0.3">
      <c r="B5" s="7" t="s">
        <v>188</v>
      </c>
      <c r="C5" s="7">
        <v>1</v>
      </c>
      <c r="D5" s="4">
        <v>26114515</v>
      </c>
      <c r="F5" s="7" t="s">
        <v>188</v>
      </c>
      <c r="G5" s="7">
        <v>1</v>
      </c>
      <c r="H5" s="4">
        <v>25844647</v>
      </c>
      <c r="J5" s="7" t="s">
        <v>188</v>
      </c>
      <c r="K5" s="7">
        <v>1</v>
      </c>
      <c r="L5" s="4">
        <v>0</v>
      </c>
    </row>
    <row r="6" spans="2:12" ht="15.6" customHeight="1" x14ac:dyDescent="0.3">
      <c r="B6" s="7" t="s">
        <v>188</v>
      </c>
      <c r="C6" s="7">
        <v>2</v>
      </c>
      <c r="D6" s="4">
        <v>4065821</v>
      </c>
      <c r="F6" s="7" t="s">
        <v>188</v>
      </c>
      <c r="G6" s="7">
        <v>2</v>
      </c>
      <c r="H6" s="4">
        <v>3905458</v>
      </c>
      <c r="J6" s="7" t="s">
        <v>188</v>
      </c>
      <c r="K6" s="7">
        <v>2</v>
      </c>
      <c r="L6" s="4">
        <v>0</v>
      </c>
    </row>
    <row r="7" spans="2:12" ht="15.6" customHeight="1" x14ac:dyDescent="0.3">
      <c r="B7" s="7" t="s">
        <v>188</v>
      </c>
      <c r="C7" s="7">
        <v>3</v>
      </c>
      <c r="D7" s="4">
        <v>795808</v>
      </c>
      <c r="F7" s="7" t="s">
        <v>188</v>
      </c>
      <c r="G7" s="7">
        <v>3</v>
      </c>
      <c r="H7" s="4">
        <v>797096</v>
      </c>
      <c r="J7" s="7" t="s">
        <v>188</v>
      </c>
      <c r="K7" s="7">
        <v>3</v>
      </c>
      <c r="L7" s="4">
        <v>4994541</v>
      </c>
    </row>
    <row r="8" spans="2:12" ht="15.6" customHeight="1" x14ac:dyDescent="0.3">
      <c r="B8" s="7" t="s">
        <v>188</v>
      </c>
      <c r="C8" s="7">
        <v>4</v>
      </c>
      <c r="D8" s="4">
        <v>48889</v>
      </c>
      <c r="F8" s="7" t="s">
        <v>188</v>
      </c>
      <c r="G8" s="7">
        <v>4</v>
      </c>
      <c r="H8" s="4">
        <v>48596</v>
      </c>
      <c r="J8" s="7" t="s">
        <v>188</v>
      </c>
      <c r="K8" s="7">
        <v>4</v>
      </c>
      <c r="L8" s="4">
        <v>5125</v>
      </c>
    </row>
    <row r="9" spans="2:12" ht="15.6" customHeight="1" x14ac:dyDescent="0.3">
      <c r="B9" s="7" t="s">
        <v>188</v>
      </c>
      <c r="C9" s="7">
        <v>5</v>
      </c>
      <c r="D9" s="4">
        <v>1686</v>
      </c>
      <c r="F9" s="7" t="s">
        <v>188</v>
      </c>
      <c r="G9" s="7">
        <v>5</v>
      </c>
      <c r="H9" s="4">
        <v>1709</v>
      </c>
      <c r="J9" s="7" t="s">
        <v>188</v>
      </c>
      <c r="K9" s="7">
        <v>5</v>
      </c>
      <c r="L9" s="4">
        <v>320</v>
      </c>
    </row>
    <row r="10" spans="2:12" ht="15.6" customHeight="1" x14ac:dyDescent="0.3">
      <c r="B10" s="7" t="s">
        <v>188</v>
      </c>
      <c r="C10" s="7">
        <v>6</v>
      </c>
      <c r="D10" s="4">
        <v>50</v>
      </c>
      <c r="F10" s="7" t="s">
        <v>188</v>
      </c>
      <c r="G10" s="7">
        <v>6</v>
      </c>
      <c r="H10" s="4">
        <v>58</v>
      </c>
      <c r="J10" s="7" t="s">
        <v>188</v>
      </c>
      <c r="K10" s="7">
        <v>6</v>
      </c>
      <c r="L10" s="4">
        <v>14</v>
      </c>
    </row>
    <row r="11" spans="2:12" ht="15.6" customHeight="1" x14ac:dyDescent="0.3">
      <c r="B11" s="7" t="s">
        <v>189</v>
      </c>
      <c r="C11" s="7">
        <v>0</v>
      </c>
      <c r="D11" s="4">
        <v>5773921</v>
      </c>
      <c r="F11" s="7" t="s">
        <v>189</v>
      </c>
      <c r="G11" s="7">
        <v>0</v>
      </c>
      <c r="H11" s="4">
        <v>5788195</v>
      </c>
      <c r="J11" s="7" t="s">
        <v>189</v>
      </c>
      <c r="K11" s="7">
        <v>0</v>
      </c>
      <c r="L11" s="4">
        <v>34194899</v>
      </c>
    </row>
    <row r="12" spans="2:12" ht="15.6" customHeight="1" x14ac:dyDescent="0.3">
      <c r="B12" s="7" t="s">
        <v>189</v>
      </c>
      <c r="C12" s="7">
        <v>1</v>
      </c>
      <c r="D12" s="4">
        <v>2338724</v>
      </c>
      <c r="F12" s="7" t="s">
        <v>189</v>
      </c>
      <c r="G12" s="7">
        <v>1</v>
      </c>
      <c r="H12" s="4">
        <v>2339282</v>
      </c>
      <c r="J12" s="7" t="s">
        <v>189</v>
      </c>
      <c r="K12" s="7">
        <v>1</v>
      </c>
      <c r="L12" s="4">
        <v>13798140</v>
      </c>
    </row>
    <row r="13" spans="2:12" ht="15.6" customHeight="1" x14ac:dyDescent="0.3">
      <c r="B13" s="7" t="s">
        <v>189</v>
      </c>
      <c r="C13" s="7">
        <v>2</v>
      </c>
      <c r="D13" s="4">
        <v>409449</v>
      </c>
      <c r="F13" s="7" t="s">
        <v>189</v>
      </c>
      <c r="G13" s="7">
        <v>2</v>
      </c>
      <c r="H13" s="4">
        <v>406313</v>
      </c>
      <c r="J13" s="7" t="s">
        <v>189</v>
      </c>
      <c r="K13" s="7">
        <v>2</v>
      </c>
      <c r="L13" s="4">
        <v>2396261</v>
      </c>
    </row>
    <row r="14" spans="2:12" ht="15.6" customHeight="1" x14ac:dyDescent="0.3">
      <c r="B14" s="7" t="s">
        <v>189</v>
      </c>
      <c r="C14" s="7">
        <v>3</v>
      </c>
      <c r="D14" s="4">
        <v>13453</v>
      </c>
      <c r="F14" s="7" t="s">
        <v>189</v>
      </c>
      <c r="G14" s="7">
        <v>3</v>
      </c>
      <c r="H14" s="4">
        <v>13765</v>
      </c>
      <c r="J14" s="7" t="s">
        <v>189</v>
      </c>
      <c r="K14" s="7">
        <v>3</v>
      </c>
      <c r="L14" s="4">
        <v>89848</v>
      </c>
    </row>
    <row r="15" spans="2:12" ht="15.6" customHeight="1" x14ac:dyDescent="0.3">
      <c r="B15" s="7" t="s">
        <v>189</v>
      </c>
      <c r="C15" s="7">
        <v>4</v>
      </c>
      <c r="D15" s="4">
        <v>938</v>
      </c>
      <c r="F15" s="7" t="s">
        <v>189</v>
      </c>
      <c r="G15" s="7">
        <v>4</v>
      </c>
      <c r="H15" s="4">
        <v>980</v>
      </c>
      <c r="J15" s="7" t="s">
        <v>189</v>
      </c>
      <c r="K15" s="7">
        <v>4</v>
      </c>
      <c r="L15" s="4">
        <v>6949</v>
      </c>
    </row>
    <row r="16" spans="2:12" ht="15.6" customHeight="1" x14ac:dyDescent="0.3">
      <c r="B16" s="7" t="s">
        <v>189</v>
      </c>
      <c r="C16" s="7">
        <v>5</v>
      </c>
      <c r="D16" s="4">
        <v>46</v>
      </c>
      <c r="F16" s="7" t="s">
        <v>189</v>
      </c>
      <c r="G16" s="7">
        <v>5</v>
      </c>
      <c r="H16" s="4">
        <v>52</v>
      </c>
      <c r="J16" s="7" t="s">
        <v>189</v>
      </c>
      <c r="K16" s="7">
        <v>5</v>
      </c>
      <c r="L16" s="4">
        <v>493</v>
      </c>
    </row>
    <row r="17" spans="2:12" ht="15.6" customHeight="1" x14ac:dyDescent="0.3">
      <c r="B17" s="7" t="s">
        <v>189</v>
      </c>
      <c r="C17" s="7">
        <v>6</v>
      </c>
      <c r="D17" s="4">
        <v>4</v>
      </c>
      <c r="F17" s="7" t="s">
        <v>189</v>
      </c>
      <c r="G17" s="7">
        <v>6</v>
      </c>
      <c r="H17" s="4">
        <v>3</v>
      </c>
      <c r="J17" s="7" t="s">
        <v>189</v>
      </c>
      <c r="K17" s="7">
        <v>6</v>
      </c>
      <c r="L17" s="4">
        <v>35</v>
      </c>
    </row>
    <row r="18" spans="2:12" ht="15.6" customHeight="1" x14ac:dyDescent="0.3">
      <c r="B18" s="7" t="s">
        <v>190</v>
      </c>
      <c r="C18" s="7"/>
      <c r="D18" s="4">
        <v>3378938300</v>
      </c>
      <c r="F18" s="7" t="s">
        <v>190</v>
      </c>
      <c r="G18" s="7"/>
      <c r="H18" s="4">
        <v>3335795900</v>
      </c>
      <c r="J18" s="7" t="s">
        <v>190</v>
      </c>
      <c r="K18" s="7"/>
      <c r="L18" s="4">
        <v>42583452000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43</v>
      </c>
      <c r="L4" s="7" t="s">
        <v>40</v>
      </c>
      <c r="M4" s="7" t="s">
        <v>46</v>
      </c>
      <c r="N4" s="7" t="s">
        <v>42</v>
      </c>
      <c r="O4" s="7" t="s">
        <v>39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40</v>
      </c>
      <c r="L5" s="7" t="s">
        <v>52</v>
      </c>
      <c r="M5" s="7" t="s">
        <v>36</v>
      </c>
      <c r="N5" s="7" t="s">
        <v>40</v>
      </c>
      <c r="O5" s="7" t="s">
        <v>38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9</v>
      </c>
      <c r="D6" s="4">
        <v>11</v>
      </c>
      <c r="E6" s="4">
        <v>13</v>
      </c>
      <c r="F6" s="4">
        <v>14</v>
      </c>
      <c r="G6" s="4">
        <v>4</v>
      </c>
      <c r="H6" s="7">
        <v>2</v>
      </c>
      <c r="J6" s="7">
        <v>2</v>
      </c>
      <c r="K6" s="7" t="s">
        <v>40</v>
      </c>
      <c r="L6" s="7" t="s">
        <v>39</v>
      </c>
      <c r="M6" s="7" t="s">
        <v>38</v>
      </c>
      <c r="N6" s="7" t="s">
        <v>43</v>
      </c>
      <c r="O6" s="7" t="s">
        <v>40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65</v>
      </c>
      <c r="D7" s="4">
        <v>11</v>
      </c>
      <c r="E7" s="4">
        <v>17</v>
      </c>
      <c r="F7" s="4">
        <v>6</v>
      </c>
      <c r="G7" s="4">
        <v>20</v>
      </c>
      <c r="H7" s="7">
        <v>3</v>
      </c>
      <c r="J7" s="7">
        <v>3</v>
      </c>
      <c r="K7" s="7" t="s">
        <v>37</v>
      </c>
      <c r="L7" s="7" t="s">
        <v>40</v>
      </c>
      <c r="M7" s="7" t="s">
        <v>34</v>
      </c>
      <c r="N7" s="7" t="s">
        <v>41</v>
      </c>
      <c r="O7" s="7" t="s">
        <v>40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49</v>
      </c>
      <c r="D8" s="4">
        <v>38</v>
      </c>
      <c r="E8" s="4">
        <v>21</v>
      </c>
      <c r="F8" s="4">
        <v>8</v>
      </c>
      <c r="G8" s="4">
        <v>37</v>
      </c>
      <c r="H8" s="7">
        <v>4</v>
      </c>
      <c r="J8" s="7">
        <v>4</v>
      </c>
      <c r="K8" s="7" t="s">
        <v>36</v>
      </c>
      <c r="L8" s="7" t="s">
        <v>41</v>
      </c>
      <c r="M8" s="7" t="s">
        <v>42</v>
      </c>
      <c r="N8" s="7" t="s">
        <v>48</v>
      </c>
      <c r="O8" s="7" t="s">
        <v>42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2</v>
      </c>
      <c r="D9" s="4">
        <v>22</v>
      </c>
      <c r="E9" s="4">
        <v>93</v>
      </c>
      <c r="F9" s="4">
        <v>23</v>
      </c>
      <c r="G9" s="4">
        <v>55</v>
      </c>
      <c r="H9" s="7">
        <v>5</v>
      </c>
      <c r="J9" s="7">
        <v>5</v>
      </c>
      <c r="K9" s="7" t="s">
        <v>41</v>
      </c>
      <c r="L9" s="7" t="s">
        <v>39</v>
      </c>
      <c r="M9" s="7" t="s">
        <v>38</v>
      </c>
      <c r="N9" s="7" t="s">
        <v>50</v>
      </c>
      <c r="O9" s="7" t="s">
        <v>42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1</v>
      </c>
      <c r="D10" s="4">
        <v>88</v>
      </c>
      <c r="E10" s="4">
        <v>32</v>
      </c>
      <c r="F10" s="4">
        <v>75</v>
      </c>
      <c r="G10" s="4">
        <v>35</v>
      </c>
      <c r="H10" s="7">
        <v>6</v>
      </c>
      <c r="J10" s="7">
        <v>6</v>
      </c>
      <c r="K10" s="7" t="s">
        <v>36</v>
      </c>
      <c r="L10" s="7" t="s">
        <v>40</v>
      </c>
      <c r="M10" s="7" t="s">
        <v>41</v>
      </c>
      <c r="N10" s="7" t="s">
        <v>42</v>
      </c>
      <c r="O10" s="7" t="s">
        <v>41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83</v>
      </c>
      <c r="D11" s="4">
        <v>83</v>
      </c>
      <c r="E11" s="4">
        <v>11</v>
      </c>
      <c r="F11" s="4">
        <v>22</v>
      </c>
      <c r="G11" s="4">
        <v>52</v>
      </c>
      <c r="H11" s="7">
        <v>7</v>
      </c>
      <c r="J11" s="7">
        <v>7</v>
      </c>
      <c r="K11" s="7" t="s">
        <v>43</v>
      </c>
      <c r="L11" s="7" t="s">
        <v>40</v>
      </c>
      <c r="M11" s="7" t="s">
        <v>38</v>
      </c>
      <c r="N11" s="7" t="s">
        <v>56</v>
      </c>
      <c r="O11" s="7" t="s">
        <v>37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91</v>
      </c>
      <c r="D12" s="4">
        <v>30</v>
      </c>
      <c r="E12" s="4">
        <v>13</v>
      </c>
      <c r="F12" s="4">
        <v>66</v>
      </c>
      <c r="G12" s="4">
        <v>38</v>
      </c>
      <c r="H12" s="7">
        <v>8</v>
      </c>
      <c r="J12" s="7">
        <v>8</v>
      </c>
      <c r="K12" s="7" t="s">
        <v>36</v>
      </c>
      <c r="L12" s="7" t="s">
        <v>52</v>
      </c>
      <c r="M12" s="7" t="s">
        <v>43</v>
      </c>
      <c r="N12" s="7" t="s">
        <v>42</v>
      </c>
      <c r="O12" s="7" t="s">
        <v>37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8</v>
      </c>
      <c r="D13" s="4">
        <v>51</v>
      </c>
      <c r="E13" s="4">
        <v>82</v>
      </c>
      <c r="F13" s="4">
        <v>92</v>
      </c>
      <c r="G13" s="4">
        <v>78</v>
      </c>
      <c r="H13" s="7">
        <v>9</v>
      </c>
      <c r="J13" s="7">
        <v>9</v>
      </c>
      <c r="K13" s="7" t="s">
        <v>36</v>
      </c>
      <c r="L13" s="7" t="s">
        <v>39</v>
      </c>
      <c r="M13" s="7" t="s">
        <v>42</v>
      </c>
      <c r="N13" s="7" t="s">
        <v>34</v>
      </c>
      <c r="O13" s="7" t="s">
        <v>41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92</v>
      </c>
      <c r="D14" s="4">
        <v>8</v>
      </c>
      <c r="E14" s="4">
        <v>75</v>
      </c>
      <c r="F14" s="4">
        <v>27</v>
      </c>
      <c r="G14" s="4">
        <v>81</v>
      </c>
      <c r="H14" s="7">
        <v>10</v>
      </c>
      <c r="J14" s="7">
        <v>10</v>
      </c>
      <c r="K14" s="7" t="s">
        <v>41</v>
      </c>
      <c r="L14" s="7" t="s">
        <v>40</v>
      </c>
      <c r="M14" s="7" t="s">
        <v>38</v>
      </c>
      <c r="N14" s="7" t="s">
        <v>50</v>
      </c>
      <c r="O14" s="7" t="s">
        <v>40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1</v>
      </c>
      <c r="E15" s="4">
        <v>5</v>
      </c>
      <c r="F15" s="4">
        <v>2</v>
      </c>
      <c r="G15" s="4">
        <v>0</v>
      </c>
      <c r="H15" s="7">
        <v>11</v>
      </c>
      <c r="J15" s="7">
        <v>11</v>
      </c>
      <c r="K15" s="7" t="s">
        <v>40</v>
      </c>
      <c r="L15" s="7" t="s">
        <v>37</v>
      </c>
      <c r="M15" s="7" t="s">
        <v>56</v>
      </c>
      <c r="N15" s="7" t="s">
        <v>43</v>
      </c>
      <c r="O15" s="7" t="s">
        <v>43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6</v>
      </c>
      <c r="E16" s="4">
        <v>2</v>
      </c>
      <c r="F16" s="4">
        <v>2</v>
      </c>
      <c r="G16" s="4">
        <v>0</v>
      </c>
      <c r="H16" s="7">
        <v>12</v>
      </c>
      <c r="J16" s="7">
        <v>12</v>
      </c>
      <c r="K16" s="7" t="s">
        <v>43</v>
      </c>
      <c r="L16" s="7" t="s">
        <v>42</v>
      </c>
      <c r="M16" s="7" t="s">
        <v>38</v>
      </c>
      <c r="N16" s="7" t="s">
        <v>56</v>
      </c>
      <c r="O16" s="7" t="s">
        <v>41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2</v>
      </c>
      <c r="E17" s="4">
        <v>16</v>
      </c>
      <c r="F17" s="4">
        <v>13</v>
      </c>
      <c r="G17" s="4">
        <v>0</v>
      </c>
      <c r="H17" s="7">
        <v>13</v>
      </c>
      <c r="J17" s="7">
        <v>13</v>
      </c>
      <c r="K17" s="7" t="s">
        <v>43</v>
      </c>
      <c r="L17" s="7" t="s">
        <v>39</v>
      </c>
      <c r="M17" s="7" t="s">
        <v>37</v>
      </c>
      <c r="N17" s="7" t="s">
        <v>39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32</v>
      </c>
      <c r="E18" s="4">
        <v>6</v>
      </c>
      <c r="F18" s="4">
        <v>8</v>
      </c>
      <c r="G18" s="4">
        <v>0</v>
      </c>
      <c r="H18" s="7">
        <v>14</v>
      </c>
      <c r="J18" s="7">
        <v>14</v>
      </c>
      <c r="K18" s="7" t="s">
        <v>43</v>
      </c>
      <c r="L18" s="7" t="s">
        <v>34</v>
      </c>
      <c r="M18" s="7" t="s">
        <v>42</v>
      </c>
      <c r="N18" s="7" t="s">
        <v>41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7</v>
      </c>
      <c r="E19" s="4">
        <v>2</v>
      </c>
      <c r="F19" s="4">
        <v>11</v>
      </c>
      <c r="G19" s="4">
        <v>0</v>
      </c>
      <c r="H19" s="7">
        <v>15</v>
      </c>
      <c r="J19" s="7">
        <v>15</v>
      </c>
      <c r="K19" s="7" t="s">
        <v>40</v>
      </c>
      <c r="L19" s="7" t="s">
        <v>42</v>
      </c>
      <c r="M19" s="7" t="s">
        <v>42</v>
      </c>
      <c r="N19" s="7" t="s">
        <v>56</v>
      </c>
      <c r="O19" s="7" t="s">
        <v>39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3</v>
      </c>
      <c r="E20" s="4">
        <v>1</v>
      </c>
      <c r="F20" s="4">
        <v>5</v>
      </c>
      <c r="G20" s="4">
        <v>0</v>
      </c>
      <c r="H20" s="7">
        <v>16</v>
      </c>
      <c r="J20" s="7">
        <v>16</v>
      </c>
      <c r="K20" s="7" t="s">
        <v>36</v>
      </c>
      <c r="L20" s="7" t="s">
        <v>40</v>
      </c>
      <c r="M20" s="7" t="s">
        <v>42</v>
      </c>
      <c r="N20" s="7" t="s">
        <v>43</v>
      </c>
      <c r="O20" s="7" t="s">
        <v>42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4</v>
      </c>
      <c r="E21" s="4">
        <v>4</v>
      </c>
      <c r="F21" s="4">
        <v>19</v>
      </c>
      <c r="G21" s="4">
        <v>0</v>
      </c>
      <c r="H21" s="7">
        <v>17</v>
      </c>
      <c r="J21" s="7">
        <v>17</v>
      </c>
      <c r="K21" s="7" t="s">
        <v>43</v>
      </c>
      <c r="L21" s="7" t="s">
        <v>40</v>
      </c>
      <c r="M21" s="7" t="s">
        <v>56</v>
      </c>
      <c r="N21" s="7" t="s">
        <v>42</v>
      </c>
      <c r="O21" s="7" t="s">
        <v>39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3</v>
      </c>
      <c r="E22" s="4">
        <v>7</v>
      </c>
      <c r="F22" s="4">
        <v>7</v>
      </c>
      <c r="G22" s="4">
        <v>0</v>
      </c>
      <c r="H22" s="7">
        <v>18</v>
      </c>
      <c r="J22" s="7">
        <v>18</v>
      </c>
      <c r="K22" s="7" t="s">
        <v>43</v>
      </c>
      <c r="L22" s="7" t="s">
        <v>41</v>
      </c>
      <c r="M22" s="7" t="s">
        <v>52</v>
      </c>
      <c r="N22" s="7" t="s">
        <v>39</v>
      </c>
      <c r="O22" s="7" t="s">
        <v>38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42</v>
      </c>
      <c r="L23" s="7" t="s">
        <v>42</v>
      </c>
      <c r="M23" s="7" t="s">
        <v>42</v>
      </c>
      <c r="N23" s="7" t="s">
        <v>41</v>
      </c>
      <c r="O23" s="7" t="s">
        <v>43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37</v>
      </c>
      <c r="L24" s="7" t="s">
        <v>42</v>
      </c>
      <c r="M24" s="7" t="s">
        <v>38</v>
      </c>
      <c r="N24" s="7" t="s">
        <v>41</v>
      </c>
      <c r="O24" s="7" t="s">
        <v>43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40</v>
      </c>
      <c r="L25" s="7" t="s">
        <v>39</v>
      </c>
      <c r="M25" s="7" t="s">
        <v>43</v>
      </c>
      <c r="N25" s="7" t="s">
        <v>34</v>
      </c>
      <c r="O25" s="7" t="s">
        <v>40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43</v>
      </c>
      <c r="L26" s="7" t="s">
        <v>37</v>
      </c>
      <c r="M26" s="7" t="s">
        <v>42</v>
      </c>
      <c r="N26" s="7" t="s">
        <v>40</v>
      </c>
      <c r="O26" s="7" t="s">
        <v>39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41</v>
      </c>
      <c r="L27" s="7" t="s">
        <v>42</v>
      </c>
      <c r="M27" s="7" t="s">
        <v>48</v>
      </c>
      <c r="N27" s="7" t="s">
        <v>42</v>
      </c>
      <c r="O27" s="7" t="s">
        <v>36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52</v>
      </c>
      <c r="M28" s="7" t="s">
        <v>39</v>
      </c>
      <c r="N28" s="7" t="s">
        <v>39</v>
      </c>
      <c r="O28" s="7" t="s">
        <v>40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41</v>
      </c>
      <c r="L29" s="7" t="s">
        <v>40</v>
      </c>
      <c r="M29" s="7" t="s">
        <v>42</v>
      </c>
      <c r="N29" s="7" t="s">
        <v>40</v>
      </c>
      <c r="O29" s="7" t="s">
        <v>40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43</v>
      </c>
      <c r="L30" s="7" t="s">
        <v>50</v>
      </c>
      <c r="M30" s="7" t="s">
        <v>37</v>
      </c>
      <c r="N30" s="7" t="s">
        <v>41</v>
      </c>
      <c r="O30" s="7" t="s">
        <v>42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41</v>
      </c>
      <c r="L31" s="7" t="s">
        <v>42</v>
      </c>
      <c r="M31" s="7" t="s">
        <v>43</v>
      </c>
      <c r="N31" s="7" t="s">
        <v>42</v>
      </c>
      <c r="O31" s="7" t="s">
        <v>40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37</v>
      </c>
      <c r="L32" s="7" t="s">
        <v>50</v>
      </c>
      <c r="M32" s="7" t="s">
        <v>36</v>
      </c>
      <c r="N32" s="7" t="s">
        <v>41</v>
      </c>
      <c r="O32" s="7" t="s">
        <v>42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41</v>
      </c>
      <c r="L33" s="7" t="s">
        <v>39</v>
      </c>
      <c r="M33" s="7" t="s">
        <v>38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41</v>
      </c>
      <c r="L34" s="7" t="s">
        <v>42</v>
      </c>
      <c r="M34" s="7" t="s">
        <v>38</v>
      </c>
      <c r="N34" s="7" t="s">
        <v>48</v>
      </c>
      <c r="O34" s="7" t="s">
        <v>36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37</v>
      </c>
      <c r="M35" s="7" t="s">
        <v>39</v>
      </c>
      <c r="N35" s="7" t="s">
        <v>43</v>
      </c>
      <c r="O35" s="7" t="s">
        <v>37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40</v>
      </c>
      <c r="M36" s="7" t="s">
        <v>39</v>
      </c>
      <c r="N36" s="7" t="s">
        <v>42</v>
      </c>
      <c r="O36" s="7" t="s">
        <v>40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43</v>
      </c>
      <c r="L37" s="7" t="s">
        <v>40</v>
      </c>
      <c r="M37" s="7" t="s">
        <v>38</v>
      </c>
      <c r="N37" s="7" t="s">
        <v>39</v>
      </c>
      <c r="O37" s="7" t="s">
        <v>36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36</v>
      </c>
      <c r="L38" s="7" t="s">
        <v>42</v>
      </c>
      <c r="M38" s="7" t="s">
        <v>48</v>
      </c>
      <c r="N38" s="7" t="s">
        <v>38</v>
      </c>
      <c r="O38" s="7" t="s">
        <v>42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43</v>
      </c>
      <c r="L39" s="7" t="s">
        <v>36</v>
      </c>
      <c r="M39" s="7" t="s">
        <v>42</v>
      </c>
      <c r="N39" s="7" t="s">
        <v>39</v>
      </c>
      <c r="O39" s="7" t="s">
        <v>43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42</v>
      </c>
      <c r="M40" s="7" t="s">
        <v>42</v>
      </c>
      <c r="N40" s="7" t="s">
        <v>34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43</v>
      </c>
      <c r="L41" s="7" t="s">
        <v>50</v>
      </c>
      <c r="M41" s="7" t="s">
        <v>39</v>
      </c>
      <c r="N41" s="7" t="s">
        <v>41</v>
      </c>
      <c r="O41" s="7" t="s">
        <v>38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36</v>
      </c>
      <c r="L42" s="7" t="s">
        <v>40</v>
      </c>
      <c r="M42" s="7" t="s">
        <v>42</v>
      </c>
      <c r="N42" s="7" t="s">
        <v>41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37</v>
      </c>
      <c r="N43" s="7" t="s">
        <v>40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43</v>
      </c>
      <c r="L44" s="7" t="s">
        <v>39</v>
      </c>
      <c r="M44" s="7" t="s">
        <v>38</v>
      </c>
      <c r="N44" s="7" t="s">
        <v>39</v>
      </c>
      <c r="O44" s="7" t="s">
        <v>43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52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41</v>
      </c>
      <c r="L46" s="7" t="s">
        <v>42</v>
      </c>
      <c r="M46" s="7" t="s">
        <v>42</v>
      </c>
      <c r="N46" s="7" t="s">
        <v>36</v>
      </c>
      <c r="O46" s="7" t="s">
        <v>41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37</v>
      </c>
      <c r="L47" s="7" t="s">
        <v>50</v>
      </c>
      <c r="M47" s="7" t="s">
        <v>43</v>
      </c>
      <c r="N47" s="7" t="s">
        <v>42</v>
      </c>
      <c r="O47" s="7" t="s">
        <v>38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36</v>
      </c>
      <c r="L48" s="7" t="s">
        <v>41</v>
      </c>
      <c r="M48" s="7" t="s">
        <v>38</v>
      </c>
      <c r="N48" s="7" t="s">
        <v>43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36</v>
      </c>
      <c r="L49" s="7" t="s">
        <v>42</v>
      </c>
      <c r="M49" s="7" t="s">
        <v>42</v>
      </c>
      <c r="N49" s="7" t="s">
        <v>40</v>
      </c>
      <c r="O49" s="7" t="s">
        <v>42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37</v>
      </c>
      <c r="L50" s="7" t="s">
        <v>37</v>
      </c>
      <c r="M50" s="7" t="s">
        <v>42</v>
      </c>
      <c r="N50" s="7" t="s">
        <v>43</v>
      </c>
      <c r="O50" s="7" t="s">
        <v>39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40</v>
      </c>
      <c r="L51" s="7" t="s">
        <v>37</v>
      </c>
      <c r="M51" s="7" t="s">
        <v>42</v>
      </c>
      <c r="N51" s="7" t="s">
        <v>42</v>
      </c>
      <c r="O51" s="7" t="s">
        <v>43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41</v>
      </c>
      <c r="L52" s="7" t="s">
        <v>50</v>
      </c>
      <c r="M52" s="7" t="s">
        <v>48</v>
      </c>
      <c r="N52" s="7" t="s">
        <v>41</v>
      </c>
      <c r="O52" s="7" t="s">
        <v>42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36</v>
      </c>
      <c r="L53" s="7" t="s">
        <v>41</v>
      </c>
      <c r="M53" s="7" t="s">
        <v>50</v>
      </c>
      <c r="N53" s="7" t="s">
        <v>39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36</v>
      </c>
      <c r="L54" s="7" t="s">
        <v>38</v>
      </c>
      <c r="M54" s="7" t="s">
        <v>43</v>
      </c>
      <c r="N54" s="7" t="s">
        <v>36</v>
      </c>
      <c r="O54" s="7" t="s">
        <v>37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40</v>
      </c>
      <c r="L55" s="7" t="s">
        <v>50</v>
      </c>
      <c r="M55" s="7" t="s">
        <v>42</v>
      </c>
      <c r="N55" s="7" t="s">
        <v>39</v>
      </c>
      <c r="O55" s="7" t="s">
        <v>38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41</v>
      </c>
      <c r="L56" s="7" t="s">
        <v>39</v>
      </c>
      <c r="M56" s="7" t="s">
        <v>41</v>
      </c>
      <c r="N56" s="7" t="s">
        <v>39</v>
      </c>
      <c r="O56" s="7" t="s">
        <v>43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40</v>
      </c>
      <c r="L57" s="7" t="s">
        <v>42</v>
      </c>
      <c r="M57" s="7" t="s">
        <v>43</v>
      </c>
      <c r="N57" s="7" t="s">
        <v>41</v>
      </c>
      <c r="O57" s="7" t="s">
        <v>41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41</v>
      </c>
      <c r="L58" s="7" t="s">
        <v>37</v>
      </c>
      <c r="M58" s="7" t="s">
        <v>42</v>
      </c>
      <c r="N58" s="7" t="s">
        <v>43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41</v>
      </c>
      <c r="L59" s="7" t="s">
        <v>39</v>
      </c>
      <c r="M59" s="7" t="s">
        <v>38</v>
      </c>
      <c r="N59" s="7" t="s">
        <v>48</v>
      </c>
      <c r="O59" s="7" t="s">
        <v>40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43</v>
      </c>
      <c r="L60" s="7" t="s">
        <v>39</v>
      </c>
      <c r="M60" s="7" t="s">
        <v>38</v>
      </c>
      <c r="N60" s="7" t="s">
        <v>39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37</v>
      </c>
      <c r="L61" s="7" t="s">
        <v>43</v>
      </c>
      <c r="M61" s="7" t="s">
        <v>38</v>
      </c>
      <c r="N61" s="7" t="s">
        <v>42</v>
      </c>
      <c r="O61" s="7" t="s">
        <v>41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40</v>
      </c>
      <c r="L62" s="7" t="s">
        <v>39</v>
      </c>
      <c r="M62" s="7" t="s">
        <v>42</v>
      </c>
      <c r="N62" s="7" t="s">
        <v>48</v>
      </c>
      <c r="O62" s="7" t="s">
        <v>38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41</v>
      </c>
      <c r="L63" s="7" t="s">
        <v>39</v>
      </c>
      <c r="M63" s="7" t="s">
        <v>42</v>
      </c>
      <c r="N63" s="7" t="s">
        <v>43</v>
      </c>
      <c r="O63" s="7" t="s">
        <v>43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41</v>
      </c>
      <c r="L64" s="7" t="s">
        <v>42</v>
      </c>
      <c r="M64" s="7" t="s">
        <v>37</v>
      </c>
      <c r="N64" s="7" t="s">
        <v>42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37</v>
      </c>
      <c r="L65" s="7" t="s">
        <v>39</v>
      </c>
      <c r="M65" s="7" t="s">
        <v>43</v>
      </c>
      <c r="N65" s="7" t="s">
        <v>52</v>
      </c>
      <c r="O65" s="7" t="s">
        <v>36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36</v>
      </c>
      <c r="L66" s="7" t="s">
        <v>41</v>
      </c>
      <c r="M66" s="7" t="s">
        <v>34</v>
      </c>
      <c r="N66" s="7" t="s">
        <v>41</v>
      </c>
      <c r="O66" s="7" t="s">
        <v>41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36</v>
      </c>
      <c r="L67" s="7" t="s">
        <v>39</v>
      </c>
      <c r="M67" s="7" t="s">
        <v>39</v>
      </c>
      <c r="N67" s="7" t="s">
        <v>34</v>
      </c>
      <c r="O67" s="7" t="s">
        <v>38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37</v>
      </c>
      <c r="L68" s="7" t="s">
        <v>40</v>
      </c>
      <c r="M68" s="7" t="s">
        <v>37</v>
      </c>
      <c r="N68" s="7" t="s">
        <v>42</v>
      </c>
      <c r="O68" s="7" t="s">
        <v>37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36</v>
      </c>
      <c r="L69" s="7" t="s">
        <v>39</v>
      </c>
      <c r="M69" s="7" t="s">
        <v>42</v>
      </c>
      <c r="N69" s="7" t="s">
        <v>48</v>
      </c>
      <c r="O69" s="7" t="s">
        <v>41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42</v>
      </c>
      <c r="L70" s="7" t="s">
        <v>42</v>
      </c>
      <c r="M70" s="7" t="s">
        <v>39</v>
      </c>
      <c r="N70" s="7" t="s">
        <v>40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41</v>
      </c>
      <c r="L71" s="7" t="s">
        <v>43</v>
      </c>
      <c r="M71" s="7" t="s">
        <v>40</v>
      </c>
      <c r="N71" s="7" t="s">
        <v>39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36</v>
      </c>
      <c r="L72" s="7" t="s">
        <v>50</v>
      </c>
      <c r="M72" s="7" t="s">
        <v>38</v>
      </c>
      <c r="N72" s="7" t="s">
        <v>41</v>
      </c>
      <c r="O72" s="7" t="s">
        <v>39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37</v>
      </c>
      <c r="L73" s="7" t="s">
        <v>42</v>
      </c>
      <c r="M73" s="7" t="s">
        <v>39</v>
      </c>
      <c r="N73" s="7" t="s">
        <v>41</v>
      </c>
      <c r="O73" s="7" t="s">
        <v>39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43</v>
      </c>
      <c r="L74" s="7" t="s">
        <v>34</v>
      </c>
      <c r="M74" s="7" t="s">
        <v>39</v>
      </c>
      <c r="N74" s="7" t="s">
        <v>41</v>
      </c>
      <c r="O74" s="7" t="s">
        <v>43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41</v>
      </c>
      <c r="L75" s="7" t="s">
        <v>41</v>
      </c>
      <c r="M75" s="7" t="s">
        <v>34</v>
      </c>
      <c r="N75" s="7" t="s">
        <v>42</v>
      </c>
      <c r="O75" s="7" t="s">
        <v>43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43</v>
      </c>
      <c r="L76" s="7" t="s">
        <v>38</v>
      </c>
      <c r="M76" s="7" t="s">
        <v>42</v>
      </c>
      <c r="N76" s="7" t="s">
        <v>41</v>
      </c>
      <c r="O76" s="7" t="s">
        <v>41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40</v>
      </c>
      <c r="L77" s="7" t="s">
        <v>50</v>
      </c>
      <c r="M77" s="7" t="s">
        <v>58</v>
      </c>
      <c r="N77" s="7" t="s">
        <v>42</v>
      </c>
      <c r="O77" s="7" t="s">
        <v>39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43</v>
      </c>
      <c r="L78" s="7" t="s">
        <v>40</v>
      </c>
      <c r="M78" s="7" t="s">
        <v>38</v>
      </c>
      <c r="N78" s="7" t="s">
        <v>38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40</v>
      </c>
      <c r="M79" s="7" t="s">
        <v>38</v>
      </c>
      <c r="N79" s="7" t="s">
        <v>39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42</v>
      </c>
      <c r="L80" s="7" t="s">
        <v>38</v>
      </c>
      <c r="M80" s="7" t="s">
        <v>43</v>
      </c>
      <c r="N80" s="7" t="s">
        <v>41</v>
      </c>
      <c r="O80" s="7" t="s">
        <v>41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43</v>
      </c>
      <c r="L81" s="7" t="s">
        <v>44</v>
      </c>
      <c r="M81" s="7" t="s">
        <v>37</v>
      </c>
      <c r="N81" s="7" t="s">
        <v>42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41</v>
      </c>
      <c r="L82" s="7" t="s">
        <v>39</v>
      </c>
      <c r="M82" s="7" t="s">
        <v>42</v>
      </c>
      <c r="N82" s="7" t="s">
        <v>39</v>
      </c>
      <c r="O82" s="7" t="s">
        <v>38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40</v>
      </c>
      <c r="L83" s="7" t="s">
        <v>42</v>
      </c>
      <c r="M83" s="7" t="s">
        <v>42</v>
      </c>
      <c r="N83" s="7" t="s">
        <v>52</v>
      </c>
      <c r="O83" s="7" t="s">
        <v>42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37</v>
      </c>
      <c r="L84" s="7" t="s">
        <v>40</v>
      </c>
      <c r="M84" s="7" t="s">
        <v>38</v>
      </c>
      <c r="N84" s="7" t="s">
        <v>41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41</v>
      </c>
      <c r="M85" s="7" t="s">
        <v>36</v>
      </c>
      <c r="N85" s="7" t="s">
        <v>41</v>
      </c>
      <c r="O85" s="7" t="s">
        <v>42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43</v>
      </c>
      <c r="L86" s="7" t="s">
        <v>42</v>
      </c>
      <c r="M86" s="7" t="s">
        <v>43</v>
      </c>
      <c r="N86" s="7" t="s">
        <v>42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39</v>
      </c>
      <c r="M87" s="7" t="s">
        <v>44</v>
      </c>
      <c r="N87" s="7" t="s">
        <v>39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36</v>
      </c>
      <c r="L88" s="7" t="s">
        <v>38</v>
      </c>
      <c r="M88" s="7" t="s">
        <v>43</v>
      </c>
      <c r="N88" s="7" t="s">
        <v>38</v>
      </c>
      <c r="O88" s="7" t="s">
        <v>38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41</v>
      </c>
      <c r="L89" s="7" t="s">
        <v>40</v>
      </c>
      <c r="M89" s="7" t="s">
        <v>38</v>
      </c>
      <c r="N89" s="7" t="s">
        <v>34</v>
      </c>
      <c r="O89" s="7" t="s">
        <v>43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37</v>
      </c>
      <c r="M90" s="7" t="s">
        <v>42</v>
      </c>
      <c r="N90" s="7" t="s">
        <v>41</v>
      </c>
      <c r="O90" s="7" t="s">
        <v>41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39</v>
      </c>
      <c r="L91" s="7" t="s">
        <v>39</v>
      </c>
      <c r="M91" s="7" t="s">
        <v>38</v>
      </c>
      <c r="N91" s="7" t="s">
        <v>41</v>
      </c>
      <c r="O91" s="7" t="s">
        <v>36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42</v>
      </c>
      <c r="M92" s="7" t="s">
        <v>42</v>
      </c>
      <c r="N92" s="7" t="s">
        <v>42</v>
      </c>
      <c r="O92" s="7" t="s">
        <v>42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43</v>
      </c>
      <c r="L93" s="7" t="s">
        <v>40</v>
      </c>
      <c r="M93" s="7" t="s">
        <v>42</v>
      </c>
      <c r="N93" s="7" t="s">
        <v>41</v>
      </c>
      <c r="O93" s="7" t="s">
        <v>42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41</v>
      </c>
      <c r="L94" s="7" t="s">
        <v>40</v>
      </c>
      <c r="M94" s="7" t="s">
        <v>38</v>
      </c>
      <c r="N94" s="7" t="s">
        <v>56</v>
      </c>
      <c r="O94" s="7" t="s">
        <v>40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41</v>
      </c>
      <c r="L95" s="7" t="s">
        <v>38</v>
      </c>
      <c r="M95" s="7" t="s">
        <v>42</v>
      </c>
      <c r="N95" s="7" t="s">
        <v>41</v>
      </c>
      <c r="O95" s="7" t="s">
        <v>36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36</v>
      </c>
      <c r="L96" s="7" t="s">
        <v>42</v>
      </c>
      <c r="M96" s="7" t="s">
        <v>38</v>
      </c>
      <c r="N96" s="7" t="s">
        <v>52</v>
      </c>
      <c r="O96" s="7" t="s">
        <v>38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40</v>
      </c>
      <c r="L97" s="7" t="s">
        <v>42</v>
      </c>
      <c r="M97" s="7" t="s">
        <v>42</v>
      </c>
      <c r="N97" s="7" t="s">
        <v>39</v>
      </c>
      <c r="O97" s="7" t="s">
        <v>37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40</v>
      </c>
      <c r="L98" s="7" t="s">
        <v>39</v>
      </c>
      <c r="M98" s="7" t="s">
        <v>38</v>
      </c>
      <c r="N98" s="7" t="s">
        <v>39</v>
      </c>
      <c r="O98" s="7" t="s">
        <v>38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36</v>
      </c>
      <c r="L99" s="7" t="s">
        <v>50</v>
      </c>
      <c r="M99" s="7" t="s">
        <v>43</v>
      </c>
      <c r="N99" s="7" t="s">
        <v>42</v>
      </c>
      <c r="O99" s="7" t="s">
        <v>43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43</v>
      </c>
      <c r="L100" s="7" t="s">
        <v>40</v>
      </c>
      <c r="M100" s="7" t="s">
        <v>38</v>
      </c>
      <c r="N100" s="7" t="s">
        <v>42</v>
      </c>
      <c r="O100" s="7" t="s">
        <v>42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41</v>
      </c>
      <c r="L101" s="7" t="s">
        <v>36</v>
      </c>
      <c r="M101" s="7" t="s">
        <v>43</v>
      </c>
      <c r="N101" s="7" t="s">
        <v>56</v>
      </c>
      <c r="O101" s="7" t="s">
        <v>43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43</v>
      </c>
      <c r="L102" s="7" t="s">
        <v>40</v>
      </c>
      <c r="M102" s="7" t="s">
        <v>38</v>
      </c>
      <c r="N102" s="7" t="s">
        <v>41</v>
      </c>
      <c r="O102" s="7" t="s">
        <v>40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43</v>
      </c>
      <c r="L103" s="7" t="s">
        <v>37</v>
      </c>
      <c r="M103" s="7" t="s">
        <v>38</v>
      </c>
      <c r="N103" s="7" t="s">
        <v>41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40</v>
      </c>
      <c r="L104" s="7" t="s">
        <v>37</v>
      </c>
      <c r="M104" s="7" t="s">
        <v>42</v>
      </c>
      <c r="N104" s="7" t="s">
        <v>52</v>
      </c>
      <c r="O104" s="7" t="s">
        <v>39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43</v>
      </c>
      <c r="L105" s="7" t="s">
        <v>40</v>
      </c>
      <c r="M105" s="7" t="s">
        <v>44</v>
      </c>
      <c r="N105" s="7" t="s">
        <v>42</v>
      </c>
      <c r="O105" s="7" t="s">
        <v>40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41</v>
      </c>
      <c r="L106" s="7" t="s">
        <v>42</v>
      </c>
      <c r="M106" s="7" t="s">
        <v>42</v>
      </c>
      <c r="N106" s="7" t="s">
        <v>40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34</v>
      </c>
      <c r="L107" s="7" t="s">
        <v>37</v>
      </c>
      <c r="M107" s="7" t="s">
        <v>43</v>
      </c>
      <c r="N107" s="7" t="s">
        <v>41</v>
      </c>
      <c r="O107" s="7" t="s">
        <v>37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40</v>
      </c>
      <c r="M108" s="7" t="s">
        <v>37</v>
      </c>
      <c r="N108" s="7" t="s">
        <v>37</v>
      </c>
      <c r="O108" s="7" t="s">
        <v>37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36</v>
      </c>
      <c r="L109" s="7" t="s">
        <v>39</v>
      </c>
      <c r="M109" s="7" t="s">
        <v>38</v>
      </c>
      <c r="N109" s="7" t="s">
        <v>41</v>
      </c>
      <c r="O109" s="7" t="s">
        <v>42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41</v>
      </c>
      <c r="L110" s="7" t="s">
        <v>37</v>
      </c>
      <c r="M110" s="7" t="s">
        <v>38</v>
      </c>
      <c r="N110" s="7" t="s">
        <v>42</v>
      </c>
      <c r="O110" s="7" t="s">
        <v>42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40</v>
      </c>
      <c r="L111" s="7" t="s">
        <v>41</v>
      </c>
      <c r="M111" s="7" t="s">
        <v>38</v>
      </c>
      <c r="N111" s="7" t="s">
        <v>39</v>
      </c>
      <c r="O111" s="7" t="s">
        <v>38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40</v>
      </c>
      <c r="L112" s="7" t="s">
        <v>41</v>
      </c>
      <c r="M112" s="7" t="s">
        <v>42</v>
      </c>
      <c r="N112" s="7" t="s">
        <v>42</v>
      </c>
      <c r="O112" s="7" t="s">
        <v>42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41</v>
      </c>
      <c r="L113" s="7" t="s">
        <v>50</v>
      </c>
      <c r="M113" s="7" t="s">
        <v>38</v>
      </c>
      <c r="N113" s="7" t="s">
        <v>39</v>
      </c>
      <c r="O113" s="7" t="s">
        <v>40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40</v>
      </c>
      <c r="L114" s="7" t="s">
        <v>43</v>
      </c>
      <c r="M114" s="7" t="s">
        <v>38</v>
      </c>
      <c r="N114" s="7" t="s">
        <v>40</v>
      </c>
      <c r="O114" s="7" t="s">
        <v>37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36</v>
      </c>
      <c r="L115" s="7" t="s">
        <v>37</v>
      </c>
      <c r="M115" s="7" t="s">
        <v>41</v>
      </c>
      <c r="N115" s="7" t="s">
        <v>39</v>
      </c>
      <c r="O115" s="7" t="s">
        <v>40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43</v>
      </c>
      <c r="L116" s="7" t="s">
        <v>40</v>
      </c>
      <c r="M116" s="7" t="s">
        <v>43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38</v>
      </c>
      <c r="L117" s="7" t="s">
        <v>34</v>
      </c>
      <c r="M117" s="7" t="s">
        <v>41</v>
      </c>
      <c r="N117" s="7" t="s">
        <v>39</v>
      </c>
      <c r="O117" s="7" t="s">
        <v>37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43</v>
      </c>
      <c r="L118" s="7" t="s">
        <v>50</v>
      </c>
      <c r="M118" s="7" t="s">
        <v>39</v>
      </c>
      <c r="N118" s="7" t="s">
        <v>39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37</v>
      </c>
      <c r="M119" s="7" t="s">
        <v>37</v>
      </c>
      <c r="N119" s="7" t="s">
        <v>39</v>
      </c>
      <c r="O119" s="7" t="s">
        <v>42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37</v>
      </c>
      <c r="L120" s="7" t="s">
        <v>38</v>
      </c>
      <c r="M120" s="7" t="s">
        <v>38</v>
      </c>
      <c r="N120" s="7" t="s">
        <v>50</v>
      </c>
      <c r="O120" s="7" t="s">
        <v>38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41</v>
      </c>
      <c r="L121" s="7" t="s">
        <v>37</v>
      </c>
      <c r="M121" s="7" t="s">
        <v>42</v>
      </c>
      <c r="N121" s="7" t="s">
        <v>56</v>
      </c>
      <c r="O121" s="7" t="s">
        <v>39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39</v>
      </c>
      <c r="M122" s="7" t="s">
        <v>38</v>
      </c>
      <c r="N122" s="7" t="s">
        <v>39</v>
      </c>
      <c r="O122" s="7" t="s">
        <v>40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40</v>
      </c>
      <c r="L123" s="7" t="s">
        <v>50</v>
      </c>
      <c r="M123" s="7" t="s">
        <v>50</v>
      </c>
      <c r="N123" s="7" t="s">
        <v>41</v>
      </c>
      <c r="O123" s="7" t="s">
        <v>42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36</v>
      </c>
      <c r="L124" s="7" t="s">
        <v>39</v>
      </c>
      <c r="M124" s="7" t="s">
        <v>48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36</v>
      </c>
      <c r="L125" s="7" t="s">
        <v>38</v>
      </c>
      <c r="M125" s="7" t="s">
        <v>42</v>
      </c>
      <c r="N125" s="7" t="s">
        <v>39</v>
      </c>
      <c r="O125" s="7" t="s">
        <v>38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34</v>
      </c>
      <c r="L126" s="7" t="s">
        <v>37</v>
      </c>
      <c r="M126" s="7" t="s">
        <v>44</v>
      </c>
      <c r="N126" s="7" t="s">
        <v>42</v>
      </c>
      <c r="O126" s="7" t="s">
        <v>37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37</v>
      </c>
      <c r="L127" s="7" t="s">
        <v>39</v>
      </c>
      <c r="M127" s="7" t="s">
        <v>38</v>
      </c>
      <c r="N127" s="7" t="s">
        <v>37</v>
      </c>
      <c r="O127" s="7" t="s">
        <v>40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43</v>
      </c>
      <c r="L128" s="7" t="s">
        <v>39</v>
      </c>
      <c r="M128" s="7" t="s">
        <v>36</v>
      </c>
      <c r="N128" s="7" t="s">
        <v>42</v>
      </c>
      <c r="O128" s="7" t="s">
        <v>39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40</v>
      </c>
      <c r="L129" s="7" t="s">
        <v>42</v>
      </c>
      <c r="M129" s="7" t="s">
        <v>36</v>
      </c>
      <c r="N129" s="7" t="s">
        <v>48</v>
      </c>
      <c r="O129" s="7" t="s">
        <v>40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36</v>
      </c>
      <c r="L130" s="7" t="s">
        <v>42</v>
      </c>
      <c r="M130" s="7" t="s">
        <v>43</v>
      </c>
      <c r="N130" s="7" t="s">
        <v>42</v>
      </c>
      <c r="O130" s="7" t="s">
        <v>43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36</v>
      </c>
      <c r="L131" s="7" t="s">
        <v>37</v>
      </c>
      <c r="M131" s="7" t="s">
        <v>39</v>
      </c>
      <c r="N131" s="7" t="s">
        <v>39</v>
      </c>
      <c r="O131" s="7" t="s">
        <v>39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37</v>
      </c>
      <c r="L132" s="7" t="s">
        <v>52</v>
      </c>
      <c r="M132" s="7" t="s">
        <v>38</v>
      </c>
      <c r="N132" s="7" t="s">
        <v>39</v>
      </c>
      <c r="O132" s="7" t="s">
        <v>43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41</v>
      </c>
      <c r="L133" s="7" t="s">
        <v>41</v>
      </c>
      <c r="M133" s="7" t="s">
        <v>34</v>
      </c>
      <c r="N133" s="7" t="s">
        <v>42</v>
      </c>
      <c r="O133" s="7" t="s">
        <v>43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41</v>
      </c>
      <c r="L134" s="7" t="s">
        <v>40</v>
      </c>
      <c r="M134" s="7" t="s">
        <v>37</v>
      </c>
      <c r="N134" s="7" t="s">
        <v>42</v>
      </c>
      <c r="O134" s="7" t="s">
        <v>42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39</v>
      </c>
      <c r="M135" s="7" t="s">
        <v>42</v>
      </c>
      <c r="N135" s="7" t="s">
        <v>39</v>
      </c>
      <c r="O135" s="7" t="s">
        <v>39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40</v>
      </c>
      <c r="L136" s="7" t="s">
        <v>39</v>
      </c>
      <c r="M136" s="7" t="s">
        <v>37</v>
      </c>
      <c r="N136" s="7" t="s">
        <v>41</v>
      </c>
      <c r="O136" s="7" t="s">
        <v>39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40</v>
      </c>
      <c r="L137" s="7" t="s">
        <v>50</v>
      </c>
      <c r="M137" s="7" t="s">
        <v>42</v>
      </c>
      <c r="N137" s="7" t="s">
        <v>41</v>
      </c>
      <c r="O137" s="7" t="s">
        <v>36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41</v>
      </c>
      <c r="L138" s="7" t="s">
        <v>39</v>
      </c>
      <c r="M138" s="7" t="s">
        <v>37</v>
      </c>
      <c r="N138" s="7" t="s">
        <v>42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41</v>
      </c>
      <c r="L139" s="7" t="s">
        <v>58</v>
      </c>
      <c r="M139" s="7" t="s">
        <v>37</v>
      </c>
      <c r="N139" s="7" t="s">
        <v>39</v>
      </c>
      <c r="O139" s="7" t="s">
        <v>42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36</v>
      </c>
      <c r="L140" s="7" t="s">
        <v>37</v>
      </c>
      <c r="M140" s="7" t="s">
        <v>43</v>
      </c>
      <c r="N140" s="7" t="s">
        <v>41</v>
      </c>
      <c r="O140" s="7" t="s">
        <v>38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43</v>
      </c>
      <c r="L141" s="7" t="s">
        <v>40</v>
      </c>
      <c r="M141" s="7" t="s">
        <v>43</v>
      </c>
      <c r="N141" s="7" t="s">
        <v>38</v>
      </c>
      <c r="O141" s="7" t="s">
        <v>42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43</v>
      </c>
      <c r="L142" s="7" t="s">
        <v>40</v>
      </c>
      <c r="M142" s="7" t="s">
        <v>39</v>
      </c>
      <c r="N142" s="7" t="s">
        <v>43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36</v>
      </c>
      <c r="L143" s="7" t="s">
        <v>39</v>
      </c>
      <c r="M143" s="7" t="s">
        <v>43</v>
      </c>
      <c r="N143" s="7" t="s">
        <v>48</v>
      </c>
      <c r="O143" s="7" t="s">
        <v>42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40</v>
      </c>
      <c r="L144" s="7" t="s">
        <v>41</v>
      </c>
      <c r="M144" s="7" t="s">
        <v>42</v>
      </c>
      <c r="N144" s="7" t="s">
        <v>39</v>
      </c>
      <c r="O144" s="7" t="s">
        <v>43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37</v>
      </c>
      <c r="L145" s="7" t="s">
        <v>40</v>
      </c>
      <c r="M145" s="7" t="s">
        <v>37</v>
      </c>
      <c r="N145" s="7" t="s">
        <v>41</v>
      </c>
      <c r="O145" s="7" t="s">
        <v>39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37</v>
      </c>
      <c r="L146" s="7" t="s">
        <v>39</v>
      </c>
      <c r="M146" s="7" t="s">
        <v>42</v>
      </c>
      <c r="N146" s="7" t="s">
        <v>42</v>
      </c>
      <c r="O146" s="7" t="s">
        <v>43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36</v>
      </c>
      <c r="L147" s="7" t="s">
        <v>39</v>
      </c>
      <c r="M147" s="7" t="s">
        <v>58</v>
      </c>
      <c r="N147" s="7" t="s">
        <v>42</v>
      </c>
      <c r="O147" s="7" t="s">
        <v>42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41</v>
      </c>
      <c r="L148" s="7" t="s">
        <v>37</v>
      </c>
      <c r="M148" s="7" t="s">
        <v>38</v>
      </c>
      <c r="N148" s="7" t="s">
        <v>41</v>
      </c>
      <c r="O148" s="7" t="s">
        <v>38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36</v>
      </c>
      <c r="L149" s="7" t="s">
        <v>39</v>
      </c>
      <c r="M149" s="7" t="s">
        <v>41</v>
      </c>
      <c r="N149" s="7" t="s">
        <v>42</v>
      </c>
      <c r="O149" s="7" t="s">
        <v>43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43</v>
      </c>
      <c r="L150" s="7" t="s">
        <v>50</v>
      </c>
      <c r="M150" s="7" t="s">
        <v>43</v>
      </c>
      <c r="N150" s="7" t="s">
        <v>37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36</v>
      </c>
      <c r="L151" s="7" t="s">
        <v>40</v>
      </c>
      <c r="M151" s="7" t="s">
        <v>43</v>
      </c>
      <c r="N151" s="7" t="s">
        <v>39</v>
      </c>
      <c r="O151" s="7" t="s">
        <v>37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40</v>
      </c>
      <c r="L152" s="7" t="s">
        <v>34</v>
      </c>
      <c r="M152" s="7" t="s">
        <v>34</v>
      </c>
      <c r="N152" s="7" t="s">
        <v>42</v>
      </c>
      <c r="O152" s="7" t="s">
        <v>42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40</v>
      </c>
      <c r="L153" s="7" t="s">
        <v>39</v>
      </c>
      <c r="M153" s="7" t="s">
        <v>42</v>
      </c>
      <c r="N153" s="7" t="s">
        <v>54</v>
      </c>
      <c r="O153" s="7" t="s">
        <v>43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37</v>
      </c>
      <c r="M154" s="7" t="s">
        <v>43</v>
      </c>
      <c r="N154" s="7" t="s">
        <v>42</v>
      </c>
      <c r="O154" s="7" t="s">
        <v>39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42</v>
      </c>
      <c r="L155" s="7" t="s">
        <v>56</v>
      </c>
      <c r="M155" s="7" t="s">
        <v>38</v>
      </c>
      <c r="N155" s="7" t="s">
        <v>41</v>
      </c>
      <c r="O155" s="7" t="s">
        <v>34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41</v>
      </c>
      <c r="L156" s="7" t="s">
        <v>40</v>
      </c>
      <c r="M156" s="7" t="s">
        <v>34</v>
      </c>
      <c r="N156" s="7" t="s">
        <v>37</v>
      </c>
      <c r="O156" s="7" t="s">
        <v>43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37</v>
      </c>
      <c r="L157" s="7" t="s">
        <v>39</v>
      </c>
      <c r="M157" s="7" t="s">
        <v>42</v>
      </c>
      <c r="N157" s="7" t="s">
        <v>46</v>
      </c>
      <c r="O157" s="7" t="s">
        <v>38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41</v>
      </c>
      <c r="L158" s="7" t="s">
        <v>34</v>
      </c>
      <c r="M158" s="7" t="s">
        <v>50</v>
      </c>
      <c r="N158" s="7" t="s">
        <v>43</v>
      </c>
      <c r="O158" s="7" t="s">
        <v>37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36</v>
      </c>
      <c r="L159" s="7" t="s">
        <v>38</v>
      </c>
      <c r="M159" s="7" t="s">
        <v>38</v>
      </c>
      <c r="N159" s="7" t="s">
        <v>54</v>
      </c>
      <c r="O159" s="7" t="s">
        <v>43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41</v>
      </c>
      <c r="L160" s="7" t="s">
        <v>42</v>
      </c>
      <c r="M160" s="7" t="s">
        <v>52</v>
      </c>
      <c r="N160" s="7" t="s">
        <v>42</v>
      </c>
      <c r="O160" s="7" t="s">
        <v>43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41</v>
      </c>
      <c r="L161" s="7" t="s">
        <v>40</v>
      </c>
      <c r="M161" s="7" t="s">
        <v>41</v>
      </c>
      <c r="N161" s="7" t="s">
        <v>42</v>
      </c>
      <c r="O161" s="7" t="s">
        <v>43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43</v>
      </c>
      <c r="L162" s="7" t="s">
        <v>39</v>
      </c>
      <c r="M162" s="7" t="s">
        <v>42</v>
      </c>
      <c r="N162" s="7" t="s">
        <v>42</v>
      </c>
      <c r="O162" s="7" t="s">
        <v>38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42</v>
      </c>
      <c r="L163" s="7" t="s">
        <v>40</v>
      </c>
      <c r="M163" s="7" t="s">
        <v>43</v>
      </c>
      <c r="N163" s="7" t="s">
        <v>39</v>
      </c>
      <c r="O163" s="7" t="s">
        <v>38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43</v>
      </c>
      <c r="L164" s="7" t="s">
        <v>52</v>
      </c>
      <c r="M164" s="7" t="s">
        <v>34</v>
      </c>
      <c r="N164" s="7" t="s">
        <v>42</v>
      </c>
      <c r="O164" s="7" t="s">
        <v>42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37</v>
      </c>
      <c r="L165" s="7" t="s">
        <v>42</v>
      </c>
      <c r="M165" s="7" t="s">
        <v>43</v>
      </c>
      <c r="N165" s="7" t="s">
        <v>41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41</v>
      </c>
      <c r="L166" s="7" t="s">
        <v>42</v>
      </c>
      <c r="M166" s="7" t="s">
        <v>36</v>
      </c>
      <c r="N166" s="7" t="s">
        <v>42</v>
      </c>
      <c r="O166" s="7" t="s">
        <v>42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41</v>
      </c>
      <c r="L167" s="7" t="s">
        <v>41</v>
      </c>
      <c r="M167" s="7" t="s">
        <v>38</v>
      </c>
      <c r="N167" s="7" t="s">
        <v>39</v>
      </c>
      <c r="O167" s="7" t="s">
        <v>39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41</v>
      </c>
      <c r="L168" s="7" t="s">
        <v>50</v>
      </c>
      <c r="M168" s="7" t="s">
        <v>42</v>
      </c>
      <c r="N168" s="7" t="s">
        <v>36</v>
      </c>
      <c r="O168" s="7" t="s">
        <v>34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37</v>
      </c>
      <c r="L169" s="7" t="s">
        <v>54</v>
      </c>
      <c r="M169" s="7" t="s">
        <v>36</v>
      </c>
      <c r="N169" s="7" t="s">
        <v>39</v>
      </c>
      <c r="O169" s="7" t="s">
        <v>38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43</v>
      </c>
      <c r="L170" s="7" t="s">
        <v>40</v>
      </c>
      <c r="M170" s="7" t="s">
        <v>38</v>
      </c>
      <c r="N170" s="7" t="s">
        <v>52</v>
      </c>
      <c r="O170" s="7" t="s">
        <v>37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40</v>
      </c>
      <c r="M171" s="7" t="s">
        <v>38</v>
      </c>
      <c r="N171" s="7" t="s">
        <v>48</v>
      </c>
      <c r="O171" s="7" t="s">
        <v>43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43</v>
      </c>
      <c r="L172" s="7" t="s">
        <v>42</v>
      </c>
      <c r="M172" s="7" t="s">
        <v>38</v>
      </c>
      <c r="N172" s="7" t="s">
        <v>42</v>
      </c>
      <c r="O172" s="7" t="s">
        <v>37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39</v>
      </c>
      <c r="M173" s="7" t="s">
        <v>50</v>
      </c>
      <c r="N173" s="7" t="s">
        <v>50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40</v>
      </c>
      <c r="L174" s="7" t="s">
        <v>34</v>
      </c>
      <c r="M174" s="7" t="s">
        <v>42</v>
      </c>
      <c r="N174" s="7" t="s">
        <v>41</v>
      </c>
      <c r="O174" s="7" t="s">
        <v>43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39</v>
      </c>
      <c r="M175" s="7" t="s">
        <v>43</v>
      </c>
      <c r="N175" s="7" t="s">
        <v>34</v>
      </c>
      <c r="O175" s="7" t="s">
        <v>40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40</v>
      </c>
      <c r="L176" s="7" t="s">
        <v>40</v>
      </c>
      <c r="M176" s="7" t="s">
        <v>42</v>
      </c>
      <c r="N176" s="7" t="s">
        <v>38</v>
      </c>
      <c r="O176" s="7" t="s">
        <v>42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40</v>
      </c>
      <c r="L177" s="7" t="s">
        <v>40</v>
      </c>
      <c r="M177" s="7" t="s">
        <v>38</v>
      </c>
      <c r="N177" s="7" t="s">
        <v>42</v>
      </c>
      <c r="O177" s="7" t="s">
        <v>43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41</v>
      </c>
      <c r="L178" s="7" t="s">
        <v>39</v>
      </c>
      <c r="M178" s="7" t="s">
        <v>38</v>
      </c>
      <c r="N178" s="7" t="s">
        <v>41</v>
      </c>
      <c r="O178" s="7" t="s">
        <v>42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37</v>
      </c>
      <c r="L179" s="7" t="s">
        <v>43</v>
      </c>
      <c r="M179" s="7" t="s">
        <v>43</v>
      </c>
      <c r="N179" s="7" t="s">
        <v>39</v>
      </c>
      <c r="O179" s="7" t="s">
        <v>42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41</v>
      </c>
      <c r="L180" s="7" t="s">
        <v>39</v>
      </c>
      <c r="M180" s="7" t="s">
        <v>43</v>
      </c>
      <c r="N180" s="7" t="s">
        <v>39</v>
      </c>
      <c r="O180" s="7" t="s">
        <v>40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50</v>
      </c>
      <c r="M181" s="7" t="s">
        <v>37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40</v>
      </c>
      <c r="L182" s="7" t="s">
        <v>39</v>
      </c>
      <c r="M182" s="7" t="s">
        <v>34</v>
      </c>
      <c r="N182" s="7" t="s">
        <v>38</v>
      </c>
      <c r="O182" s="7" t="s">
        <v>40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37</v>
      </c>
      <c r="L183" s="7" t="s">
        <v>41</v>
      </c>
      <c r="M183" s="7" t="s">
        <v>43</v>
      </c>
      <c r="N183" s="7" t="s">
        <v>52</v>
      </c>
      <c r="O183" s="7" t="s">
        <v>43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42</v>
      </c>
      <c r="L184" s="7" t="s">
        <v>36</v>
      </c>
      <c r="M184" s="7" t="s">
        <v>48</v>
      </c>
      <c r="N184" s="7" t="s">
        <v>52</v>
      </c>
      <c r="O184" s="7" t="s">
        <v>37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43</v>
      </c>
      <c r="L185" s="7" t="s">
        <v>50</v>
      </c>
      <c r="M185" s="7" t="s">
        <v>42</v>
      </c>
      <c r="N185" s="7" t="s">
        <v>42</v>
      </c>
      <c r="O185" s="7" t="s">
        <v>43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37</v>
      </c>
      <c r="L186" s="7" t="s">
        <v>42</v>
      </c>
      <c r="M186" s="7" t="s">
        <v>38</v>
      </c>
      <c r="N186" s="7" t="s">
        <v>41</v>
      </c>
      <c r="O186" s="7" t="s">
        <v>42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43</v>
      </c>
      <c r="L187" s="7" t="s">
        <v>39</v>
      </c>
      <c r="M187" s="7" t="s">
        <v>38</v>
      </c>
      <c r="N187" s="7" t="s">
        <v>38</v>
      </c>
      <c r="O187" s="7" t="s">
        <v>42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40</v>
      </c>
      <c r="M188" s="7" t="s">
        <v>43</v>
      </c>
      <c r="N188" s="7" t="s">
        <v>56</v>
      </c>
      <c r="O188" s="7" t="s">
        <v>38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41</v>
      </c>
      <c r="L189" s="7" t="s">
        <v>42</v>
      </c>
      <c r="M189" s="7" t="s">
        <v>41</v>
      </c>
      <c r="N189" s="7" t="s">
        <v>42</v>
      </c>
      <c r="O189" s="7" t="s">
        <v>42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41</v>
      </c>
      <c r="L190" s="7" t="s">
        <v>38</v>
      </c>
      <c r="M190" s="7" t="s">
        <v>38</v>
      </c>
      <c r="N190" s="7" t="s">
        <v>54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43</v>
      </c>
      <c r="N191" s="7" t="s">
        <v>40</v>
      </c>
      <c r="O191" s="7" t="s">
        <v>38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40</v>
      </c>
      <c r="L192" s="7" t="s">
        <v>42</v>
      </c>
      <c r="M192" s="7" t="s">
        <v>38</v>
      </c>
      <c r="N192" s="7" t="s">
        <v>41</v>
      </c>
      <c r="O192" s="7" t="s">
        <v>36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37</v>
      </c>
      <c r="L193" s="7" t="s">
        <v>36</v>
      </c>
      <c r="M193" s="7" t="s">
        <v>43</v>
      </c>
      <c r="N193" s="7" t="s">
        <v>39</v>
      </c>
      <c r="O193" s="7" t="s">
        <v>42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40</v>
      </c>
      <c r="L194" s="7" t="s">
        <v>40</v>
      </c>
      <c r="M194" s="7" t="s">
        <v>43</v>
      </c>
      <c r="N194" s="7" t="s">
        <v>58</v>
      </c>
      <c r="O194" s="7" t="s">
        <v>43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43</v>
      </c>
      <c r="L195" s="7" t="s">
        <v>50</v>
      </c>
      <c r="M195" s="7" t="s">
        <v>42</v>
      </c>
      <c r="N195" s="7" t="s">
        <v>41</v>
      </c>
      <c r="O195" s="7" t="s">
        <v>37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40</v>
      </c>
      <c r="L196" s="7" t="s">
        <v>42</v>
      </c>
      <c r="M196" s="7" t="s">
        <v>40</v>
      </c>
      <c r="N196" s="7" t="s">
        <v>41</v>
      </c>
      <c r="O196" s="7" t="s">
        <v>38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43</v>
      </c>
      <c r="L197" s="7" t="s">
        <v>40</v>
      </c>
      <c r="M197" s="7" t="s">
        <v>43</v>
      </c>
      <c r="N197" s="7" t="s">
        <v>38</v>
      </c>
      <c r="O197" s="7" t="s">
        <v>43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34</v>
      </c>
      <c r="L198" s="7" t="s">
        <v>38</v>
      </c>
      <c r="M198" s="7" t="s">
        <v>40</v>
      </c>
      <c r="N198" s="7" t="s">
        <v>56</v>
      </c>
      <c r="O198" s="7" t="s">
        <v>41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41</v>
      </c>
      <c r="L199" s="7" t="s">
        <v>50</v>
      </c>
      <c r="M199" s="7" t="s">
        <v>42</v>
      </c>
      <c r="N199" s="7" t="s">
        <v>39</v>
      </c>
      <c r="O199" s="7" t="s">
        <v>38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43</v>
      </c>
      <c r="L200" s="7" t="s">
        <v>41</v>
      </c>
      <c r="M200" s="7" t="s">
        <v>39</v>
      </c>
      <c r="N200" s="7" t="s">
        <v>40</v>
      </c>
      <c r="O200" s="7" t="s">
        <v>43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37</v>
      </c>
      <c r="L201" s="7" t="s">
        <v>58</v>
      </c>
      <c r="M201" s="7" t="s">
        <v>41</v>
      </c>
      <c r="N201" s="7" t="s">
        <v>39</v>
      </c>
      <c r="O201" s="7" t="s">
        <v>41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40</v>
      </c>
      <c r="L202" s="7" t="s">
        <v>40</v>
      </c>
      <c r="M202" s="7" t="s">
        <v>42</v>
      </c>
      <c r="N202" s="7" t="s">
        <v>39</v>
      </c>
      <c r="O202" s="7" t="s">
        <v>43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36</v>
      </c>
      <c r="L203" s="7" t="s">
        <v>40</v>
      </c>
      <c r="M203" s="7" t="s">
        <v>38</v>
      </c>
      <c r="N203" s="7" t="s">
        <v>42</v>
      </c>
      <c r="O203" s="7" t="s">
        <v>36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37</v>
      </c>
      <c r="L204" s="7" t="s">
        <v>40</v>
      </c>
      <c r="M204" s="7" t="s">
        <v>38</v>
      </c>
      <c r="N204" s="7" t="s">
        <v>42</v>
      </c>
      <c r="O204" s="7" t="s">
        <v>42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37</v>
      </c>
      <c r="L205" s="7" t="s">
        <v>37</v>
      </c>
      <c r="M205" s="7" t="s">
        <v>38</v>
      </c>
      <c r="N205" s="7" t="s">
        <v>40</v>
      </c>
      <c r="O205" s="7" t="s">
        <v>40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43</v>
      </c>
      <c r="L206" s="7" t="s">
        <v>40</v>
      </c>
      <c r="M206" s="7" t="s">
        <v>39</v>
      </c>
      <c r="N206" s="7" t="s">
        <v>39</v>
      </c>
      <c r="O206" s="7" t="s">
        <v>43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38</v>
      </c>
      <c r="N207" s="7" t="s">
        <v>50</v>
      </c>
      <c r="O207" s="7" t="s">
        <v>40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58</v>
      </c>
      <c r="M208" s="7" t="s">
        <v>43</v>
      </c>
      <c r="N208" s="7" t="s">
        <v>41</v>
      </c>
      <c r="O208" s="7" t="s">
        <v>37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40</v>
      </c>
      <c r="M209" s="7" t="s">
        <v>43</v>
      </c>
      <c r="N209" s="7" t="s">
        <v>42</v>
      </c>
      <c r="O209" s="7" t="s">
        <v>40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43</v>
      </c>
      <c r="L210" s="7" t="s">
        <v>39</v>
      </c>
      <c r="M210" s="7" t="s">
        <v>42</v>
      </c>
      <c r="N210" s="7" t="s">
        <v>34</v>
      </c>
      <c r="O210" s="7" t="s">
        <v>38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42</v>
      </c>
      <c r="M211" s="7" t="s">
        <v>58</v>
      </c>
      <c r="N211" s="7" t="s">
        <v>39</v>
      </c>
      <c r="O211" s="7" t="s">
        <v>38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43</v>
      </c>
      <c r="L212" s="7" t="s">
        <v>40</v>
      </c>
      <c r="M212" s="7" t="s">
        <v>38</v>
      </c>
      <c r="N212" s="7" t="s">
        <v>39</v>
      </c>
      <c r="O212" s="7" t="s">
        <v>42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37</v>
      </c>
      <c r="L213" s="7" t="s">
        <v>39</v>
      </c>
      <c r="M213" s="7" t="s">
        <v>42</v>
      </c>
      <c r="N213" s="7" t="s">
        <v>38</v>
      </c>
      <c r="O213" s="7" t="s">
        <v>41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40</v>
      </c>
      <c r="L214" s="7" t="s">
        <v>39</v>
      </c>
      <c r="M214" s="7" t="s">
        <v>43</v>
      </c>
      <c r="N214" s="7" t="s">
        <v>42</v>
      </c>
      <c r="O214" s="7" t="s">
        <v>40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41</v>
      </c>
      <c r="L215" s="7" t="s">
        <v>39</v>
      </c>
      <c r="M215" s="7" t="s">
        <v>43</v>
      </c>
      <c r="N215" s="7" t="s">
        <v>42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43</v>
      </c>
      <c r="L216" s="7" t="s">
        <v>40</v>
      </c>
      <c r="M216" s="7" t="s">
        <v>39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37</v>
      </c>
      <c r="L217" s="7" t="s">
        <v>38</v>
      </c>
      <c r="M217" s="7" t="s">
        <v>43</v>
      </c>
      <c r="N217" s="7" t="s">
        <v>42</v>
      </c>
      <c r="O217" s="7" t="s">
        <v>41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37</v>
      </c>
      <c r="L218" s="7" t="s">
        <v>38</v>
      </c>
      <c r="M218" s="7" t="s">
        <v>58</v>
      </c>
      <c r="N218" s="7" t="s">
        <v>39</v>
      </c>
      <c r="O218" s="7" t="s">
        <v>43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43</v>
      </c>
      <c r="L219" s="7" t="s">
        <v>39</v>
      </c>
      <c r="M219" s="7" t="s">
        <v>43</v>
      </c>
      <c r="N219" s="7" t="s">
        <v>37</v>
      </c>
      <c r="O219" s="7" t="s">
        <v>40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36</v>
      </c>
      <c r="L220" s="7" t="s">
        <v>50</v>
      </c>
      <c r="M220" s="7" t="s">
        <v>38</v>
      </c>
      <c r="N220" s="7" t="s">
        <v>39</v>
      </c>
      <c r="O220" s="7" t="s">
        <v>43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46</v>
      </c>
      <c r="M221" s="7" t="s">
        <v>38</v>
      </c>
      <c r="N221" s="7" t="s">
        <v>42</v>
      </c>
      <c r="O221" s="7" t="s">
        <v>42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41</v>
      </c>
      <c r="L222" s="7" t="s">
        <v>34</v>
      </c>
      <c r="M222" s="7" t="s">
        <v>43</v>
      </c>
      <c r="N222" s="7" t="s">
        <v>42</v>
      </c>
      <c r="O222" s="7" t="s">
        <v>43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40</v>
      </c>
      <c r="L223" s="7" t="s">
        <v>39</v>
      </c>
      <c r="M223" s="7" t="s">
        <v>43</v>
      </c>
      <c r="N223" s="7" t="s">
        <v>39</v>
      </c>
      <c r="O223" s="7" t="s">
        <v>42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40</v>
      </c>
      <c r="L224" s="7" t="s">
        <v>39</v>
      </c>
      <c r="M224" s="7" t="s">
        <v>42</v>
      </c>
      <c r="N224" s="7" t="s">
        <v>44</v>
      </c>
      <c r="O224" s="7" t="s">
        <v>40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39</v>
      </c>
      <c r="M225" s="7" t="s">
        <v>42</v>
      </c>
      <c r="N225" s="7" t="s">
        <v>41</v>
      </c>
      <c r="O225" s="7" t="s">
        <v>42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38</v>
      </c>
      <c r="N226" s="7" t="s">
        <v>42</v>
      </c>
      <c r="O226" s="7" t="s">
        <v>39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41</v>
      </c>
      <c r="L227" s="7" t="s">
        <v>43</v>
      </c>
      <c r="M227" s="7" t="s">
        <v>37</v>
      </c>
      <c r="N227" s="7" t="s">
        <v>52</v>
      </c>
      <c r="O227" s="7" t="s">
        <v>42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43</v>
      </c>
      <c r="L228" s="7" t="s">
        <v>40</v>
      </c>
      <c r="M228" s="7" t="s">
        <v>38</v>
      </c>
      <c r="N228" s="7" t="s">
        <v>42</v>
      </c>
      <c r="O228" s="7" t="s">
        <v>42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36</v>
      </c>
      <c r="L229" s="7" t="s">
        <v>39</v>
      </c>
      <c r="M229" s="7" t="s">
        <v>58</v>
      </c>
      <c r="N229" s="7" t="s">
        <v>41</v>
      </c>
      <c r="O229" s="7" t="s">
        <v>43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43</v>
      </c>
      <c r="L230" s="7" t="s">
        <v>43</v>
      </c>
      <c r="M230" s="7" t="s">
        <v>34</v>
      </c>
      <c r="N230" s="7" t="s">
        <v>52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36</v>
      </c>
      <c r="L231" s="7" t="s">
        <v>48</v>
      </c>
      <c r="M231" s="7" t="s">
        <v>43</v>
      </c>
      <c r="N231" s="7" t="s">
        <v>40</v>
      </c>
      <c r="O231" s="7" t="s">
        <v>36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39</v>
      </c>
      <c r="M232" s="7" t="s">
        <v>43</v>
      </c>
      <c r="N232" s="7" t="s">
        <v>38</v>
      </c>
      <c r="O232" s="7" t="s">
        <v>39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43</v>
      </c>
      <c r="L233" s="7" t="s">
        <v>42</v>
      </c>
      <c r="M233" s="7" t="s">
        <v>38</v>
      </c>
      <c r="N233" s="7" t="s">
        <v>36</v>
      </c>
      <c r="O233" s="7" t="s">
        <v>37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43</v>
      </c>
      <c r="L234" s="7" t="s">
        <v>39</v>
      </c>
      <c r="M234" s="7" t="s">
        <v>37</v>
      </c>
      <c r="N234" s="7" t="s">
        <v>42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41</v>
      </c>
      <c r="L235" s="7" t="s">
        <v>40</v>
      </c>
      <c r="M235" s="7" t="s">
        <v>43</v>
      </c>
      <c r="N235" s="7" t="s">
        <v>56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36</v>
      </c>
      <c r="L236" s="7" t="s">
        <v>40</v>
      </c>
      <c r="M236" s="7" t="s">
        <v>38</v>
      </c>
      <c r="N236" s="7" t="s">
        <v>48</v>
      </c>
      <c r="O236" s="7" t="s">
        <v>37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37</v>
      </c>
      <c r="L237" s="7" t="s">
        <v>38</v>
      </c>
      <c r="M237" s="7" t="s">
        <v>44</v>
      </c>
      <c r="N237" s="7" t="s">
        <v>48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36</v>
      </c>
      <c r="L238" s="7" t="s">
        <v>40</v>
      </c>
      <c r="M238" s="7" t="s">
        <v>43</v>
      </c>
      <c r="N238" s="7" t="s">
        <v>38</v>
      </c>
      <c r="O238" s="7" t="s">
        <v>43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41</v>
      </c>
      <c r="L239" s="7" t="s">
        <v>46</v>
      </c>
      <c r="M239" s="7" t="s">
        <v>58</v>
      </c>
      <c r="N239" s="7" t="s">
        <v>39</v>
      </c>
      <c r="O239" s="7" t="s">
        <v>38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43</v>
      </c>
      <c r="L240" s="7" t="s">
        <v>50</v>
      </c>
      <c r="M240" s="7" t="s">
        <v>42</v>
      </c>
      <c r="N240" s="7" t="s">
        <v>42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41</v>
      </c>
      <c r="M241" s="7" t="s">
        <v>34</v>
      </c>
      <c r="N241" s="7" t="s">
        <v>48</v>
      </c>
      <c r="O241" s="7" t="s">
        <v>42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40</v>
      </c>
      <c r="L242" s="7" t="s">
        <v>39</v>
      </c>
      <c r="M242" s="7" t="s">
        <v>42</v>
      </c>
      <c r="N242" s="7" t="s">
        <v>37</v>
      </c>
      <c r="O242" s="7" t="s">
        <v>40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41</v>
      </c>
      <c r="L243" s="7" t="s">
        <v>40</v>
      </c>
      <c r="M243" s="7" t="s">
        <v>42</v>
      </c>
      <c r="N243" s="7" t="s">
        <v>56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37</v>
      </c>
      <c r="L244" s="7" t="s">
        <v>48</v>
      </c>
      <c r="M244" s="7" t="s">
        <v>39</v>
      </c>
      <c r="N244" s="7" t="s">
        <v>42</v>
      </c>
      <c r="O244" s="7" t="s">
        <v>38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43</v>
      </c>
      <c r="L245" s="7" t="s">
        <v>36</v>
      </c>
      <c r="M245" s="7" t="s">
        <v>43</v>
      </c>
      <c r="N245" s="7" t="s">
        <v>34</v>
      </c>
      <c r="O245" s="7" t="s">
        <v>42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41</v>
      </c>
      <c r="L246" s="7" t="s">
        <v>39</v>
      </c>
      <c r="M246" s="7" t="s">
        <v>38</v>
      </c>
      <c r="N246" s="7" t="s">
        <v>42</v>
      </c>
      <c r="O246" s="7" t="s">
        <v>37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41</v>
      </c>
      <c r="M247" s="7" t="s">
        <v>39</v>
      </c>
      <c r="N247" s="7" t="s">
        <v>48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40</v>
      </c>
      <c r="L248" s="7" t="s">
        <v>39</v>
      </c>
      <c r="M248" s="7" t="s">
        <v>42</v>
      </c>
      <c r="N248" s="7" t="s">
        <v>42</v>
      </c>
      <c r="O248" s="7" t="s">
        <v>36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43</v>
      </c>
      <c r="L249" s="7" t="s">
        <v>40</v>
      </c>
      <c r="M249" s="7" t="s">
        <v>39</v>
      </c>
      <c r="N249" s="7" t="s">
        <v>42</v>
      </c>
      <c r="O249" s="7" t="s">
        <v>38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43</v>
      </c>
      <c r="L250" s="7" t="s">
        <v>46</v>
      </c>
      <c r="M250" s="7" t="s">
        <v>36</v>
      </c>
      <c r="N250" s="7" t="s">
        <v>58</v>
      </c>
      <c r="O250" s="7" t="s">
        <v>42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41</v>
      </c>
      <c r="L251" s="7" t="s">
        <v>40</v>
      </c>
      <c r="M251" s="7" t="s">
        <v>43</v>
      </c>
      <c r="N251" s="7" t="s">
        <v>43</v>
      </c>
      <c r="O251" s="7" t="s">
        <v>40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37</v>
      </c>
      <c r="L252" s="7" t="s">
        <v>36</v>
      </c>
      <c r="M252" s="7" t="s">
        <v>42</v>
      </c>
      <c r="N252" s="7" t="s">
        <v>41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40</v>
      </c>
      <c r="L253" s="7" t="s">
        <v>40</v>
      </c>
      <c r="M253" s="7" t="s">
        <v>36</v>
      </c>
      <c r="N253" s="7" t="s">
        <v>38</v>
      </c>
      <c r="O253" s="7" t="s">
        <v>40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36</v>
      </c>
      <c r="L254" s="7" t="s">
        <v>39</v>
      </c>
      <c r="M254" s="7" t="s">
        <v>38</v>
      </c>
      <c r="N254" s="7" t="s">
        <v>56</v>
      </c>
      <c r="O254" s="7" t="s">
        <v>37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41</v>
      </c>
      <c r="L255" s="7" t="s">
        <v>37</v>
      </c>
      <c r="M255" s="7" t="s">
        <v>39</v>
      </c>
      <c r="N255" s="7" t="s">
        <v>43</v>
      </c>
      <c r="O255" s="7" t="s">
        <v>37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43</v>
      </c>
      <c r="L256" s="7" t="s">
        <v>50</v>
      </c>
      <c r="M256" s="7" t="s">
        <v>38</v>
      </c>
      <c r="N256" s="7" t="s">
        <v>41</v>
      </c>
      <c r="O256" s="7" t="s">
        <v>40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37</v>
      </c>
      <c r="L257" s="7" t="s">
        <v>41</v>
      </c>
      <c r="M257" s="7" t="s">
        <v>48</v>
      </c>
      <c r="N257" s="7" t="s">
        <v>39</v>
      </c>
      <c r="O257" s="7" t="s">
        <v>38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36</v>
      </c>
      <c r="L258" s="7" t="s">
        <v>40</v>
      </c>
      <c r="M258" s="7" t="s">
        <v>39</v>
      </c>
      <c r="N258" s="7" t="s">
        <v>52</v>
      </c>
      <c r="O258" s="7" t="s">
        <v>42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36</v>
      </c>
      <c r="L259" s="7" t="s">
        <v>54</v>
      </c>
      <c r="M259" s="7" t="s">
        <v>39</v>
      </c>
      <c r="N259" s="7" t="s">
        <v>43</v>
      </c>
      <c r="O259" s="7" t="s">
        <v>39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43</v>
      </c>
      <c r="L260" s="7" t="s">
        <v>40</v>
      </c>
      <c r="M260" s="7" t="s">
        <v>39</v>
      </c>
      <c r="N260" s="7" t="s">
        <v>38</v>
      </c>
      <c r="O260" s="7" t="s">
        <v>39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48</v>
      </c>
      <c r="N261" s="7" t="s">
        <v>39</v>
      </c>
      <c r="O261" s="7" t="s">
        <v>36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37</v>
      </c>
      <c r="L262" s="7" t="s">
        <v>37</v>
      </c>
      <c r="M262" s="7" t="s">
        <v>43</v>
      </c>
      <c r="N262" s="7" t="s">
        <v>43</v>
      </c>
      <c r="O262" s="7" t="s">
        <v>42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34</v>
      </c>
      <c r="L263" s="7" t="s">
        <v>38</v>
      </c>
      <c r="M263" s="7" t="s">
        <v>42</v>
      </c>
      <c r="N263" s="7" t="s">
        <v>40</v>
      </c>
      <c r="O263" s="7" t="s">
        <v>37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43</v>
      </c>
      <c r="L264" s="7" t="s">
        <v>38</v>
      </c>
      <c r="M264" s="7" t="s">
        <v>40</v>
      </c>
      <c r="N264" s="7" t="s">
        <v>43</v>
      </c>
      <c r="O264" s="7" t="s">
        <v>39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36</v>
      </c>
      <c r="L265" s="7" t="s">
        <v>38</v>
      </c>
      <c r="M265" s="7" t="s">
        <v>42</v>
      </c>
      <c r="N265" s="7" t="s">
        <v>40</v>
      </c>
      <c r="O265" s="7" t="s">
        <v>40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41</v>
      </c>
      <c r="L266" s="7" t="s">
        <v>36</v>
      </c>
      <c r="M266" s="7" t="s">
        <v>38</v>
      </c>
      <c r="N266" s="7" t="s">
        <v>56</v>
      </c>
      <c r="O266" s="7" t="s">
        <v>42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41</v>
      </c>
      <c r="M267" s="7" t="s">
        <v>41</v>
      </c>
      <c r="N267" s="7" t="s">
        <v>38</v>
      </c>
      <c r="O267" s="7" t="s">
        <v>41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41</v>
      </c>
      <c r="L268" s="7" t="s">
        <v>37</v>
      </c>
      <c r="M268" s="7" t="s">
        <v>42</v>
      </c>
      <c r="N268" s="7" t="s">
        <v>38</v>
      </c>
      <c r="O268" s="7" t="s">
        <v>41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38</v>
      </c>
      <c r="L269" s="7" t="s">
        <v>41</v>
      </c>
      <c r="M269" s="7" t="s">
        <v>56</v>
      </c>
      <c r="N269" s="7" t="s">
        <v>41</v>
      </c>
      <c r="O269" s="7" t="s">
        <v>41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40</v>
      </c>
      <c r="L270" s="7" t="s">
        <v>42</v>
      </c>
      <c r="M270" s="7" t="s">
        <v>38</v>
      </c>
      <c r="N270" s="7" t="s">
        <v>40</v>
      </c>
      <c r="O270" s="7" t="s">
        <v>43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43</v>
      </c>
      <c r="L271" s="7" t="s">
        <v>50</v>
      </c>
      <c r="M271" s="7" t="s">
        <v>41</v>
      </c>
      <c r="N271" s="7" t="s">
        <v>41</v>
      </c>
      <c r="O271" s="7" t="s">
        <v>41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41</v>
      </c>
      <c r="L272" s="7" t="s">
        <v>42</v>
      </c>
      <c r="M272" s="7" t="s">
        <v>36</v>
      </c>
      <c r="N272" s="7" t="s">
        <v>43</v>
      </c>
      <c r="O272" s="7" t="s">
        <v>39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36</v>
      </c>
      <c r="L273" s="7" t="s">
        <v>39</v>
      </c>
      <c r="M273" s="7" t="s">
        <v>42</v>
      </c>
      <c r="N273" s="7" t="s">
        <v>34</v>
      </c>
      <c r="O273" s="7" t="s">
        <v>43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43</v>
      </c>
      <c r="L274" s="7" t="s">
        <v>40</v>
      </c>
      <c r="M274" s="7" t="s">
        <v>38</v>
      </c>
      <c r="N274" s="7" t="s">
        <v>38</v>
      </c>
      <c r="O274" s="7" t="s">
        <v>38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40</v>
      </c>
      <c r="L275" s="7" t="s">
        <v>39</v>
      </c>
      <c r="M275" s="7" t="s">
        <v>42</v>
      </c>
      <c r="N275" s="7" t="s">
        <v>43</v>
      </c>
      <c r="O275" s="7" t="s">
        <v>39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40</v>
      </c>
      <c r="L276" s="7" t="s">
        <v>40</v>
      </c>
      <c r="M276" s="7" t="s">
        <v>38</v>
      </c>
      <c r="N276" s="7" t="s">
        <v>41</v>
      </c>
      <c r="O276" s="7" t="s">
        <v>40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43</v>
      </c>
      <c r="L277" s="7" t="s">
        <v>39</v>
      </c>
      <c r="M277" s="7" t="s">
        <v>50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41</v>
      </c>
      <c r="L278" s="7" t="s">
        <v>40</v>
      </c>
      <c r="M278" s="7" t="s">
        <v>43</v>
      </c>
      <c r="N278" s="7" t="s">
        <v>39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40</v>
      </c>
      <c r="L279" s="7" t="s">
        <v>38</v>
      </c>
      <c r="M279" s="7" t="s">
        <v>43</v>
      </c>
      <c r="N279" s="7" t="s">
        <v>36</v>
      </c>
      <c r="O279" s="7" t="s">
        <v>41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41</v>
      </c>
      <c r="L280" s="7" t="s">
        <v>50</v>
      </c>
      <c r="M280" s="7" t="s">
        <v>56</v>
      </c>
      <c r="N280" s="7" t="s">
        <v>38</v>
      </c>
      <c r="O280" s="7" t="s">
        <v>41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43</v>
      </c>
      <c r="L281" s="7" t="s">
        <v>40</v>
      </c>
      <c r="M281" s="7" t="s">
        <v>43</v>
      </c>
      <c r="N281" s="7" t="s">
        <v>42</v>
      </c>
      <c r="O281" s="7" t="s">
        <v>38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37</v>
      </c>
      <c r="L282" s="7" t="s">
        <v>34</v>
      </c>
      <c r="M282" s="7" t="s">
        <v>50</v>
      </c>
      <c r="N282" s="7" t="s">
        <v>56</v>
      </c>
      <c r="O282" s="7" t="s">
        <v>39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41</v>
      </c>
      <c r="L283" s="7" t="s">
        <v>38</v>
      </c>
      <c r="M283" s="7" t="s">
        <v>38</v>
      </c>
      <c r="N283" s="7" t="s">
        <v>50</v>
      </c>
      <c r="O283" s="7" t="s">
        <v>42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40</v>
      </c>
      <c r="L284" s="7" t="s">
        <v>39</v>
      </c>
      <c r="M284" s="7" t="s">
        <v>36</v>
      </c>
      <c r="N284" s="7" t="s">
        <v>42</v>
      </c>
      <c r="O284" s="7" t="s">
        <v>39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40</v>
      </c>
      <c r="L285" s="7" t="s">
        <v>41</v>
      </c>
      <c r="M285" s="7" t="s">
        <v>41</v>
      </c>
      <c r="N285" s="7" t="s">
        <v>42</v>
      </c>
      <c r="O285" s="7" t="s">
        <v>43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37</v>
      </c>
      <c r="L286" s="7" t="s">
        <v>56</v>
      </c>
      <c r="M286" s="7" t="s">
        <v>43</v>
      </c>
      <c r="N286" s="7" t="s">
        <v>56</v>
      </c>
      <c r="O286" s="7" t="s">
        <v>39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41</v>
      </c>
      <c r="L287" s="7" t="s">
        <v>41</v>
      </c>
      <c r="M287" s="7" t="s">
        <v>39</v>
      </c>
      <c r="N287" s="7" t="s">
        <v>41</v>
      </c>
      <c r="O287" s="7" t="s">
        <v>40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37</v>
      </c>
      <c r="L288" s="7" t="s">
        <v>50</v>
      </c>
      <c r="M288" s="7" t="s">
        <v>40</v>
      </c>
      <c r="N288" s="7" t="s">
        <v>43</v>
      </c>
      <c r="O288" s="7" t="s">
        <v>40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40</v>
      </c>
      <c r="L289" s="7" t="s">
        <v>40</v>
      </c>
      <c r="M289" s="7" t="s">
        <v>54</v>
      </c>
      <c r="N289" s="7" t="s">
        <v>41</v>
      </c>
      <c r="O289" s="7" t="s">
        <v>41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36</v>
      </c>
      <c r="L290" s="7" t="s">
        <v>56</v>
      </c>
      <c r="M290" s="7" t="s">
        <v>42</v>
      </c>
      <c r="N290" s="7" t="s">
        <v>43</v>
      </c>
      <c r="O290" s="7" t="s">
        <v>43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43</v>
      </c>
      <c r="L291" s="7" t="s">
        <v>42</v>
      </c>
      <c r="M291" s="7" t="s">
        <v>39</v>
      </c>
      <c r="N291" s="7" t="s">
        <v>42</v>
      </c>
      <c r="O291" s="7" t="s">
        <v>39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43</v>
      </c>
      <c r="L292" s="7" t="s">
        <v>41</v>
      </c>
      <c r="M292" s="7" t="s">
        <v>43</v>
      </c>
      <c r="N292" s="7" t="s">
        <v>41</v>
      </c>
      <c r="O292" s="7" t="s">
        <v>38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42</v>
      </c>
      <c r="L293" s="7" t="s">
        <v>39</v>
      </c>
      <c r="M293" s="7" t="s">
        <v>39</v>
      </c>
      <c r="N293" s="7" t="s">
        <v>42</v>
      </c>
      <c r="O293" s="7" t="s">
        <v>43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41</v>
      </c>
      <c r="L294" s="7" t="s">
        <v>37</v>
      </c>
      <c r="M294" s="7" t="s">
        <v>36</v>
      </c>
      <c r="N294" s="7" t="s">
        <v>39</v>
      </c>
      <c r="O294" s="7" t="s">
        <v>43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36</v>
      </c>
      <c r="L295" s="7" t="s">
        <v>39</v>
      </c>
      <c r="M295" s="7" t="s">
        <v>43</v>
      </c>
      <c r="N295" s="7" t="s">
        <v>40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36</v>
      </c>
      <c r="L296" s="7" t="s">
        <v>39</v>
      </c>
      <c r="M296" s="7" t="s">
        <v>42</v>
      </c>
      <c r="N296" s="7" t="s">
        <v>41</v>
      </c>
      <c r="O296" s="7" t="s">
        <v>37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41</v>
      </c>
      <c r="L297" s="7" t="s">
        <v>50</v>
      </c>
      <c r="M297" s="7" t="s">
        <v>38</v>
      </c>
      <c r="N297" s="7" t="s">
        <v>34</v>
      </c>
      <c r="O297" s="7" t="s">
        <v>40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40</v>
      </c>
      <c r="L298" s="7" t="s">
        <v>43</v>
      </c>
      <c r="M298" s="7" t="s">
        <v>42</v>
      </c>
      <c r="N298" s="7" t="s">
        <v>42</v>
      </c>
      <c r="O298" s="7" t="s">
        <v>43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43</v>
      </c>
      <c r="L299" s="7" t="s">
        <v>37</v>
      </c>
      <c r="M299" s="7" t="s">
        <v>37</v>
      </c>
      <c r="N299" s="7" t="s">
        <v>43</v>
      </c>
      <c r="O299" s="7" t="s">
        <v>37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40</v>
      </c>
      <c r="L300" s="7" t="s">
        <v>36</v>
      </c>
      <c r="M300" s="7" t="s">
        <v>43</v>
      </c>
      <c r="N300" s="7" t="s">
        <v>42</v>
      </c>
      <c r="O300" s="7" t="s">
        <v>43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37</v>
      </c>
      <c r="L301" s="7" t="s">
        <v>39</v>
      </c>
      <c r="M301" s="7" t="s">
        <v>38</v>
      </c>
      <c r="N301" s="7" t="s">
        <v>41</v>
      </c>
      <c r="O301" s="7" t="s">
        <v>43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40</v>
      </c>
      <c r="M302" s="7" t="s">
        <v>38</v>
      </c>
      <c r="N302" s="7" t="s">
        <v>39</v>
      </c>
      <c r="O302" s="7" t="s">
        <v>40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41</v>
      </c>
      <c r="L303" s="7" t="s">
        <v>39</v>
      </c>
      <c r="M303" s="7" t="s">
        <v>42</v>
      </c>
      <c r="N303" s="7" t="s">
        <v>46</v>
      </c>
      <c r="O303" s="7" t="s">
        <v>42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36</v>
      </c>
      <c r="L304" s="7" t="s">
        <v>42</v>
      </c>
      <c r="M304" s="7" t="s">
        <v>36</v>
      </c>
      <c r="N304" s="7" t="s">
        <v>41</v>
      </c>
      <c r="O304" s="7" t="s">
        <v>42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40</v>
      </c>
      <c r="L305" s="7" t="s">
        <v>39</v>
      </c>
      <c r="M305" s="7" t="s">
        <v>38</v>
      </c>
      <c r="N305" s="7" t="s">
        <v>39</v>
      </c>
      <c r="O305" s="7" t="s">
        <v>40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36</v>
      </c>
      <c r="L306" s="7" t="s">
        <v>39</v>
      </c>
      <c r="M306" s="7" t="s">
        <v>36</v>
      </c>
      <c r="N306" s="7" t="s">
        <v>39</v>
      </c>
      <c r="O306" s="7" t="s">
        <v>38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34</v>
      </c>
      <c r="L307" s="7" t="s">
        <v>40</v>
      </c>
      <c r="M307" s="7" t="s">
        <v>39</v>
      </c>
      <c r="N307" s="7" t="s">
        <v>43</v>
      </c>
      <c r="O307" s="7" t="s">
        <v>39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40</v>
      </c>
      <c r="L308" s="7" t="s">
        <v>50</v>
      </c>
      <c r="M308" s="7" t="s">
        <v>42</v>
      </c>
      <c r="N308" s="7" t="s">
        <v>39</v>
      </c>
      <c r="O308" s="7" t="s">
        <v>42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40</v>
      </c>
      <c r="L309" s="7" t="s">
        <v>37</v>
      </c>
      <c r="M309" s="7" t="s">
        <v>38</v>
      </c>
      <c r="N309" s="7" t="s">
        <v>56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43</v>
      </c>
      <c r="L310" s="7" t="s">
        <v>42</v>
      </c>
      <c r="M310" s="7" t="s">
        <v>42</v>
      </c>
      <c r="N310" s="7" t="s">
        <v>50</v>
      </c>
      <c r="O310" s="7" t="s">
        <v>37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40</v>
      </c>
      <c r="L311" s="7" t="s">
        <v>40</v>
      </c>
      <c r="M311" s="7" t="s">
        <v>48</v>
      </c>
      <c r="N311" s="7" t="s">
        <v>58</v>
      </c>
      <c r="O311" s="7" t="s">
        <v>39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34</v>
      </c>
      <c r="L312" s="7" t="s">
        <v>39</v>
      </c>
      <c r="M312" s="7" t="s">
        <v>43</v>
      </c>
      <c r="N312" s="7" t="s">
        <v>39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36</v>
      </c>
      <c r="L313" s="7" t="s">
        <v>40</v>
      </c>
      <c r="M313" s="7" t="s">
        <v>42</v>
      </c>
      <c r="N313" s="7" t="s">
        <v>41</v>
      </c>
      <c r="O313" s="7" t="s">
        <v>40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43</v>
      </c>
      <c r="L314" s="7" t="s">
        <v>40</v>
      </c>
      <c r="M314" s="7" t="s">
        <v>43</v>
      </c>
      <c r="N314" s="7" t="s">
        <v>54</v>
      </c>
      <c r="O314" s="7" t="s">
        <v>38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36</v>
      </c>
      <c r="L315" s="7" t="s">
        <v>41</v>
      </c>
      <c r="M315" s="7" t="s">
        <v>43</v>
      </c>
      <c r="N315" s="7" t="s">
        <v>38</v>
      </c>
      <c r="O315" s="7" t="s">
        <v>40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41</v>
      </c>
      <c r="L316" s="7" t="s">
        <v>37</v>
      </c>
      <c r="M316" s="7" t="s">
        <v>48</v>
      </c>
      <c r="N316" s="7" t="s">
        <v>42</v>
      </c>
      <c r="O316" s="7" t="s">
        <v>42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43</v>
      </c>
      <c r="L317" s="7" t="s">
        <v>46</v>
      </c>
      <c r="M317" s="7" t="s">
        <v>34</v>
      </c>
      <c r="N317" s="7" t="s">
        <v>48</v>
      </c>
      <c r="O317" s="7" t="s">
        <v>43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36</v>
      </c>
      <c r="L318" s="7" t="s">
        <v>39</v>
      </c>
      <c r="M318" s="7" t="s">
        <v>43</v>
      </c>
      <c r="N318" s="7" t="s">
        <v>39</v>
      </c>
      <c r="O318" s="7" t="s">
        <v>41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43</v>
      </c>
      <c r="L319" s="7" t="s">
        <v>40</v>
      </c>
      <c r="M319" s="7" t="s">
        <v>48</v>
      </c>
      <c r="N319" s="7" t="s">
        <v>43</v>
      </c>
      <c r="O319" s="7" t="s">
        <v>43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34</v>
      </c>
      <c r="L320" s="7" t="s">
        <v>46</v>
      </c>
      <c r="M320" s="7" t="s">
        <v>42</v>
      </c>
      <c r="N320" s="7" t="s">
        <v>39</v>
      </c>
      <c r="O320" s="7" t="s">
        <v>34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43</v>
      </c>
      <c r="L321" s="7" t="s">
        <v>41</v>
      </c>
      <c r="M321" s="7" t="s">
        <v>38</v>
      </c>
      <c r="N321" s="7" t="s">
        <v>42</v>
      </c>
      <c r="O321" s="7" t="s">
        <v>39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43</v>
      </c>
      <c r="L322" s="7" t="s">
        <v>40</v>
      </c>
      <c r="M322" s="7" t="s">
        <v>43</v>
      </c>
      <c r="N322" s="7" t="s">
        <v>39</v>
      </c>
      <c r="O322" s="7" t="s">
        <v>42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40</v>
      </c>
      <c r="L323" s="7" t="s">
        <v>37</v>
      </c>
      <c r="M323" s="7" t="s">
        <v>38</v>
      </c>
      <c r="N323" s="7" t="s">
        <v>40</v>
      </c>
      <c r="O323" s="7" t="s">
        <v>36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43</v>
      </c>
      <c r="L324" s="7" t="s">
        <v>34</v>
      </c>
      <c r="M324" s="7" t="s">
        <v>34</v>
      </c>
      <c r="N324" s="7" t="s">
        <v>56</v>
      </c>
      <c r="O324" s="7" t="s">
        <v>38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41</v>
      </c>
      <c r="L325" s="7" t="s">
        <v>39</v>
      </c>
      <c r="M325" s="7" t="s">
        <v>38</v>
      </c>
      <c r="N325" s="7" t="s">
        <v>39</v>
      </c>
      <c r="O325" s="7" t="s">
        <v>42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43</v>
      </c>
      <c r="L326" s="7" t="s">
        <v>40</v>
      </c>
      <c r="M326" s="7" t="s">
        <v>38</v>
      </c>
      <c r="N326" s="7" t="s">
        <v>54</v>
      </c>
      <c r="O326" s="7" t="s">
        <v>43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41</v>
      </c>
      <c r="L327" s="7" t="s">
        <v>37</v>
      </c>
      <c r="M327" s="7" t="s">
        <v>42</v>
      </c>
      <c r="N327" s="7" t="s">
        <v>37</v>
      </c>
      <c r="O327" s="7" t="s">
        <v>43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34</v>
      </c>
      <c r="L328" s="7" t="s">
        <v>50</v>
      </c>
      <c r="M328" s="7" t="s">
        <v>38</v>
      </c>
      <c r="N328" s="7" t="s">
        <v>42</v>
      </c>
      <c r="O328" s="7" t="s">
        <v>43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43</v>
      </c>
      <c r="L329" s="7" t="s">
        <v>39</v>
      </c>
      <c r="M329" s="7" t="s">
        <v>43</v>
      </c>
      <c r="N329" s="7" t="s">
        <v>40</v>
      </c>
      <c r="O329" s="7" t="s">
        <v>42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40</v>
      </c>
      <c r="L330" s="7" t="s">
        <v>40</v>
      </c>
      <c r="M330" s="7" t="s">
        <v>43</v>
      </c>
      <c r="N330" s="7" t="s">
        <v>42</v>
      </c>
      <c r="O330" s="7" t="s">
        <v>42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36</v>
      </c>
      <c r="L331" s="7" t="s">
        <v>42</v>
      </c>
      <c r="M331" s="7" t="s">
        <v>48</v>
      </c>
      <c r="N331" s="7" t="s">
        <v>41</v>
      </c>
      <c r="O331" s="7" t="s">
        <v>39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40</v>
      </c>
      <c r="L332" s="7" t="s">
        <v>40</v>
      </c>
      <c r="M332" s="7" t="s">
        <v>38</v>
      </c>
      <c r="N332" s="7" t="s">
        <v>42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40</v>
      </c>
      <c r="L333" s="7" t="s">
        <v>38</v>
      </c>
      <c r="M333" s="7" t="s">
        <v>39</v>
      </c>
      <c r="N333" s="7" t="s">
        <v>39</v>
      </c>
      <c r="O333" s="7" t="s">
        <v>40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36</v>
      </c>
      <c r="L334" s="7" t="s">
        <v>39</v>
      </c>
      <c r="M334" s="7" t="s">
        <v>38</v>
      </c>
      <c r="N334" s="7" t="s">
        <v>39</v>
      </c>
      <c r="O334" s="7" t="s">
        <v>34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40</v>
      </c>
      <c r="L335" s="7" t="s">
        <v>36</v>
      </c>
      <c r="M335" s="7" t="s">
        <v>42</v>
      </c>
      <c r="N335" s="7" t="s">
        <v>41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36</v>
      </c>
      <c r="L336" s="7" t="s">
        <v>41</v>
      </c>
      <c r="M336" s="7" t="s">
        <v>36</v>
      </c>
      <c r="N336" s="7" t="s">
        <v>42</v>
      </c>
      <c r="O336" s="7" t="s">
        <v>40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36</v>
      </c>
      <c r="L337" s="7" t="s">
        <v>38</v>
      </c>
      <c r="M337" s="7" t="s">
        <v>42</v>
      </c>
      <c r="N337" s="7" t="s">
        <v>39</v>
      </c>
      <c r="O337" s="7" t="s">
        <v>39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40</v>
      </c>
      <c r="L338" s="7" t="s">
        <v>37</v>
      </c>
      <c r="M338" s="7" t="s">
        <v>43</v>
      </c>
      <c r="N338" s="7" t="s">
        <v>42</v>
      </c>
      <c r="O338" s="7" t="s">
        <v>43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41</v>
      </c>
      <c r="L339" s="7" t="s">
        <v>40</v>
      </c>
      <c r="M339" s="7" t="s">
        <v>43</v>
      </c>
      <c r="N339" s="7" t="s">
        <v>42</v>
      </c>
      <c r="O339" s="7" t="s">
        <v>37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41</v>
      </c>
      <c r="L340" s="7" t="s">
        <v>42</v>
      </c>
      <c r="M340" s="7" t="s">
        <v>38</v>
      </c>
      <c r="N340" s="7" t="s">
        <v>39</v>
      </c>
      <c r="O340" s="7" t="s">
        <v>36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43</v>
      </c>
      <c r="L341" s="7" t="s">
        <v>40</v>
      </c>
      <c r="M341" s="7" t="s">
        <v>34</v>
      </c>
      <c r="N341" s="7" t="s">
        <v>40</v>
      </c>
      <c r="O341" s="7" t="s">
        <v>42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43</v>
      </c>
      <c r="L342" s="7" t="s">
        <v>42</v>
      </c>
      <c r="M342" s="7" t="s">
        <v>38</v>
      </c>
      <c r="N342" s="7" t="s">
        <v>39</v>
      </c>
      <c r="O342" s="7" t="s">
        <v>41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40</v>
      </c>
      <c r="L343" s="7" t="s">
        <v>56</v>
      </c>
      <c r="M343" s="7" t="s">
        <v>40</v>
      </c>
      <c r="N343" s="7" t="s">
        <v>43</v>
      </c>
      <c r="O343" s="7" t="s">
        <v>41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40</v>
      </c>
      <c r="L344" s="7" t="s">
        <v>40</v>
      </c>
      <c r="M344" s="7" t="s">
        <v>43</v>
      </c>
      <c r="N344" s="7" t="s">
        <v>44</v>
      </c>
      <c r="O344" s="7" t="s">
        <v>37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41</v>
      </c>
      <c r="L345" s="7" t="s">
        <v>41</v>
      </c>
      <c r="M345" s="7" t="s">
        <v>40</v>
      </c>
      <c r="N345" s="7" t="s">
        <v>39</v>
      </c>
      <c r="O345" s="7" t="s">
        <v>40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41</v>
      </c>
      <c r="L346" s="7" t="s">
        <v>41</v>
      </c>
      <c r="M346" s="7" t="s">
        <v>38</v>
      </c>
      <c r="N346" s="7" t="s">
        <v>41</v>
      </c>
      <c r="O346" s="7" t="s">
        <v>42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36</v>
      </c>
      <c r="L347" s="7" t="s">
        <v>42</v>
      </c>
      <c r="M347" s="7" t="s">
        <v>38</v>
      </c>
      <c r="N347" s="7" t="s">
        <v>34</v>
      </c>
      <c r="O347" s="7" t="s">
        <v>38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40</v>
      </c>
      <c r="L348" s="7" t="s">
        <v>40</v>
      </c>
      <c r="M348" s="7" t="s">
        <v>38</v>
      </c>
      <c r="N348" s="7" t="s">
        <v>50</v>
      </c>
      <c r="O348" s="7" t="s">
        <v>36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41</v>
      </c>
      <c r="L349" s="7" t="s">
        <v>41</v>
      </c>
      <c r="M349" s="7" t="s">
        <v>43</v>
      </c>
      <c r="N349" s="7" t="s">
        <v>41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40</v>
      </c>
      <c r="L350" s="7" t="s">
        <v>39</v>
      </c>
      <c r="M350" s="7" t="s">
        <v>43</v>
      </c>
      <c r="N350" s="7" t="s">
        <v>39</v>
      </c>
      <c r="O350" s="7" t="s">
        <v>42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37</v>
      </c>
      <c r="L351" s="7" t="s">
        <v>36</v>
      </c>
      <c r="M351" s="7" t="s">
        <v>43</v>
      </c>
      <c r="N351" s="7" t="s">
        <v>41</v>
      </c>
      <c r="O351" s="7" t="s">
        <v>43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37</v>
      </c>
      <c r="L352" s="7" t="s">
        <v>50</v>
      </c>
      <c r="M352" s="7" t="s">
        <v>37</v>
      </c>
      <c r="N352" s="7" t="s">
        <v>58</v>
      </c>
      <c r="O352" s="7" t="s">
        <v>41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40</v>
      </c>
      <c r="L353" s="7" t="s">
        <v>37</v>
      </c>
      <c r="M353" s="7" t="s">
        <v>36</v>
      </c>
      <c r="N353" s="7" t="s">
        <v>40</v>
      </c>
      <c r="O353" s="7" t="s">
        <v>42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40</v>
      </c>
      <c r="L354" s="7" t="s">
        <v>38</v>
      </c>
      <c r="M354" s="7" t="s">
        <v>42</v>
      </c>
      <c r="N354" s="7" t="s">
        <v>39</v>
      </c>
      <c r="O354" s="7" t="s">
        <v>38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40</v>
      </c>
      <c r="L355" s="7" t="s">
        <v>34</v>
      </c>
      <c r="M355" s="7" t="s">
        <v>44</v>
      </c>
      <c r="N355" s="7" t="s">
        <v>39</v>
      </c>
      <c r="O355" s="7" t="s">
        <v>37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41</v>
      </c>
      <c r="L356" s="7" t="s">
        <v>39</v>
      </c>
      <c r="M356" s="7" t="s">
        <v>42</v>
      </c>
      <c r="N356" s="7" t="s">
        <v>56</v>
      </c>
      <c r="O356" s="7" t="s">
        <v>40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41</v>
      </c>
      <c r="L357" s="7" t="s">
        <v>39</v>
      </c>
      <c r="M357" s="7" t="s">
        <v>48</v>
      </c>
      <c r="N357" s="7" t="s">
        <v>42</v>
      </c>
      <c r="O357" s="7" t="s">
        <v>38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40</v>
      </c>
      <c r="L358" s="7" t="s">
        <v>40</v>
      </c>
      <c r="M358" s="7" t="s">
        <v>43</v>
      </c>
      <c r="N358" s="7" t="s">
        <v>42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40</v>
      </c>
      <c r="L359" s="7" t="s">
        <v>37</v>
      </c>
      <c r="M359" s="7" t="s">
        <v>38</v>
      </c>
      <c r="N359" s="7" t="s">
        <v>39</v>
      </c>
      <c r="O359" s="7" t="s">
        <v>43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41</v>
      </c>
      <c r="L360" s="7" t="s">
        <v>42</v>
      </c>
      <c r="M360" s="7" t="s">
        <v>40</v>
      </c>
      <c r="N360" s="7" t="s">
        <v>58</v>
      </c>
      <c r="O360" s="7" t="s">
        <v>43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36</v>
      </c>
      <c r="L361" s="7" t="s">
        <v>42</v>
      </c>
      <c r="M361" s="7" t="s">
        <v>37</v>
      </c>
      <c r="N361" s="7" t="s">
        <v>42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41</v>
      </c>
      <c r="L362" s="7" t="s">
        <v>39</v>
      </c>
      <c r="M362" s="7" t="s">
        <v>38</v>
      </c>
      <c r="N362" s="7" t="s">
        <v>38</v>
      </c>
      <c r="O362" s="7" t="s">
        <v>36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43</v>
      </c>
      <c r="L363" s="7" t="s">
        <v>39</v>
      </c>
      <c r="M363" s="7" t="s">
        <v>42</v>
      </c>
      <c r="N363" s="7" t="s">
        <v>37</v>
      </c>
      <c r="O363" s="7" t="s">
        <v>40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37</v>
      </c>
      <c r="L364" s="7" t="s">
        <v>50</v>
      </c>
      <c r="M364" s="7" t="s">
        <v>40</v>
      </c>
      <c r="N364" s="7" t="s">
        <v>41</v>
      </c>
      <c r="O364" s="7" t="s">
        <v>40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36</v>
      </c>
      <c r="L365" s="7" t="s">
        <v>34</v>
      </c>
      <c r="M365" s="7" t="s">
        <v>39</v>
      </c>
      <c r="N365" s="7" t="s">
        <v>42</v>
      </c>
      <c r="O365" s="7" t="s">
        <v>40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37</v>
      </c>
      <c r="L366" s="7" t="s">
        <v>40</v>
      </c>
      <c r="M366" s="7" t="s">
        <v>46</v>
      </c>
      <c r="N366" s="7" t="s">
        <v>58</v>
      </c>
      <c r="O366" s="7" t="s">
        <v>42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41</v>
      </c>
      <c r="L367" s="7" t="s">
        <v>37</v>
      </c>
      <c r="M367" s="7" t="s">
        <v>43</v>
      </c>
      <c r="N367" s="7" t="s">
        <v>42</v>
      </c>
      <c r="O367" s="7" t="s">
        <v>40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36</v>
      </c>
      <c r="M368" s="7" t="s">
        <v>37</v>
      </c>
      <c r="N368" s="7" t="s">
        <v>41</v>
      </c>
      <c r="O368" s="7" t="s">
        <v>42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37</v>
      </c>
      <c r="L369" s="7" t="s">
        <v>39</v>
      </c>
      <c r="M369" s="7" t="s">
        <v>39</v>
      </c>
      <c r="N369" s="7" t="s">
        <v>38</v>
      </c>
      <c r="O369" s="7" t="s">
        <v>43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41</v>
      </c>
      <c r="L370" s="7" t="s">
        <v>54</v>
      </c>
      <c r="M370" s="7" t="s">
        <v>42</v>
      </c>
      <c r="N370" s="7" t="s">
        <v>42</v>
      </c>
      <c r="O370" s="7" t="s">
        <v>41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40</v>
      </c>
      <c r="L371" s="7" t="s">
        <v>40</v>
      </c>
      <c r="M371" s="7" t="s">
        <v>38</v>
      </c>
      <c r="N371" s="7" t="s">
        <v>41</v>
      </c>
      <c r="O371" s="7" t="s">
        <v>42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40</v>
      </c>
      <c r="M372" s="7" t="s">
        <v>40</v>
      </c>
      <c r="N372" s="7" t="s">
        <v>39</v>
      </c>
      <c r="O372" s="7" t="s">
        <v>38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37</v>
      </c>
      <c r="L373" s="7" t="s">
        <v>39</v>
      </c>
      <c r="M373" s="7" t="s">
        <v>36</v>
      </c>
      <c r="N373" s="7" t="s">
        <v>42</v>
      </c>
      <c r="O373" s="7" t="s">
        <v>36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36</v>
      </c>
      <c r="L374" s="7" t="s">
        <v>37</v>
      </c>
      <c r="M374" s="7" t="s">
        <v>37</v>
      </c>
      <c r="N374" s="7" t="s">
        <v>42</v>
      </c>
      <c r="O374" s="7" t="s">
        <v>42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40</v>
      </c>
      <c r="L375" s="7" t="s">
        <v>39</v>
      </c>
      <c r="M375" s="7" t="s">
        <v>39</v>
      </c>
      <c r="N375" s="7" t="s">
        <v>39</v>
      </c>
      <c r="O375" s="7" t="s">
        <v>43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43</v>
      </c>
      <c r="L376" s="7" t="s">
        <v>42</v>
      </c>
      <c r="M376" s="7" t="s">
        <v>42</v>
      </c>
      <c r="N376" s="7" t="s">
        <v>42</v>
      </c>
      <c r="O376" s="7" t="s">
        <v>43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36</v>
      </c>
      <c r="L377" s="7" t="s">
        <v>39</v>
      </c>
      <c r="M377" s="7" t="s">
        <v>42</v>
      </c>
      <c r="N377" s="7" t="s">
        <v>34</v>
      </c>
      <c r="O377" s="7" t="s">
        <v>42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40</v>
      </c>
      <c r="L378" s="7" t="s">
        <v>42</v>
      </c>
      <c r="M378" s="7" t="s">
        <v>42</v>
      </c>
      <c r="N378" s="7" t="s">
        <v>39</v>
      </c>
      <c r="O378" s="7" t="s">
        <v>36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36</v>
      </c>
      <c r="L379" s="7" t="s">
        <v>40</v>
      </c>
      <c r="M379" s="7" t="s">
        <v>58</v>
      </c>
      <c r="N379" s="7" t="s">
        <v>43</v>
      </c>
      <c r="O379" s="7" t="s">
        <v>42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36</v>
      </c>
      <c r="L380" s="7" t="s">
        <v>39</v>
      </c>
      <c r="M380" s="7" t="s">
        <v>43</v>
      </c>
      <c r="N380" s="7" t="s">
        <v>39</v>
      </c>
      <c r="O380" s="7" t="s">
        <v>38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40</v>
      </c>
      <c r="L381" s="7" t="s">
        <v>40</v>
      </c>
      <c r="M381" s="7" t="s">
        <v>38</v>
      </c>
      <c r="N381" s="7" t="s">
        <v>42</v>
      </c>
      <c r="O381" s="7" t="s">
        <v>39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39</v>
      </c>
      <c r="M382" s="7" t="s">
        <v>38</v>
      </c>
      <c r="N382" s="7" t="s">
        <v>42</v>
      </c>
      <c r="O382" s="7" t="s">
        <v>41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40</v>
      </c>
      <c r="L383" s="7" t="s">
        <v>39</v>
      </c>
      <c r="M383" s="7" t="s">
        <v>48</v>
      </c>
      <c r="N383" s="7" t="s">
        <v>42</v>
      </c>
      <c r="O383" s="7" t="s">
        <v>38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40</v>
      </c>
      <c r="L384" s="7" t="s">
        <v>39</v>
      </c>
      <c r="M384" s="7" t="s">
        <v>42</v>
      </c>
      <c r="N384" s="7" t="s">
        <v>38</v>
      </c>
      <c r="O384" s="7" t="s">
        <v>38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36</v>
      </c>
      <c r="L385" s="7" t="s">
        <v>42</v>
      </c>
      <c r="M385" s="7" t="s">
        <v>43</v>
      </c>
      <c r="N385" s="7" t="s">
        <v>41</v>
      </c>
      <c r="O385" s="7" t="s">
        <v>42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41</v>
      </c>
      <c r="L386" s="7" t="s">
        <v>37</v>
      </c>
      <c r="M386" s="7" t="s">
        <v>39</v>
      </c>
      <c r="N386" s="7" t="s">
        <v>42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37</v>
      </c>
      <c r="L387" s="7" t="s">
        <v>39</v>
      </c>
      <c r="M387" s="7" t="s">
        <v>41</v>
      </c>
      <c r="N387" s="7" t="s">
        <v>39</v>
      </c>
      <c r="O387" s="7" t="s">
        <v>42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43</v>
      </c>
      <c r="L388" s="7" t="s">
        <v>42</v>
      </c>
      <c r="M388" s="7" t="s">
        <v>38</v>
      </c>
      <c r="N388" s="7" t="s">
        <v>34</v>
      </c>
      <c r="O388" s="7" t="s">
        <v>37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39</v>
      </c>
      <c r="M389" s="7" t="s">
        <v>48</v>
      </c>
      <c r="N389" s="7" t="s">
        <v>39</v>
      </c>
      <c r="O389" s="7" t="s">
        <v>42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43</v>
      </c>
      <c r="L390" s="7" t="s">
        <v>52</v>
      </c>
      <c r="M390" s="7" t="s">
        <v>43</v>
      </c>
      <c r="N390" s="7" t="s">
        <v>56</v>
      </c>
      <c r="O390" s="7" t="s">
        <v>40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37</v>
      </c>
      <c r="L391" s="7" t="s">
        <v>37</v>
      </c>
      <c r="M391" s="7" t="s">
        <v>42</v>
      </c>
      <c r="N391" s="7" t="s">
        <v>42</v>
      </c>
      <c r="O391" s="7" t="s">
        <v>37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43</v>
      </c>
      <c r="L392" s="7" t="s">
        <v>39</v>
      </c>
      <c r="M392" s="7" t="s">
        <v>43</v>
      </c>
      <c r="N392" s="7" t="s">
        <v>40</v>
      </c>
      <c r="O392" s="7" t="s">
        <v>43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41</v>
      </c>
      <c r="L393" s="7" t="s">
        <v>38</v>
      </c>
      <c r="M393" s="7" t="s">
        <v>48</v>
      </c>
      <c r="N393" s="7" t="s">
        <v>43</v>
      </c>
      <c r="O393" s="7" t="s">
        <v>40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43</v>
      </c>
      <c r="L394" s="7" t="s">
        <v>42</v>
      </c>
      <c r="M394" s="7" t="s">
        <v>40</v>
      </c>
      <c r="N394" s="7" t="s">
        <v>41</v>
      </c>
      <c r="O394" s="7" t="s">
        <v>37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42</v>
      </c>
      <c r="L395" s="7" t="s">
        <v>46</v>
      </c>
      <c r="M395" s="7" t="s">
        <v>41</v>
      </c>
      <c r="N395" s="7" t="s">
        <v>42</v>
      </c>
      <c r="O395" s="7" t="s">
        <v>43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43</v>
      </c>
      <c r="L396" s="7" t="s">
        <v>37</v>
      </c>
      <c r="M396" s="7" t="s">
        <v>48</v>
      </c>
      <c r="N396" s="7" t="s">
        <v>56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40</v>
      </c>
      <c r="L397" s="7" t="s">
        <v>50</v>
      </c>
      <c r="M397" s="7" t="s">
        <v>43</v>
      </c>
      <c r="N397" s="7" t="s">
        <v>36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41</v>
      </c>
      <c r="L398" s="7" t="s">
        <v>50</v>
      </c>
      <c r="M398" s="7" t="s">
        <v>43</v>
      </c>
      <c r="N398" s="7" t="s">
        <v>38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34</v>
      </c>
      <c r="L399" s="7" t="s">
        <v>39</v>
      </c>
      <c r="M399" s="7" t="s">
        <v>38</v>
      </c>
      <c r="N399" s="7" t="s">
        <v>43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37</v>
      </c>
      <c r="L400" s="7" t="s">
        <v>43</v>
      </c>
      <c r="M400" s="7" t="s">
        <v>38</v>
      </c>
      <c r="N400" s="7" t="s">
        <v>58</v>
      </c>
      <c r="O400" s="7" t="s">
        <v>43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41</v>
      </c>
      <c r="L401" s="7" t="s">
        <v>52</v>
      </c>
      <c r="M401" s="7" t="s">
        <v>39</v>
      </c>
      <c r="N401" s="7" t="s">
        <v>43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36</v>
      </c>
      <c r="L402" s="7" t="s">
        <v>37</v>
      </c>
      <c r="M402" s="7" t="s">
        <v>42</v>
      </c>
      <c r="N402" s="7" t="s">
        <v>34</v>
      </c>
      <c r="O402" s="7" t="s">
        <v>42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41</v>
      </c>
      <c r="M403" s="7" t="s">
        <v>39</v>
      </c>
      <c r="N403" s="7" t="s">
        <v>38</v>
      </c>
      <c r="O403" s="7" t="s">
        <v>39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39</v>
      </c>
      <c r="L4" s="7" t="s">
        <v>39</v>
      </c>
      <c r="M4" s="7" t="s">
        <v>42</v>
      </c>
      <c r="N4" s="7" t="s">
        <v>37</v>
      </c>
      <c r="O4" s="7" t="s">
        <v>40</v>
      </c>
      <c r="Q4" s="7">
        <v>6</v>
      </c>
      <c r="R4" s="7">
        <v>6</v>
      </c>
      <c r="S4" s="7">
        <v>9</v>
      </c>
      <c r="T4" s="7">
        <v>4</v>
      </c>
      <c r="U4" s="7">
        <v>7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40</v>
      </c>
      <c r="L5" s="7" t="s">
        <v>37</v>
      </c>
      <c r="M5" s="7" t="s">
        <v>58</v>
      </c>
      <c r="N5" s="7" t="s">
        <v>54</v>
      </c>
      <c r="O5" s="7" t="s">
        <v>43</v>
      </c>
      <c r="Q5" s="7">
        <v>7</v>
      </c>
      <c r="R5" s="7">
        <v>4</v>
      </c>
      <c r="S5" s="7">
        <v>18</v>
      </c>
      <c r="T5" s="7">
        <v>16</v>
      </c>
      <c r="U5" s="7">
        <v>10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20</v>
      </c>
      <c r="D6" s="4">
        <v>20</v>
      </c>
      <c r="E6" s="4">
        <v>20</v>
      </c>
      <c r="F6" s="4">
        <v>0</v>
      </c>
      <c r="G6" s="4">
        <v>0</v>
      </c>
      <c r="H6" s="7">
        <v>2</v>
      </c>
      <c r="J6" s="7">
        <v>2</v>
      </c>
      <c r="K6" s="7" t="s">
        <v>36</v>
      </c>
      <c r="L6" s="7" t="s">
        <v>37</v>
      </c>
      <c r="M6" s="7" t="s">
        <v>58</v>
      </c>
      <c r="N6" s="7" t="s">
        <v>39</v>
      </c>
      <c r="O6" s="7" t="s">
        <v>38</v>
      </c>
      <c r="Q6" s="7">
        <v>3</v>
      </c>
      <c r="R6" s="7">
        <v>4</v>
      </c>
      <c r="S6" s="7">
        <v>18</v>
      </c>
      <c r="T6" s="7">
        <v>6</v>
      </c>
      <c r="U6" s="7">
        <v>5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39</v>
      </c>
      <c r="D7" s="4">
        <v>20</v>
      </c>
      <c r="E7" s="4">
        <v>10</v>
      </c>
      <c r="F7" s="4">
        <v>23</v>
      </c>
      <c r="G7" s="4">
        <v>42</v>
      </c>
      <c r="H7" s="7">
        <v>3</v>
      </c>
      <c r="J7" s="7">
        <v>3</v>
      </c>
      <c r="K7" s="7" t="s">
        <v>34</v>
      </c>
      <c r="L7" s="7" t="s">
        <v>34</v>
      </c>
      <c r="M7" s="7" t="s">
        <v>34</v>
      </c>
      <c r="N7" s="7" t="s">
        <v>37</v>
      </c>
      <c r="O7" s="7" t="s">
        <v>40</v>
      </c>
      <c r="Q7" s="7">
        <v>2</v>
      </c>
      <c r="R7" s="7">
        <v>2</v>
      </c>
      <c r="S7" s="7">
        <v>2</v>
      </c>
      <c r="T7" s="7">
        <v>4</v>
      </c>
      <c r="U7" s="7">
        <v>7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5</v>
      </c>
      <c r="D8" s="4">
        <v>93</v>
      </c>
      <c r="E8" s="4">
        <v>3</v>
      </c>
      <c r="F8" s="4">
        <v>24</v>
      </c>
      <c r="G8" s="4">
        <v>35</v>
      </c>
      <c r="H8" s="7">
        <v>4</v>
      </c>
      <c r="J8" s="7">
        <v>4</v>
      </c>
      <c r="K8" s="7" t="s">
        <v>40</v>
      </c>
      <c r="L8" s="7" t="s">
        <v>42</v>
      </c>
      <c r="M8" s="7" t="s">
        <v>43</v>
      </c>
      <c r="N8" s="7" t="s">
        <v>42</v>
      </c>
      <c r="O8" s="7" t="s">
        <v>43</v>
      </c>
      <c r="Q8" s="7">
        <v>7</v>
      </c>
      <c r="R8" s="7">
        <v>9</v>
      </c>
      <c r="S8" s="7">
        <v>10</v>
      </c>
      <c r="T8" s="7">
        <v>9</v>
      </c>
      <c r="U8" s="7">
        <v>10</v>
      </c>
      <c r="W8" s="4">
        <v>0</v>
      </c>
      <c r="X8" s="4">
        <v>0</v>
      </c>
      <c r="Y8" s="4">
        <v>0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21</v>
      </c>
      <c r="D9" s="4">
        <v>1</v>
      </c>
      <c r="E9" s="4">
        <v>88</v>
      </c>
      <c r="F9" s="4">
        <v>33</v>
      </c>
      <c r="G9" s="4">
        <v>58</v>
      </c>
      <c r="H9" s="7">
        <v>5</v>
      </c>
      <c r="J9" s="7">
        <v>5</v>
      </c>
      <c r="K9" s="7" t="s">
        <v>41</v>
      </c>
      <c r="L9" s="7" t="s">
        <v>39</v>
      </c>
      <c r="M9" s="7" t="s">
        <v>38</v>
      </c>
      <c r="N9" s="7" t="s">
        <v>36</v>
      </c>
      <c r="O9" s="7" t="s">
        <v>36</v>
      </c>
      <c r="Q9" s="7">
        <v>8</v>
      </c>
      <c r="R9" s="7">
        <v>6</v>
      </c>
      <c r="S9" s="7">
        <v>5</v>
      </c>
      <c r="T9" s="7">
        <v>3</v>
      </c>
      <c r="U9" s="7">
        <v>3</v>
      </c>
      <c r="W9" s="4">
        <v>0</v>
      </c>
      <c r="X9" s="4">
        <v>0</v>
      </c>
      <c r="Y9" s="4">
        <v>0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17</v>
      </c>
      <c r="D10" s="4">
        <v>88</v>
      </c>
      <c r="E10" s="4">
        <v>3</v>
      </c>
      <c r="F10" s="4">
        <v>65</v>
      </c>
      <c r="G10" s="4">
        <v>40</v>
      </c>
      <c r="H10" s="7">
        <v>6</v>
      </c>
      <c r="J10" s="7">
        <v>6</v>
      </c>
      <c r="K10" s="7" t="s">
        <v>36</v>
      </c>
      <c r="L10" s="7" t="s">
        <v>40</v>
      </c>
      <c r="M10" s="7" t="s">
        <v>38</v>
      </c>
      <c r="N10" s="7" t="s">
        <v>44</v>
      </c>
      <c r="O10" s="7" t="s">
        <v>38</v>
      </c>
      <c r="Q10" s="7">
        <v>3</v>
      </c>
      <c r="R10" s="7">
        <v>7</v>
      </c>
      <c r="S10" s="7">
        <v>5</v>
      </c>
      <c r="T10" s="7">
        <v>11</v>
      </c>
      <c r="U10" s="7">
        <v>5</v>
      </c>
      <c r="W10" s="4">
        <v>0</v>
      </c>
      <c r="X10" s="4">
        <v>0</v>
      </c>
      <c r="Y10" s="4">
        <v>0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95</v>
      </c>
      <c r="D11" s="4">
        <v>90</v>
      </c>
      <c r="E11" s="4">
        <v>2</v>
      </c>
      <c r="F11" s="4">
        <v>20</v>
      </c>
      <c r="G11" s="4">
        <v>58</v>
      </c>
      <c r="H11" s="7">
        <v>7</v>
      </c>
      <c r="J11" s="7">
        <v>7</v>
      </c>
      <c r="K11" s="7" t="s">
        <v>41</v>
      </c>
      <c r="L11" s="7" t="s">
        <v>40</v>
      </c>
      <c r="M11" s="7" t="s">
        <v>58</v>
      </c>
      <c r="N11" s="7" t="s">
        <v>41</v>
      </c>
      <c r="O11" s="7" t="s">
        <v>42</v>
      </c>
      <c r="Q11" s="7">
        <v>8</v>
      </c>
      <c r="R11" s="7">
        <v>7</v>
      </c>
      <c r="S11" s="7">
        <v>18</v>
      </c>
      <c r="T11" s="7">
        <v>8</v>
      </c>
      <c r="U11" s="7">
        <v>9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89</v>
      </c>
      <c r="D12" s="4">
        <v>20</v>
      </c>
      <c r="E12" s="4">
        <v>13</v>
      </c>
      <c r="F12" s="4">
        <v>59</v>
      </c>
      <c r="G12" s="4">
        <v>48</v>
      </c>
      <c r="H12" s="7">
        <v>8</v>
      </c>
      <c r="J12" s="7">
        <v>8</v>
      </c>
      <c r="K12" s="7" t="s">
        <v>36</v>
      </c>
      <c r="L12" s="7" t="s">
        <v>40</v>
      </c>
      <c r="M12" s="7" t="s">
        <v>43</v>
      </c>
      <c r="N12" s="7" t="s">
        <v>43</v>
      </c>
      <c r="O12" s="7" t="s">
        <v>36</v>
      </c>
      <c r="Q12" s="7">
        <v>3</v>
      </c>
      <c r="R12" s="7">
        <v>7</v>
      </c>
      <c r="S12" s="7">
        <v>10</v>
      </c>
      <c r="T12" s="7">
        <v>10</v>
      </c>
      <c r="U12" s="7">
        <v>3</v>
      </c>
      <c r="W12" s="4">
        <v>0</v>
      </c>
      <c r="X12" s="4">
        <v>0</v>
      </c>
      <c r="Y12" s="4">
        <v>0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5</v>
      </c>
      <c r="D13" s="4">
        <v>30</v>
      </c>
      <c r="E13" s="4">
        <v>116</v>
      </c>
      <c r="F13" s="4">
        <v>91</v>
      </c>
      <c r="G13" s="4">
        <v>69</v>
      </c>
      <c r="H13" s="7">
        <v>9</v>
      </c>
      <c r="J13" s="7">
        <v>9</v>
      </c>
      <c r="K13" s="7" t="s">
        <v>38</v>
      </c>
      <c r="L13" s="7" t="s">
        <v>41</v>
      </c>
      <c r="M13" s="7" t="s">
        <v>38</v>
      </c>
      <c r="N13" s="7" t="s">
        <v>40</v>
      </c>
      <c r="O13" s="7" t="s">
        <v>38</v>
      </c>
      <c r="Q13" s="7">
        <v>5</v>
      </c>
      <c r="R13" s="7">
        <v>8</v>
      </c>
      <c r="S13" s="7">
        <v>5</v>
      </c>
      <c r="T13" s="7">
        <v>7</v>
      </c>
      <c r="U13" s="7">
        <v>5</v>
      </c>
      <c r="W13" s="4">
        <v>0</v>
      </c>
      <c r="X13" s="4">
        <v>0</v>
      </c>
      <c r="Y13" s="4">
        <v>0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109</v>
      </c>
      <c r="D14" s="4">
        <v>3</v>
      </c>
      <c r="E14" s="4">
        <v>96</v>
      </c>
      <c r="F14" s="4">
        <v>18</v>
      </c>
      <c r="G14" s="4">
        <v>50</v>
      </c>
      <c r="H14" s="7">
        <v>10</v>
      </c>
      <c r="J14" s="7">
        <v>10</v>
      </c>
      <c r="K14" s="7" t="s">
        <v>43</v>
      </c>
      <c r="L14" s="7" t="s">
        <v>37</v>
      </c>
      <c r="M14" s="7" t="s">
        <v>43</v>
      </c>
      <c r="N14" s="7" t="s">
        <v>41</v>
      </c>
      <c r="O14" s="7" t="s">
        <v>42</v>
      </c>
      <c r="Q14" s="7">
        <v>10</v>
      </c>
      <c r="R14" s="7">
        <v>4</v>
      </c>
      <c r="S14" s="7">
        <v>10</v>
      </c>
      <c r="T14" s="7">
        <v>8</v>
      </c>
      <c r="U14" s="7">
        <v>9</v>
      </c>
      <c r="W14" s="4">
        <v>0</v>
      </c>
      <c r="X14" s="4">
        <v>0</v>
      </c>
      <c r="Y14" s="4">
        <v>0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4</v>
      </c>
      <c r="E15" s="4">
        <v>3</v>
      </c>
      <c r="F15" s="4">
        <v>2</v>
      </c>
      <c r="G15" s="4">
        <v>0</v>
      </c>
      <c r="H15" s="7">
        <v>11</v>
      </c>
      <c r="J15" s="7">
        <v>11</v>
      </c>
      <c r="K15" s="7" t="s">
        <v>41</v>
      </c>
      <c r="L15" s="7" t="s">
        <v>39</v>
      </c>
      <c r="M15" s="7" t="s">
        <v>48</v>
      </c>
      <c r="N15" s="7" t="s">
        <v>39</v>
      </c>
      <c r="O15" s="7" t="s">
        <v>38</v>
      </c>
      <c r="Q15" s="7">
        <v>8</v>
      </c>
      <c r="R15" s="7">
        <v>6</v>
      </c>
      <c r="S15" s="7">
        <v>13</v>
      </c>
      <c r="T15" s="7">
        <v>6</v>
      </c>
      <c r="U15" s="7">
        <v>5</v>
      </c>
      <c r="W15" s="4">
        <v>0</v>
      </c>
      <c r="X15" s="4">
        <v>0</v>
      </c>
      <c r="Y15" s="4">
        <v>0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11</v>
      </c>
      <c r="E16" s="4">
        <v>5</v>
      </c>
      <c r="F16" s="4">
        <v>5</v>
      </c>
      <c r="G16" s="4">
        <v>0</v>
      </c>
      <c r="H16" s="7">
        <v>12</v>
      </c>
      <c r="J16" s="7">
        <v>12</v>
      </c>
      <c r="K16" s="7" t="s">
        <v>41</v>
      </c>
      <c r="L16" s="7" t="s">
        <v>39</v>
      </c>
      <c r="M16" s="7" t="s">
        <v>43</v>
      </c>
      <c r="N16" s="7" t="s">
        <v>36</v>
      </c>
      <c r="O16" s="7" t="s">
        <v>41</v>
      </c>
      <c r="Q16" s="7">
        <v>8</v>
      </c>
      <c r="R16" s="7">
        <v>6</v>
      </c>
      <c r="S16" s="7">
        <v>10</v>
      </c>
      <c r="T16" s="7">
        <v>3</v>
      </c>
      <c r="U16" s="7">
        <v>8</v>
      </c>
      <c r="W16" s="4">
        <v>0</v>
      </c>
      <c r="X16" s="4">
        <v>0</v>
      </c>
      <c r="Y16" s="4">
        <v>0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5</v>
      </c>
      <c r="F17" s="4">
        <v>9</v>
      </c>
      <c r="G17" s="4">
        <v>0</v>
      </c>
      <c r="H17" s="7">
        <v>13</v>
      </c>
      <c r="J17" s="7">
        <v>13</v>
      </c>
      <c r="K17" s="7" t="s">
        <v>43</v>
      </c>
      <c r="L17" s="7" t="s">
        <v>40</v>
      </c>
      <c r="M17" s="7" t="s">
        <v>58</v>
      </c>
      <c r="N17" s="7" t="s">
        <v>41</v>
      </c>
      <c r="O17" s="7" t="s">
        <v>42</v>
      </c>
      <c r="Q17" s="7">
        <v>10</v>
      </c>
      <c r="R17" s="7">
        <v>7</v>
      </c>
      <c r="S17" s="7">
        <v>18</v>
      </c>
      <c r="T17" s="7">
        <v>8</v>
      </c>
      <c r="U17" s="7">
        <v>9</v>
      </c>
      <c r="W17" s="4">
        <v>0</v>
      </c>
      <c r="X17" s="4">
        <v>0</v>
      </c>
      <c r="Y17" s="4">
        <v>0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5</v>
      </c>
      <c r="E18" s="4">
        <v>1</v>
      </c>
      <c r="F18" s="4">
        <v>4</v>
      </c>
      <c r="G18" s="4">
        <v>0</v>
      </c>
      <c r="H18" s="7">
        <v>14</v>
      </c>
      <c r="J18" s="7">
        <v>14</v>
      </c>
      <c r="K18" s="7" t="s">
        <v>40</v>
      </c>
      <c r="L18" s="7" t="s">
        <v>40</v>
      </c>
      <c r="M18" s="7" t="s">
        <v>42</v>
      </c>
      <c r="N18" s="7" t="s">
        <v>52</v>
      </c>
      <c r="O18" s="7" t="s">
        <v>38</v>
      </c>
      <c r="Q18" s="7">
        <v>7</v>
      </c>
      <c r="R18" s="7">
        <v>7</v>
      </c>
      <c r="S18" s="7">
        <v>9</v>
      </c>
      <c r="T18" s="7">
        <v>15</v>
      </c>
      <c r="U18" s="7">
        <v>5</v>
      </c>
      <c r="W18" s="4">
        <v>0</v>
      </c>
      <c r="X18" s="4">
        <v>0</v>
      </c>
      <c r="Y18" s="4">
        <v>0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7</v>
      </c>
      <c r="E19" s="4">
        <v>2</v>
      </c>
      <c r="F19" s="4">
        <v>9</v>
      </c>
      <c r="G19" s="4">
        <v>0</v>
      </c>
      <c r="H19" s="7">
        <v>15</v>
      </c>
      <c r="J19" s="7">
        <v>15</v>
      </c>
      <c r="K19" s="7" t="s">
        <v>40</v>
      </c>
      <c r="L19" s="7" t="s">
        <v>36</v>
      </c>
      <c r="M19" s="7" t="s">
        <v>39</v>
      </c>
      <c r="N19" s="7" t="s">
        <v>39</v>
      </c>
      <c r="O19" s="7" t="s">
        <v>38</v>
      </c>
      <c r="Q19" s="7">
        <v>7</v>
      </c>
      <c r="R19" s="7">
        <v>3</v>
      </c>
      <c r="S19" s="7">
        <v>6</v>
      </c>
      <c r="T19" s="7">
        <v>6</v>
      </c>
      <c r="U19" s="7">
        <v>5</v>
      </c>
      <c r="W19" s="4">
        <v>0</v>
      </c>
      <c r="X19" s="4">
        <v>0</v>
      </c>
      <c r="Y19" s="4">
        <v>0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</v>
      </c>
      <c r="E20" s="4">
        <v>1</v>
      </c>
      <c r="F20" s="4">
        <v>13</v>
      </c>
      <c r="G20" s="4">
        <v>0</v>
      </c>
      <c r="H20" s="7">
        <v>16</v>
      </c>
      <c r="J20" s="7">
        <v>16</v>
      </c>
      <c r="K20" s="7" t="s">
        <v>41</v>
      </c>
      <c r="L20" s="7" t="s">
        <v>42</v>
      </c>
      <c r="M20" s="7" t="s">
        <v>42</v>
      </c>
      <c r="N20" s="7" t="s">
        <v>36</v>
      </c>
      <c r="O20" s="7" t="s">
        <v>37</v>
      </c>
      <c r="Q20" s="7">
        <v>8</v>
      </c>
      <c r="R20" s="7">
        <v>9</v>
      </c>
      <c r="S20" s="7">
        <v>9</v>
      </c>
      <c r="T20" s="7">
        <v>3</v>
      </c>
      <c r="U20" s="7">
        <v>4</v>
      </c>
      <c r="W20" s="4">
        <v>0</v>
      </c>
      <c r="X20" s="4">
        <v>0</v>
      </c>
      <c r="Y20" s="4">
        <v>0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2</v>
      </c>
      <c r="E21" s="4">
        <v>1</v>
      </c>
      <c r="F21" s="4">
        <v>7</v>
      </c>
      <c r="G21" s="4">
        <v>0</v>
      </c>
      <c r="H21" s="7">
        <v>17</v>
      </c>
      <c r="J21" s="7">
        <v>17</v>
      </c>
      <c r="K21" s="7" t="s">
        <v>43</v>
      </c>
      <c r="L21" s="7" t="s">
        <v>40</v>
      </c>
      <c r="M21" s="7" t="s">
        <v>38</v>
      </c>
      <c r="N21" s="7" t="s">
        <v>42</v>
      </c>
      <c r="O21" s="7" t="s">
        <v>42</v>
      </c>
      <c r="Q21" s="7">
        <v>10</v>
      </c>
      <c r="R21" s="7">
        <v>7</v>
      </c>
      <c r="S21" s="7">
        <v>5</v>
      </c>
      <c r="T21" s="7">
        <v>9</v>
      </c>
      <c r="U21" s="7">
        <v>9</v>
      </c>
      <c r="W21" s="4">
        <v>0</v>
      </c>
      <c r="X21" s="4">
        <v>0</v>
      </c>
      <c r="Y21" s="4">
        <v>0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1</v>
      </c>
      <c r="E22" s="4">
        <v>31</v>
      </c>
      <c r="F22" s="4">
        <v>18</v>
      </c>
      <c r="G22" s="4">
        <v>0</v>
      </c>
      <c r="H22" s="7">
        <v>18</v>
      </c>
      <c r="J22" s="7">
        <v>18</v>
      </c>
      <c r="K22" s="7" t="s">
        <v>40</v>
      </c>
      <c r="L22" s="7" t="s">
        <v>40</v>
      </c>
      <c r="M22" s="7" t="s">
        <v>38</v>
      </c>
      <c r="N22" s="7" t="s">
        <v>38</v>
      </c>
      <c r="O22" s="7" t="s">
        <v>42</v>
      </c>
      <c r="Q22" s="7">
        <v>7</v>
      </c>
      <c r="R22" s="7">
        <v>7</v>
      </c>
      <c r="S22" s="7">
        <v>5</v>
      </c>
      <c r="T22" s="7">
        <v>5</v>
      </c>
      <c r="U22" s="7">
        <v>9</v>
      </c>
      <c r="W22" s="4">
        <v>0</v>
      </c>
      <c r="X22" s="4">
        <v>0</v>
      </c>
      <c r="Y22" s="4">
        <v>0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42</v>
      </c>
      <c r="L23" s="7" t="s">
        <v>37</v>
      </c>
      <c r="M23" s="7" t="s">
        <v>58</v>
      </c>
      <c r="N23" s="7" t="s">
        <v>58</v>
      </c>
      <c r="O23" s="7" t="s">
        <v>43</v>
      </c>
      <c r="Q23" s="7">
        <v>9</v>
      </c>
      <c r="R23" s="7">
        <v>4</v>
      </c>
      <c r="S23" s="7">
        <v>18</v>
      </c>
      <c r="T23" s="7">
        <v>18</v>
      </c>
      <c r="U23" s="7">
        <v>10</v>
      </c>
      <c r="W23" s="4">
        <v>0</v>
      </c>
      <c r="X23" s="4">
        <v>0</v>
      </c>
      <c r="Y23" s="4">
        <v>0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40</v>
      </c>
      <c r="L24" s="7" t="s">
        <v>39</v>
      </c>
      <c r="M24" s="7" t="s">
        <v>37</v>
      </c>
      <c r="N24" s="7" t="s">
        <v>39</v>
      </c>
      <c r="O24" s="7" t="s">
        <v>39</v>
      </c>
      <c r="Q24" s="7">
        <v>7</v>
      </c>
      <c r="R24" s="7">
        <v>6</v>
      </c>
      <c r="S24" s="7">
        <v>4</v>
      </c>
      <c r="T24" s="7">
        <v>6</v>
      </c>
      <c r="U24" s="7">
        <v>6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40</v>
      </c>
      <c r="L25" s="7" t="s">
        <v>39</v>
      </c>
      <c r="M25" s="7" t="s">
        <v>42</v>
      </c>
      <c r="N25" s="7" t="s">
        <v>36</v>
      </c>
      <c r="O25" s="7" t="s">
        <v>39</v>
      </c>
      <c r="Q25" s="7">
        <v>7</v>
      </c>
      <c r="R25" s="7">
        <v>6</v>
      </c>
      <c r="S25" s="7">
        <v>9</v>
      </c>
      <c r="T25" s="7">
        <v>3</v>
      </c>
      <c r="U25" s="7">
        <v>6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43</v>
      </c>
      <c r="L26" s="7" t="s">
        <v>39</v>
      </c>
      <c r="M26" s="7" t="s">
        <v>58</v>
      </c>
      <c r="N26" s="7" t="s">
        <v>41</v>
      </c>
      <c r="O26" s="7" t="s">
        <v>42</v>
      </c>
      <c r="Q26" s="7">
        <v>10</v>
      </c>
      <c r="R26" s="7">
        <v>6</v>
      </c>
      <c r="S26" s="7">
        <v>18</v>
      </c>
      <c r="T26" s="7">
        <v>8</v>
      </c>
      <c r="U26" s="7">
        <v>9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34</v>
      </c>
      <c r="L27" s="7" t="s">
        <v>34</v>
      </c>
      <c r="M27" s="7" t="s">
        <v>34</v>
      </c>
      <c r="N27" s="7" t="s">
        <v>37</v>
      </c>
      <c r="O27" s="7" t="s">
        <v>40</v>
      </c>
      <c r="Q27" s="7">
        <v>2</v>
      </c>
      <c r="R27" s="7">
        <v>2</v>
      </c>
      <c r="S27" s="7">
        <v>2</v>
      </c>
      <c r="T27" s="7">
        <v>4</v>
      </c>
      <c r="U27" s="7">
        <v>7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39</v>
      </c>
      <c r="M28" s="7" t="s">
        <v>42</v>
      </c>
      <c r="N28" s="7" t="s">
        <v>52</v>
      </c>
      <c r="O28" s="7" t="s">
        <v>36</v>
      </c>
      <c r="Q28" s="7">
        <v>8</v>
      </c>
      <c r="R28" s="7">
        <v>6</v>
      </c>
      <c r="S28" s="7">
        <v>9</v>
      </c>
      <c r="T28" s="7">
        <v>15</v>
      </c>
      <c r="U28" s="7">
        <v>3</v>
      </c>
      <c r="W28" s="4">
        <v>0</v>
      </c>
      <c r="X28" s="4">
        <v>0</v>
      </c>
      <c r="Y28" s="4">
        <v>0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40</v>
      </c>
      <c r="L29" s="7" t="s">
        <v>40</v>
      </c>
      <c r="M29" s="7" t="s">
        <v>38</v>
      </c>
      <c r="N29" s="7" t="s">
        <v>39</v>
      </c>
      <c r="O29" s="7" t="s">
        <v>43</v>
      </c>
      <c r="Q29" s="7">
        <v>7</v>
      </c>
      <c r="R29" s="7">
        <v>7</v>
      </c>
      <c r="S29" s="7">
        <v>5</v>
      </c>
      <c r="T29" s="7">
        <v>6</v>
      </c>
      <c r="U29" s="7">
        <v>10</v>
      </c>
      <c r="W29" s="4">
        <v>0</v>
      </c>
      <c r="X29" s="4">
        <v>0</v>
      </c>
      <c r="Y29" s="4">
        <v>0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38</v>
      </c>
      <c r="L30" s="7" t="s">
        <v>46</v>
      </c>
      <c r="M30" s="7" t="s">
        <v>42</v>
      </c>
      <c r="N30" s="7" t="s">
        <v>42</v>
      </c>
      <c r="O30" s="7" t="s">
        <v>43</v>
      </c>
      <c r="Q30" s="7">
        <v>5</v>
      </c>
      <c r="R30" s="7">
        <v>12</v>
      </c>
      <c r="S30" s="7">
        <v>9</v>
      </c>
      <c r="T30" s="7">
        <v>9</v>
      </c>
      <c r="U30" s="7">
        <v>10</v>
      </c>
      <c r="W30" s="4">
        <v>0</v>
      </c>
      <c r="X30" s="4">
        <v>0</v>
      </c>
      <c r="Y30" s="4">
        <v>0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41</v>
      </c>
      <c r="L31" s="7" t="s">
        <v>52</v>
      </c>
      <c r="M31" s="7" t="s">
        <v>43</v>
      </c>
      <c r="N31" s="7" t="s">
        <v>41</v>
      </c>
      <c r="O31" s="7" t="s">
        <v>40</v>
      </c>
      <c r="Q31" s="7">
        <v>8</v>
      </c>
      <c r="R31" s="7">
        <v>15</v>
      </c>
      <c r="S31" s="7">
        <v>10</v>
      </c>
      <c r="T31" s="7">
        <v>8</v>
      </c>
      <c r="U31" s="7">
        <v>7</v>
      </c>
      <c r="W31" s="4">
        <v>0</v>
      </c>
      <c r="X31" s="4">
        <v>0</v>
      </c>
      <c r="Y31" s="4">
        <v>0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40</v>
      </c>
      <c r="L32" s="7" t="s">
        <v>40</v>
      </c>
      <c r="M32" s="7" t="s">
        <v>42</v>
      </c>
      <c r="N32" s="7" t="s">
        <v>43</v>
      </c>
      <c r="O32" s="7" t="s">
        <v>40</v>
      </c>
      <c r="Q32" s="7">
        <v>7</v>
      </c>
      <c r="R32" s="7">
        <v>7</v>
      </c>
      <c r="S32" s="7">
        <v>9</v>
      </c>
      <c r="T32" s="7">
        <v>10</v>
      </c>
      <c r="U32" s="7">
        <v>7</v>
      </c>
      <c r="W32" s="4">
        <v>0</v>
      </c>
      <c r="X32" s="4">
        <v>0</v>
      </c>
      <c r="Y32" s="4">
        <v>0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41</v>
      </c>
      <c r="L33" s="7" t="s">
        <v>37</v>
      </c>
      <c r="M33" s="7" t="s">
        <v>43</v>
      </c>
      <c r="N33" s="7" t="s">
        <v>58</v>
      </c>
      <c r="O33" s="7" t="s">
        <v>39</v>
      </c>
      <c r="Q33" s="7">
        <v>8</v>
      </c>
      <c r="R33" s="7">
        <v>4</v>
      </c>
      <c r="S33" s="7">
        <v>10</v>
      </c>
      <c r="T33" s="7">
        <v>18</v>
      </c>
      <c r="U33" s="7">
        <v>6</v>
      </c>
      <c r="W33" s="4">
        <v>0</v>
      </c>
      <c r="X33" s="4">
        <v>0</v>
      </c>
      <c r="Y33" s="4">
        <v>0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39</v>
      </c>
      <c r="L34" s="7" t="s">
        <v>42</v>
      </c>
      <c r="M34" s="7" t="s">
        <v>43</v>
      </c>
      <c r="N34" s="7" t="s">
        <v>41</v>
      </c>
      <c r="O34" s="7" t="s">
        <v>41</v>
      </c>
      <c r="Q34" s="7">
        <v>6</v>
      </c>
      <c r="R34" s="7">
        <v>9</v>
      </c>
      <c r="S34" s="7">
        <v>10</v>
      </c>
      <c r="T34" s="7">
        <v>8</v>
      </c>
      <c r="U34" s="7">
        <v>8</v>
      </c>
      <c r="W34" s="4">
        <v>0</v>
      </c>
      <c r="X34" s="4">
        <v>0</v>
      </c>
      <c r="Y34" s="4">
        <v>0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41</v>
      </c>
      <c r="L35" s="7" t="s">
        <v>40</v>
      </c>
      <c r="M35" s="7" t="s">
        <v>36</v>
      </c>
      <c r="N35" s="7" t="s">
        <v>38</v>
      </c>
      <c r="O35" s="7" t="s">
        <v>37</v>
      </c>
      <c r="Q35" s="7">
        <v>8</v>
      </c>
      <c r="R35" s="7">
        <v>7</v>
      </c>
      <c r="S35" s="7">
        <v>3</v>
      </c>
      <c r="T35" s="7">
        <v>5</v>
      </c>
      <c r="U35" s="7">
        <v>4</v>
      </c>
      <c r="W35" s="4">
        <v>0</v>
      </c>
      <c r="X35" s="4">
        <v>0</v>
      </c>
      <c r="Y35" s="4">
        <v>0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39</v>
      </c>
      <c r="L36" s="7" t="s">
        <v>39</v>
      </c>
      <c r="M36" s="7" t="s">
        <v>42</v>
      </c>
      <c r="N36" s="7" t="s">
        <v>42</v>
      </c>
      <c r="O36" s="7" t="s">
        <v>38</v>
      </c>
      <c r="Q36" s="7">
        <v>6</v>
      </c>
      <c r="R36" s="7">
        <v>6</v>
      </c>
      <c r="S36" s="7">
        <v>9</v>
      </c>
      <c r="T36" s="7">
        <v>9</v>
      </c>
      <c r="U36" s="7">
        <v>5</v>
      </c>
      <c r="W36" s="4">
        <v>0</v>
      </c>
      <c r="X36" s="4">
        <v>0</v>
      </c>
      <c r="Y36" s="4">
        <v>0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40</v>
      </c>
      <c r="L37" s="7" t="s">
        <v>36</v>
      </c>
      <c r="M37" s="7" t="s">
        <v>38</v>
      </c>
      <c r="N37" s="7" t="s">
        <v>40</v>
      </c>
      <c r="O37" s="7" t="s">
        <v>41</v>
      </c>
      <c r="Q37" s="7">
        <v>7</v>
      </c>
      <c r="R37" s="7">
        <v>3</v>
      </c>
      <c r="S37" s="7">
        <v>5</v>
      </c>
      <c r="T37" s="7">
        <v>7</v>
      </c>
      <c r="U37" s="7">
        <v>8</v>
      </c>
      <c r="W37" s="4">
        <v>0</v>
      </c>
      <c r="X37" s="4">
        <v>0</v>
      </c>
      <c r="Y37" s="4">
        <v>0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39</v>
      </c>
      <c r="L38" s="7" t="s">
        <v>36</v>
      </c>
      <c r="M38" s="7" t="s">
        <v>42</v>
      </c>
      <c r="N38" s="7" t="s">
        <v>43</v>
      </c>
      <c r="O38" s="7" t="s">
        <v>40</v>
      </c>
      <c r="Q38" s="7">
        <v>6</v>
      </c>
      <c r="R38" s="7">
        <v>3</v>
      </c>
      <c r="S38" s="7">
        <v>9</v>
      </c>
      <c r="T38" s="7">
        <v>10</v>
      </c>
      <c r="U38" s="7">
        <v>7</v>
      </c>
      <c r="W38" s="4">
        <v>0</v>
      </c>
      <c r="X38" s="4">
        <v>0</v>
      </c>
      <c r="Y38" s="4">
        <v>0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43</v>
      </c>
      <c r="L39" s="7" t="s">
        <v>37</v>
      </c>
      <c r="M39" s="7" t="s">
        <v>43</v>
      </c>
      <c r="N39" s="7" t="s">
        <v>42</v>
      </c>
      <c r="O39" s="7" t="s">
        <v>43</v>
      </c>
      <c r="Q39" s="7">
        <v>10</v>
      </c>
      <c r="R39" s="7">
        <v>4</v>
      </c>
      <c r="S39" s="7">
        <v>10</v>
      </c>
      <c r="T39" s="7">
        <v>9</v>
      </c>
      <c r="U39" s="7">
        <v>10</v>
      </c>
      <c r="W39" s="4">
        <v>0</v>
      </c>
      <c r="X39" s="4">
        <v>0</v>
      </c>
      <c r="Y39" s="4">
        <v>0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36</v>
      </c>
      <c r="L40" s="7" t="s">
        <v>37</v>
      </c>
      <c r="M40" s="7" t="s">
        <v>43</v>
      </c>
      <c r="N40" s="7" t="s">
        <v>41</v>
      </c>
      <c r="O40" s="7" t="s">
        <v>36</v>
      </c>
      <c r="Q40" s="7">
        <v>3</v>
      </c>
      <c r="R40" s="7">
        <v>4</v>
      </c>
      <c r="S40" s="7">
        <v>10</v>
      </c>
      <c r="T40" s="7">
        <v>8</v>
      </c>
      <c r="U40" s="7">
        <v>3</v>
      </c>
      <c r="W40" s="4">
        <v>0</v>
      </c>
      <c r="X40" s="4">
        <v>0</v>
      </c>
      <c r="Y40" s="4">
        <v>0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41</v>
      </c>
      <c r="L41" s="7" t="s">
        <v>40</v>
      </c>
      <c r="M41" s="7" t="s">
        <v>38</v>
      </c>
      <c r="N41" s="7" t="s">
        <v>43</v>
      </c>
      <c r="O41" s="7" t="s">
        <v>39</v>
      </c>
      <c r="Q41" s="7">
        <v>8</v>
      </c>
      <c r="R41" s="7">
        <v>7</v>
      </c>
      <c r="S41" s="7">
        <v>5</v>
      </c>
      <c r="T41" s="7">
        <v>10</v>
      </c>
      <c r="U41" s="7">
        <v>6</v>
      </c>
      <c r="W41" s="4">
        <v>0</v>
      </c>
      <c r="X41" s="4">
        <v>0</v>
      </c>
      <c r="Y41" s="4">
        <v>0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41</v>
      </c>
      <c r="L42" s="7" t="s">
        <v>40</v>
      </c>
      <c r="M42" s="7" t="s">
        <v>42</v>
      </c>
      <c r="N42" s="7" t="s">
        <v>52</v>
      </c>
      <c r="O42" s="7" t="s">
        <v>39</v>
      </c>
      <c r="Q42" s="7">
        <v>8</v>
      </c>
      <c r="R42" s="7">
        <v>7</v>
      </c>
      <c r="S42" s="7">
        <v>9</v>
      </c>
      <c r="T42" s="7">
        <v>15</v>
      </c>
      <c r="U42" s="7">
        <v>6</v>
      </c>
      <c r="W42" s="4">
        <v>0</v>
      </c>
      <c r="X42" s="4">
        <v>0</v>
      </c>
      <c r="Y42" s="4">
        <v>0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40</v>
      </c>
      <c r="L43" s="7" t="s">
        <v>42</v>
      </c>
      <c r="M43" s="7" t="s">
        <v>58</v>
      </c>
      <c r="N43" s="7" t="s">
        <v>38</v>
      </c>
      <c r="O43" s="7" t="s">
        <v>37</v>
      </c>
      <c r="Q43" s="7">
        <v>7</v>
      </c>
      <c r="R43" s="7">
        <v>9</v>
      </c>
      <c r="S43" s="7">
        <v>18</v>
      </c>
      <c r="T43" s="7">
        <v>5</v>
      </c>
      <c r="U43" s="7">
        <v>4</v>
      </c>
      <c r="W43" s="4">
        <v>0</v>
      </c>
      <c r="X43" s="4">
        <v>0</v>
      </c>
      <c r="Y43" s="4">
        <v>0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43</v>
      </c>
      <c r="L44" s="7" t="s">
        <v>40</v>
      </c>
      <c r="M44" s="7" t="s">
        <v>42</v>
      </c>
      <c r="N44" s="7" t="s">
        <v>41</v>
      </c>
      <c r="O44" s="7" t="s">
        <v>39</v>
      </c>
      <c r="Q44" s="7">
        <v>10</v>
      </c>
      <c r="R44" s="7">
        <v>7</v>
      </c>
      <c r="S44" s="7">
        <v>9</v>
      </c>
      <c r="T44" s="7">
        <v>8</v>
      </c>
      <c r="U44" s="7">
        <v>6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40</v>
      </c>
      <c r="L45" s="7" t="s">
        <v>37</v>
      </c>
      <c r="M45" s="7" t="s">
        <v>43</v>
      </c>
      <c r="N45" s="7" t="s">
        <v>38</v>
      </c>
      <c r="O45" s="7" t="s">
        <v>40</v>
      </c>
      <c r="Q45" s="7">
        <v>7</v>
      </c>
      <c r="R45" s="7">
        <v>4</v>
      </c>
      <c r="S45" s="7">
        <v>10</v>
      </c>
      <c r="T45" s="7">
        <v>5</v>
      </c>
      <c r="U45" s="7">
        <v>7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40</v>
      </c>
      <c r="L46" s="7" t="s">
        <v>41</v>
      </c>
      <c r="M46" s="7" t="s">
        <v>43</v>
      </c>
      <c r="N46" s="7" t="s">
        <v>39</v>
      </c>
      <c r="O46" s="7" t="s">
        <v>40</v>
      </c>
      <c r="Q46" s="7">
        <v>7</v>
      </c>
      <c r="R46" s="7">
        <v>8</v>
      </c>
      <c r="S46" s="7">
        <v>10</v>
      </c>
      <c r="T46" s="7">
        <v>6</v>
      </c>
      <c r="U46" s="7">
        <v>7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34</v>
      </c>
      <c r="L47" s="7" t="s">
        <v>34</v>
      </c>
      <c r="M47" s="7" t="s">
        <v>34</v>
      </c>
      <c r="N47" s="7" t="s">
        <v>40</v>
      </c>
      <c r="O47" s="7" t="s">
        <v>38</v>
      </c>
      <c r="Q47" s="7">
        <v>2</v>
      </c>
      <c r="R47" s="7">
        <v>2</v>
      </c>
      <c r="S47" s="7">
        <v>2</v>
      </c>
      <c r="T47" s="7">
        <v>7</v>
      </c>
      <c r="U47" s="7">
        <v>5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40</v>
      </c>
      <c r="L48" s="7" t="s">
        <v>39</v>
      </c>
      <c r="M48" s="7" t="s">
        <v>38</v>
      </c>
      <c r="N48" s="7" t="s">
        <v>39</v>
      </c>
      <c r="O48" s="7" t="s">
        <v>43</v>
      </c>
      <c r="Q48" s="7">
        <v>7</v>
      </c>
      <c r="R48" s="7">
        <v>6</v>
      </c>
      <c r="S48" s="7">
        <v>5</v>
      </c>
      <c r="T48" s="7">
        <v>6</v>
      </c>
      <c r="U48" s="7">
        <v>10</v>
      </c>
      <c r="W48" s="4">
        <v>0</v>
      </c>
      <c r="X48" s="4">
        <v>0</v>
      </c>
      <c r="Y48" s="4">
        <v>0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43</v>
      </c>
      <c r="L49" s="7" t="s">
        <v>39</v>
      </c>
      <c r="M49" s="7" t="s">
        <v>43</v>
      </c>
      <c r="N49" s="7" t="s">
        <v>42</v>
      </c>
      <c r="O49" s="7" t="s">
        <v>37</v>
      </c>
      <c r="Q49" s="7">
        <v>10</v>
      </c>
      <c r="R49" s="7">
        <v>6</v>
      </c>
      <c r="S49" s="7">
        <v>10</v>
      </c>
      <c r="T49" s="7">
        <v>9</v>
      </c>
      <c r="U49" s="7">
        <v>4</v>
      </c>
      <c r="W49" s="4">
        <v>0</v>
      </c>
      <c r="X49" s="4">
        <v>0</v>
      </c>
      <c r="Y49" s="4">
        <v>0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40</v>
      </c>
      <c r="L50" s="7" t="s">
        <v>40</v>
      </c>
      <c r="M50" s="7" t="s">
        <v>42</v>
      </c>
      <c r="N50" s="7" t="s">
        <v>44</v>
      </c>
      <c r="O50" s="7" t="s">
        <v>43</v>
      </c>
      <c r="Q50" s="7">
        <v>7</v>
      </c>
      <c r="R50" s="7">
        <v>7</v>
      </c>
      <c r="S50" s="7">
        <v>9</v>
      </c>
      <c r="T50" s="7">
        <v>11</v>
      </c>
      <c r="U50" s="7">
        <v>10</v>
      </c>
      <c r="W50" s="4">
        <v>0</v>
      </c>
      <c r="X50" s="4">
        <v>0</v>
      </c>
      <c r="Y50" s="4">
        <v>0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43</v>
      </c>
      <c r="L51" s="7" t="s">
        <v>40</v>
      </c>
      <c r="M51" s="7" t="s">
        <v>43</v>
      </c>
      <c r="N51" s="7" t="s">
        <v>42</v>
      </c>
      <c r="O51" s="7" t="s">
        <v>41</v>
      </c>
      <c r="Q51" s="7">
        <v>10</v>
      </c>
      <c r="R51" s="7">
        <v>7</v>
      </c>
      <c r="S51" s="7">
        <v>10</v>
      </c>
      <c r="T51" s="7">
        <v>9</v>
      </c>
      <c r="U51" s="7">
        <v>8</v>
      </c>
      <c r="W51" s="4">
        <v>0</v>
      </c>
      <c r="X51" s="4">
        <v>0</v>
      </c>
      <c r="Y51" s="4">
        <v>0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36</v>
      </c>
      <c r="L52" s="7" t="s">
        <v>37</v>
      </c>
      <c r="M52" s="7" t="s">
        <v>38</v>
      </c>
      <c r="N52" s="7" t="s">
        <v>42</v>
      </c>
      <c r="O52" s="7" t="s">
        <v>36</v>
      </c>
      <c r="Q52" s="7">
        <v>3</v>
      </c>
      <c r="R52" s="7">
        <v>4</v>
      </c>
      <c r="S52" s="7">
        <v>5</v>
      </c>
      <c r="T52" s="7">
        <v>9</v>
      </c>
      <c r="U52" s="7">
        <v>3</v>
      </c>
      <c r="W52" s="4">
        <v>0</v>
      </c>
      <c r="X52" s="4">
        <v>0</v>
      </c>
      <c r="Y52" s="4">
        <v>0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41</v>
      </c>
      <c r="L53" s="7" t="s">
        <v>39</v>
      </c>
      <c r="M53" s="7" t="s">
        <v>42</v>
      </c>
      <c r="N53" s="7" t="s">
        <v>38</v>
      </c>
      <c r="O53" s="7" t="s">
        <v>40</v>
      </c>
      <c r="Q53" s="7">
        <v>8</v>
      </c>
      <c r="R53" s="7">
        <v>6</v>
      </c>
      <c r="S53" s="7">
        <v>9</v>
      </c>
      <c r="T53" s="7">
        <v>5</v>
      </c>
      <c r="U53" s="7">
        <v>7</v>
      </c>
      <c r="W53" s="4">
        <v>0</v>
      </c>
      <c r="X53" s="4">
        <v>0</v>
      </c>
      <c r="Y53" s="4">
        <v>0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43</v>
      </c>
      <c r="L54" s="7" t="s">
        <v>37</v>
      </c>
      <c r="M54" s="7" t="s">
        <v>38</v>
      </c>
      <c r="N54" s="7" t="s">
        <v>39</v>
      </c>
      <c r="O54" s="7" t="s">
        <v>38</v>
      </c>
      <c r="Q54" s="7">
        <v>10</v>
      </c>
      <c r="R54" s="7">
        <v>4</v>
      </c>
      <c r="S54" s="7">
        <v>5</v>
      </c>
      <c r="T54" s="7">
        <v>6</v>
      </c>
      <c r="U54" s="7">
        <v>5</v>
      </c>
      <c r="W54" s="4">
        <v>0</v>
      </c>
      <c r="X54" s="4">
        <v>0</v>
      </c>
      <c r="Y54" s="4">
        <v>0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43</v>
      </c>
      <c r="L55" s="7" t="s">
        <v>50</v>
      </c>
      <c r="M55" s="7" t="s">
        <v>42</v>
      </c>
      <c r="N55" s="7" t="s">
        <v>42</v>
      </c>
      <c r="O55" s="7" t="s">
        <v>38</v>
      </c>
      <c r="Q55" s="7">
        <v>10</v>
      </c>
      <c r="R55" s="7">
        <v>14</v>
      </c>
      <c r="S55" s="7">
        <v>9</v>
      </c>
      <c r="T55" s="7">
        <v>9</v>
      </c>
      <c r="U55" s="7">
        <v>5</v>
      </c>
      <c r="W55" s="4">
        <v>0</v>
      </c>
      <c r="X55" s="4">
        <v>0</v>
      </c>
      <c r="Y55" s="4">
        <v>0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43</v>
      </c>
      <c r="L56" s="7" t="s">
        <v>40</v>
      </c>
      <c r="M56" s="7" t="s">
        <v>42</v>
      </c>
      <c r="N56" s="7" t="s">
        <v>39</v>
      </c>
      <c r="O56" s="7" t="s">
        <v>39</v>
      </c>
      <c r="Q56" s="7">
        <v>10</v>
      </c>
      <c r="R56" s="7">
        <v>7</v>
      </c>
      <c r="S56" s="7">
        <v>9</v>
      </c>
      <c r="T56" s="7">
        <v>6</v>
      </c>
      <c r="U56" s="7">
        <v>6</v>
      </c>
      <c r="W56" s="4">
        <v>0</v>
      </c>
      <c r="X56" s="4">
        <v>0</v>
      </c>
      <c r="Y56" s="4">
        <v>0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36</v>
      </c>
      <c r="L57" s="7" t="s">
        <v>40</v>
      </c>
      <c r="M57" s="7" t="s">
        <v>46</v>
      </c>
      <c r="N57" s="7" t="s">
        <v>42</v>
      </c>
      <c r="O57" s="7" t="s">
        <v>41</v>
      </c>
      <c r="Q57" s="7">
        <v>3</v>
      </c>
      <c r="R57" s="7">
        <v>7</v>
      </c>
      <c r="S57" s="7">
        <v>12</v>
      </c>
      <c r="T57" s="7">
        <v>9</v>
      </c>
      <c r="U57" s="7">
        <v>8</v>
      </c>
      <c r="W57" s="4">
        <v>0</v>
      </c>
      <c r="X57" s="4">
        <v>0</v>
      </c>
      <c r="Y57" s="4">
        <v>0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41</v>
      </c>
      <c r="L58" s="7" t="s">
        <v>42</v>
      </c>
      <c r="M58" s="7" t="s">
        <v>43</v>
      </c>
      <c r="N58" s="7" t="s">
        <v>41</v>
      </c>
      <c r="O58" s="7" t="s">
        <v>38</v>
      </c>
      <c r="Q58" s="7">
        <v>8</v>
      </c>
      <c r="R58" s="7">
        <v>9</v>
      </c>
      <c r="S58" s="7">
        <v>10</v>
      </c>
      <c r="T58" s="7">
        <v>8</v>
      </c>
      <c r="U58" s="7">
        <v>5</v>
      </c>
      <c r="W58" s="4">
        <v>0</v>
      </c>
      <c r="X58" s="4">
        <v>0</v>
      </c>
      <c r="Y58" s="4">
        <v>0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41</v>
      </c>
      <c r="L59" s="7" t="s">
        <v>39</v>
      </c>
      <c r="M59" s="7" t="s">
        <v>38</v>
      </c>
      <c r="N59" s="7" t="s">
        <v>50</v>
      </c>
      <c r="O59" s="7" t="s">
        <v>43</v>
      </c>
      <c r="Q59" s="7">
        <v>8</v>
      </c>
      <c r="R59" s="7">
        <v>6</v>
      </c>
      <c r="S59" s="7">
        <v>5</v>
      </c>
      <c r="T59" s="7">
        <v>14</v>
      </c>
      <c r="U59" s="7">
        <v>10</v>
      </c>
      <c r="W59" s="4">
        <v>0</v>
      </c>
      <c r="X59" s="4">
        <v>0</v>
      </c>
      <c r="Y59" s="4">
        <v>0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43</v>
      </c>
      <c r="L60" s="7" t="s">
        <v>36</v>
      </c>
      <c r="M60" s="7" t="s">
        <v>58</v>
      </c>
      <c r="N60" s="7" t="s">
        <v>39</v>
      </c>
      <c r="O60" s="7" t="s">
        <v>40</v>
      </c>
      <c r="Q60" s="7">
        <v>10</v>
      </c>
      <c r="R60" s="7">
        <v>3</v>
      </c>
      <c r="S60" s="7">
        <v>18</v>
      </c>
      <c r="T60" s="7">
        <v>6</v>
      </c>
      <c r="U60" s="7">
        <v>7</v>
      </c>
      <c r="W60" s="4">
        <v>0</v>
      </c>
      <c r="X60" s="4">
        <v>0</v>
      </c>
      <c r="Y60" s="4">
        <v>0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36</v>
      </c>
      <c r="L61" s="7" t="s">
        <v>37</v>
      </c>
      <c r="M61" s="7" t="s">
        <v>42</v>
      </c>
      <c r="N61" s="7" t="s">
        <v>50</v>
      </c>
      <c r="O61" s="7" t="s">
        <v>36</v>
      </c>
      <c r="Q61" s="7">
        <v>3</v>
      </c>
      <c r="R61" s="7">
        <v>4</v>
      </c>
      <c r="S61" s="7">
        <v>9</v>
      </c>
      <c r="T61" s="7">
        <v>14</v>
      </c>
      <c r="U61" s="7">
        <v>3</v>
      </c>
      <c r="W61" s="4">
        <v>0</v>
      </c>
      <c r="X61" s="4">
        <v>0</v>
      </c>
      <c r="Y61" s="4">
        <v>0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43</v>
      </c>
      <c r="L62" s="7" t="s">
        <v>52</v>
      </c>
      <c r="M62" s="7" t="s">
        <v>42</v>
      </c>
      <c r="N62" s="7" t="s">
        <v>58</v>
      </c>
      <c r="O62" s="7" t="s">
        <v>39</v>
      </c>
      <c r="Q62" s="7">
        <v>10</v>
      </c>
      <c r="R62" s="7">
        <v>15</v>
      </c>
      <c r="S62" s="7">
        <v>9</v>
      </c>
      <c r="T62" s="7">
        <v>18</v>
      </c>
      <c r="U62" s="7">
        <v>6</v>
      </c>
      <c r="W62" s="4">
        <v>0</v>
      </c>
      <c r="X62" s="4">
        <v>0</v>
      </c>
      <c r="Y62" s="4">
        <v>0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40</v>
      </c>
      <c r="L63" s="7" t="s">
        <v>37</v>
      </c>
      <c r="M63" s="7" t="s">
        <v>38</v>
      </c>
      <c r="N63" s="7" t="s">
        <v>40</v>
      </c>
      <c r="O63" s="7" t="s">
        <v>40</v>
      </c>
      <c r="Q63" s="7">
        <v>7</v>
      </c>
      <c r="R63" s="7">
        <v>4</v>
      </c>
      <c r="S63" s="7">
        <v>5</v>
      </c>
      <c r="T63" s="7">
        <v>7</v>
      </c>
      <c r="U63" s="7">
        <v>7</v>
      </c>
      <c r="W63" s="4">
        <v>0</v>
      </c>
      <c r="X63" s="4">
        <v>0</v>
      </c>
      <c r="Y63" s="4">
        <v>0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43</v>
      </c>
      <c r="L64" s="7" t="s">
        <v>36</v>
      </c>
      <c r="M64" s="7" t="s">
        <v>48</v>
      </c>
      <c r="N64" s="7" t="s">
        <v>39</v>
      </c>
      <c r="O64" s="7" t="s">
        <v>36</v>
      </c>
      <c r="Q64" s="7">
        <v>10</v>
      </c>
      <c r="R64" s="7">
        <v>3</v>
      </c>
      <c r="S64" s="7">
        <v>13</v>
      </c>
      <c r="T64" s="7">
        <v>6</v>
      </c>
      <c r="U64" s="7">
        <v>3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36</v>
      </c>
      <c r="M65" s="7" t="s">
        <v>42</v>
      </c>
      <c r="N65" s="7" t="s">
        <v>58</v>
      </c>
      <c r="O65" s="7" t="s">
        <v>40</v>
      </c>
      <c r="Q65" s="7">
        <v>7</v>
      </c>
      <c r="R65" s="7">
        <v>3</v>
      </c>
      <c r="S65" s="7">
        <v>9</v>
      </c>
      <c r="T65" s="7">
        <v>18</v>
      </c>
      <c r="U65" s="7">
        <v>7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36</v>
      </c>
      <c r="L66" s="7" t="s">
        <v>40</v>
      </c>
      <c r="M66" s="7" t="s">
        <v>38</v>
      </c>
      <c r="N66" s="7" t="s">
        <v>54</v>
      </c>
      <c r="O66" s="7" t="s">
        <v>36</v>
      </c>
      <c r="Q66" s="7">
        <v>3</v>
      </c>
      <c r="R66" s="7">
        <v>7</v>
      </c>
      <c r="S66" s="7">
        <v>5</v>
      </c>
      <c r="T66" s="7">
        <v>16</v>
      </c>
      <c r="U66" s="7">
        <v>3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34</v>
      </c>
      <c r="L67" s="7" t="s">
        <v>34</v>
      </c>
      <c r="M67" s="7" t="s">
        <v>34</v>
      </c>
      <c r="N67" s="7" t="s">
        <v>41</v>
      </c>
      <c r="O67" s="7" t="s">
        <v>36</v>
      </c>
      <c r="Q67" s="7">
        <v>2</v>
      </c>
      <c r="R67" s="7">
        <v>2</v>
      </c>
      <c r="S67" s="7">
        <v>2</v>
      </c>
      <c r="T67" s="7">
        <v>8</v>
      </c>
      <c r="U67" s="7">
        <v>3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40</v>
      </c>
      <c r="L68" s="7" t="s">
        <v>39</v>
      </c>
      <c r="M68" s="7" t="s">
        <v>38</v>
      </c>
      <c r="N68" s="7" t="s">
        <v>39</v>
      </c>
      <c r="O68" s="7" t="s">
        <v>38</v>
      </c>
      <c r="Q68" s="7">
        <v>7</v>
      </c>
      <c r="R68" s="7">
        <v>6</v>
      </c>
      <c r="S68" s="7">
        <v>5</v>
      </c>
      <c r="T68" s="7">
        <v>6</v>
      </c>
      <c r="U68" s="7">
        <v>5</v>
      </c>
      <c r="W68" s="4">
        <v>0</v>
      </c>
      <c r="X68" s="4">
        <v>0</v>
      </c>
      <c r="Y68" s="4">
        <v>0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40</v>
      </c>
      <c r="L69" s="7" t="s">
        <v>37</v>
      </c>
      <c r="M69" s="7" t="s">
        <v>43</v>
      </c>
      <c r="N69" s="7" t="s">
        <v>39</v>
      </c>
      <c r="O69" s="7" t="s">
        <v>36</v>
      </c>
      <c r="Q69" s="7">
        <v>7</v>
      </c>
      <c r="R69" s="7">
        <v>4</v>
      </c>
      <c r="S69" s="7">
        <v>10</v>
      </c>
      <c r="T69" s="7">
        <v>6</v>
      </c>
      <c r="U69" s="7">
        <v>3</v>
      </c>
      <c r="W69" s="4">
        <v>0</v>
      </c>
      <c r="X69" s="4">
        <v>0</v>
      </c>
      <c r="Y69" s="4">
        <v>0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40</v>
      </c>
      <c r="M70" s="7" t="s">
        <v>43</v>
      </c>
      <c r="N70" s="7" t="s">
        <v>41</v>
      </c>
      <c r="O70" s="7" t="s">
        <v>37</v>
      </c>
      <c r="Q70" s="7">
        <v>10</v>
      </c>
      <c r="R70" s="7">
        <v>7</v>
      </c>
      <c r="S70" s="7">
        <v>10</v>
      </c>
      <c r="T70" s="7">
        <v>8</v>
      </c>
      <c r="U70" s="7">
        <v>4</v>
      </c>
      <c r="W70" s="4">
        <v>0</v>
      </c>
      <c r="X70" s="4">
        <v>0</v>
      </c>
      <c r="Y70" s="4">
        <v>0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43</v>
      </c>
      <c r="L71" s="7" t="s">
        <v>37</v>
      </c>
      <c r="M71" s="7" t="s">
        <v>43</v>
      </c>
      <c r="N71" s="7" t="s">
        <v>43</v>
      </c>
      <c r="O71" s="7" t="s">
        <v>41</v>
      </c>
      <c r="Q71" s="7">
        <v>10</v>
      </c>
      <c r="R71" s="7">
        <v>4</v>
      </c>
      <c r="S71" s="7">
        <v>10</v>
      </c>
      <c r="T71" s="7">
        <v>10</v>
      </c>
      <c r="U71" s="7">
        <v>8</v>
      </c>
      <c r="W71" s="4">
        <v>0</v>
      </c>
      <c r="X71" s="4">
        <v>0</v>
      </c>
      <c r="Y71" s="4">
        <v>0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36</v>
      </c>
      <c r="L72" s="7" t="s">
        <v>41</v>
      </c>
      <c r="M72" s="7" t="s">
        <v>42</v>
      </c>
      <c r="N72" s="7" t="s">
        <v>42</v>
      </c>
      <c r="O72" s="7" t="s">
        <v>37</v>
      </c>
      <c r="Q72" s="7">
        <v>3</v>
      </c>
      <c r="R72" s="7">
        <v>8</v>
      </c>
      <c r="S72" s="7">
        <v>9</v>
      </c>
      <c r="T72" s="7">
        <v>9</v>
      </c>
      <c r="U72" s="7">
        <v>4</v>
      </c>
      <c r="W72" s="4">
        <v>0</v>
      </c>
      <c r="X72" s="4">
        <v>0</v>
      </c>
      <c r="Y72" s="4">
        <v>0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40</v>
      </c>
      <c r="L73" s="7" t="s">
        <v>37</v>
      </c>
      <c r="M73" s="7" t="s">
        <v>43</v>
      </c>
      <c r="N73" s="7" t="s">
        <v>39</v>
      </c>
      <c r="O73" s="7" t="s">
        <v>40</v>
      </c>
      <c r="Q73" s="7">
        <v>7</v>
      </c>
      <c r="R73" s="7">
        <v>4</v>
      </c>
      <c r="S73" s="7">
        <v>10</v>
      </c>
      <c r="T73" s="7">
        <v>6</v>
      </c>
      <c r="U73" s="7">
        <v>7</v>
      </c>
      <c r="W73" s="4">
        <v>0</v>
      </c>
      <c r="X73" s="4">
        <v>0</v>
      </c>
      <c r="Y73" s="4">
        <v>0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43</v>
      </c>
      <c r="L74" s="7" t="s">
        <v>37</v>
      </c>
      <c r="M74" s="7" t="s">
        <v>42</v>
      </c>
      <c r="N74" s="7" t="s">
        <v>42</v>
      </c>
      <c r="O74" s="7" t="s">
        <v>40</v>
      </c>
      <c r="Q74" s="7">
        <v>10</v>
      </c>
      <c r="R74" s="7">
        <v>4</v>
      </c>
      <c r="S74" s="7">
        <v>9</v>
      </c>
      <c r="T74" s="7">
        <v>9</v>
      </c>
      <c r="U74" s="7">
        <v>7</v>
      </c>
      <c r="W74" s="4">
        <v>0</v>
      </c>
      <c r="X74" s="4">
        <v>0</v>
      </c>
      <c r="Y74" s="4">
        <v>0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40</v>
      </c>
      <c r="L75" s="7" t="s">
        <v>37</v>
      </c>
      <c r="M75" s="7" t="s">
        <v>42</v>
      </c>
      <c r="N75" s="7" t="s">
        <v>40</v>
      </c>
      <c r="O75" s="7" t="s">
        <v>42</v>
      </c>
      <c r="Q75" s="7">
        <v>7</v>
      </c>
      <c r="R75" s="7">
        <v>4</v>
      </c>
      <c r="S75" s="7">
        <v>9</v>
      </c>
      <c r="T75" s="7">
        <v>7</v>
      </c>
      <c r="U75" s="7">
        <v>9</v>
      </c>
      <c r="W75" s="4">
        <v>0</v>
      </c>
      <c r="X75" s="4">
        <v>0</v>
      </c>
      <c r="Y75" s="4">
        <v>0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43</v>
      </c>
      <c r="L76" s="7" t="s">
        <v>40</v>
      </c>
      <c r="M76" s="7" t="s">
        <v>38</v>
      </c>
      <c r="N76" s="7" t="s">
        <v>41</v>
      </c>
      <c r="O76" s="7" t="s">
        <v>42</v>
      </c>
      <c r="Q76" s="7">
        <v>10</v>
      </c>
      <c r="R76" s="7">
        <v>7</v>
      </c>
      <c r="S76" s="7">
        <v>5</v>
      </c>
      <c r="T76" s="7">
        <v>8</v>
      </c>
      <c r="U76" s="7">
        <v>9</v>
      </c>
      <c r="W76" s="4">
        <v>0</v>
      </c>
      <c r="X76" s="4">
        <v>0</v>
      </c>
      <c r="Y76" s="4">
        <v>0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40</v>
      </c>
      <c r="L77" s="7" t="s">
        <v>39</v>
      </c>
      <c r="M77" s="7" t="s">
        <v>42</v>
      </c>
      <c r="N77" s="7" t="s">
        <v>39</v>
      </c>
      <c r="O77" s="7" t="s">
        <v>38</v>
      </c>
      <c r="Q77" s="7">
        <v>7</v>
      </c>
      <c r="R77" s="7">
        <v>6</v>
      </c>
      <c r="S77" s="7">
        <v>9</v>
      </c>
      <c r="T77" s="7">
        <v>6</v>
      </c>
      <c r="U77" s="7">
        <v>5</v>
      </c>
      <c r="W77" s="4">
        <v>0</v>
      </c>
      <c r="X77" s="4">
        <v>0</v>
      </c>
      <c r="Y77" s="4">
        <v>0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39</v>
      </c>
      <c r="L78" s="7" t="s">
        <v>37</v>
      </c>
      <c r="M78" s="7" t="s">
        <v>38</v>
      </c>
      <c r="N78" s="7" t="s">
        <v>58</v>
      </c>
      <c r="O78" s="7" t="s">
        <v>36</v>
      </c>
      <c r="Q78" s="7">
        <v>6</v>
      </c>
      <c r="R78" s="7">
        <v>4</v>
      </c>
      <c r="S78" s="7">
        <v>5</v>
      </c>
      <c r="T78" s="7">
        <v>18</v>
      </c>
      <c r="U78" s="7">
        <v>3</v>
      </c>
      <c r="W78" s="4">
        <v>0</v>
      </c>
      <c r="X78" s="4">
        <v>0</v>
      </c>
      <c r="Y78" s="4">
        <v>0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41</v>
      </c>
      <c r="L79" s="7" t="s">
        <v>42</v>
      </c>
      <c r="M79" s="7" t="s">
        <v>41</v>
      </c>
      <c r="N79" s="7" t="s">
        <v>41</v>
      </c>
      <c r="O79" s="7" t="s">
        <v>41</v>
      </c>
      <c r="Q79" s="7">
        <v>8</v>
      </c>
      <c r="R79" s="7">
        <v>9</v>
      </c>
      <c r="S79" s="7">
        <v>8</v>
      </c>
      <c r="T79" s="7">
        <v>8</v>
      </c>
      <c r="U79" s="7">
        <v>8</v>
      </c>
      <c r="W79" s="4">
        <v>0</v>
      </c>
      <c r="X79" s="4">
        <v>0</v>
      </c>
      <c r="Y79" s="4">
        <v>0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43</v>
      </c>
      <c r="L80" s="7" t="s">
        <v>36</v>
      </c>
      <c r="M80" s="7" t="s">
        <v>43</v>
      </c>
      <c r="N80" s="7" t="s">
        <v>38</v>
      </c>
      <c r="O80" s="7" t="s">
        <v>37</v>
      </c>
      <c r="Q80" s="7">
        <v>10</v>
      </c>
      <c r="R80" s="7">
        <v>3</v>
      </c>
      <c r="S80" s="7">
        <v>10</v>
      </c>
      <c r="T80" s="7">
        <v>5</v>
      </c>
      <c r="U80" s="7">
        <v>4</v>
      </c>
      <c r="W80" s="4">
        <v>0</v>
      </c>
      <c r="X80" s="4">
        <v>0</v>
      </c>
      <c r="Y80" s="4">
        <v>0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43</v>
      </c>
      <c r="L81" s="7" t="s">
        <v>37</v>
      </c>
      <c r="M81" s="7" t="s">
        <v>39</v>
      </c>
      <c r="N81" s="7" t="s">
        <v>38</v>
      </c>
      <c r="O81" s="7" t="s">
        <v>42</v>
      </c>
      <c r="Q81" s="7">
        <v>10</v>
      </c>
      <c r="R81" s="7">
        <v>4</v>
      </c>
      <c r="S81" s="7">
        <v>6</v>
      </c>
      <c r="T81" s="7">
        <v>5</v>
      </c>
      <c r="U81" s="7">
        <v>9</v>
      </c>
      <c r="W81" s="4">
        <v>0</v>
      </c>
      <c r="X81" s="4">
        <v>0</v>
      </c>
      <c r="Y81" s="4">
        <v>0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40</v>
      </c>
      <c r="M82" s="7" t="s">
        <v>43</v>
      </c>
      <c r="N82" s="7" t="s">
        <v>42</v>
      </c>
      <c r="O82" s="7" t="s">
        <v>37</v>
      </c>
      <c r="Q82" s="7">
        <v>10</v>
      </c>
      <c r="R82" s="7">
        <v>7</v>
      </c>
      <c r="S82" s="7">
        <v>10</v>
      </c>
      <c r="T82" s="7">
        <v>9</v>
      </c>
      <c r="U82" s="7">
        <v>4</v>
      </c>
      <c r="W82" s="4">
        <v>0</v>
      </c>
      <c r="X82" s="4">
        <v>0</v>
      </c>
      <c r="Y82" s="4">
        <v>0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41</v>
      </c>
      <c r="L83" s="7" t="s">
        <v>40</v>
      </c>
      <c r="M83" s="7" t="s">
        <v>43</v>
      </c>
      <c r="N83" s="7" t="s">
        <v>42</v>
      </c>
      <c r="O83" s="7" t="s">
        <v>42</v>
      </c>
      <c r="Q83" s="7">
        <v>8</v>
      </c>
      <c r="R83" s="7">
        <v>7</v>
      </c>
      <c r="S83" s="7">
        <v>10</v>
      </c>
      <c r="T83" s="7">
        <v>9</v>
      </c>
      <c r="U83" s="7">
        <v>9</v>
      </c>
      <c r="W83" s="4">
        <v>0</v>
      </c>
      <c r="X83" s="4">
        <v>0</v>
      </c>
      <c r="Y83" s="4">
        <v>0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40</v>
      </c>
      <c r="L84" s="7" t="s">
        <v>39</v>
      </c>
      <c r="M84" s="7" t="s">
        <v>58</v>
      </c>
      <c r="N84" s="7" t="s">
        <v>38</v>
      </c>
      <c r="O84" s="7" t="s">
        <v>40</v>
      </c>
      <c r="Q84" s="7">
        <v>7</v>
      </c>
      <c r="R84" s="7">
        <v>6</v>
      </c>
      <c r="S84" s="7">
        <v>18</v>
      </c>
      <c r="T84" s="7">
        <v>5</v>
      </c>
      <c r="U84" s="7">
        <v>7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36</v>
      </c>
      <c r="L85" s="7" t="s">
        <v>50</v>
      </c>
      <c r="M85" s="7" t="s">
        <v>43</v>
      </c>
      <c r="N85" s="7" t="s">
        <v>39</v>
      </c>
      <c r="O85" s="7" t="s">
        <v>43</v>
      </c>
      <c r="Q85" s="7">
        <v>3</v>
      </c>
      <c r="R85" s="7">
        <v>14</v>
      </c>
      <c r="S85" s="7">
        <v>10</v>
      </c>
      <c r="T85" s="7">
        <v>6</v>
      </c>
      <c r="U85" s="7">
        <v>10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40</v>
      </c>
      <c r="L86" s="7" t="s">
        <v>40</v>
      </c>
      <c r="M86" s="7" t="s">
        <v>42</v>
      </c>
      <c r="N86" s="7" t="s">
        <v>39</v>
      </c>
      <c r="O86" s="7" t="s">
        <v>38</v>
      </c>
      <c r="Q86" s="7">
        <v>7</v>
      </c>
      <c r="R86" s="7">
        <v>7</v>
      </c>
      <c r="S86" s="7">
        <v>9</v>
      </c>
      <c r="T86" s="7">
        <v>6</v>
      </c>
      <c r="U86" s="7">
        <v>5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34</v>
      </c>
      <c r="L87" s="7" t="s">
        <v>34</v>
      </c>
      <c r="M87" s="7" t="s">
        <v>34</v>
      </c>
      <c r="N87" s="7" t="s">
        <v>40</v>
      </c>
      <c r="O87" s="7" t="s">
        <v>38</v>
      </c>
      <c r="Q87" s="7">
        <v>2</v>
      </c>
      <c r="R87" s="7">
        <v>2</v>
      </c>
      <c r="S87" s="7">
        <v>2</v>
      </c>
      <c r="T87" s="7">
        <v>7</v>
      </c>
      <c r="U87" s="7">
        <v>5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39</v>
      </c>
      <c r="L88" s="7" t="s">
        <v>42</v>
      </c>
      <c r="M88" s="7" t="s">
        <v>43</v>
      </c>
      <c r="N88" s="7" t="s">
        <v>42</v>
      </c>
      <c r="O88" s="7" t="s">
        <v>36</v>
      </c>
      <c r="Q88" s="7">
        <v>6</v>
      </c>
      <c r="R88" s="7">
        <v>9</v>
      </c>
      <c r="S88" s="7">
        <v>10</v>
      </c>
      <c r="T88" s="7">
        <v>9</v>
      </c>
      <c r="U88" s="7">
        <v>3</v>
      </c>
      <c r="W88" s="4">
        <v>0</v>
      </c>
      <c r="X88" s="4">
        <v>0</v>
      </c>
      <c r="Y88" s="4">
        <v>0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41</v>
      </c>
      <c r="L89" s="7" t="s">
        <v>39</v>
      </c>
      <c r="M89" s="7" t="s">
        <v>38</v>
      </c>
      <c r="N89" s="7" t="s">
        <v>38</v>
      </c>
      <c r="O89" s="7" t="s">
        <v>37</v>
      </c>
      <c r="Q89" s="7">
        <v>8</v>
      </c>
      <c r="R89" s="7">
        <v>6</v>
      </c>
      <c r="S89" s="7">
        <v>5</v>
      </c>
      <c r="T89" s="7">
        <v>5</v>
      </c>
      <c r="U89" s="7">
        <v>4</v>
      </c>
      <c r="W89" s="4">
        <v>0</v>
      </c>
      <c r="X89" s="4">
        <v>0</v>
      </c>
      <c r="Y89" s="4">
        <v>0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43</v>
      </c>
      <c r="L90" s="7" t="s">
        <v>38</v>
      </c>
      <c r="M90" s="7" t="s">
        <v>43</v>
      </c>
      <c r="N90" s="7" t="s">
        <v>41</v>
      </c>
      <c r="O90" s="7" t="s">
        <v>42</v>
      </c>
      <c r="Q90" s="7">
        <v>10</v>
      </c>
      <c r="R90" s="7">
        <v>5</v>
      </c>
      <c r="S90" s="7">
        <v>10</v>
      </c>
      <c r="T90" s="7">
        <v>8</v>
      </c>
      <c r="U90" s="7">
        <v>9</v>
      </c>
      <c r="W90" s="4">
        <v>0</v>
      </c>
      <c r="X90" s="4">
        <v>0</v>
      </c>
      <c r="Y90" s="4">
        <v>0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40</v>
      </c>
      <c r="L91" s="7" t="s">
        <v>37</v>
      </c>
      <c r="M91" s="7" t="s">
        <v>42</v>
      </c>
      <c r="N91" s="7" t="s">
        <v>40</v>
      </c>
      <c r="O91" s="7" t="s">
        <v>39</v>
      </c>
      <c r="Q91" s="7">
        <v>7</v>
      </c>
      <c r="R91" s="7">
        <v>4</v>
      </c>
      <c r="S91" s="7">
        <v>9</v>
      </c>
      <c r="T91" s="7">
        <v>7</v>
      </c>
      <c r="U91" s="7">
        <v>6</v>
      </c>
      <c r="W91" s="4">
        <v>0</v>
      </c>
      <c r="X91" s="4">
        <v>0</v>
      </c>
      <c r="Y91" s="4">
        <v>0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38</v>
      </c>
      <c r="L92" s="7" t="s">
        <v>42</v>
      </c>
      <c r="M92" s="7" t="s">
        <v>38</v>
      </c>
      <c r="N92" s="7" t="s">
        <v>43</v>
      </c>
      <c r="O92" s="7" t="s">
        <v>42</v>
      </c>
      <c r="Q92" s="7">
        <v>5</v>
      </c>
      <c r="R92" s="7">
        <v>9</v>
      </c>
      <c r="S92" s="7">
        <v>5</v>
      </c>
      <c r="T92" s="7">
        <v>10</v>
      </c>
      <c r="U92" s="7">
        <v>9</v>
      </c>
      <c r="W92" s="4">
        <v>0</v>
      </c>
      <c r="X92" s="4">
        <v>0</v>
      </c>
      <c r="Y92" s="4">
        <v>0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41</v>
      </c>
      <c r="L93" s="7" t="s">
        <v>37</v>
      </c>
      <c r="M93" s="7" t="s">
        <v>42</v>
      </c>
      <c r="N93" s="7" t="s">
        <v>39</v>
      </c>
      <c r="O93" s="7" t="s">
        <v>36</v>
      </c>
      <c r="Q93" s="7">
        <v>8</v>
      </c>
      <c r="R93" s="7">
        <v>4</v>
      </c>
      <c r="S93" s="7">
        <v>9</v>
      </c>
      <c r="T93" s="7">
        <v>6</v>
      </c>
      <c r="U93" s="7">
        <v>3</v>
      </c>
      <c r="W93" s="4">
        <v>0</v>
      </c>
      <c r="X93" s="4">
        <v>0</v>
      </c>
      <c r="Y93" s="4">
        <v>0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43</v>
      </c>
      <c r="L94" s="7" t="s">
        <v>37</v>
      </c>
      <c r="M94" s="7" t="s">
        <v>42</v>
      </c>
      <c r="N94" s="7" t="s">
        <v>46</v>
      </c>
      <c r="O94" s="7" t="s">
        <v>37</v>
      </c>
      <c r="Q94" s="7">
        <v>10</v>
      </c>
      <c r="R94" s="7">
        <v>4</v>
      </c>
      <c r="S94" s="7">
        <v>9</v>
      </c>
      <c r="T94" s="7">
        <v>12</v>
      </c>
      <c r="U94" s="7">
        <v>4</v>
      </c>
      <c r="W94" s="4">
        <v>0</v>
      </c>
      <c r="X94" s="4">
        <v>0</v>
      </c>
      <c r="Y94" s="4">
        <v>0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40</v>
      </c>
      <c r="L95" s="7" t="s">
        <v>41</v>
      </c>
      <c r="M95" s="7" t="s">
        <v>38</v>
      </c>
      <c r="N95" s="7" t="s">
        <v>42</v>
      </c>
      <c r="O95" s="7" t="s">
        <v>37</v>
      </c>
      <c r="Q95" s="7">
        <v>7</v>
      </c>
      <c r="R95" s="7">
        <v>8</v>
      </c>
      <c r="S95" s="7">
        <v>5</v>
      </c>
      <c r="T95" s="7">
        <v>9</v>
      </c>
      <c r="U95" s="7">
        <v>4</v>
      </c>
      <c r="W95" s="4">
        <v>0</v>
      </c>
      <c r="X95" s="4">
        <v>0</v>
      </c>
      <c r="Y95" s="4">
        <v>0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41</v>
      </c>
      <c r="L96" s="7" t="s">
        <v>39</v>
      </c>
      <c r="M96" s="7" t="s">
        <v>39</v>
      </c>
      <c r="N96" s="7" t="s">
        <v>42</v>
      </c>
      <c r="O96" s="7" t="s">
        <v>40</v>
      </c>
      <c r="Q96" s="7">
        <v>8</v>
      </c>
      <c r="R96" s="7">
        <v>6</v>
      </c>
      <c r="S96" s="7">
        <v>6</v>
      </c>
      <c r="T96" s="7">
        <v>9</v>
      </c>
      <c r="U96" s="7">
        <v>7</v>
      </c>
      <c r="W96" s="4">
        <v>0</v>
      </c>
      <c r="X96" s="4">
        <v>0</v>
      </c>
      <c r="Y96" s="4">
        <v>0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52</v>
      </c>
      <c r="M97" s="7" t="s">
        <v>40</v>
      </c>
      <c r="N97" s="7" t="s">
        <v>42</v>
      </c>
      <c r="O97" s="7" t="s">
        <v>38</v>
      </c>
      <c r="Q97" s="7">
        <v>8</v>
      </c>
      <c r="R97" s="7">
        <v>15</v>
      </c>
      <c r="S97" s="7">
        <v>7</v>
      </c>
      <c r="T97" s="7">
        <v>9</v>
      </c>
      <c r="U97" s="7">
        <v>5</v>
      </c>
      <c r="W97" s="4">
        <v>0</v>
      </c>
      <c r="X97" s="4">
        <v>0</v>
      </c>
      <c r="Y97" s="4">
        <v>0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38</v>
      </c>
      <c r="L98" s="7" t="s">
        <v>40</v>
      </c>
      <c r="M98" s="7" t="s">
        <v>43</v>
      </c>
      <c r="N98" s="7" t="s">
        <v>43</v>
      </c>
      <c r="O98" s="7" t="s">
        <v>38</v>
      </c>
      <c r="Q98" s="7">
        <v>5</v>
      </c>
      <c r="R98" s="7">
        <v>7</v>
      </c>
      <c r="S98" s="7">
        <v>10</v>
      </c>
      <c r="T98" s="7">
        <v>10</v>
      </c>
      <c r="U98" s="7">
        <v>5</v>
      </c>
      <c r="W98" s="4">
        <v>0</v>
      </c>
      <c r="X98" s="4">
        <v>0</v>
      </c>
      <c r="Y98" s="4">
        <v>0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41</v>
      </c>
      <c r="L99" s="7" t="s">
        <v>39</v>
      </c>
      <c r="M99" s="7" t="s">
        <v>42</v>
      </c>
      <c r="N99" s="7" t="s">
        <v>39</v>
      </c>
      <c r="O99" s="7" t="s">
        <v>38</v>
      </c>
      <c r="Q99" s="7">
        <v>8</v>
      </c>
      <c r="R99" s="7">
        <v>6</v>
      </c>
      <c r="S99" s="7">
        <v>9</v>
      </c>
      <c r="T99" s="7">
        <v>6</v>
      </c>
      <c r="U99" s="7">
        <v>5</v>
      </c>
      <c r="W99" s="4">
        <v>0</v>
      </c>
      <c r="X99" s="4">
        <v>0</v>
      </c>
      <c r="Y99" s="4">
        <v>0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43</v>
      </c>
      <c r="L100" s="7" t="s">
        <v>42</v>
      </c>
      <c r="M100" s="7" t="s">
        <v>48</v>
      </c>
      <c r="N100" s="7" t="s">
        <v>43</v>
      </c>
      <c r="O100" s="7" t="s">
        <v>43</v>
      </c>
      <c r="Q100" s="7">
        <v>10</v>
      </c>
      <c r="R100" s="7">
        <v>9</v>
      </c>
      <c r="S100" s="7">
        <v>13</v>
      </c>
      <c r="T100" s="7">
        <v>10</v>
      </c>
      <c r="U100" s="7">
        <v>10</v>
      </c>
      <c r="W100" s="4">
        <v>0</v>
      </c>
      <c r="X100" s="4">
        <v>0</v>
      </c>
      <c r="Y100" s="4">
        <v>0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36</v>
      </c>
      <c r="M101" s="7" t="s">
        <v>52</v>
      </c>
      <c r="N101" s="7" t="s">
        <v>39</v>
      </c>
      <c r="O101" s="7" t="s">
        <v>39</v>
      </c>
      <c r="Q101" s="7">
        <v>10</v>
      </c>
      <c r="R101" s="7">
        <v>3</v>
      </c>
      <c r="S101" s="7">
        <v>15</v>
      </c>
      <c r="T101" s="7">
        <v>6</v>
      </c>
      <c r="U101" s="7">
        <v>6</v>
      </c>
      <c r="W101" s="4">
        <v>0</v>
      </c>
      <c r="X101" s="4">
        <v>0</v>
      </c>
      <c r="Y101" s="4">
        <v>0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41</v>
      </c>
      <c r="L102" s="7" t="s">
        <v>40</v>
      </c>
      <c r="M102" s="7" t="s">
        <v>58</v>
      </c>
      <c r="N102" s="7" t="s">
        <v>58</v>
      </c>
      <c r="O102" s="7" t="s">
        <v>42</v>
      </c>
      <c r="Q102" s="7">
        <v>8</v>
      </c>
      <c r="R102" s="7">
        <v>7</v>
      </c>
      <c r="S102" s="7">
        <v>18</v>
      </c>
      <c r="T102" s="7">
        <v>18</v>
      </c>
      <c r="U102" s="7">
        <v>9</v>
      </c>
      <c r="W102" s="4">
        <v>0</v>
      </c>
      <c r="X102" s="4">
        <v>0</v>
      </c>
      <c r="Y102" s="4">
        <v>0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40</v>
      </c>
      <c r="L103" s="7" t="s">
        <v>39</v>
      </c>
      <c r="M103" s="7" t="s">
        <v>41</v>
      </c>
      <c r="N103" s="7" t="s">
        <v>42</v>
      </c>
      <c r="O103" s="7" t="s">
        <v>37</v>
      </c>
      <c r="Q103" s="7">
        <v>7</v>
      </c>
      <c r="R103" s="7">
        <v>6</v>
      </c>
      <c r="S103" s="7">
        <v>8</v>
      </c>
      <c r="T103" s="7">
        <v>9</v>
      </c>
      <c r="U103" s="7">
        <v>4</v>
      </c>
      <c r="W103" s="4">
        <v>0</v>
      </c>
      <c r="X103" s="4">
        <v>0</v>
      </c>
      <c r="Y103" s="4">
        <v>0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37</v>
      </c>
      <c r="L104" s="7" t="s">
        <v>54</v>
      </c>
      <c r="M104" s="7" t="s">
        <v>43</v>
      </c>
      <c r="N104" s="7" t="s">
        <v>41</v>
      </c>
      <c r="O104" s="7" t="s">
        <v>37</v>
      </c>
      <c r="Q104" s="7">
        <v>4</v>
      </c>
      <c r="R104" s="7">
        <v>16</v>
      </c>
      <c r="S104" s="7">
        <v>10</v>
      </c>
      <c r="T104" s="7">
        <v>8</v>
      </c>
      <c r="U104" s="7">
        <v>4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41</v>
      </c>
      <c r="L105" s="7" t="s">
        <v>39</v>
      </c>
      <c r="M105" s="7" t="s">
        <v>42</v>
      </c>
      <c r="N105" s="7" t="s">
        <v>39</v>
      </c>
      <c r="O105" s="7" t="s">
        <v>36</v>
      </c>
      <c r="Q105" s="7">
        <v>8</v>
      </c>
      <c r="R105" s="7">
        <v>6</v>
      </c>
      <c r="S105" s="7">
        <v>9</v>
      </c>
      <c r="T105" s="7">
        <v>6</v>
      </c>
      <c r="U105" s="7">
        <v>3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42</v>
      </c>
      <c r="M106" s="7" t="s">
        <v>43</v>
      </c>
      <c r="N106" s="7" t="s">
        <v>40</v>
      </c>
      <c r="O106" s="7" t="s">
        <v>41</v>
      </c>
      <c r="Q106" s="7">
        <v>7</v>
      </c>
      <c r="R106" s="7">
        <v>9</v>
      </c>
      <c r="S106" s="7">
        <v>10</v>
      </c>
      <c r="T106" s="7">
        <v>7</v>
      </c>
      <c r="U106" s="7">
        <v>8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34</v>
      </c>
      <c r="L107" s="7" t="s">
        <v>34</v>
      </c>
      <c r="M107" s="7" t="s">
        <v>34</v>
      </c>
      <c r="N107" s="7" t="s">
        <v>52</v>
      </c>
      <c r="O107" s="7" t="s">
        <v>41</v>
      </c>
      <c r="Q107" s="7">
        <v>2</v>
      </c>
      <c r="R107" s="7">
        <v>2</v>
      </c>
      <c r="S107" s="7">
        <v>2</v>
      </c>
      <c r="T107" s="7">
        <v>15</v>
      </c>
      <c r="U107" s="7">
        <v>8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37</v>
      </c>
      <c r="M108" s="7" t="s">
        <v>42</v>
      </c>
      <c r="N108" s="7" t="s">
        <v>39</v>
      </c>
      <c r="O108" s="7" t="s">
        <v>36</v>
      </c>
      <c r="Q108" s="7">
        <v>8</v>
      </c>
      <c r="R108" s="7">
        <v>4</v>
      </c>
      <c r="S108" s="7">
        <v>9</v>
      </c>
      <c r="T108" s="7">
        <v>6</v>
      </c>
      <c r="U108" s="7">
        <v>3</v>
      </c>
      <c r="W108" s="4">
        <v>0</v>
      </c>
      <c r="X108" s="4">
        <v>0</v>
      </c>
      <c r="Y108" s="4">
        <v>0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41</v>
      </c>
      <c r="L109" s="7" t="s">
        <v>37</v>
      </c>
      <c r="M109" s="7" t="s">
        <v>38</v>
      </c>
      <c r="N109" s="7" t="s">
        <v>38</v>
      </c>
      <c r="O109" s="7" t="s">
        <v>38</v>
      </c>
      <c r="Q109" s="7">
        <v>8</v>
      </c>
      <c r="R109" s="7">
        <v>4</v>
      </c>
      <c r="S109" s="7">
        <v>5</v>
      </c>
      <c r="T109" s="7">
        <v>5</v>
      </c>
      <c r="U109" s="7">
        <v>5</v>
      </c>
      <c r="W109" s="4">
        <v>0</v>
      </c>
      <c r="X109" s="4">
        <v>0</v>
      </c>
      <c r="Y109" s="4">
        <v>0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40</v>
      </c>
      <c r="M110" s="7" t="s">
        <v>58</v>
      </c>
      <c r="N110" s="7" t="s">
        <v>41</v>
      </c>
      <c r="O110" s="7" t="s">
        <v>38</v>
      </c>
      <c r="Q110" s="7">
        <v>7</v>
      </c>
      <c r="R110" s="7">
        <v>7</v>
      </c>
      <c r="S110" s="7">
        <v>18</v>
      </c>
      <c r="T110" s="7">
        <v>8</v>
      </c>
      <c r="U110" s="7">
        <v>5</v>
      </c>
      <c r="W110" s="4">
        <v>0</v>
      </c>
      <c r="X110" s="4">
        <v>0</v>
      </c>
      <c r="Y110" s="4">
        <v>0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40</v>
      </c>
      <c r="L111" s="7" t="s">
        <v>48</v>
      </c>
      <c r="M111" s="7" t="s">
        <v>43</v>
      </c>
      <c r="N111" s="7" t="s">
        <v>42</v>
      </c>
      <c r="O111" s="7" t="s">
        <v>42</v>
      </c>
      <c r="Q111" s="7">
        <v>7</v>
      </c>
      <c r="R111" s="7">
        <v>13</v>
      </c>
      <c r="S111" s="7">
        <v>10</v>
      </c>
      <c r="T111" s="7">
        <v>9</v>
      </c>
      <c r="U111" s="7">
        <v>9</v>
      </c>
      <c r="W111" s="4">
        <v>0</v>
      </c>
      <c r="X111" s="4">
        <v>0</v>
      </c>
      <c r="Y111" s="4">
        <v>0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39</v>
      </c>
      <c r="M112" s="7" t="s">
        <v>43</v>
      </c>
      <c r="N112" s="7" t="s">
        <v>36</v>
      </c>
      <c r="O112" s="7" t="s">
        <v>39</v>
      </c>
      <c r="Q112" s="7">
        <v>10</v>
      </c>
      <c r="R112" s="7">
        <v>6</v>
      </c>
      <c r="S112" s="7">
        <v>10</v>
      </c>
      <c r="T112" s="7">
        <v>3</v>
      </c>
      <c r="U112" s="7">
        <v>6</v>
      </c>
      <c r="W112" s="4">
        <v>0</v>
      </c>
      <c r="X112" s="4">
        <v>0</v>
      </c>
      <c r="Y112" s="4">
        <v>0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41</v>
      </c>
      <c r="L113" s="7" t="s">
        <v>37</v>
      </c>
      <c r="M113" s="7" t="s">
        <v>42</v>
      </c>
      <c r="N113" s="7" t="s">
        <v>37</v>
      </c>
      <c r="O113" s="7" t="s">
        <v>38</v>
      </c>
      <c r="Q113" s="7">
        <v>8</v>
      </c>
      <c r="R113" s="7">
        <v>4</v>
      </c>
      <c r="S113" s="7">
        <v>9</v>
      </c>
      <c r="T113" s="7">
        <v>4</v>
      </c>
      <c r="U113" s="7">
        <v>5</v>
      </c>
      <c r="W113" s="4">
        <v>0</v>
      </c>
      <c r="X113" s="4">
        <v>0</v>
      </c>
      <c r="Y113" s="4">
        <v>0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40</v>
      </c>
      <c r="L114" s="7" t="s">
        <v>37</v>
      </c>
      <c r="M114" s="7" t="s">
        <v>50</v>
      </c>
      <c r="N114" s="7" t="s">
        <v>39</v>
      </c>
      <c r="O114" s="7" t="s">
        <v>42</v>
      </c>
      <c r="Q114" s="7">
        <v>7</v>
      </c>
      <c r="R114" s="7">
        <v>4</v>
      </c>
      <c r="S114" s="7">
        <v>14</v>
      </c>
      <c r="T114" s="7">
        <v>6</v>
      </c>
      <c r="U114" s="7">
        <v>9</v>
      </c>
      <c r="W114" s="4">
        <v>0</v>
      </c>
      <c r="X114" s="4">
        <v>0</v>
      </c>
      <c r="Y114" s="4">
        <v>0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43</v>
      </c>
      <c r="L115" s="7" t="s">
        <v>39</v>
      </c>
      <c r="M115" s="7" t="s">
        <v>38</v>
      </c>
      <c r="N115" s="7" t="s">
        <v>42</v>
      </c>
      <c r="O115" s="7" t="s">
        <v>40</v>
      </c>
      <c r="Q115" s="7">
        <v>10</v>
      </c>
      <c r="R115" s="7">
        <v>6</v>
      </c>
      <c r="S115" s="7">
        <v>5</v>
      </c>
      <c r="T115" s="7">
        <v>9</v>
      </c>
      <c r="U115" s="7">
        <v>7</v>
      </c>
      <c r="W115" s="4">
        <v>0</v>
      </c>
      <c r="X115" s="4">
        <v>0</v>
      </c>
      <c r="Y115" s="4">
        <v>0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38</v>
      </c>
      <c r="L116" s="7" t="s">
        <v>39</v>
      </c>
      <c r="M116" s="7" t="s">
        <v>42</v>
      </c>
      <c r="N116" s="7" t="s">
        <v>37</v>
      </c>
      <c r="O116" s="7" t="s">
        <v>36</v>
      </c>
      <c r="Q116" s="7">
        <v>5</v>
      </c>
      <c r="R116" s="7">
        <v>6</v>
      </c>
      <c r="S116" s="7">
        <v>9</v>
      </c>
      <c r="T116" s="7">
        <v>4</v>
      </c>
      <c r="U116" s="7">
        <v>3</v>
      </c>
      <c r="W116" s="4">
        <v>0</v>
      </c>
      <c r="X116" s="4">
        <v>0</v>
      </c>
      <c r="Y116" s="4">
        <v>0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40</v>
      </c>
      <c r="L117" s="7" t="s">
        <v>48</v>
      </c>
      <c r="M117" s="7" t="s">
        <v>58</v>
      </c>
      <c r="N117" s="7" t="s">
        <v>58</v>
      </c>
      <c r="O117" s="7" t="s">
        <v>37</v>
      </c>
      <c r="Q117" s="7">
        <v>7</v>
      </c>
      <c r="R117" s="7">
        <v>13</v>
      </c>
      <c r="S117" s="7">
        <v>18</v>
      </c>
      <c r="T117" s="7">
        <v>18</v>
      </c>
      <c r="U117" s="7">
        <v>4</v>
      </c>
      <c r="W117" s="4">
        <v>0</v>
      </c>
      <c r="X117" s="4">
        <v>0</v>
      </c>
      <c r="Y117" s="4">
        <v>0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41</v>
      </c>
      <c r="L118" s="7" t="s">
        <v>37</v>
      </c>
      <c r="M118" s="7" t="s">
        <v>42</v>
      </c>
      <c r="N118" s="7" t="s">
        <v>39</v>
      </c>
      <c r="O118" s="7" t="s">
        <v>38</v>
      </c>
      <c r="Q118" s="7">
        <v>8</v>
      </c>
      <c r="R118" s="7">
        <v>4</v>
      </c>
      <c r="S118" s="7">
        <v>9</v>
      </c>
      <c r="T118" s="7">
        <v>6</v>
      </c>
      <c r="U118" s="7">
        <v>5</v>
      </c>
      <c r="W118" s="4">
        <v>0</v>
      </c>
      <c r="X118" s="4">
        <v>0</v>
      </c>
      <c r="Y118" s="4">
        <v>0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39</v>
      </c>
      <c r="M119" s="7" t="s">
        <v>46</v>
      </c>
      <c r="N119" s="7" t="s">
        <v>38</v>
      </c>
      <c r="O119" s="7" t="s">
        <v>41</v>
      </c>
      <c r="Q119" s="7">
        <v>7</v>
      </c>
      <c r="R119" s="7">
        <v>6</v>
      </c>
      <c r="S119" s="7">
        <v>12</v>
      </c>
      <c r="T119" s="7">
        <v>5</v>
      </c>
      <c r="U119" s="7">
        <v>8</v>
      </c>
      <c r="W119" s="4">
        <v>0</v>
      </c>
      <c r="X119" s="4">
        <v>0</v>
      </c>
      <c r="Y119" s="4">
        <v>0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39</v>
      </c>
      <c r="M120" s="7" t="s">
        <v>38</v>
      </c>
      <c r="N120" s="7" t="s">
        <v>41</v>
      </c>
      <c r="O120" s="7" t="s">
        <v>38</v>
      </c>
      <c r="Q120" s="7">
        <v>10</v>
      </c>
      <c r="R120" s="7">
        <v>6</v>
      </c>
      <c r="S120" s="7">
        <v>5</v>
      </c>
      <c r="T120" s="7">
        <v>8</v>
      </c>
      <c r="U120" s="7">
        <v>5</v>
      </c>
      <c r="W120" s="4">
        <v>0</v>
      </c>
      <c r="X120" s="4">
        <v>0</v>
      </c>
      <c r="Y120" s="4">
        <v>0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41</v>
      </c>
      <c r="L121" s="7" t="s">
        <v>39</v>
      </c>
      <c r="M121" s="7" t="s">
        <v>38</v>
      </c>
      <c r="N121" s="7" t="s">
        <v>41</v>
      </c>
      <c r="O121" s="7" t="s">
        <v>41</v>
      </c>
      <c r="Q121" s="7">
        <v>8</v>
      </c>
      <c r="R121" s="7">
        <v>6</v>
      </c>
      <c r="S121" s="7">
        <v>5</v>
      </c>
      <c r="T121" s="7">
        <v>8</v>
      </c>
      <c r="U121" s="7">
        <v>8</v>
      </c>
      <c r="W121" s="4">
        <v>0</v>
      </c>
      <c r="X121" s="4">
        <v>0</v>
      </c>
      <c r="Y121" s="4">
        <v>0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37</v>
      </c>
      <c r="M122" s="7" t="s">
        <v>56</v>
      </c>
      <c r="N122" s="7" t="s">
        <v>37</v>
      </c>
      <c r="O122" s="7" t="s">
        <v>42</v>
      </c>
      <c r="Q122" s="7">
        <v>8</v>
      </c>
      <c r="R122" s="7">
        <v>4</v>
      </c>
      <c r="S122" s="7">
        <v>17</v>
      </c>
      <c r="T122" s="7">
        <v>4</v>
      </c>
      <c r="U122" s="7">
        <v>9</v>
      </c>
      <c r="W122" s="4">
        <v>0</v>
      </c>
      <c r="X122" s="4">
        <v>0</v>
      </c>
      <c r="Y122" s="4">
        <v>0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39</v>
      </c>
      <c r="M123" s="7" t="s">
        <v>38</v>
      </c>
      <c r="N123" s="7" t="s">
        <v>39</v>
      </c>
      <c r="O123" s="7" t="s">
        <v>39</v>
      </c>
      <c r="Q123" s="7">
        <v>10</v>
      </c>
      <c r="R123" s="7">
        <v>6</v>
      </c>
      <c r="S123" s="7">
        <v>5</v>
      </c>
      <c r="T123" s="7">
        <v>6</v>
      </c>
      <c r="U123" s="7">
        <v>6</v>
      </c>
      <c r="W123" s="4">
        <v>0</v>
      </c>
      <c r="X123" s="4">
        <v>0</v>
      </c>
      <c r="Y123" s="4">
        <v>0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43</v>
      </c>
      <c r="L124" s="7" t="s">
        <v>40</v>
      </c>
      <c r="M124" s="7" t="s">
        <v>38</v>
      </c>
      <c r="N124" s="7" t="s">
        <v>38</v>
      </c>
      <c r="O124" s="7" t="s">
        <v>42</v>
      </c>
      <c r="Q124" s="7">
        <v>10</v>
      </c>
      <c r="R124" s="7">
        <v>7</v>
      </c>
      <c r="S124" s="7">
        <v>5</v>
      </c>
      <c r="T124" s="7">
        <v>5</v>
      </c>
      <c r="U124" s="7">
        <v>9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36</v>
      </c>
      <c r="L125" s="7" t="s">
        <v>39</v>
      </c>
      <c r="M125" s="7" t="s">
        <v>43</v>
      </c>
      <c r="N125" s="7" t="s">
        <v>41</v>
      </c>
      <c r="O125" s="7" t="s">
        <v>42</v>
      </c>
      <c r="Q125" s="7">
        <v>3</v>
      </c>
      <c r="R125" s="7">
        <v>6</v>
      </c>
      <c r="S125" s="7">
        <v>10</v>
      </c>
      <c r="T125" s="7">
        <v>8</v>
      </c>
      <c r="U125" s="7">
        <v>9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43</v>
      </c>
      <c r="L126" s="7" t="s">
        <v>37</v>
      </c>
      <c r="M126" s="7" t="s">
        <v>38</v>
      </c>
      <c r="N126" s="7" t="s">
        <v>56</v>
      </c>
      <c r="O126" s="7" t="s">
        <v>39</v>
      </c>
      <c r="Q126" s="7">
        <v>10</v>
      </c>
      <c r="R126" s="7">
        <v>4</v>
      </c>
      <c r="S126" s="7">
        <v>5</v>
      </c>
      <c r="T126" s="7">
        <v>17</v>
      </c>
      <c r="U126" s="7">
        <v>6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34</v>
      </c>
      <c r="L127" s="7" t="s">
        <v>34</v>
      </c>
      <c r="M127" s="7" t="s">
        <v>34</v>
      </c>
      <c r="N127" s="7" t="s">
        <v>54</v>
      </c>
      <c r="O127" s="7" t="s">
        <v>39</v>
      </c>
      <c r="Q127" s="7">
        <v>2</v>
      </c>
      <c r="R127" s="7">
        <v>2</v>
      </c>
      <c r="S127" s="7">
        <v>2</v>
      </c>
      <c r="T127" s="7">
        <v>16</v>
      </c>
      <c r="U127" s="7">
        <v>6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43</v>
      </c>
      <c r="L128" s="7" t="s">
        <v>39</v>
      </c>
      <c r="M128" s="7" t="s">
        <v>38</v>
      </c>
      <c r="N128" s="7" t="s">
        <v>41</v>
      </c>
      <c r="O128" s="7" t="s">
        <v>42</v>
      </c>
      <c r="Q128" s="7">
        <v>10</v>
      </c>
      <c r="R128" s="7">
        <v>6</v>
      </c>
      <c r="S128" s="7">
        <v>5</v>
      </c>
      <c r="T128" s="7">
        <v>8</v>
      </c>
      <c r="U128" s="7">
        <v>9</v>
      </c>
      <c r="W128" s="4">
        <v>0</v>
      </c>
      <c r="X128" s="4">
        <v>0</v>
      </c>
      <c r="Y128" s="4">
        <v>0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38</v>
      </c>
      <c r="L129" s="7" t="s">
        <v>36</v>
      </c>
      <c r="M129" s="7" t="s">
        <v>42</v>
      </c>
      <c r="N129" s="7" t="s">
        <v>40</v>
      </c>
      <c r="O129" s="7" t="s">
        <v>40</v>
      </c>
      <c r="Q129" s="7">
        <v>5</v>
      </c>
      <c r="R129" s="7">
        <v>3</v>
      </c>
      <c r="S129" s="7">
        <v>9</v>
      </c>
      <c r="T129" s="7">
        <v>7</v>
      </c>
      <c r="U129" s="7">
        <v>7</v>
      </c>
      <c r="W129" s="4">
        <v>0</v>
      </c>
      <c r="X129" s="4">
        <v>0</v>
      </c>
      <c r="Y129" s="4">
        <v>0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43</v>
      </c>
      <c r="L130" s="7" t="s">
        <v>39</v>
      </c>
      <c r="M130" s="7" t="s">
        <v>43</v>
      </c>
      <c r="N130" s="7" t="s">
        <v>37</v>
      </c>
      <c r="O130" s="7" t="s">
        <v>41</v>
      </c>
      <c r="Q130" s="7">
        <v>10</v>
      </c>
      <c r="R130" s="7">
        <v>6</v>
      </c>
      <c r="S130" s="7">
        <v>10</v>
      </c>
      <c r="T130" s="7">
        <v>4</v>
      </c>
      <c r="U130" s="7">
        <v>8</v>
      </c>
      <c r="W130" s="4">
        <v>0</v>
      </c>
      <c r="X130" s="4">
        <v>0</v>
      </c>
      <c r="Y130" s="4">
        <v>0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41</v>
      </c>
      <c r="L131" s="7" t="s">
        <v>39</v>
      </c>
      <c r="M131" s="7" t="s">
        <v>43</v>
      </c>
      <c r="N131" s="7" t="s">
        <v>38</v>
      </c>
      <c r="O131" s="7" t="s">
        <v>42</v>
      </c>
      <c r="Q131" s="7">
        <v>8</v>
      </c>
      <c r="R131" s="7">
        <v>6</v>
      </c>
      <c r="S131" s="7">
        <v>10</v>
      </c>
      <c r="T131" s="7">
        <v>5</v>
      </c>
      <c r="U131" s="7">
        <v>9</v>
      </c>
      <c r="W131" s="4">
        <v>0</v>
      </c>
      <c r="X131" s="4">
        <v>0</v>
      </c>
      <c r="Y131" s="4">
        <v>0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43</v>
      </c>
      <c r="L132" s="7" t="s">
        <v>37</v>
      </c>
      <c r="M132" s="7" t="s">
        <v>41</v>
      </c>
      <c r="N132" s="7" t="s">
        <v>41</v>
      </c>
      <c r="O132" s="7" t="s">
        <v>41</v>
      </c>
      <c r="Q132" s="7">
        <v>10</v>
      </c>
      <c r="R132" s="7">
        <v>4</v>
      </c>
      <c r="S132" s="7">
        <v>8</v>
      </c>
      <c r="T132" s="7">
        <v>8</v>
      </c>
      <c r="U132" s="7">
        <v>8</v>
      </c>
      <c r="W132" s="4">
        <v>0</v>
      </c>
      <c r="X132" s="4">
        <v>0</v>
      </c>
      <c r="Y132" s="4">
        <v>0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41</v>
      </c>
      <c r="L133" s="7" t="s">
        <v>41</v>
      </c>
      <c r="M133" s="7" t="s">
        <v>42</v>
      </c>
      <c r="N133" s="7" t="s">
        <v>56</v>
      </c>
      <c r="O133" s="7" t="s">
        <v>43</v>
      </c>
      <c r="Q133" s="7">
        <v>8</v>
      </c>
      <c r="R133" s="7">
        <v>8</v>
      </c>
      <c r="S133" s="7">
        <v>9</v>
      </c>
      <c r="T133" s="7">
        <v>17</v>
      </c>
      <c r="U133" s="7">
        <v>10</v>
      </c>
      <c r="W133" s="4">
        <v>0</v>
      </c>
      <c r="X133" s="4">
        <v>0</v>
      </c>
      <c r="Y133" s="4">
        <v>0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36</v>
      </c>
      <c r="L134" s="7" t="s">
        <v>40</v>
      </c>
      <c r="M134" s="7" t="s">
        <v>38</v>
      </c>
      <c r="N134" s="7" t="s">
        <v>42</v>
      </c>
      <c r="O134" s="7" t="s">
        <v>37</v>
      </c>
      <c r="Q134" s="7">
        <v>3</v>
      </c>
      <c r="R134" s="7">
        <v>7</v>
      </c>
      <c r="S134" s="7">
        <v>5</v>
      </c>
      <c r="T134" s="7">
        <v>9</v>
      </c>
      <c r="U134" s="7">
        <v>4</v>
      </c>
      <c r="W134" s="4">
        <v>0</v>
      </c>
      <c r="X134" s="4">
        <v>0</v>
      </c>
      <c r="Y134" s="4">
        <v>0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41</v>
      </c>
      <c r="L135" s="7" t="s">
        <v>37</v>
      </c>
      <c r="M135" s="7" t="s">
        <v>58</v>
      </c>
      <c r="N135" s="7" t="s">
        <v>39</v>
      </c>
      <c r="O135" s="7" t="s">
        <v>41</v>
      </c>
      <c r="Q135" s="7">
        <v>8</v>
      </c>
      <c r="R135" s="7">
        <v>4</v>
      </c>
      <c r="S135" s="7">
        <v>18</v>
      </c>
      <c r="T135" s="7">
        <v>6</v>
      </c>
      <c r="U135" s="7">
        <v>8</v>
      </c>
      <c r="W135" s="4">
        <v>0</v>
      </c>
      <c r="X135" s="4">
        <v>0</v>
      </c>
      <c r="Y135" s="4">
        <v>0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40</v>
      </c>
      <c r="L136" s="7" t="s">
        <v>36</v>
      </c>
      <c r="M136" s="7" t="s">
        <v>58</v>
      </c>
      <c r="N136" s="7" t="s">
        <v>36</v>
      </c>
      <c r="O136" s="7" t="s">
        <v>42</v>
      </c>
      <c r="Q136" s="7">
        <v>7</v>
      </c>
      <c r="R136" s="7">
        <v>3</v>
      </c>
      <c r="S136" s="7">
        <v>18</v>
      </c>
      <c r="T136" s="7">
        <v>3</v>
      </c>
      <c r="U136" s="7">
        <v>9</v>
      </c>
      <c r="W136" s="4">
        <v>0</v>
      </c>
      <c r="X136" s="4">
        <v>0</v>
      </c>
      <c r="Y136" s="4">
        <v>0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40</v>
      </c>
      <c r="L137" s="7" t="s">
        <v>39</v>
      </c>
      <c r="M137" s="7" t="s">
        <v>43</v>
      </c>
      <c r="N137" s="7" t="s">
        <v>42</v>
      </c>
      <c r="O137" s="7" t="s">
        <v>43</v>
      </c>
      <c r="Q137" s="7">
        <v>7</v>
      </c>
      <c r="R137" s="7">
        <v>6</v>
      </c>
      <c r="S137" s="7">
        <v>10</v>
      </c>
      <c r="T137" s="7">
        <v>9</v>
      </c>
      <c r="U137" s="7">
        <v>10</v>
      </c>
      <c r="W137" s="4">
        <v>0</v>
      </c>
      <c r="X137" s="4">
        <v>0</v>
      </c>
      <c r="Y137" s="4">
        <v>0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40</v>
      </c>
      <c r="L138" s="7" t="s">
        <v>39</v>
      </c>
      <c r="M138" s="7" t="s">
        <v>36</v>
      </c>
      <c r="N138" s="7" t="s">
        <v>37</v>
      </c>
      <c r="O138" s="7" t="s">
        <v>37</v>
      </c>
      <c r="Q138" s="7">
        <v>7</v>
      </c>
      <c r="R138" s="7">
        <v>6</v>
      </c>
      <c r="S138" s="7">
        <v>3</v>
      </c>
      <c r="T138" s="7">
        <v>4</v>
      </c>
      <c r="U138" s="7">
        <v>4</v>
      </c>
      <c r="W138" s="4">
        <v>0</v>
      </c>
      <c r="X138" s="4">
        <v>0</v>
      </c>
      <c r="Y138" s="4">
        <v>0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43</v>
      </c>
      <c r="L139" s="7" t="s">
        <v>37</v>
      </c>
      <c r="M139" s="7" t="s">
        <v>42</v>
      </c>
      <c r="N139" s="7" t="s">
        <v>52</v>
      </c>
      <c r="O139" s="7" t="s">
        <v>38</v>
      </c>
      <c r="Q139" s="7">
        <v>10</v>
      </c>
      <c r="R139" s="7">
        <v>4</v>
      </c>
      <c r="S139" s="7">
        <v>9</v>
      </c>
      <c r="T139" s="7">
        <v>15</v>
      </c>
      <c r="U139" s="7">
        <v>5</v>
      </c>
      <c r="W139" s="4">
        <v>0</v>
      </c>
      <c r="X139" s="4">
        <v>0</v>
      </c>
      <c r="Y139" s="4">
        <v>0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52</v>
      </c>
      <c r="M140" s="7" t="s">
        <v>42</v>
      </c>
      <c r="N140" s="7" t="s">
        <v>54</v>
      </c>
      <c r="O140" s="7" t="s">
        <v>42</v>
      </c>
      <c r="Q140" s="7">
        <v>8</v>
      </c>
      <c r="R140" s="7">
        <v>15</v>
      </c>
      <c r="S140" s="7">
        <v>9</v>
      </c>
      <c r="T140" s="7">
        <v>16</v>
      </c>
      <c r="U140" s="7">
        <v>9</v>
      </c>
      <c r="W140" s="4">
        <v>0</v>
      </c>
      <c r="X140" s="4">
        <v>0</v>
      </c>
      <c r="Y140" s="4">
        <v>0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37</v>
      </c>
      <c r="M141" s="7" t="s">
        <v>38</v>
      </c>
      <c r="N141" s="7" t="s">
        <v>42</v>
      </c>
      <c r="O141" s="7" t="s">
        <v>42</v>
      </c>
      <c r="Q141" s="7">
        <v>7</v>
      </c>
      <c r="R141" s="7">
        <v>4</v>
      </c>
      <c r="S141" s="7">
        <v>5</v>
      </c>
      <c r="T141" s="7">
        <v>9</v>
      </c>
      <c r="U141" s="7">
        <v>9</v>
      </c>
      <c r="W141" s="4">
        <v>0</v>
      </c>
      <c r="X141" s="4">
        <v>0</v>
      </c>
      <c r="Y141" s="4">
        <v>0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43</v>
      </c>
      <c r="L142" s="7" t="s">
        <v>36</v>
      </c>
      <c r="M142" s="7" t="s">
        <v>43</v>
      </c>
      <c r="N142" s="7" t="s">
        <v>39</v>
      </c>
      <c r="O142" s="7" t="s">
        <v>43</v>
      </c>
      <c r="Q142" s="7">
        <v>10</v>
      </c>
      <c r="R142" s="7">
        <v>3</v>
      </c>
      <c r="S142" s="7">
        <v>10</v>
      </c>
      <c r="T142" s="7">
        <v>6</v>
      </c>
      <c r="U142" s="7">
        <v>10</v>
      </c>
      <c r="W142" s="4">
        <v>0</v>
      </c>
      <c r="X142" s="4">
        <v>0</v>
      </c>
      <c r="Y142" s="4">
        <v>0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40</v>
      </c>
      <c r="L143" s="7" t="s">
        <v>42</v>
      </c>
      <c r="M143" s="7" t="s">
        <v>52</v>
      </c>
      <c r="N143" s="7" t="s">
        <v>39</v>
      </c>
      <c r="O143" s="7" t="s">
        <v>41</v>
      </c>
      <c r="Q143" s="7">
        <v>7</v>
      </c>
      <c r="R143" s="7">
        <v>9</v>
      </c>
      <c r="S143" s="7">
        <v>15</v>
      </c>
      <c r="T143" s="7">
        <v>6</v>
      </c>
      <c r="U143" s="7">
        <v>8</v>
      </c>
      <c r="W143" s="4">
        <v>0</v>
      </c>
      <c r="X143" s="4">
        <v>0</v>
      </c>
      <c r="Y143" s="4">
        <v>0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36</v>
      </c>
      <c r="L144" s="7" t="s">
        <v>39</v>
      </c>
      <c r="M144" s="7" t="s">
        <v>41</v>
      </c>
      <c r="N144" s="7" t="s">
        <v>41</v>
      </c>
      <c r="O144" s="7" t="s">
        <v>43</v>
      </c>
      <c r="Q144" s="7">
        <v>3</v>
      </c>
      <c r="R144" s="7">
        <v>6</v>
      </c>
      <c r="S144" s="7">
        <v>8</v>
      </c>
      <c r="T144" s="7">
        <v>8</v>
      </c>
      <c r="U144" s="7">
        <v>10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41</v>
      </c>
      <c r="L145" s="7" t="s">
        <v>39</v>
      </c>
      <c r="M145" s="7" t="s">
        <v>38</v>
      </c>
      <c r="N145" s="7" t="s">
        <v>43</v>
      </c>
      <c r="O145" s="7" t="s">
        <v>41</v>
      </c>
      <c r="Q145" s="7">
        <v>8</v>
      </c>
      <c r="R145" s="7">
        <v>6</v>
      </c>
      <c r="S145" s="7">
        <v>5</v>
      </c>
      <c r="T145" s="7">
        <v>10</v>
      </c>
      <c r="U145" s="7">
        <v>8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43</v>
      </c>
      <c r="L146" s="7" t="s">
        <v>36</v>
      </c>
      <c r="M146" s="7" t="s">
        <v>42</v>
      </c>
      <c r="N146" s="7" t="s">
        <v>56</v>
      </c>
      <c r="O146" s="7" t="s">
        <v>38</v>
      </c>
      <c r="Q146" s="7">
        <v>10</v>
      </c>
      <c r="R146" s="7">
        <v>3</v>
      </c>
      <c r="S146" s="7">
        <v>9</v>
      </c>
      <c r="T146" s="7">
        <v>17</v>
      </c>
      <c r="U146" s="7">
        <v>5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34</v>
      </c>
      <c r="L147" s="7" t="s">
        <v>34</v>
      </c>
      <c r="M147" s="7" t="s">
        <v>34</v>
      </c>
      <c r="N147" s="7" t="s">
        <v>42</v>
      </c>
      <c r="O147" s="7" t="s">
        <v>40</v>
      </c>
      <c r="Q147" s="7">
        <v>2</v>
      </c>
      <c r="R147" s="7">
        <v>2</v>
      </c>
      <c r="S147" s="7">
        <v>2</v>
      </c>
      <c r="T147" s="7">
        <v>9</v>
      </c>
      <c r="U147" s="7">
        <v>7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40</v>
      </c>
      <c r="L148" s="7" t="s">
        <v>41</v>
      </c>
      <c r="M148" s="7" t="s">
        <v>42</v>
      </c>
      <c r="N148" s="7" t="s">
        <v>54</v>
      </c>
      <c r="O148" s="7" t="s">
        <v>36</v>
      </c>
      <c r="Q148" s="7">
        <v>7</v>
      </c>
      <c r="R148" s="7">
        <v>8</v>
      </c>
      <c r="S148" s="7">
        <v>9</v>
      </c>
      <c r="T148" s="7">
        <v>16</v>
      </c>
      <c r="U148" s="7">
        <v>3</v>
      </c>
      <c r="W148" s="4">
        <v>0</v>
      </c>
      <c r="X148" s="4">
        <v>0</v>
      </c>
      <c r="Y148" s="4">
        <v>0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41</v>
      </c>
      <c r="L149" s="7" t="s">
        <v>37</v>
      </c>
      <c r="M149" s="7" t="s">
        <v>38</v>
      </c>
      <c r="N149" s="7" t="s">
        <v>41</v>
      </c>
      <c r="O149" s="7" t="s">
        <v>40</v>
      </c>
      <c r="Q149" s="7">
        <v>8</v>
      </c>
      <c r="R149" s="7">
        <v>4</v>
      </c>
      <c r="S149" s="7">
        <v>5</v>
      </c>
      <c r="T149" s="7">
        <v>8</v>
      </c>
      <c r="U149" s="7">
        <v>7</v>
      </c>
      <c r="W149" s="4">
        <v>0</v>
      </c>
      <c r="X149" s="4">
        <v>0</v>
      </c>
      <c r="Y149" s="4">
        <v>0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43</v>
      </c>
      <c r="L150" s="7" t="s">
        <v>37</v>
      </c>
      <c r="M150" s="7" t="s">
        <v>42</v>
      </c>
      <c r="N150" s="7" t="s">
        <v>58</v>
      </c>
      <c r="O150" s="7" t="s">
        <v>39</v>
      </c>
      <c r="Q150" s="7">
        <v>10</v>
      </c>
      <c r="R150" s="7">
        <v>4</v>
      </c>
      <c r="S150" s="7">
        <v>9</v>
      </c>
      <c r="T150" s="7">
        <v>18</v>
      </c>
      <c r="U150" s="7">
        <v>6</v>
      </c>
      <c r="W150" s="4">
        <v>0</v>
      </c>
      <c r="X150" s="4">
        <v>0</v>
      </c>
      <c r="Y150" s="4">
        <v>0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40</v>
      </c>
      <c r="L151" s="7" t="s">
        <v>40</v>
      </c>
      <c r="M151" s="7" t="s">
        <v>36</v>
      </c>
      <c r="N151" s="7" t="s">
        <v>42</v>
      </c>
      <c r="O151" s="7" t="s">
        <v>41</v>
      </c>
      <c r="Q151" s="7">
        <v>7</v>
      </c>
      <c r="R151" s="7">
        <v>7</v>
      </c>
      <c r="S151" s="7">
        <v>3</v>
      </c>
      <c r="T151" s="7">
        <v>9</v>
      </c>
      <c r="U151" s="7">
        <v>8</v>
      </c>
      <c r="W151" s="4">
        <v>0</v>
      </c>
      <c r="X151" s="4">
        <v>0</v>
      </c>
      <c r="Y151" s="4">
        <v>0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36</v>
      </c>
      <c r="L152" s="7" t="s">
        <v>37</v>
      </c>
      <c r="M152" s="7" t="s">
        <v>58</v>
      </c>
      <c r="N152" s="7" t="s">
        <v>38</v>
      </c>
      <c r="O152" s="7" t="s">
        <v>39</v>
      </c>
      <c r="Q152" s="7">
        <v>3</v>
      </c>
      <c r="R152" s="7">
        <v>4</v>
      </c>
      <c r="S152" s="7">
        <v>18</v>
      </c>
      <c r="T152" s="7">
        <v>5</v>
      </c>
      <c r="U152" s="7">
        <v>6</v>
      </c>
      <c r="W152" s="4">
        <v>0</v>
      </c>
      <c r="X152" s="4">
        <v>0</v>
      </c>
      <c r="Y152" s="4">
        <v>0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43</v>
      </c>
      <c r="L153" s="7" t="s">
        <v>39</v>
      </c>
      <c r="M153" s="7" t="s">
        <v>38</v>
      </c>
      <c r="N153" s="7" t="s">
        <v>37</v>
      </c>
      <c r="O153" s="7" t="s">
        <v>40</v>
      </c>
      <c r="Q153" s="7">
        <v>10</v>
      </c>
      <c r="R153" s="7">
        <v>6</v>
      </c>
      <c r="S153" s="7">
        <v>5</v>
      </c>
      <c r="T153" s="7">
        <v>4</v>
      </c>
      <c r="U153" s="7">
        <v>7</v>
      </c>
      <c r="W153" s="4">
        <v>0</v>
      </c>
      <c r="X153" s="4">
        <v>0</v>
      </c>
      <c r="Y153" s="4">
        <v>0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41</v>
      </c>
      <c r="L154" s="7" t="s">
        <v>37</v>
      </c>
      <c r="M154" s="7" t="s">
        <v>43</v>
      </c>
      <c r="N154" s="7" t="s">
        <v>42</v>
      </c>
      <c r="O154" s="7" t="s">
        <v>40</v>
      </c>
      <c r="Q154" s="7">
        <v>8</v>
      </c>
      <c r="R154" s="7">
        <v>4</v>
      </c>
      <c r="S154" s="7">
        <v>10</v>
      </c>
      <c r="T154" s="7">
        <v>9</v>
      </c>
      <c r="U154" s="7">
        <v>7</v>
      </c>
      <c r="W154" s="4">
        <v>0</v>
      </c>
      <c r="X154" s="4">
        <v>0</v>
      </c>
      <c r="Y154" s="4">
        <v>0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43</v>
      </c>
      <c r="L155" s="7" t="s">
        <v>40</v>
      </c>
      <c r="M155" s="7" t="s">
        <v>38</v>
      </c>
      <c r="N155" s="7" t="s">
        <v>41</v>
      </c>
      <c r="O155" s="7" t="s">
        <v>42</v>
      </c>
      <c r="Q155" s="7">
        <v>10</v>
      </c>
      <c r="R155" s="7">
        <v>7</v>
      </c>
      <c r="S155" s="7">
        <v>5</v>
      </c>
      <c r="T155" s="7">
        <v>8</v>
      </c>
      <c r="U155" s="7">
        <v>9</v>
      </c>
      <c r="W155" s="4">
        <v>0</v>
      </c>
      <c r="X155" s="4">
        <v>0</v>
      </c>
      <c r="Y155" s="4">
        <v>0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43</v>
      </c>
      <c r="L156" s="7" t="s">
        <v>37</v>
      </c>
      <c r="M156" s="7" t="s">
        <v>38</v>
      </c>
      <c r="N156" s="7" t="s">
        <v>58</v>
      </c>
      <c r="O156" s="7" t="s">
        <v>42</v>
      </c>
      <c r="Q156" s="7">
        <v>10</v>
      </c>
      <c r="R156" s="7">
        <v>4</v>
      </c>
      <c r="S156" s="7">
        <v>5</v>
      </c>
      <c r="T156" s="7">
        <v>18</v>
      </c>
      <c r="U156" s="7">
        <v>9</v>
      </c>
      <c r="W156" s="4">
        <v>0</v>
      </c>
      <c r="X156" s="4">
        <v>0</v>
      </c>
      <c r="Y156" s="4">
        <v>0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40</v>
      </c>
      <c r="L157" s="7" t="s">
        <v>40</v>
      </c>
      <c r="M157" s="7" t="s">
        <v>58</v>
      </c>
      <c r="N157" s="7" t="s">
        <v>54</v>
      </c>
      <c r="O157" s="7" t="s">
        <v>42</v>
      </c>
      <c r="Q157" s="7">
        <v>7</v>
      </c>
      <c r="R157" s="7">
        <v>7</v>
      </c>
      <c r="S157" s="7">
        <v>18</v>
      </c>
      <c r="T157" s="7">
        <v>16</v>
      </c>
      <c r="U157" s="7">
        <v>9</v>
      </c>
      <c r="W157" s="4">
        <v>0</v>
      </c>
      <c r="X157" s="4">
        <v>0</v>
      </c>
      <c r="Y157" s="4">
        <v>0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40</v>
      </c>
      <c r="M158" s="7" t="s">
        <v>42</v>
      </c>
      <c r="N158" s="7" t="s">
        <v>41</v>
      </c>
      <c r="O158" s="7" t="s">
        <v>40</v>
      </c>
      <c r="Q158" s="7">
        <v>10</v>
      </c>
      <c r="R158" s="7">
        <v>7</v>
      </c>
      <c r="S158" s="7">
        <v>9</v>
      </c>
      <c r="T158" s="7">
        <v>8</v>
      </c>
      <c r="U158" s="7">
        <v>7</v>
      </c>
      <c r="W158" s="4">
        <v>0</v>
      </c>
      <c r="X158" s="4">
        <v>0</v>
      </c>
      <c r="Y158" s="4">
        <v>0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39</v>
      </c>
      <c r="M159" s="7" t="s">
        <v>42</v>
      </c>
      <c r="N159" s="7" t="s">
        <v>48</v>
      </c>
      <c r="O159" s="7" t="s">
        <v>40</v>
      </c>
      <c r="Q159" s="7">
        <v>7</v>
      </c>
      <c r="R159" s="7">
        <v>6</v>
      </c>
      <c r="S159" s="7">
        <v>9</v>
      </c>
      <c r="T159" s="7">
        <v>13</v>
      </c>
      <c r="U159" s="7">
        <v>7</v>
      </c>
      <c r="W159" s="4">
        <v>0</v>
      </c>
      <c r="X159" s="4">
        <v>0</v>
      </c>
      <c r="Y159" s="4">
        <v>0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40</v>
      </c>
      <c r="M160" s="7" t="s">
        <v>43</v>
      </c>
      <c r="N160" s="7" t="s">
        <v>41</v>
      </c>
      <c r="O160" s="7" t="s">
        <v>38</v>
      </c>
      <c r="Q160" s="7">
        <v>10</v>
      </c>
      <c r="R160" s="7">
        <v>7</v>
      </c>
      <c r="S160" s="7">
        <v>10</v>
      </c>
      <c r="T160" s="7">
        <v>8</v>
      </c>
      <c r="U160" s="7">
        <v>5</v>
      </c>
      <c r="W160" s="4">
        <v>0</v>
      </c>
      <c r="X160" s="4">
        <v>0</v>
      </c>
      <c r="Y160" s="4">
        <v>0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46</v>
      </c>
      <c r="M161" s="7" t="s">
        <v>38</v>
      </c>
      <c r="N161" s="7" t="s">
        <v>42</v>
      </c>
      <c r="O161" s="7" t="s">
        <v>40</v>
      </c>
      <c r="Q161" s="7">
        <v>9</v>
      </c>
      <c r="R161" s="7">
        <v>12</v>
      </c>
      <c r="S161" s="7">
        <v>5</v>
      </c>
      <c r="T161" s="7">
        <v>9</v>
      </c>
      <c r="U161" s="7">
        <v>7</v>
      </c>
      <c r="W161" s="4">
        <v>0</v>
      </c>
      <c r="X161" s="4">
        <v>0</v>
      </c>
      <c r="Y161" s="4">
        <v>0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36</v>
      </c>
      <c r="L162" s="7" t="s">
        <v>37</v>
      </c>
      <c r="M162" s="7" t="s">
        <v>41</v>
      </c>
      <c r="N162" s="7" t="s">
        <v>40</v>
      </c>
      <c r="O162" s="7" t="s">
        <v>36</v>
      </c>
      <c r="Q162" s="7">
        <v>3</v>
      </c>
      <c r="R162" s="7">
        <v>4</v>
      </c>
      <c r="S162" s="7">
        <v>8</v>
      </c>
      <c r="T162" s="7">
        <v>7</v>
      </c>
      <c r="U162" s="7">
        <v>3</v>
      </c>
      <c r="W162" s="4">
        <v>0</v>
      </c>
      <c r="X162" s="4">
        <v>0</v>
      </c>
      <c r="Y162" s="4">
        <v>0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40</v>
      </c>
      <c r="L163" s="7" t="s">
        <v>39</v>
      </c>
      <c r="M163" s="7" t="s">
        <v>58</v>
      </c>
      <c r="N163" s="7" t="s">
        <v>36</v>
      </c>
      <c r="O163" s="7" t="s">
        <v>38</v>
      </c>
      <c r="Q163" s="7">
        <v>7</v>
      </c>
      <c r="R163" s="7">
        <v>6</v>
      </c>
      <c r="S163" s="7">
        <v>18</v>
      </c>
      <c r="T163" s="7">
        <v>3</v>
      </c>
      <c r="U163" s="7">
        <v>5</v>
      </c>
      <c r="W163" s="4">
        <v>0</v>
      </c>
      <c r="X163" s="4">
        <v>0</v>
      </c>
      <c r="Y163" s="4">
        <v>0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39</v>
      </c>
      <c r="M164" s="7" t="s">
        <v>42</v>
      </c>
      <c r="N164" s="7" t="s">
        <v>41</v>
      </c>
      <c r="O164" s="7" t="s">
        <v>38</v>
      </c>
      <c r="Q164" s="7">
        <v>8</v>
      </c>
      <c r="R164" s="7">
        <v>6</v>
      </c>
      <c r="S164" s="7">
        <v>9</v>
      </c>
      <c r="T164" s="7">
        <v>8</v>
      </c>
      <c r="U164" s="7">
        <v>5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42</v>
      </c>
      <c r="M165" s="7" t="s">
        <v>42</v>
      </c>
      <c r="N165" s="7" t="s">
        <v>42</v>
      </c>
      <c r="O165" s="7" t="s">
        <v>37</v>
      </c>
      <c r="Q165" s="7">
        <v>10</v>
      </c>
      <c r="R165" s="7">
        <v>9</v>
      </c>
      <c r="S165" s="7">
        <v>9</v>
      </c>
      <c r="T165" s="7">
        <v>9</v>
      </c>
      <c r="U165" s="7">
        <v>4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43</v>
      </c>
      <c r="L166" s="7" t="s">
        <v>40</v>
      </c>
      <c r="M166" s="7" t="s">
        <v>38</v>
      </c>
      <c r="N166" s="7" t="s">
        <v>43</v>
      </c>
      <c r="O166" s="7" t="s">
        <v>39</v>
      </c>
      <c r="Q166" s="7">
        <v>10</v>
      </c>
      <c r="R166" s="7">
        <v>7</v>
      </c>
      <c r="S166" s="7">
        <v>5</v>
      </c>
      <c r="T166" s="7">
        <v>10</v>
      </c>
      <c r="U166" s="7">
        <v>6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34</v>
      </c>
      <c r="L167" s="7" t="s">
        <v>34</v>
      </c>
      <c r="M167" s="7" t="s">
        <v>34</v>
      </c>
      <c r="N167" s="7" t="s">
        <v>41</v>
      </c>
      <c r="O167" s="7" t="s">
        <v>40</v>
      </c>
      <c r="Q167" s="7">
        <v>2</v>
      </c>
      <c r="R167" s="7">
        <v>2</v>
      </c>
      <c r="S167" s="7">
        <v>2</v>
      </c>
      <c r="T167" s="7">
        <v>8</v>
      </c>
      <c r="U167" s="7">
        <v>7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40</v>
      </c>
      <c r="L168" s="7" t="s">
        <v>37</v>
      </c>
      <c r="M168" s="7" t="s">
        <v>43</v>
      </c>
      <c r="N168" s="7" t="s">
        <v>41</v>
      </c>
      <c r="O168" s="7" t="s">
        <v>37</v>
      </c>
      <c r="Q168" s="7">
        <v>7</v>
      </c>
      <c r="R168" s="7">
        <v>4</v>
      </c>
      <c r="S168" s="7">
        <v>10</v>
      </c>
      <c r="T168" s="7">
        <v>8</v>
      </c>
      <c r="U168" s="7">
        <v>4</v>
      </c>
      <c r="W168" s="4">
        <v>0</v>
      </c>
      <c r="X168" s="4">
        <v>0</v>
      </c>
      <c r="Y168" s="4">
        <v>0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40</v>
      </c>
      <c r="L169" s="7" t="s">
        <v>40</v>
      </c>
      <c r="M169" s="7" t="s">
        <v>43</v>
      </c>
      <c r="N169" s="7" t="s">
        <v>38</v>
      </c>
      <c r="O169" s="7" t="s">
        <v>42</v>
      </c>
      <c r="Q169" s="7">
        <v>7</v>
      </c>
      <c r="R169" s="7">
        <v>7</v>
      </c>
      <c r="S169" s="7">
        <v>10</v>
      </c>
      <c r="T169" s="7">
        <v>5</v>
      </c>
      <c r="U169" s="7">
        <v>9</v>
      </c>
      <c r="W169" s="4">
        <v>0</v>
      </c>
      <c r="X169" s="4">
        <v>0</v>
      </c>
      <c r="Y169" s="4">
        <v>0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43</v>
      </c>
      <c r="L170" s="7" t="s">
        <v>37</v>
      </c>
      <c r="M170" s="7" t="s">
        <v>38</v>
      </c>
      <c r="N170" s="7" t="s">
        <v>54</v>
      </c>
      <c r="O170" s="7" t="s">
        <v>36</v>
      </c>
      <c r="Q170" s="7">
        <v>10</v>
      </c>
      <c r="R170" s="7">
        <v>4</v>
      </c>
      <c r="S170" s="7">
        <v>5</v>
      </c>
      <c r="T170" s="7">
        <v>16</v>
      </c>
      <c r="U170" s="7">
        <v>3</v>
      </c>
      <c r="W170" s="4">
        <v>0</v>
      </c>
      <c r="X170" s="4">
        <v>0</v>
      </c>
      <c r="Y170" s="4">
        <v>0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42</v>
      </c>
      <c r="M171" s="7" t="s">
        <v>42</v>
      </c>
      <c r="N171" s="7" t="s">
        <v>54</v>
      </c>
      <c r="O171" s="7" t="s">
        <v>37</v>
      </c>
      <c r="Q171" s="7">
        <v>10</v>
      </c>
      <c r="R171" s="7">
        <v>9</v>
      </c>
      <c r="S171" s="7">
        <v>9</v>
      </c>
      <c r="T171" s="7">
        <v>16</v>
      </c>
      <c r="U171" s="7">
        <v>4</v>
      </c>
      <c r="W171" s="4">
        <v>0</v>
      </c>
      <c r="X171" s="4">
        <v>0</v>
      </c>
      <c r="Y171" s="4">
        <v>0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40</v>
      </c>
      <c r="L172" s="7" t="s">
        <v>39</v>
      </c>
      <c r="M172" s="7" t="s">
        <v>42</v>
      </c>
      <c r="N172" s="7" t="s">
        <v>39</v>
      </c>
      <c r="O172" s="7" t="s">
        <v>40</v>
      </c>
      <c r="Q172" s="7">
        <v>7</v>
      </c>
      <c r="R172" s="7">
        <v>6</v>
      </c>
      <c r="S172" s="7">
        <v>9</v>
      </c>
      <c r="T172" s="7">
        <v>6</v>
      </c>
      <c r="U172" s="7">
        <v>7</v>
      </c>
      <c r="W172" s="4">
        <v>0</v>
      </c>
      <c r="X172" s="4">
        <v>0</v>
      </c>
      <c r="Y172" s="4">
        <v>0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41</v>
      </c>
      <c r="L173" s="7" t="s">
        <v>39</v>
      </c>
      <c r="M173" s="7" t="s">
        <v>46</v>
      </c>
      <c r="N173" s="7" t="s">
        <v>42</v>
      </c>
      <c r="O173" s="7" t="s">
        <v>40</v>
      </c>
      <c r="Q173" s="7">
        <v>8</v>
      </c>
      <c r="R173" s="7">
        <v>6</v>
      </c>
      <c r="S173" s="7">
        <v>12</v>
      </c>
      <c r="T173" s="7">
        <v>9</v>
      </c>
      <c r="U173" s="7">
        <v>7</v>
      </c>
      <c r="W173" s="4">
        <v>0</v>
      </c>
      <c r="X173" s="4">
        <v>0</v>
      </c>
      <c r="Y173" s="4">
        <v>0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43</v>
      </c>
      <c r="L174" s="7" t="s">
        <v>39</v>
      </c>
      <c r="M174" s="7" t="s">
        <v>38</v>
      </c>
      <c r="N174" s="7" t="s">
        <v>42</v>
      </c>
      <c r="O174" s="7" t="s">
        <v>36</v>
      </c>
      <c r="Q174" s="7">
        <v>10</v>
      </c>
      <c r="R174" s="7">
        <v>6</v>
      </c>
      <c r="S174" s="7">
        <v>5</v>
      </c>
      <c r="T174" s="7">
        <v>9</v>
      </c>
      <c r="U174" s="7">
        <v>3</v>
      </c>
      <c r="W174" s="4">
        <v>0</v>
      </c>
      <c r="X174" s="4">
        <v>0</v>
      </c>
      <c r="Y174" s="4">
        <v>0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43</v>
      </c>
      <c r="L175" s="7" t="s">
        <v>37</v>
      </c>
      <c r="M175" s="7" t="s">
        <v>42</v>
      </c>
      <c r="N175" s="7" t="s">
        <v>40</v>
      </c>
      <c r="O175" s="7" t="s">
        <v>41</v>
      </c>
      <c r="Q175" s="7">
        <v>10</v>
      </c>
      <c r="R175" s="7">
        <v>4</v>
      </c>
      <c r="S175" s="7">
        <v>9</v>
      </c>
      <c r="T175" s="7">
        <v>7</v>
      </c>
      <c r="U175" s="7">
        <v>8</v>
      </c>
      <c r="W175" s="4">
        <v>0</v>
      </c>
      <c r="X175" s="4">
        <v>0</v>
      </c>
      <c r="Y175" s="4">
        <v>0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40</v>
      </c>
      <c r="L176" s="7" t="s">
        <v>46</v>
      </c>
      <c r="M176" s="7" t="s">
        <v>43</v>
      </c>
      <c r="N176" s="7" t="s">
        <v>42</v>
      </c>
      <c r="O176" s="7" t="s">
        <v>40</v>
      </c>
      <c r="Q176" s="7">
        <v>7</v>
      </c>
      <c r="R176" s="7">
        <v>12</v>
      </c>
      <c r="S176" s="7">
        <v>10</v>
      </c>
      <c r="T176" s="7">
        <v>9</v>
      </c>
      <c r="U176" s="7">
        <v>7</v>
      </c>
      <c r="W176" s="4">
        <v>0</v>
      </c>
      <c r="X176" s="4">
        <v>0</v>
      </c>
      <c r="Y176" s="4">
        <v>0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38</v>
      </c>
      <c r="L177" s="7" t="s">
        <v>40</v>
      </c>
      <c r="M177" s="7" t="s">
        <v>58</v>
      </c>
      <c r="N177" s="7" t="s">
        <v>40</v>
      </c>
      <c r="O177" s="7" t="s">
        <v>38</v>
      </c>
      <c r="Q177" s="7">
        <v>5</v>
      </c>
      <c r="R177" s="7">
        <v>7</v>
      </c>
      <c r="S177" s="7">
        <v>18</v>
      </c>
      <c r="T177" s="7">
        <v>7</v>
      </c>
      <c r="U177" s="7">
        <v>5</v>
      </c>
      <c r="W177" s="4">
        <v>0</v>
      </c>
      <c r="X177" s="4">
        <v>0</v>
      </c>
      <c r="Y177" s="4">
        <v>0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39</v>
      </c>
      <c r="L178" s="7" t="s">
        <v>46</v>
      </c>
      <c r="M178" s="7" t="s">
        <v>42</v>
      </c>
      <c r="N178" s="7" t="s">
        <v>42</v>
      </c>
      <c r="O178" s="7" t="s">
        <v>40</v>
      </c>
      <c r="Q178" s="7">
        <v>6</v>
      </c>
      <c r="R178" s="7">
        <v>12</v>
      </c>
      <c r="S178" s="7">
        <v>9</v>
      </c>
      <c r="T178" s="7">
        <v>9</v>
      </c>
      <c r="U178" s="7">
        <v>7</v>
      </c>
      <c r="W178" s="4">
        <v>0</v>
      </c>
      <c r="X178" s="4">
        <v>0</v>
      </c>
      <c r="Y178" s="4">
        <v>0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39</v>
      </c>
      <c r="L179" s="7" t="s">
        <v>41</v>
      </c>
      <c r="M179" s="7" t="s">
        <v>42</v>
      </c>
      <c r="N179" s="7" t="s">
        <v>54</v>
      </c>
      <c r="O179" s="7" t="s">
        <v>37</v>
      </c>
      <c r="Q179" s="7">
        <v>6</v>
      </c>
      <c r="R179" s="7">
        <v>8</v>
      </c>
      <c r="S179" s="7">
        <v>9</v>
      </c>
      <c r="T179" s="7">
        <v>16</v>
      </c>
      <c r="U179" s="7">
        <v>4</v>
      </c>
      <c r="W179" s="4">
        <v>0</v>
      </c>
      <c r="X179" s="4">
        <v>0</v>
      </c>
      <c r="Y179" s="4">
        <v>0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40</v>
      </c>
      <c r="M180" s="7" t="s">
        <v>42</v>
      </c>
      <c r="N180" s="7" t="s">
        <v>58</v>
      </c>
      <c r="O180" s="7" t="s">
        <v>42</v>
      </c>
      <c r="Q180" s="7">
        <v>10</v>
      </c>
      <c r="R180" s="7">
        <v>7</v>
      </c>
      <c r="S180" s="7">
        <v>9</v>
      </c>
      <c r="T180" s="7">
        <v>18</v>
      </c>
      <c r="U180" s="7">
        <v>9</v>
      </c>
      <c r="W180" s="4">
        <v>0</v>
      </c>
      <c r="X180" s="4">
        <v>0</v>
      </c>
      <c r="Y180" s="4">
        <v>0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40</v>
      </c>
      <c r="L181" s="7" t="s">
        <v>40</v>
      </c>
      <c r="M181" s="7" t="s">
        <v>43</v>
      </c>
      <c r="N181" s="7" t="s">
        <v>37</v>
      </c>
      <c r="O181" s="7" t="s">
        <v>42</v>
      </c>
      <c r="Q181" s="7">
        <v>7</v>
      </c>
      <c r="R181" s="7">
        <v>7</v>
      </c>
      <c r="S181" s="7">
        <v>10</v>
      </c>
      <c r="T181" s="7">
        <v>4</v>
      </c>
      <c r="U181" s="7">
        <v>9</v>
      </c>
      <c r="W181" s="4">
        <v>0</v>
      </c>
      <c r="X181" s="4">
        <v>0</v>
      </c>
      <c r="Y181" s="4">
        <v>0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40</v>
      </c>
      <c r="L182" s="7" t="s">
        <v>39</v>
      </c>
      <c r="M182" s="7" t="s">
        <v>43</v>
      </c>
      <c r="N182" s="7" t="s">
        <v>40</v>
      </c>
      <c r="O182" s="7" t="s">
        <v>36</v>
      </c>
      <c r="Q182" s="7">
        <v>7</v>
      </c>
      <c r="R182" s="7">
        <v>6</v>
      </c>
      <c r="S182" s="7">
        <v>10</v>
      </c>
      <c r="T182" s="7">
        <v>7</v>
      </c>
      <c r="U182" s="7">
        <v>3</v>
      </c>
      <c r="W182" s="4">
        <v>0</v>
      </c>
      <c r="X182" s="4">
        <v>0</v>
      </c>
      <c r="Y182" s="4">
        <v>0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38</v>
      </c>
      <c r="L183" s="7" t="s">
        <v>37</v>
      </c>
      <c r="M183" s="7" t="s">
        <v>38</v>
      </c>
      <c r="N183" s="7" t="s">
        <v>41</v>
      </c>
      <c r="O183" s="7" t="s">
        <v>38</v>
      </c>
      <c r="Q183" s="7">
        <v>5</v>
      </c>
      <c r="R183" s="7">
        <v>4</v>
      </c>
      <c r="S183" s="7">
        <v>5</v>
      </c>
      <c r="T183" s="7">
        <v>8</v>
      </c>
      <c r="U183" s="7">
        <v>5</v>
      </c>
      <c r="W183" s="4">
        <v>0</v>
      </c>
      <c r="X183" s="4">
        <v>0</v>
      </c>
      <c r="Y183" s="4">
        <v>0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40</v>
      </c>
      <c r="L184" s="7" t="s">
        <v>40</v>
      </c>
      <c r="M184" s="7" t="s">
        <v>42</v>
      </c>
      <c r="N184" s="7" t="s">
        <v>41</v>
      </c>
      <c r="O184" s="7" t="s">
        <v>39</v>
      </c>
      <c r="Q184" s="7">
        <v>7</v>
      </c>
      <c r="R184" s="7">
        <v>7</v>
      </c>
      <c r="S184" s="7">
        <v>9</v>
      </c>
      <c r="T184" s="7">
        <v>8</v>
      </c>
      <c r="U184" s="7">
        <v>6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41</v>
      </c>
      <c r="L185" s="7" t="s">
        <v>36</v>
      </c>
      <c r="M185" s="7" t="s">
        <v>38</v>
      </c>
      <c r="N185" s="7" t="s">
        <v>36</v>
      </c>
      <c r="O185" s="7" t="s">
        <v>39</v>
      </c>
      <c r="Q185" s="7">
        <v>8</v>
      </c>
      <c r="R185" s="7">
        <v>3</v>
      </c>
      <c r="S185" s="7">
        <v>5</v>
      </c>
      <c r="T185" s="7">
        <v>3</v>
      </c>
      <c r="U185" s="7">
        <v>6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36</v>
      </c>
      <c r="L186" s="7" t="s">
        <v>41</v>
      </c>
      <c r="M186" s="7" t="s">
        <v>38</v>
      </c>
      <c r="N186" s="7" t="s">
        <v>42</v>
      </c>
      <c r="O186" s="7" t="s">
        <v>39</v>
      </c>
      <c r="Q186" s="7">
        <v>3</v>
      </c>
      <c r="R186" s="7">
        <v>8</v>
      </c>
      <c r="S186" s="7">
        <v>5</v>
      </c>
      <c r="T186" s="7">
        <v>9</v>
      </c>
      <c r="U186" s="7">
        <v>6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34</v>
      </c>
      <c r="L187" s="7" t="s">
        <v>34</v>
      </c>
      <c r="M187" s="7" t="s">
        <v>34</v>
      </c>
      <c r="N187" s="7" t="s">
        <v>37</v>
      </c>
      <c r="O187" s="7" t="s">
        <v>41</v>
      </c>
      <c r="Q187" s="7">
        <v>2</v>
      </c>
      <c r="R187" s="7">
        <v>2</v>
      </c>
      <c r="S187" s="7">
        <v>2</v>
      </c>
      <c r="T187" s="7">
        <v>4</v>
      </c>
      <c r="U187" s="7">
        <v>8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40</v>
      </c>
      <c r="L188" s="7" t="s">
        <v>37</v>
      </c>
      <c r="M188" s="7" t="s">
        <v>43</v>
      </c>
      <c r="N188" s="7" t="s">
        <v>37</v>
      </c>
      <c r="O188" s="7" t="s">
        <v>40</v>
      </c>
      <c r="Q188" s="7">
        <v>7</v>
      </c>
      <c r="R188" s="7">
        <v>4</v>
      </c>
      <c r="S188" s="7">
        <v>10</v>
      </c>
      <c r="T188" s="7">
        <v>4</v>
      </c>
      <c r="U188" s="7">
        <v>7</v>
      </c>
      <c r="W188" s="4">
        <v>0</v>
      </c>
      <c r="X188" s="4">
        <v>0</v>
      </c>
      <c r="Y188" s="4">
        <v>0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43</v>
      </c>
      <c r="L189" s="7" t="s">
        <v>37</v>
      </c>
      <c r="M189" s="7" t="s">
        <v>42</v>
      </c>
      <c r="N189" s="7" t="s">
        <v>46</v>
      </c>
      <c r="O189" s="7" t="s">
        <v>42</v>
      </c>
      <c r="Q189" s="7">
        <v>10</v>
      </c>
      <c r="R189" s="7">
        <v>4</v>
      </c>
      <c r="S189" s="7">
        <v>9</v>
      </c>
      <c r="T189" s="7">
        <v>12</v>
      </c>
      <c r="U189" s="7">
        <v>9</v>
      </c>
      <c r="W189" s="4">
        <v>0</v>
      </c>
      <c r="X189" s="4">
        <v>0</v>
      </c>
      <c r="Y189" s="4">
        <v>0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41</v>
      </c>
      <c r="L190" s="7" t="s">
        <v>39</v>
      </c>
      <c r="M190" s="7" t="s">
        <v>38</v>
      </c>
      <c r="N190" s="7" t="s">
        <v>56</v>
      </c>
      <c r="O190" s="7" t="s">
        <v>36</v>
      </c>
      <c r="Q190" s="7">
        <v>8</v>
      </c>
      <c r="R190" s="7">
        <v>6</v>
      </c>
      <c r="S190" s="7">
        <v>5</v>
      </c>
      <c r="T190" s="7">
        <v>17</v>
      </c>
      <c r="U190" s="7">
        <v>3</v>
      </c>
      <c r="W190" s="4">
        <v>0</v>
      </c>
      <c r="X190" s="4">
        <v>0</v>
      </c>
      <c r="Y190" s="4">
        <v>0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40</v>
      </c>
      <c r="L191" s="7" t="s">
        <v>39</v>
      </c>
      <c r="M191" s="7" t="s">
        <v>43</v>
      </c>
      <c r="N191" s="7" t="s">
        <v>37</v>
      </c>
      <c r="O191" s="7" t="s">
        <v>41</v>
      </c>
      <c r="Q191" s="7">
        <v>7</v>
      </c>
      <c r="R191" s="7">
        <v>6</v>
      </c>
      <c r="S191" s="7">
        <v>10</v>
      </c>
      <c r="T191" s="7">
        <v>4</v>
      </c>
      <c r="U191" s="7">
        <v>8</v>
      </c>
      <c r="W191" s="4">
        <v>0</v>
      </c>
      <c r="X191" s="4">
        <v>0</v>
      </c>
      <c r="Y191" s="4">
        <v>0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43</v>
      </c>
      <c r="L192" s="7" t="s">
        <v>40</v>
      </c>
      <c r="M192" s="7" t="s">
        <v>41</v>
      </c>
      <c r="N192" s="7" t="s">
        <v>38</v>
      </c>
      <c r="O192" s="7" t="s">
        <v>41</v>
      </c>
      <c r="Q192" s="7">
        <v>10</v>
      </c>
      <c r="R192" s="7">
        <v>7</v>
      </c>
      <c r="S192" s="7">
        <v>8</v>
      </c>
      <c r="T192" s="7">
        <v>5</v>
      </c>
      <c r="U192" s="7">
        <v>8</v>
      </c>
      <c r="W192" s="4">
        <v>0</v>
      </c>
      <c r="X192" s="4">
        <v>0</v>
      </c>
      <c r="Y192" s="4">
        <v>0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43</v>
      </c>
      <c r="L193" s="7" t="s">
        <v>41</v>
      </c>
      <c r="M193" s="7" t="s">
        <v>42</v>
      </c>
      <c r="N193" s="7" t="s">
        <v>42</v>
      </c>
      <c r="O193" s="7" t="s">
        <v>38</v>
      </c>
      <c r="Q193" s="7">
        <v>10</v>
      </c>
      <c r="R193" s="7">
        <v>8</v>
      </c>
      <c r="S193" s="7">
        <v>9</v>
      </c>
      <c r="T193" s="7">
        <v>9</v>
      </c>
      <c r="U193" s="7">
        <v>5</v>
      </c>
      <c r="W193" s="4">
        <v>0</v>
      </c>
      <c r="X193" s="4">
        <v>0</v>
      </c>
      <c r="Y193" s="4">
        <v>0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40</v>
      </c>
      <c r="L194" s="7" t="s">
        <v>39</v>
      </c>
      <c r="M194" s="7" t="s">
        <v>42</v>
      </c>
      <c r="N194" s="7" t="s">
        <v>50</v>
      </c>
      <c r="O194" s="7" t="s">
        <v>37</v>
      </c>
      <c r="Q194" s="7">
        <v>7</v>
      </c>
      <c r="R194" s="7">
        <v>6</v>
      </c>
      <c r="S194" s="7">
        <v>9</v>
      </c>
      <c r="T194" s="7">
        <v>14</v>
      </c>
      <c r="U194" s="7">
        <v>4</v>
      </c>
      <c r="W194" s="4">
        <v>0</v>
      </c>
      <c r="X194" s="4">
        <v>0</v>
      </c>
      <c r="Y194" s="4">
        <v>0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40</v>
      </c>
      <c r="L195" s="7" t="s">
        <v>39</v>
      </c>
      <c r="M195" s="7" t="s">
        <v>41</v>
      </c>
      <c r="N195" s="7" t="s">
        <v>42</v>
      </c>
      <c r="O195" s="7" t="s">
        <v>40</v>
      </c>
      <c r="Q195" s="7">
        <v>7</v>
      </c>
      <c r="R195" s="7">
        <v>6</v>
      </c>
      <c r="S195" s="7">
        <v>8</v>
      </c>
      <c r="T195" s="7">
        <v>9</v>
      </c>
      <c r="U195" s="7">
        <v>7</v>
      </c>
      <c r="W195" s="4">
        <v>0</v>
      </c>
      <c r="X195" s="4">
        <v>0</v>
      </c>
      <c r="Y195" s="4">
        <v>0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41</v>
      </c>
      <c r="L196" s="7" t="s">
        <v>40</v>
      </c>
      <c r="M196" s="7" t="s">
        <v>43</v>
      </c>
      <c r="N196" s="7" t="s">
        <v>37</v>
      </c>
      <c r="O196" s="7" t="s">
        <v>40</v>
      </c>
      <c r="Q196" s="7">
        <v>8</v>
      </c>
      <c r="R196" s="7">
        <v>7</v>
      </c>
      <c r="S196" s="7">
        <v>10</v>
      </c>
      <c r="T196" s="7">
        <v>4</v>
      </c>
      <c r="U196" s="7">
        <v>7</v>
      </c>
      <c r="W196" s="4">
        <v>0</v>
      </c>
      <c r="X196" s="4">
        <v>0</v>
      </c>
      <c r="Y196" s="4">
        <v>0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46</v>
      </c>
      <c r="M197" s="7" t="s">
        <v>41</v>
      </c>
      <c r="N197" s="7" t="s">
        <v>42</v>
      </c>
      <c r="O197" s="7" t="s">
        <v>37</v>
      </c>
      <c r="Q197" s="7">
        <v>7</v>
      </c>
      <c r="R197" s="7">
        <v>12</v>
      </c>
      <c r="S197" s="7">
        <v>8</v>
      </c>
      <c r="T197" s="7">
        <v>9</v>
      </c>
      <c r="U197" s="7">
        <v>4</v>
      </c>
      <c r="W197" s="4">
        <v>0</v>
      </c>
      <c r="X197" s="4">
        <v>0</v>
      </c>
      <c r="Y197" s="4">
        <v>0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37</v>
      </c>
      <c r="L198" s="7" t="s">
        <v>39</v>
      </c>
      <c r="M198" s="7" t="s">
        <v>38</v>
      </c>
      <c r="N198" s="7" t="s">
        <v>42</v>
      </c>
      <c r="O198" s="7" t="s">
        <v>36</v>
      </c>
      <c r="Q198" s="7">
        <v>4</v>
      </c>
      <c r="R198" s="7">
        <v>6</v>
      </c>
      <c r="S198" s="7">
        <v>5</v>
      </c>
      <c r="T198" s="7">
        <v>9</v>
      </c>
      <c r="U198" s="7">
        <v>3</v>
      </c>
      <c r="W198" s="4">
        <v>0</v>
      </c>
      <c r="X198" s="4">
        <v>0</v>
      </c>
      <c r="Y198" s="4">
        <v>0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36</v>
      </c>
      <c r="L199" s="7" t="s">
        <v>37</v>
      </c>
      <c r="M199" s="7" t="s">
        <v>44</v>
      </c>
      <c r="N199" s="7" t="s">
        <v>39</v>
      </c>
      <c r="O199" s="7" t="s">
        <v>42</v>
      </c>
      <c r="Q199" s="7">
        <v>3</v>
      </c>
      <c r="R199" s="7">
        <v>4</v>
      </c>
      <c r="S199" s="7">
        <v>11</v>
      </c>
      <c r="T199" s="7">
        <v>6</v>
      </c>
      <c r="U199" s="7">
        <v>9</v>
      </c>
      <c r="W199" s="4">
        <v>0</v>
      </c>
      <c r="X199" s="4">
        <v>0</v>
      </c>
      <c r="Y199" s="4">
        <v>0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36</v>
      </c>
      <c r="L200" s="7" t="s">
        <v>37</v>
      </c>
      <c r="M200" s="7" t="s">
        <v>42</v>
      </c>
      <c r="N200" s="7" t="s">
        <v>42</v>
      </c>
      <c r="O200" s="7" t="s">
        <v>43</v>
      </c>
      <c r="Q200" s="7">
        <v>3</v>
      </c>
      <c r="R200" s="7">
        <v>4</v>
      </c>
      <c r="S200" s="7">
        <v>9</v>
      </c>
      <c r="T200" s="7">
        <v>9</v>
      </c>
      <c r="U200" s="7">
        <v>10</v>
      </c>
      <c r="W200" s="4">
        <v>0</v>
      </c>
      <c r="X200" s="4">
        <v>0</v>
      </c>
      <c r="Y200" s="4">
        <v>0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40</v>
      </c>
      <c r="L201" s="7" t="s">
        <v>39</v>
      </c>
      <c r="M201" s="7" t="s">
        <v>42</v>
      </c>
      <c r="N201" s="7" t="s">
        <v>36</v>
      </c>
      <c r="O201" s="7" t="s">
        <v>40</v>
      </c>
      <c r="Q201" s="7">
        <v>7</v>
      </c>
      <c r="R201" s="7">
        <v>6</v>
      </c>
      <c r="S201" s="7">
        <v>9</v>
      </c>
      <c r="T201" s="7">
        <v>3</v>
      </c>
      <c r="U201" s="7">
        <v>7</v>
      </c>
      <c r="W201" s="4">
        <v>0</v>
      </c>
      <c r="X201" s="4">
        <v>0</v>
      </c>
      <c r="Y201" s="4">
        <v>0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40</v>
      </c>
      <c r="L202" s="7" t="s">
        <v>37</v>
      </c>
      <c r="M202" s="7" t="s">
        <v>41</v>
      </c>
      <c r="N202" s="7" t="s">
        <v>39</v>
      </c>
      <c r="O202" s="7" t="s">
        <v>38</v>
      </c>
      <c r="Q202" s="7">
        <v>7</v>
      </c>
      <c r="R202" s="7">
        <v>4</v>
      </c>
      <c r="S202" s="7">
        <v>8</v>
      </c>
      <c r="T202" s="7">
        <v>6</v>
      </c>
      <c r="U202" s="7">
        <v>5</v>
      </c>
      <c r="W202" s="4">
        <v>0</v>
      </c>
      <c r="X202" s="4">
        <v>0</v>
      </c>
      <c r="Y202" s="4">
        <v>0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43</v>
      </c>
      <c r="L203" s="7" t="s">
        <v>36</v>
      </c>
      <c r="M203" s="7" t="s">
        <v>42</v>
      </c>
      <c r="N203" s="7" t="s">
        <v>36</v>
      </c>
      <c r="O203" s="7" t="s">
        <v>40</v>
      </c>
      <c r="Q203" s="7">
        <v>10</v>
      </c>
      <c r="R203" s="7">
        <v>3</v>
      </c>
      <c r="S203" s="7">
        <v>9</v>
      </c>
      <c r="T203" s="7">
        <v>3</v>
      </c>
      <c r="U203" s="7">
        <v>7</v>
      </c>
      <c r="W203" s="4">
        <v>0</v>
      </c>
      <c r="X203" s="4">
        <v>0</v>
      </c>
      <c r="Y203" s="4">
        <v>0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43</v>
      </c>
      <c r="L204" s="7" t="s">
        <v>40</v>
      </c>
      <c r="M204" s="7" t="s">
        <v>42</v>
      </c>
      <c r="N204" s="7" t="s">
        <v>41</v>
      </c>
      <c r="O204" s="7" t="s">
        <v>43</v>
      </c>
      <c r="Q204" s="7">
        <v>10</v>
      </c>
      <c r="R204" s="7">
        <v>7</v>
      </c>
      <c r="S204" s="7">
        <v>9</v>
      </c>
      <c r="T204" s="7">
        <v>8</v>
      </c>
      <c r="U204" s="7">
        <v>10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40</v>
      </c>
      <c r="L205" s="7" t="s">
        <v>50</v>
      </c>
      <c r="M205" s="7" t="s">
        <v>42</v>
      </c>
      <c r="N205" s="7" t="s">
        <v>38</v>
      </c>
      <c r="O205" s="7" t="s">
        <v>43</v>
      </c>
      <c r="Q205" s="7">
        <v>7</v>
      </c>
      <c r="R205" s="7">
        <v>14</v>
      </c>
      <c r="S205" s="7">
        <v>9</v>
      </c>
      <c r="T205" s="7">
        <v>5</v>
      </c>
      <c r="U205" s="7">
        <v>10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40</v>
      </c>
      <c r="M206" s="7" t="s">
        <v>37</v>
      </c>
      <c r="N206" s="7" t="s">
        <v>58</v>
      </c>
      <c r="O206" s="7" t="s">
        <v>39</v>
      </c>
      <c r="Q206" s="7">
        <v>7</v>
      </c>
      <c r="R206" s="7">
        <v>7</v>
      </c>
      <c r="S206" s="7">
        <v>4</v>
      </c>
      <c r="T206" s="7">
        <v>18</v>
      </c>
      <c r="U206" s="7">
        <v>6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34</v>
      </c>
      <c r="L207" s="7" t="s">
        <v>34</v>
      </c>
      <c r="M207" s="7" t="s">
        <v>34</v>
      </c>
      <c r="N207" s="7" t="s">
        <v>42</v>
      </c>
      <c r="O207" s="7" t="s">
        <v>38</v>
      </c>
      <c r="Q207" s="7">
        <v>2</v>
      </c>
      <c r="R207" s="7">
        <v>2</v>
      </c>
      <c r="S207" s="7">
        <v>2</v>
      </c>
      <c r="T207" s="7">
        <v>9</v>
      </c>
      <c r="U207" s="7">
        <v>5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38</v>
      </c>
      <c r="L208" s="7" t="s">
        <v>39</v>
      </c>
      <c r="M208" s="7" t="s">
        <v>38</v>
      </c>
      <c r="N208" s="7" t="s">
        <v>48</v>
      </c>
      <c r="O208" s="7" t="s">
        <v>39</v>
      </c>
      <c r="Q208" s="7">
        <v>5</v>
      </c>
      <c r="R208" s="7">
        <v>6</v>
      </c>
      <c r="S208" s="7">
        <v>5</v>
      </c>
      <c r="T208" s="7">
        <v>13</v>
      </c>
      <c r="U208" s="7">
        <v>6</v>
      </c>
      <c r="W208" s="4">
        <v>0</v>
      </c>
      <c r="X208" s="4">
        <v>0</v>
      </c>
      <c r="Y208" s="4">
        <v>0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36</v>
      </c>
      <c r="L209" s="7" t="s">
        <v>37</v>
      </c>
      <c r="M209" s="7" t="s">
        <v>42</v>
      </c>
      <c r="N209" s="7" t="s">
        <v>43</v>
      </c>
      <c r="O209" s="7" t="s">
        <v>38</v>
      </c>
      <c r="Q209" s="7">
        <v>3</v>
      </c>
      <c r="R209" s="7">
        <v>4</v>
      </c>
      <c r="S209" s="7">
        <v>9</v>
      </c>
      <c r="T209" s="7">
        <v>10</v>
      </c>
      <c r="U209" s="7">
        <v>5</v>
      </c>
      <c r="W209" s="4">
        <v>0</v>
      </c>
      <c r="X209" s="4">
        <v>0</v>
      </c>
      <c r="Y209" s="4">
        <v>0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41</v>
      </c>
      <c r="L210" s="7" t="s">
        <v>39</v>
      </c>
      <c r="M210" s="7" t="s">
        <v>43</v>
      </c>
      <c r="N210" s="7" t="s">
        <v>36</v>
      </c>
      <c r="O210" s="7" t="s">
        <v>42</v>
      </c>
      <c r="Q210" s="7">
        <v>8</v>
      </c>
      <c r="R210" s="7">
        <v>6</v>
      </c>
      <c r="S210" s="7">
        <v>10</v>
      </c>
      <c r="T210" s="7">
        <v>3</v>
      </c>
      <c r="U210" s="7">
        <v>9</v>
      </c>
      <c r="W210" s="4">
        <v>0</v>
      </c>
      <c r="X210" s="4">
        <v>0</v>
      </c>
      <c r="Y210" s="4">
        <v>0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39</v>
      </c>
      <c r="L211" s="7" t="s">
        <v>43</v>
      </c>
      <c r="M211" s="7" t="s">
        <v>43</v>
      </c>
      <c r="N211" s="7" t="s">
        <v>37</v>
      </c>
      <c r="O211" s="7" t="s">
        <v>37</v>
      </c>
      <c r="Q211" s="7">
        <v>6</v>
      </c>
      <c r="R211" s="7">
        <v>10</v>
      </c>
      <c r="S211" s="7">
        <v>10</v>
      </c>
      <c r="T211" s="7">
        <v>4</v>
      </c>
      <c r="U211" s="7">
        <v>4</v>
      </c>
      <c r="W211" s="4">
        <v>0</v>
      </c>
      <c r="X211" s="4">
        <v>0</v>
      </c>
      <c r="Y211" s="4">
        <v>0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43</v>
      </c>
      <c r="L212" s="7" t="s">
        <v>40</v>
      </c>
      <c r="M212" s="7" t="s">
        <v>36</v>
      </c>
      <c r="N212" s="7" t="s">
        <v>41</v>
      </c>
      <c r="O212" s="7" t="s">
        <v>43</v>
      </c>
      <c r="Q212" s="7">
        <v>10</v>
      </c>
      <c r="R212" s="7">
        <v>7</v>
      </c>
      <c r="S212" s="7">
        <v>3</v>
      </c>
      <c r="T212" s="7">
        <v>8</v>
      </c>
      <c r="U212" s="7">
        <v>10</v>
      </c>
      <c r="W212" s="4">
        <v>0</v>
      </c>
      <c r="X212" s="4">
        <v>0</v>
      </c>
      <c r="Y212" s="4">
        <v>0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36</v>
      </c>
      <c r="L213" s="7" t="s">
        <v>39</v>
      </c>
      <c r="M213" s="7" t="s">
        <v>46</v>
      </c>
      <c r="N213" s="7" t="s">
        <v>38</v>
      </c>
      <c r="O213" s="7" t="s">
        <v>38</v>
      </c>
      <c r="Q213" s="7">
        <v>3</v>
      </c>
      <c r="R213" s="7">
        <v>6</v>
      </c>
      <c r="S213" s="7">
        <v>12</v>
      </c>
      <c r="T213" s="7">
        <v>5</v>
      </c>
      <c r="U213" s="7">
        <v>5</v>
      </c>
      <c r="W213" s="4">
        <v>0</v>
      </c>
      <c r="X213" s="4">
        <v>0</v>
      </c>
      <c r="Y213" s="4">
        <v>0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36</v>
      </c>
      <c r="L214" s="7" t="s">
        <v>41</v>
      </c>
      <c r="M214" s="7" t="s">
        <v>42</v>
      </c>
      <c r="N214" s="7" t="s">
        <v>42</v>
      </c>
      <c r="O214" s="7" t="s">
        <v>41</v>
      </c>
      <c r="Q214" s="7">
        <v>3</v>
      </c>
      <c r="R214" s="7">
        <v>8</v>
      </c>
      <c r="S214" s="7">
        <v>9</v>
      </c>
      <c r="T214" s="7">
        <v>9</v>
      </c>
      <c r="U214" s="7">
        <v>8</v>
      </c>
      <c r="W214" s="4">
        <v>0</v>
      </c>
      <c r="X214" s="4">
        <v>0</v>
      </c>
      <c r="Y214" s="4">
        <v>0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43</v>
      </c>
      <c r="L215" s="7" t="s">
        <v>39</v>
      </c>
      <c r="M215" s="7" t="s">
        <v>58</v>
      </c>
      <c r="N215" s="7" t="s">
        <v>41</v>
      </c>
      <c r="O215" s="7" t="s">
        <v>40</v>
      </c>
      <c r="Q215" s="7">
        <v>10</v>
      </c>
      <c r="R215" s="7">
        <v>6</v>
      </c>
      <c r="S215" s="7">
        <v>18</v>
      </c>
      <c r="T215" s="7">
        <v>8</v>
      </c>
      <c r="U215" s="7">
        <v>7</v>
      </c>
      <c r="W215" s="4">
        <v>0</v>
      </c>
      <c r="X215" s="4">
        <v>0</v>
      </c>
      <c r="Y215" s="4">
        <v>0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38</v>
      </c>
      <c r="L216" s="7" t="s">
        <v>40</v>
      </c>
      <c r="M216" s="7" t="s">
        <v>43</v>
      </c>
      <c r="N216" s="7" t="s">
        <v>41</v>
      </c>
      <c r="O216" s="7" t="s">
        <v>37</v>
      </c>
      <c r="Q216" s="7">
        <v>5</v>
      </c>
      <c r="R216" s="7">
        <v>7</v>
      </c>
      <c r="S216" s="7">
        <v>10</v>
      </c>
      <c r="T216" s="7">
        <v>8</v>
      </c>
      <c r="U216" s="7">
        <v>4</v>
      </c>
      <c r="W216" s="4">
        <v>0</v>
      </c>
      <c r="X216" s="4">
        <v>0</v>
      </c>
      <c r="Y216" s="4">
        <v>0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43</v>
      </c>
      <c r="L217" s="7" t="s">
        <v>39</v>
      </c>
      <c r="M217" s="7" t="s">
        <v>41</v>
      </c>
      <c r="N217" s="7" t="s">
        <v>42</v>
      </c>
      <c r="O217" s="7" t="s">
        <v>42</v>
      </c>
      <c r="Q217" s="7">
        <v>10</v>
      </c>
      <c r="R217" s="7">
        <v>6</v>
      </c>
      <c r="S217" s="7">
        <v>8</v>
      </c>
      <c r="T217" s="7">
        <v>9</v>
      </c>
      <c r="U217" s="7">
        <v>9</v>
      </c>
      <c r="W217" s="4">
        <v>0</v>
      </c>
      <c r="X217" s="4">
        <v>0</v>
      </c>
      <c r="Y217" s="4">
        <v>0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36</v>
      </c>
      <c r="L218" s="7" t="s">
        <v>37</v>
      </c>
      <c r="M218" s="7" t="s">
        <v>43</v>
      </c>
      <c r="N218" s="7" t="s">
        <v>39</v>
      </c>
      <c r="O218" s="7" t="s">
        <v>40</v>
      </c>
      <c r="Q218" s="7">
        <v>3</v>
      </c>
      <c r="R218" s="7">
        <v>4</v>
      </c>
      <c r="S218" s="7">
        <v>10</v>
      </c>
      <c r="T218" s="7">
        <v>6</v>
      </c>
      <c r="U218" s="7">
        <v>7</v>
      </c>
      <c r="W218" s="4">
        <v>0</v>
      </c>
      <c r="X218" s="4">
        <v>0</v>
      </c>
      <c r="Y218" s="4">
        <v>0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39</v>
      </c>
      <c r="M219" s="7" t="s">
        <v>43</v>
      </c>
      <c r="N219" s="7" t="s">
        <v>41</v>
      </c>
      <c r="O219" s="7" t="s">
        <v>40</v>
      </c>
      <c r="Q219" s="7">
        <v>6</v>
      </c>
      <c r="R219" s="7">
        <v>6</v>
      </c>
      <c r="S219" s="7">
        <v>10</v>
      </c>
      <c r="T219" s="7">
        <v>8</v>
      </c>
      <c r="U219" s="7">
        <v>7</v>
      </c>
      <c r="W219" s="4">
        <v>0</v>
      </c>
      <c r="X219" s="4">
        <v>0</v>
      </c>
      <c r="Y219" s="4">
        <v>0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40</v>
      </c>
      <c r="L220" s="7" t="s">
        <v>40</v>
      </c>
      <c r="M220" s="7" t="s">
        <v>38</v>
      </c>
      <c r="N220" s="7" t="s">
        <v>42</v>
      </c>
      <c r="O220" s="7" t="s">
        <v>37</v>
      </c>
      <c r="Q220" s="7">
        <v>7</v>
      </c>
      <c r="R220" s="7">
        <v>7</v>
      </c>
      <c r="S220" s="7">
        <v>5</v>
      </c>
      <c r="T220" s="7">
        <v>9</v>
      </c>
      <c r="U220" s="7">
        <v>4</v>
      </c>
      <c r="W220" s="4">
        <v>0</v>
      </c>
      <c r="X220" s="4">
        <v>0</v>
      </c>
      <c r="Y220" s="4">
        <v>0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41</v>
      </c>
      <c r="L221" s="7" t="s">
        <v>37</v>
      </c>
      <c r="M221" s="7" t="s">
        <v>43</v>
      </c>
      <c r="N221" s="7" t="s">
        <v>39</v>
      </c>
      <c r="O221" s="7" t="s">
        <v>37</v>
      </c>
      <c r="Q221" s="7">
        <v>8</v>
      </c>
      <c r="R221" s="7">
        <v>4</v>
      </c>
      <c r="S221" s="7">
        <v>10</v>
      </c>
      <c r="T221" s="7">
        <v>6</v>
      </c>
      <c r="U221" s="7">
        <v>4</v>
      </c>
      <c r="W221" s="4">
        <v>0</v>
      </c>
      <c r="X221" s="4">
        <v>0</v>
      </c>
      <c r="Y221" s="4">
        <v>0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41</v>
      </c>
      <c r="L222" s="7" t="s">
        <v>40</v>
      </c>
      <c r="M222" s="7" t="s">
        <v>58</v>
      </c>
      <c r="N222" s="7" t="s">
        <v>41</v>
      </c>
      <c r="O222" s="7" t="s">
        <v>39</v>
      </c>
      <c r="Q222" s="7">
        <v>8</v>
      </c>
      <c r="R222" s="7">
        <v>7</v>
      </c>
      <c r="S222" s="7">
        <v>18</v>
      </c>
      <c r="T222" s="7">
        <v>8</v>
      </c>
      <c r="U222" s="7">
        <v>6</v>
      </c>
      <c r="W222" s="4">
        <v>0</v>
      </c>
      <c r="X222" s="4">
        <v>0</v>
      </c>
      <c r="Y222" s="4">
        <v>0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43</v>
      </c>
      <c r="L223" s="7" t="s">
        <v>37</v>
      </c>
      <c r="M223" s="7" t="s">
        <v>58</v>
      </c>
      <c r="N223" s="7" t="s">
        <v>39</v>
      </c>
      <c r="O223" s="7" t="s">
        <v>38</v>
      </c>
      <c r="Q223" s="7">
        <v>10</v>
      </c>
      <c r="R223" s="7">
        <v>4</v>
      </c>
      <c r="S223" s="7">
        <v>18</v>
      </c>
      <c r="T223" s="7">
        <v>6</v>
      </c>
      <c r="U223" s="7">
        <v>5</v>
      </c>
      <c r="W223" s="4">
        <v>0</v>
      </c>
      <c r="X223" s="4">
        <v>0</v>
      </c>
      <c r="Y223" s="4">
        <v>0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38</v>
      </c>
      <c r="L224" s="7" t="s">
        <v>40</v>
      </c>
      <c r="M224" s="7" t="s">
        <v>42</v>
      </c>
      <c r="N224" s="7" t="s">
        <v>42</v>
      </c>
      <c r="O224" s="7" t="s">
        <v>40</v>
      </c>
      <c r="Q224" s="7">
        <v>5</v>
      </c>
      <c r="R224" s="7">
        <v>7</v>
      </c>
      <c r="S224" s="7">
        <v>9</v>
      </c>
      <c r="T224" s="7">
        <v>9</v>
      </c>
      <c r="U224" s="7">
        <v>7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37</v>
      </c>
      <c r="M225" s="7" t="s">
        <v>42</v>
      </c>
      <c r="N225" s="7" t="s">
        <v>36</v>
      </c>
      <c r="O225" s="7" t="s">
        <v>40</v>
      </c>
      <c r="Q225" s="7">
        <v>7</v>
      </c>
      <c r="R225" s="7">
        <v>4</v>
      </c>
      <c r="S225" s="7">
        <v>9</v>
      </c>
      <c r="T225" s="7">
        <v>3</v>
      </c>
      <c r="U225" s="7">
        <v>7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43</v>
      </c>
      <c r="L226" s="7" t="s">
        <v>37</v>
      </c>
      <c r="M226" s="7" t="s">
        <v>42</v>
      </c>
      <c r="N226" s="7" t="s">
        <v>42</v>
      </c>
      <c r="O226" s="7" t="s">
        <v>40</v>
      </c>
      <c r="Q226" s="7">
        <v>10</v>
      </c>
      <c r="R226" s="7">
        <v>4</v>
      </c>
      <c r="S226" s="7">
        <v>9</v>
      </c>
      <c r="T226" s="7">
        <v>9</v>
      </c>
      <c r="U226" s="7">
        <v>7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34</v>
      </c>
      <c r="L227" s="7" t="s">
        <v>34</v>
      </c>
      <c r="M227" s="7" t="s">
        <v>34</v>
      </c>
      <c r="N227" s="7" t="s">
        <v>58</v>
      </c>
      <c r="O227" s="7" t="s">
        <v>41</v>
      </c>
      <c r="Q227" s="7">
        <v>2</v>
      </c>
      <c r="R227" s="7">
        <v>2</v>
      </c>
      <c r="S227" s="7">
        <v>2</v>
      </c>
      <c r="T227" s="7">
        <v>18</v>
      </c>
      <c r="U227" s="7">
        <v>8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43</v>
      </c>
      <c r="L228" s="7" t="s">
        <v>37</v>
      </c>
      <c r="M228" s="7" t="s">
        <v>43</v>
      </c>
      <c r="N228" s="7" t="s">
        <v>39</v>
      </c>
      <c r="O228" s="7" t="s">
        <v>36</v>
      </c>
      <c r="Q228" s="7">
        <v>10</v>
      </c>
      <c r="R228" s="7">
        <v>4</v>
      </c>
      <c r="S228" s="7">
        <v>10</v>
      </c>
      <c r="T228" s="7">
        <v>6</v>
      </c>
      <c r="U228" s="7">
        <v>3</v>
      </c>
      <c r="W228" s="4">
        <v>0</v>
      </c>
      <c r="X228" s="4">
        <v>0</v>
      </c>
      <c r="Y228" s="4">
        <v>0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41</v>
      </c>
      <c r="L229" s="7" t="s">
        <v>37</v>
      </c>
      <c r="M229" s="7" t="s">
        <v>42</v>
      </c>
      <c r="N229" s="7" t="s">
        <v>38</v>
      </c>
      <c r="O229" s="7" t="s">
        <v>36</v>
      </c>
      <c r="Q229" s="7">
        <v>8</v>
      </c>
      <c r="R229" s="7">
        <v>4</v>
      </c>
      <c r="S229" s="7">
        <v>9</v>
      </c>
      <c r="T229" s="7">
        <v>5</v>
      </c>
      <c r="U229" s="7">
        <v>3</v>
      </c>
      <c r="W229" s="4">
        <v>0</v>
      </c>
      <c r="X229" s="4">
        <v>0</v>
      </c>
      <c r="Y229" s="4">
        <v>0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43</v>
      </c>
      <c r="L230" s="7" t="s">
        <v>40</v>
      </c>
      <c r="M230" s="7" t="s">
        <v>42</v>
      </c>
      <c r="N230" s="7" t="s">
        <v>58</v>
      </c>
      <c r="O230" s="7" t="s">
        <v>43</v>
      </c>
      <c r="Q230" s="7">
        <v>10</v>
      </c>
      <c r="R230" s="7">
        <v>7</v>
      </c>
      <c r="S230" s="7">
        <v>9</v>
      </c>
      <c r="T230" s="7">
        <v>18</v>
      </c>
      <c r="U230" s="7">
        <v>10</v>
      </c>
      <c r="W230" s="4">
        <v>0</v>
      </c>
      <c r="X230" s="4">
        <v>0</v>
      </c>
      <c r="Y230" s="4">
        <v>0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43</v>
      </c>
      <c r="L231" s="7" t="s">
        <v>46</v>
      </c>
      <c r="M231" s="7" t="s">
        <v>43</v>
      </c>
      <c r="N231" s="7" t="s">
        <v>39</v>
      </c>
      <c r="O231" s="7" t="s">
        <v>42</v>
      </c>
      <c r="Q231" s="7">
        <v>10</v>
      </c>
      <c r="R231" s="7">
        <v>12</v>
      </c>
      <c r="S231" s="7">
        <v>10</v>
      </c>
      <c r="T231" s="7">
        <v>6</v>
      </c>
      <c r="U231" s="7">
        <v>9</v>
      </c>
      <c r="W231" s="4">
        <v>0</v>
      </c>
      <c r="X231" s="4">
        <v>0</v>
      </c>
      <c r="Y231" s="4">
        <v>0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36</v>
      </c>
      <c r="L232" s="7" t="s">
        <v>37</v>
      </c>
      <c r="M232" s="7" t="s">
        <v>38</v>
      </c>
      <c r="N232" s="7" t="s">
        <v>42</v>
      </c>
      <c r="O232" s="7" t="s">
        <v>42</v>
      </c>
      <c r="Q232" s="7">
        <v>3</v>
      </c>
      <c r="R232" s="7">
        <v>4</v>
      </c>
      <c r="S232" s="7">
        <v>5</v>
      </c>
      <c r="T232" s="7">
        <v>9</v>
      </c>
      <c r="U232" s="7">
        <v>9</v>
      </c>
      <c r="W232" s="4">
        <v>0</v>
      </c>
      <c r="X232" s="4">
        <v>0</v>
      </c>
      <c r="Y232" s="4">
        <v>0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43</v>
      </c>
      <c r="L233" s="7" t="s">
        <v>52</v>
      </c>
      <c r="M233" s="7" t="s">
        <v>42</v>
      </c>
      <c r="N233" s="7" t="s">
        <v>42</v>
      </c>
      <c r="O233" s="7" t="s">
        <v>37</v>
      </c>
      <c r="Q233" s="7">
        <v>10</v>
      </c>
      <c r="R233" s="7">
        <v>15</v>
      </c>
      <c r="S233" s="7">
        <v>9</v>
      </c>
      <c r="T233" s="7">
        <v>9</v>
      </c>
      <c r="U233" s="7">
        <v>4</v>
      </c>
      <c r="W233" s="4">
        <v>0</v>
      </c>
      <c r="X233" s="4">
        <v>0</v>
      </c>
      <c r="Y233" s="4">
        <v>0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41</v>
      </c>
      <c r="L234" s="7" t="s">
        <v>39</v>
      </c>
      <c r="M234" s="7" t="s">
        <v>43</v>
      </c>
      <c r="N234" s="7" t="s">
        <v>41</v>
      </c>
      <c r="O234" s="7" t="s">
        <v>41</v>
      </c>
      <c r="Q234" s="7">
        <v>8</v>
      </c>
      <c r="R234" s="7">
        <v>6</v>
      </c>
      <c r="S234" s="7">
        <v>10</v>
      </c>
      <c r="T234" s="7">
        <v>8</v>
      </c>
      <c r="U234" s="7">
        <v>8</v>
      </c>
      <c r="W234" s="4">
        <v>0</v>
      </c>
      <c r="X234" s="4">
        <v>0</v>
      </c>
      <c r="Y234" s="4">
        <v>0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41</v>
      </c>
      <c r="L235" s="7" t="s">
        <v>37</v>
      </c>
      <c r="M235" s="7" t="s">
        <v>42</v>
      </c>
      <c r="N235" s="7" t="s">
        <v>42</v>
      </c>
      <c r="O235" s="7" t="s">
        <v>38</v>
      </c>
      <c r="Q235" s="7">
        <v>8</v>
      </c>
      <c r="R235" s="7">
        <v>4</v>
      </c>
      <c r="S235" s="7">
        <v>9</v>
      </c>
      <c r="T235" s="7">
        <v>9</v>
      </c>
      <c r="U235" s="7">
        <v>5</v>
      </c>
      <c r="W235" s="4">
        <v>0</v>
      </c>
      <c r="X235" s="4">
        <v>0</v>
      </c>
      <c r="Y235" s="4">
        <v>0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41</v>
      </c>
      <c r="L236" s="7" t="s">
        <v>37</v>
      </c>
      <c r="M236" s="7" t="s">
        <v>43</v>
      </c>
      <c r="N236" s="7" t="s">
        <v>38</v>
      </c>
      <c r="O236" s="7" t="s">
        <v>37</v>
      </c>
      <c r="Q236" s="7">
        <v>8</v>
      </c>
      <c r="R236" s="7">
        <v>4</v>
      </c>
      <c r="S236" s="7">
        <v>10</v>
      </c>
      <c r="T236" s="7">
        <v>5</v>
      </c>
      <c r="U236" s="7">
        <v>4</v>
      </c>
      <c r="W236" s="4">
        <v>0</v>
      </c>
      <c r="X236" s="4">
        <v>0</v>
      </c>
      <c r="Y236" s="4">
        <v>0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36</v>
      </c>
      <c r="L237" s="7" t="s">
        <v>39</v>
      </c>
      <c r="M237" s="7" t="s">
        <v>44</v>
      </c>
      <c r="N237" s="7" t="s">
        <v>40</v>
      </c>
      <c r="O237" s="7" t="s">
        <v>41</v>
      </c>
      <c r="Q237" s="7">
        <v>3</v>
      </c>
      <c r="R237" s="7">
        <v>6</v>
      </c>
      <c r="S237" s="7">
        <v>11</v>
      </c>
      <c r="T237" s="7">
        <v>7</v>
      </c>
      <c r="U237" s="7">
        <v>8</v>
      </c>
      <c r="W237" s="4">
        <v>0</v>
      </c>
      <c r="X237" s="4">
        <v>0</v>
      </c>
      <c r="Y237" s="4">
        <v>0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41</v>
      </c>
      <c r="L238" s="7" t="s">
        <v>40</v>
      </c>
      <c r="M238" s="7" t="s">
        <v>43</v>
      </c>
      <c r="N238" s="7" t="s">
        <v>39</v>
      </c>
      <c r="O238" s="7" t="s">
        <v>38</v>
      </c>
      <c r="Q238" s="7">
        <v>8</v>
      </c>
      <c r="R238" s="7">
        <v>7</v>
      </c>
      <c r="S238" s="7">
        <v>10</v>
      </c>
      <c r="T238" s="7">
        <v>6</v>
      </c>
      <c r="U238" s="7">
        <v>5</v>
      </c>
      <c r="W238" s="4">
        <v>0</v>
      </c>
      <c r="X238" s="4">
        <v>0</v>
      </c>
      <c r="Y238" s="4">
        <v>0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43</v>
      </c>
      <c r="L239" s="7" t="s">
        <v>37</v>
      </c>
      <c r="M239" s="7" t="s">
        <v>38</v>
      </c>
      <c r="N239" s="7" t="s">
        <v>41</v>
      </c>
      <c r="O239" s="7" t="s">
        <v>41</v>
      </c>
      <c r="Q239" s="7">
        <v>10</v>
      </c>
      <c r="R239" s="7">
        <v>4</v>
      </c>
      <c r="S239" s="7">
        <v>5</v>
      </c>
      <c r="T239" s="7">
        <v>8</v>
      </c>
      <c r="U239" s="7">
        <v>8</v>
      </c>
      <c r="W239" s="4">
        <v>0</v>
      </c>
      <c r="X239" s="4">
        <v>0</v>
      </c>
      <c r="Y239" s="4">
        <v>0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43</v>
      </c>
      <c r="L240" s="7" t="s">
        <v>37</v>
      </c>
      <c r="M240" s="7" t="s">
        <v>38</v>
      </c>
      <c r="N240" s="7" t="s">
        <v>38</v>
      </c>
      <c r="O240" s="7" t="s">
        <v>39</v>
      </c>
      <c r="Q240" s="7">
        <v>10</v>
      </c>
      <c r="R240" s="7">
        <v>4</v>
      </c>
      <c r="S240" s="7">
        <v>5</v>
      </c>
      <c r="T240" s="7">
        <v>5</v>
      </c>
      <c r="U240" s="7">
        <v>6</v>
      </c>
      <c r="W240" s="4">
        <v>0</v>
      </c>
      <c r="X240" s="4">
        <v>0</v>
      </c>
      <c r="Y240" s="4">
        <v>0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43</v>
      </c>
      <c r="L241" s="7" t="s">
        <v>40</v>
      </c>
      <c r="M241" s="7" t="s">
        <v>36</v>
      </c>
      <c r="N241" s="7" t="s">
        <v>48</v>
      </c>
      <c r="O241" s="7" t="s">
        <v>41</v>
      </c>
      <c r="Q241" s="7">
        <v>10</v>
      </c>
      <c r="R241" s="7">
        <v>7</v>
      </c>
      <c r="S241" s="7">
        <v>3</v>
      </c>
      <c r="T241" s="7">
        <v>13</v>
      </c>
      <c r="U241" s="7">
        <v>8</v>
      </c>
      <c r="W241" s="4">
        <v>0</v>
      </c>
      <c r="X241" s="4">
        <v>0</v>
      </c>
      <c r="Y241" s="4">
        <v>0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41</v>
      </c>
      <c r="L242" s="7" t="s">
        <v>39</v>
      </c>
      <c r="M242" s="7" t="s">
        <v>42</v>
      </c>
      <c r="N242" s="7" t="s">
        <v>39</v>
      </c>
      <c r="O242" s="7" t="s">
        <v>43</v>
      </c>
      <c r="Q242" s="7">
        <v>8</v>
      </c>
      <c r="R242" s="7">
        <v>6</v>
      </c>
      <c r="S242" s="7">
        <v>9</v>
      </c>
      <c r="T242" s="7">
        <v>6</v>
      </c>
      <c r="U242" s="7">
        <v>10</v>
      </c>
      <c r="W242" s="4">
        <v>0</v>
      </c>
      <c r="X242" s="4">
        <v>0</v>
      </c>
      <c r="Y242" s="4">
        <v>0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41</v>
      </c>
      <c r="L243" s="7" t="s">
        <v>37</v>
      </c>
      <c r="M243" s="7" t="s">
        <v>42</v>
      </c>
      <c r="N243" s="7" t="s">
        <v>39</v>
      </c>
      <c r="O243" s="7" t="s">
        <v>38</v>
      </c>
      <c r="Q243" s="7">
        <v>8</v>
      </c>
      <c r="R243" s="7">
        <v>4</v>
      </c>
      <c r="S243" s="7">
        <v>9</v>
      </c>
      <c r="T243" s="7">
        <v>6</v>
      </c>
      <c r="U243" s="7">
        <v>5</v>
      </c>
      <c r="W243" s="4">
        <v>0</v>
      </c>
      <c r="X243" s="4">
        <v>0</v>
      </c>
      <c r="Y243" s="4">
        <v>0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37</v>
      </c>
      <c r="M244" s="7" t="s">
        <v>43</v>
      </c>
      <c r="N244" s="7" t="s">
        <v>36</v>
      </c>
      <c r="O244" s="7" t="s">
        <v>41</v>
      </c>
      <c r="Q244" s="7">
        <v>8</v>
      </c>
      <c r="R244" s="7">
        <v>4</v>
      </c>
      <c r="S244" s="7">
        <v>10</v>
      </c>
      <c r="T244" s="7">
        <v>3</v>
      </c>
      <c r="U244" s="7">
        <v>8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43</v>
      </c>
      <c r="L245" s="7" t="s">
        <v>40</v>
      </c>
      <c r="M245" s="7" t="s">
        <v>58</v>
      </c>
      <c r="N245" s="7" t="s">
        <v>52</v>
      </c>
      <c r="O245" s="7" t="s">
        <v>42</v>
      </c>
      <c r="Q245" s="7">
        <v>10</v>
      </c>
      <c r="R245" s="7">
        <v>7</v>
      </c>
      <c r="S245" s="7">
        <v>18</v>
      </c>
      <c r="T245" s="7">
        <v>15</v>
      </c>
      <c r="U245" s="7">
        <v>9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38</v>
      </c>
      <c r="L246" s="7" t="s">
        <v>41</v>
      </c>
      <c r="M246" s="7" t="s">
        <v>43</v>
      </c>
      <c r="N246" s="7" t="s">
        <v>42</v>
      </c>
      <c r="O246" s="7" t="s">
        <v>41</v>
      </c>
      <c r="Q246" s="7">
        <v>5</v>
      </c>
      <c r="R246" s="7">
        <v>8</v>
      </c>
      <c r="S246" s="7">
        <v>10</v>
      </c>
      <c r="T246" s="7">
        <v>9</v>
      </c>
      <c r="U246" s="7">
        <v>8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34</v>
      </c>
      <c r="L247" s="7" t="s">
        <v>34</v>
      </c>
      <c r="M247" s="7" t="s">
        <v>34</v>
      </c>
      <c r="N247" s="7" t="s">
        <v>41</v>
      </c>
      <c r="O247" s="7" t="s">
        <v>38</v>
      </c>
      <c r="Q247" s="7">
        <v>2</v>
      </c>
      <c r="R247" s="7">
        <v>2</v>
      </c>
      <c r="S247" s="7">
        <v>2</v>
      </c>
      <c r="T247" s="7">
        <v>8</v>
      </c>
      <c r="U247" s="7">
        <v>5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43</v>
      </c>
      <c r="L248" s="7" t="s">
        <v>39</v>
      </c>
      <c r="M248" s="7" t="s">
        <v>38</v>
      </c>
      <c r="N248" s="7" t="s">
        <v>42</v>
      </c>
      <c r="O248" s="7" t="s">
        <v>40</v>
      </c>
      <c r="Q248" s="7">
        <v>10</v>
      </c>
      <c r="R248" s="7">
        <v>6</v>
      </c>
      <c r="S248" s="7">
        <v>5</v>
      </c>
      <c r="T248" s="7">
        <v>9</v>
      </c>
      <c r="U248" s="7">
        <v>7</v>
      </c>
      <c r="W248" s="4">
        <v>0</v>
      </c>
      <c r="X248" s="4">
        <v>0</v>
      </c>
      <c r="Y248" s="4">
        <v>0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41</v>
      </c>
      <c r="L249" s="7" t="s">
        <v>37</v>
      </c>
      <c r="M249" s="7" t="s">
        <v>42</v>
      </c>
      <c r="N249" s="7" t="s">
        <v>42</v>
      </c>
      <c r="O249" s="7" t="s">
        <v>41</v>
      </c>
      <c r="Q249" s="7">
        <v>8</v>
      </c>
      <c r="R249" s="7">
        <v>4</v>
      </c>
      <c r="S249" s="7">
        <v>9</v>
      </c>
      <c r="T249" s="7">
        <v>9</v>
      </c>
      <c r="U249" s="7">
        <v>8</v>
      </c>
      <c r="W249" s="4">
        <v>0</v>
      </c>
      <c r="X249" s="4">
        <v>0</v>
      </c>
      <c r="Y249" s="4">
        <v>0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36</v>
      </c>
      <c r="M250" s="7" t="s">
        <v>42</v>
      </c>
      <c r="N250" s="7" t="s">
        <v>54</v>
      </c>
      <c r="O250" s="7" t="s">
        <v>43</v>
      </c>
      <c r="Q250" s="7">
        <v>8</v>
      </c>
      <c r="R250" s="7">
        <v>3</v>
      </c>
      <c r="S250" s="7">
        <v>9</v>
      </c>
      <c r="T250" s="7">
        <v>16</v>
      </c>
      <c r="U250" s="7">
        <v>10</v>
      </c>
      <c r="W250" s="4">
        <v>0</v>
      </c>
      <c r="X250" s="4">
        <v>0</v>
      </c>
      <c r="Y250" s="4">
        <v>0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43</v>
      </c>
      <c r="L251" s="7" t="s">
        <v>36</v>
      </c>
      <c r="M251" s="7" t="s">
        <v>43</v>
      </c>
      <c r="N251" s="7" t="s">
        <v>37</v>
      </c>
      <c r="O251" s="7" t="s">
        <v>36</v>
      </c>
      <c r="Q251" s="7">
        <v>10</v>
      </c>
      <c r="R251" s="7">
        <v>3</v>
      </c>
      <c r="S251" s="7">
        <v>10</v>
      </c>
      <c r="T251" s="7">
        <v>4</v>
      </c>
      <c r="U251" s="7">
        <v>3</v>
      </c>
      <c r="W251" s="4">
        <v>0</v>
      </c>
      <c r="X251" s="4">
        <v>0</v>
      </c>
      <c r="Y251" s="4">
        <v>0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43</v>
      </c>
      <c r="L252" s="7" t="s">
        <v>40</v>
      </c>
      <c r="M252" s="7" t="s">
        <v>38</v>
      </c>
      <c r="N252" s="7" t="s">
        <v>40</v>
      </c>
      <c r="O252" s="7" t="s">
        <v>42</v>
      </c>
      <c r="Q252" s="7">
        <v>10</v>
      </c>
      <c r="R252" s="7">
        <v>7</v>
      </c>
      <c r="S252" s="7">
        <v>5</v>
      </c>
      <c r="T252" s="7">
        <v>7</v>
      </c>
      <c r="U252" s="7">
        <v>9</v>
      </c>
      <c r="W252" s="4">
        <v>0</v>
      </c>
      <c r="X252" s="4">
        <v>0</v>
      </c>
      <c r="Y252" s="4">
        <v>0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41</v>
      </c>
      <c r="L253" s="7" t="s">
        <v>39</v>
      </c>
      <c r="M253" s="7" t="s">
        <v>44</v>
      </c>
      <c r="N253" s="7" t="s">
        <v>43</v>
      </c>
      <c r="O253" s="7" t="s">
        <v>42</v>
      </c>
      <c r="Q253" s="7">
        <v>8</v>
      </c>
      <c r="R253" s="7">
        <v>6</v>
      </c>
      <c r="S253" s="7">
        <v>11</v>
      </c>
      <c r="T253" s="7">
        <v>10</v>
      </c>
      <c r="U253" s="7">
        <v>9</v>
      </c>
      <c r="W253" s="4">
        <v>0</v>
      </c>
      <c r="X253" s="4">
        <v>0</v>
      </c>
      <c r="Y253" s="4">
        <v>0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43</v>
      </c>
      <c r="L254" s="7" t="s">
        <v>42</v>
      </c>
      <c r="M254" s="7" t="s">
        <v>43</v>
      </c>
      <c r="N254" s="7" t="s">
        <v>41</v>
      </c>
      <c r="O254" s="7" t="s">
        <v>42</v>
      </c>
      <c r="Q254" s="7">
        <v>10</v>
      </c>
      <c r="R254" s="7">
        <v>9</v>
      </c>
      <c r="S254" s="7">
        <v>10</v>
      </c>
      <c r="T254" s="7">
        <v>8</v>
      </c>
      <c r="U254" s="7">
        <v>9</v>
      </c>
      <c r="W254" s="4">
        <v>0</v>
      </c>
      <c r="X254" s="4">
        <v>0</v>
      </c>
      <c r="Y254" s="4">
        <v>0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43</v>
      </c>
      <c r="L255" s="7" t="s">
        <v>36</v>
      </c>
      <c r="M255" s="7" t="s">
        <v>42</v>
      </c>
      <c r="N255" s="7" t="s">
        <v>42</v>
      </c>
      <c r="O255" s="7" t="s">
        <v>43</v>
      </c>
      <c r="Q255" s="7">
        <v>10</v>
      </c>
      <c r="R255" s="7">
        <v>3</v>
      </c>
      <c r="S255" s="7">
        <v>9</v>
      </c>
      <c r="T255" s="7">
        <v>9</v>
      </c>
      <c r="U255" s="7">
        <v>10</v>
      </c>
      <c r="W255" s="4">
        <v>0</v>
      </c>
      <c r="X255" s="4">
        <v>0</v>
      </c>
      <c r="Y255" s="4">
        <v>0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43</v>
      </c>
      <c r="L256" s="7" t="s">
        <v>40</v>
      </c>
      <c r="M256" s="7" t="s">
        <v>38</v>
      </c>
      <c r="N256" s="7" t="s">
        <v>43</v>
      </c>
      <c r="O256" s="7" t="s">
        <v>38</v>
      </c>
      <c r="Q256" s="7">
        <v>10</v>
      </c>
      <c r="R256" s="7">
        <v>7</v>
      </c>
      <c r="S256" s="7">
        <v>5</v>
      </c>
      <c r="T256" s="7">
        <v>10</v>
      </c>
      <c r="U256" s="7">
        <v>5</v>
      </c>
      <c r="W256" s="4">
        <v>0</v>
      </c>
      <c r="X256" s="4">
        <v>0</v>
      </c>
      <c r="Y256" s="4">
        <v>0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40</v>
      </c>
      <c r="L257" s="7" t="s">
        <v>37</v>
      </c>
      <c r="M257" s="7" t="s">
        <v>42</v>
      </c>
      <c r="N257" s="7" t="s">
        <v>39</v>
      </c>
      <c r="O257" s="7" t="s">
        <v>36</v>
      </c>
      <c r="Q257" s="7">
        <v>7</v>
      </c>
      <c r="R257" s="7">
        <v>4</v>
      </c>
      <c r="S257" s="7">
        <v>9</v>
      </c>
      <c r="T257" s="7">
        <v>6</v>
      </c>
      <c r="U257" s="7">
        <v>3</v>
      </c>
      <c r="W257" s="4">
        <v>0</v>
      </c>
      <c r="X257" s="4">
        <v>0</v>
      </c>
      <c r="Y257" s="4">
        <v>0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40</v>
      </c>
      <c r="L258" s="7" t="s">
        <v>37</v>
      </c>
      <c r="M258" s="7" t="s">
        <v>38</v>
      </c>
      <c r="N258" s="7" t="s">
        <v>39</v>
      </c>
      <c r="O258" s="7" t="s">
        <v>43</v>
      </c>
      <c r="Q258" s="7">
        <v>7</v>
      </c>
      <c r="R258" s="7">
        <v>4</v>
      </c>
      <c r="S258" s="7">
        <v>5</v>
      </c>
      <c r="T258" s="7">
        <v>6</v>
      </c>
      <c r="U258" s="7">
        <v>10</v>
      </c>
      <c r="W258" s="4">
        <v>0</v>
      </c>
      <c r="X258" s="4">
        <v>0</v>
      </c>
      <c r="Y258" s="4">
        <v>0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41</v>
      </c>
      <c r="L259" s="7" t="s">
        <v>42</v>
      </c>
      <c r="M259" s="7" t="s">
        <v>43</v>
      </c>
      <c r="N259" s="7" t="s">
        <v>38</v>
      </c>
      <c r="O259" s="7" t="s">
        <v>36</v>
      </c>
      <c r="Q259" s="7">
        <v>8</v>
      </c>
      <c r="R259" s="7">
        <v>9</v>
      </c>
      <c r="S259" s="7">
        <v>10</v>
      </c>
      <c r="T259" s="7">
        <v>5</v>
      </c>
      <c r="U259" s="7">
        <v>3</v>
      </c>
      <c r="W259" s="4">
        <v>0</v>
      </c>
      <c r="X259" s="4">
        <v>0</v>
      </c>
      <c r="Y259" s="4">
        <v>0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41</v>
      </c>
      <c r="L260" s="7" t="s">
        <v>46</v>
      </c>
      <c r="M260" s="7" t="s">
        <v>43</v>
      </c>
      <c r="N260" s="7" t="s">
        <v>39</v>
      </c>
      <c r="O260" s="7" t="s">
        <v>37</v>
      </c>
      <c r="Q260" s="7">
        <v>8</v>
      </c>
      <c r="R260" s="7">
        <v>12</v>
      </c>
      <c r="S260" s="7">
        <v>10</v>
      </c>
      <c r="T260" s="7">
        <v>6</v>
      </c>
      <c r="U260" s="7">
        <v>4</v>
      </c>
      <c r="W260" s="4">
        <v>0</v>
      </c>
      <c r="X260" s="4">
        <v>0</v>
      </c>
      <c r="Y260" s="4">
        <v>0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41</v>
      </c>
      <c r="L261" s="7" t="s">
        <v>40</v>
      </c>
      <c r="M261" s="7" t="s">
        <v>38</v>
      </c>
      <c r="N261" s="7" t="s">
        <v>39</v>
      </c>
      <c r="O261" s="7" t="s">
        <v>43</v>
      </c>
      <c r="Q261" s="7">
        <v>8</v>
      </c>
      <c r="R261" s="7">
        <v>7</v>
      </c>
      <c r="S261" s="7">
        <v>5</v>
      </c>
      <c r="T261" s="7">
        <v>6</v>
      </c>
      <c r="U261" s="7">
        <v>10</v>
      </c>
      <c r="W261" s="4">
        <v>0</v>
      </c>
      <c r="X261" s="4">
        <v>0</v>
      </c>
      <c r="Y261" s="4">
        <v>0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40</v>
      </c>
      <c r="L262" s="7" t="s">
        <v>36</v>
      </c>
      <c r="M262" s="7" t="s">
        <v>43</v>
      </c>
      <c r="N262" s="7" t="s">
        <v>41</v>
      </c>
      <c r="O262" s="7" t="s">
        <v>40</v>
      </c>
      <c r="Q262" s="7">
        <v>7</v>
      </c>
      <c r="R262" s="7">
        <v>3</v>
      </c>
      <c r="S262" s="7">
        <v>10</v>
      </c>
      <c r="T262" s="7">
        <v>8</v>
      </c>
      <c r="U262" s="7">
        <v>7</v>
      </c>
      <c r="W262" s="4">
        <v>0</v>
      </c>
      <c r="X262" s="4">
        <v>0</v>
      </c>
      <c r="Y262" s="4">
        <v>0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40</v>
      </c>
      <c r="L263" s="7" t="s">
        <v>40</v>
      </c>
      <c r="M263" s="7" t="s">
        <v>42</v>
      </c>
      <c r="N263" s="7" t="s">
        <v>38</v>
      </c>
      <c r="O263" s="7" t="s">
        <v>38</v>
      </c>
      <c r="Q263" s="7">
        <v>7</v>
      </c>
      <c r="R263" s="7">
        <v>7</v>
      </c>
      <c r="S263" s="7">
        <v>9</v>
      </c>
      <c r="T263" s="7">
        <v>5</v>
      </c>
      <c r="U263" s="7">
        <v>5</v>
      </c>
      <c r="W263" s="4">
        <v>0</v>
      </c>
      <c r="X263" s="4">
        <v>0</v>
      </c>
      <c r="Y263" s="4">
        <v>0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40</v>
      </c>
      <c r="L264" s="7" t="s">
        <v>37</v>
      </c>
      <c r="M264" s="7" t="s">
        <v>42</v>
      </c>
      <c r="N264" s="7" t="s">
        <v>42</v>
      </c>
      <c r="O264" s="7" t="s">
        <v>43</v>
      </c>
      <c r="Q264" s="7">
        <v>7</v>
      </c>
      <c r="R264" s="7">
        <v>4</v>
      </c>
      <c r="S264" s="7">
        <v>9</v>
      </c>
      <c r="T264" s="7">
        <v>9</v>
      </c>
      <c r="U264" s="7">
        <v>10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43</v>
      </c>
      <c r="L265" s="7" t="s">
        <v>36</v>
      </c>
      <c r="M265" s="7" t="s">
        <v>42</v>
      </c>
      <c r="N265" s="7" t="s">
        <v>43</v>
      </c>
      <c r="O265" s="7" t="s">
        <v>38</v>
      </c>
      <c r="Q265" s="7">
        <v>10</v>
      </c>
      <c r="R265" s="7">
        <v>3</v>
      </c>
      <c r="S265" s="7">
        <v>9</v>
      </c>
      <c r="T265" s="7">
        <v>10</v>
      </c>
      <c r="U265" s="7">
        <v>5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41</v>
      </c>
      <c r="L266" s="7" t="s">
        <v>40</v>
      </c>
      <c r="M266" s="7" t="s">
        <v>43</v>
      </c>
      <c r="N266" s="7" t="s">
        <v>37</v>
      </c>
      <c r="O266" s="7" t="s">
        <v>42</v>
      </c>
      <c r="Q266" s="7">
        <v>8</v>
      </c>
      <c r="R266" s="7">
        <v>7</v>
      </c>
      <c r="S266" s="7">
        <v>10</v>
      </c>
      <c r="T266" s="7">
        <v>4</v>
      </c>
      <c r="U266" s="7">
        <v>9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34</v>
      </c>
      <c r="L267" s="7" t="s">
        <v>34</v>
      </c>
      <c r="M267" s="7" t="s">
        <v>34</v>
      </c>
      <c r="N267" s="7" t="s">
        <v>38</v>
      </c>
      <c r="O267" s="7" t="s">
        <v>36</v>
      </c>
      <c r="Q267" s="7">
        <v>2</v>
      </c>
      <c r="R267" s="7">
        <v>2</v>
      </c>
      <c r="S267" s="7">
        <v>2</v>
      </c>
      <c r="T267" s="7">
        <v>5</v>
      </c>
      <c r="U267" s="7">
        <v>3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40</v>
      </c>
      <c r="L268" s="7" t="s">
        <v>39</v>
      </c>
      <c r="M268" s="7" t="s">
        <v>38</v>
      </c>
      <c r="N268" s="7" t="s">
        <v>56</v>
      </c>
      <c r="O268" s="7" t="s">
        <v>39</v>
      </c>
      <c r="Q268" s="7">
        <v>7</v>
      </c>
      <c r="R268" s="7">
        <v>6</v>
      </c>
      <c r="S268" s="7">
        <v>5</v>
      </c>
      <c r="T268" s="7">
        <v>17</v>
      </c>
      <c r="U268" s="7">
        <v>6</v>
      </c>
      <c r="W268" s="4">
        <v>0</v>
      </c>
      <c r="X268" s="4">
        <v>0</v>
      </c>
      <c r="Y268" s="4">
        <v>0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43</v>
      </c>
      <c r="L269" s="7" t="s">
        <v>37</v>
      </c>
      <c r="M269" s="7" t="s">
        <v>38</v>
      </c>
      <c r="N269" s="7" t="s">
        <v>38</v>
      </c>
      <c r="O269" s="7" t="s">
        <v>43</v>
      </c>
      <c r="Q269" s="7">
        <v>10</v>
      </c>
      <c r="R269" s="7">
        <v>4</v>
      </c>
      <c r="S269" s="7">
        <v>5</v>
      </c>
      <c r="T269" s="7">
        <v>5</v>
      </c>
      <c r="U269" s="7">
        <v>10</v>
      </c>
      <c r="W269" s="4">
        <v>0</v>
      </c>
      <c r="X269" s="4">
        <v>0</v>
      </c>
      <c r="Y269" s="4">
        <v>0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41</v>
      </c>
      <c r="L270" s="7" t="s">
        <v>40</v>
      </c>
      <c r="M270" s="7" t="s">
        <v>38</v>
      </c>
      <c r="N270" s="7" t="s">
        <v>39</v>
      </c>
      <c r="O270" s="7" t="s">
        <v>43</v>
      </c>
      <c r="Q270" s="7">
        <v>8</v>
      </c>
      <c r="R270" s="7">
        <v>7</v>
      </c>
      <c r="S270" s="7">
        <v>5</v>
      </c>
      <c r="T270" s="7">
        <v>6</v>
      </c>
      <c r="U270" s="7">
        <v>10</v>
      </c>
      <c r="W270" s="4">
        <v>0</v>
      </c>
      <c r="X270" s="4">
        <v>0</v>
      </c>
      <c r="Y270" s="4">
        <v>0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43</v>
      </c>
      <c r="L271" s="7" t="s">
        <v>39</v>
      </c>
      <c r="M271" s="7" t="s">
        <v>42</v>
      </c>
      <c r="N271" s="7" t="s">
        <v>37</v>
      </c>
      <c r="O271" s="7" t="s">
        <v>43</v>
      </c>
      <c r="Q271" s="7">
        <v>10</v>
      </c>
      <c r="R271" s="7">
        <v>6</v>
      </c>
      <c r="S271" s="7">
        <v>9</v>
      </c>
      <c r="T271" s="7">
        <v>4</v>
      </c>
      <c r="U271" s="7">
        <v>10</v>
      </c>
      <c r="W271" s="4">
        <v>0</v>
      </c>
      <c r="X271" s="4">
        <v>0</v>
      </c>
      <c r="Y271" s="4">
        <v>0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38</v>
      </c>
      <c r="L272" s="7" t="s">
        <v>42</v>
      </c>
      <c r="M272" s="7" t="s">
        <v>42</v>
      </c>
      <c r="N272" s="7" t="s">
        <v>48</v>
      </c>
      <c r="O272" s="7" t="s">
        <v>41</v>
      </c>
      <c r="Q272" s="7">
        <v>5</v>
      </c>
      <c r="R272" s="7">
        <v>9</v>
      </c>
      <c r="S272" s="7">
        <v>9</v>
      </c>
      <c r="T272" s="7">
        <v>13</v>
      </c>
      <c r="U272" s="7">
        <v>8</v>
      </c>
      <c r="W272" s="4">
        <v>0</v>
      </c>
      <c r="X272" s="4">
        <v>0</v>
      </c>
      <c r="Y272" s="4">
        <v>0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41</v>
      </c>
      <c r="L273" s="7" t="s">
        <v>37</v>
      </c>
      <c r="M273" s="7" t="s">
        <v>38</v>
      </c>
      <c r="N273" s="7" t="s">
        <v>42</v>
      </c>
      <c r="O273" s="7" t="s">
        <v>37</v>
      </c>
      <c r="Q273" s="7">
        <v>8</v>
      </c>
      <c r="R273" s="7">
        <v>4</v>
      </c>
      <c r="S273" s="7">
        <v>5</v>
      </c>
      <c r="T273" s="7">
        <v>9</v>
      </c>
      <c r="U273" s="7">
        <v>4</v>
      </c>
      <c r="W273" s="4">
        <v>0</v>
      </c>
      <c r="X273" s="4">
        <v>0</v>
      </c>
      <c r="Y273" s="4">
        <v>0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40</v>
      </c>
      <c r="L274" s="7" t="s">
        <v>46</v>
      </c>
      <c r="M274" s="7" t="s">
        <v>38</v>
      </c>
      <c r="N274" s="7" t="s">
        <v>41</v>
      </c>
      <c r="O274" s="7" t="s">
        <v>43</v>
      </c>
      <c r="Q274" s="7">
        <v>7</v>
      </c>
      <c r="R274" s="7">
        <v>12</v>
      </c>
      <c r="S274" s="7">
        <v>5</v>
      </c>
      <c r="T274" s="7">
        <v>8</v>
      </c>
      <c r="U274" s="7">
        <v>10</v>
      </c>
      <c r="W274" s="4">
        <v>0</v>
      </c>
      <c r="X274" s="4">
        <v>0</v>
      </c>
      <c r="Y274" s="4">
        <v>0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40</v>
      </c>
      <c r="L275" s="7" t="s">
        <v>39</v>
      </c>
      <c r="M275" s="7" t="s">
        <v>43</v>
      </c>
      <c r="N275" s="7" t="s">
        <v>52</v>
      </c>
      <c r="O275" s="7" t="s">
        <v>40</v>
      </c>
      <c r="Q275" s="7">
        <v>7</v>
      </c>
      <c r="R275" s="7">
        <v>6</v>
      </c>
      <c r="S275" s="7">
        <v>10</v>
      </c>
      <c r="T275" s="7">
        <v>15</v>
      </c>
      <c r="U275" s="7">
        <v>7</v>
      </c>
      <c r="W275" s="4">
        <v>0</v>
      </c>
      <c r="X275" s="4">
        <v>0</v>
      </c>
      <c r="Y275" s="4">
        <v>0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38</v>
      </c>
      <c r="L276" s="7" t="s">
        <v>40</v>
      </c>
      <c r="M276" s="7" t="s">
        <v>43</v>
      </c>
      <c r="N276" s="7" t="s">
        <v>36</v>
      </c>
      <c r="O276" s="7" t="s">
        <v>38</v>
      </c>
      <c r="Q276" s="7">
        <v>5</v>
      </c>
      <c r="R276" s="7">
        <v>7</v>
      </c>
      <c r="S276" s="7">
        <v>10</v>
      </c>
      <c r="T276" s="7">
        <v>3</v>
      </c>
      <c r="U276" s="7">
        <v>5</v>
      </c>
      <c r="W276" s="4">
        <v>0</v>
      </c>
      <c r="X276" s="4">
        <v>0</v>
      </c>
      <c r="Y276" s="4">
        <v>0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43</v>
      </c>
      <c r="L277" s="7" t="s">
        <v>40</v>
      </c>
      <c r="M277" s="7" t="s">
        <v>42</v>
      </c>
      <c r="N277" s="7" t="s">
        <v>39</v>
      </c>
      <c r="O277" s="7" t="s">
        <v>42</v>
      </c>
      <c r="Q277" s="7">
        <v>10</v>
      </c>
      <c r="R277" s="7">
        <v>7</v>
      </c>
      <c r="S277" s="7">
        <v>9</v>
      </c>
      <c r="T277" s="7">
        <v>6</v>
      </c>
      <c r="U277" s="7">
        <v>9</v>
      </c>
      <c r="W277" s="4">
        <v>0</v>
      </c>
      <c r="X277" s="4">
        <v>0</v>
      </c>
      <c r="Y277" s="4">
        <v>0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41</v>
      </c>
      <c r="L278" s="7" t="s">
        <v>37</v>
      </c>
      <c r="M278" s="7" t="s">
        <v>38</v>
      </c>
      <c r="N278" s="7" t="s">
        <v>39</v>
      </c>
      <c r="O278" s="7" t="s">
        <v>36</v>
      </c>
      <c r="Q278" s="7">
        <v>8</v>
      </c>
      <c r="R278" s="7">
        <v>4</v>
      </c>
      <c r="S278" s="7">
        <v>5</v>
      </c>
      <c r="T278" s="7">
        <v>6</v>
      </c>
      <c r="U278" s="7">
        <v>3</v>
      </c>
      <c r="W278" s="4">
        <v>0</v>
      </c>
      <c r="X278" s="4">
        <v>0</v>
      </c>
      <c r="Y278" s="4">
        <v>0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38</v>
      </c>
      <c r="L279" s="7" t="s">
        <v>40</v>
      </c>
      <c r="M279" s="7" t="s">
        <v>42</v>
      </c>
      <c r="N279" s="7" t="s">
        <v>42</v>
      </c>
      <c r="O279" s="7" t="s">
        <v>41</v>
      </c>
      <c r="Q279" s="7">
        <v>5</v>
      </c>
      <c r="R279" s="7">
        <v>7</v>
      </c>
      <c r="S279" s="7">
        <v>9</v>
      </c>
      <c r="T279" s="7">
        <v>9</v>
      </c>
      <c r="U279" s="7">
        <v>8</v>
      </c>
      <c r="W279" s="4">
        <v>0</v>
      </c>
      <c r="X279" s="4">
        <v>0</v>
      </c>
      <c r="Y279" s="4">
        <v>0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36</v>
      </c>
      <c r="L280" s="7" t="s">
        <v>37</v>
      </c>
      <c r="M280" s="7" t="s">
        <v>58</v>
      </c>
      <c r="N280" s="7" t="s">
        <v>41</v>
      </c>
      <c r="O280" s="7" t="s">
        <v>42</v>
      </c>
      <c r="Q280" s="7">
        <v>3</v>
      </c>
      <c r="R280" s="7">
        <v>4</v>
      </c>
      <c r="S280" s="7">
        <v>18</v>
      </c>
      <c r="T280" s="7">
        <v>8</v>
      </c>
      <c r="U280" s="7">
        <v>9</v>
      </c>
      <c r="W280" s="4">
        <v>0</v>
      </c>
      <c r="X280" s="4">
        <v>0</v>
      </c>
      <c r="Y280" s="4">
        <v>0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41</v>
      </c>
      <c r="L281" s="7" t="s">
        <v>39</v>
      </c>
      <c r="M281" s="7" t="s">
        <v>43</v>
      </c>
      <c r="N281" s="7" t="s">
        <v>42</v>
      </c>
      <c r="O281" s="7" t="s">
        <v>41</v>
      </c>
      <c r="Q281" s="7">
        <v>8</v>
      </c>
      <c r="R281" s="7">
        <v>6</v>
      </c>
      <c r="S281" s="7">
        <v>10</v>
      </c>
      <c r="T281" s="7">
        <v>9</v>
      </c>
      <c r="U281" s="7">
        <v>8</v>
      </c>
      <c r="W281" s="4">
        <v>0</v>
      </c>
      <c r="X281" s="4">
        <v>0</v>
      </c>
      <c r="Y281" s="4">
        <v>0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40</v>
      </c>
      <c r="M282" s="7" t="s">
        <v>38</v>
      </c>
      <c r="N282" s="7" t="s">
        <v>37</v>
      </c>
      <c r="O282" s="7" t="s">
        <v>42</v>
      </c>
      <c r="Q282" s="7">
        <v>7</v>
      </c>
      <c r="R282" s="7">
        <v>7</v>
      </c>
      <c r="S282" s="7">
        <v>5</v>
      </c>
      <c r="T282" s="7">
        <v>4</v>
      </c>
      <c r="U282" s="7">
        <v>9</v>
      </c>
      <c r="W282" s="4">
        <v>0</v>
      </c>
      <c r="X282" s="4">
        <v>0</v>
      </c>
      <c r="Y282" s="4">
        <v>0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41</v>
      </c>
      <c r="L283" s="7" t="s">
        <v>40</v>
      </c>
      <c r="M283" s="7" t="s">
        <v>42</v>
      </c>
      <c r="N283" s="7" t="s">
        <v>52</v>
      </c>
      <c r="O283" s="7" t="s">
        <v>36</v>
      </c>
      <c r="Q283" s="7">
        <v>8</v>
      </c>
      <c r="R283" s="7">
        <v>7</v>
      </c>
      <c r="S283" s="7">
        <v>9</v>
      </c>
      <c r="T283" s="7">
        <v>15</v>
      </c>
      <c r="U283" s="7">
        <v>3</v>
      </c>
      <c r="W283" s="4">
        <v>0</v>
      </c>
      <c r="X283" s="4">
        <v>0</v>
      </c>
      <c r="Y283" s="4">
        <v>0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41</v>
      </c>
      <c r="L284" s="7" t="s">
        <v>44</v>
      </c>
      <c r="M284" s="7" t="s">
        <v>58</v>
      </c>
      <c r="N284" s="7" t="s">
        <v>42</v>
      </c>
      <c r="O284" s="7" t="s">
        <v>39</v>
      </c>
      <c r="Q284" s="7">
        <v>8</v>
      </c>
      <c r="R284" s="7">
        <v>11</v>
      </c>
      <c r="S284" s="7">
        <v>18</v>
      </c>
      <c r="T284" s="7">
        <v>9</v>
      </c>
      <c r="U284" s="7">
        <v>6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43</v>
      </c>
      <c r="L285" s="7" t="s">
        <v>39</v>
      </c>
      <c r="M285" s="7" t="s">
        <v>43</v>
      </c>
      <c r="N285" s="7" t="s">
        <v>48</v>
      </c>
      <c r="O285" s="7" t="s">
        <v>43</v>
      </c>
      <c r="Q285" s="7">
        <v>10</v>
      </c>
      <c r="R285" s="7">
        <v>6</v>
      </c>
      <c r="S285" s="7">
        <v>10</v>
      </c>
      <c r="T285" s="7">
        <v>13</v>
      </c>
      <c r="U285" s="7">
        <v>10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37</v>
      </c>
      <c r="M286" s="7" t="s">
        <v>42</v>
      </c>
      <c r="N286" s="7" t="s">
        <v>36</v>
      </c>
      <c r="O286" s="7" t="s">
        <v>42</v>
      </c>
      <c r="Q286" s="7">
        <v>7</v>
      </c>
      <c r="R286" s="7">
        <v>4</v>
      </c>
      <c r="S286" s="7">
        <v>9</v>
      </c>
      <c r="T286" s="7">
        <v>3</v>
      </c>
      <c r="U286" s="7">
        <v>9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34</v>
      </c>
      <c r="L287" s="7" t="s">
        <v>34</v>
      </c>
      <c r="M287" s="7" t="s">
        <v>34</v>
      </c>
      <c r="N287" s="7" t="s">
        <v>56</v>
      </c>
      <c r="O287" s="7" t="s">
        <v>43</v>
      </c>
      <c r="Q287" s="7">
        <v>2</v>
      </c>
      <c r="R287" s="7">
        <v>2</v>
      </c>
      <c r="S287" s="7">
        <v>2</v>
      </c>
      <c r="T287" s="7">
        <v>17</v>
      </c>
      <c r="U287" s="7">
        <v>10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36</v>
      </c>
      <c r="L288" s="7" t="s">
        <v>37</v>
      </c>
      <c r="M288" s="7" t="s">
        <v>38</v>
      </c>
      <c r="N288" s="7" t="s">
        <v>36</v>
      </c>
      <c r="O288" s="7" t="s">
        <v>42</v>
      </c>
      <c r="Q288" s="7">
        <v>3</v>
      </c>
      <c r="R288" s="7">
        <v>4</v>
      </c>
      <c r="S288" s="7">
        <v>5</v>
      </c>
      <c r="T288" s="7">
        <v>3</v>
      </c>
      <c r="U288" s="7">
        <v>9</v>
      </c>
      <c r="W288" s="4">
        <v>0</v>
      </c>
      <c r="X288" s="4">
        <v>0</v>
      </c>
      <c r="Y288" s="4">
        <v>0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39</v>
      </c>
      <c r="M289" s="7" t="s">
        <v>43</v>
      </c>
      <c r="N289" s="7" t="s">
        <v>39</v>
      </c>
      <c r="O289" s="7" t="s">
        <v>43</v>
      </c>
      <c r="Q289" s="7">
        <v>10</v>
      </c>
      <c r="R289" s="7">
        <v>6</v>
      </c>
      <c r="S289" s="7">
        <v>10</v>
      </c>
      <c r="T289" s="7">
        <v>6</v>
      </c>
      <c r="U289" s="7">
        <v>10</v>
      </c>
      <c r="W289" s="4">
        <v>0</v>
      </c>
      <c r="X289" s="4">
        <v>0</v>
      </c>
      <c r="Y289" s="4">
        <v>0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40</v>
      </c>
      <c r="M290" s="7" t="s">
        <v>58</v>
      </c>
      <c r="N290" s="7" t="s">
        <v>38</v>
      </c>
      <c r="O290" s="7" t="s">
        <v>43</v>
      </c>
      <c r="Q290" s="7">
        <v>8</v>
      </c>
      <c r="R290" s="7">
        <v>7</v>
      </c>
      <c r="S290" s="7">
        <v>18</v>
      </c>
      <c r="T290" s="7">
        <v>5</v>
      </c>
      <c r="U290" s="7">
        <v>10</v>
      </c>
      <c r="W290" s="4">
        <v>0</v>
      </c>
      <c r="X290" s="4">
        <v>0</v>
      </c>
      <c r="Y290" s="4">
        <v>0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41</v>
      </c>
      <c r="L291" s="7" t="s">
        <v>39</v>
      </c>
      <c r="M291" s="7" t="s">
        <v>38</v>
      </c>
      <c r="N291" s="7" t="s">
        <v>42</v>
      </c>
      <c r="O291" s="7" t="s">
        <v>38</v>
      </c>
      <c r="Q291" s="7">
        <v>8</v>
      </c>
      <c r="R291" s="7">
        <v>6</v>
      </c>
      <c r="S291" s="7">
        <v>5</v>
      </c>
      <c r="T291" s="7">
        <v>9</v>
      </c>
      <c r="U291" s="7">
        <v>5</v>
      </c>
      <c r="W291" s="4">
        <v>0</v>
      </c>
      <c r="X291" s="4">
        <v>0</v>
      </c>
      <c r="Y291" s="4">
        <v>0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38</v>
      </c>
      <c r="L292" s="7" t="s">
        <v>44</v>
      </c>
      <c r="M292" s="7" t="s">
        <v>46</v>
      </c>
      <c r="N292" s="7" t="s">
        <v>48</v>
      </c>
      <c r="O292" s="7" t="s">
        <v>43</v>
      </c>
      <c r="Q292" s="7">
        <v>5</v>
      </c>
      <c r="R292" s="7">
        <v>11</v>
      </c>
      <c r="S292" s="7">
        <v>12</v>
      </c>
      <c r="T292" s="7">
        <v>13</v>
      </c>
      <c r="U292" s="7">
        <v>10</v>
      </c>
      <c r="W292" s="4">
        <v>0</v>
      </c>
      <c r="X292" s="4">
        <v>0</v>
      </c>
      <c r="Y292" s="4">
        <v>0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39</v>
      </c>
      <c r="L293" s="7" t="s">
        <v>40</v>
      </c>
      <c r="M293" s="7" t="s">
        <v>42</v>
      </c>
      <c r="N293" s="7" t="s">
        <v>39</v>
      </c>
      <c r="O293" s="7" t="s">
        <v>40</v>
      </c>
      <c r="Q293" s="7">
        <v>6</v>
      </c>
      <c r="R293" s="7">
        <v>7</v>
      </c>
      <c r="S293" s="7">
        <v>9</v>
      </c>
      <c r="T293" s="7">
        <v>6</v>
      </c>
      <c r="U293" s="7">
        <v>7</v>
      </c>
      <c r="W293" s="4">
        <v>0</v>
      </c>
      <c r="X293" s="4">
        <v>0</v>
      </c>
      <c r="Y293" s="4">
        <v>0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40</v>
      </c>
      <c r="L294" s="7" t="s">
        <v>50</v>
      </c>
      <c r="M294" s="7" t="s">
        <v>43</v>
      </c>
      <c r="N294" s="7" t="s">
        <v>41</v>
      </c>
      <c r="O294" s="7" t="s">
        <v>43</v>
      </c>
      <c r="Q294" s="7">
        <v>7</v>
      </c>
      <c r="R294" s="7">
        <v>14</v>
      </c>
      <c r="S294" s="7">
        <v>10</v>
      </c>
      <c r="T294" s="7">
        <v>8</v>
      </c>
      <c r="U294" s="7">
        <v>10</v>
      </c>
      <c r="W294" s="4">
        <v>0</v>
      </c>
      <c r="X294" s="4">
        <v>0</v>
      </c>
      <c r="Y294" s="4">
        <v>0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40</v>
      </c>
      <c r="M295" s="7" t="s">
        <v>43</v>
      </c>
      <c r="N295" s="7" t="s">
        <v>41</v>
      </c>
      <c r="O295" s="7" t="s">
        <v>42</v>
      </c>
      <c r="Q295" s="7">
        <v>5</v>
      </c>
      <c r="R295" s="7">
        <v>7</v>
      </c>
      <c r="S295" s="7">
        <v>10</v>
      </c>
      <c r="T295" s="7">
        <v>8</v>
      </c>
      <c r="U295" s="7">
        <v>9</v>
      </c>
      <c r="W295" s="4">
        <v>0</v>
      </c>
      <c r="X295" s="4">
        <v>0</v>
      </c>
      <c r="Y295" s="4">
        <v>0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39</v>
      </c>
      <c r="L296" s="7" t="s">
        <v>42</v>
      </c>
      <c r="M296" s="7" t="s">
        <v>42</v>
      </c>
      <c r="N296" s="7" t="s">
        <v>52</v>
      </c>
      <c r="O296" s="7" t="s">
        <v>40</v>
      </c>
      <c r="Q296" s="7">
        <v>6</v>
      </c>
      <c r="R296" s="7">
        <v>9</v>
      </c>
      <c r="S296" s="7">
        <v>9</v>
      </c>
      <c r="T296" s="7">
        <v>15</v>
      </c>
      <c r="U296" s="7">
        <v>7</v>
      </c>
      <c r="W296" s="4">
        <v>0</v>
      </c>
      <c r="X296" s="4">
        <v>0</v>
      </c>
      <c r="Y296" s="4">
        <v>0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41</v>
      </c>
      <c r="L297" s="7" t="s">
        <v>37</v>
      </c>
      <c r="M297" s="7" t="s">
        <v>43</v>
      </c>
      <c r="N297" s="7" t="s">
        <v>42</v>
      </c>
      <c r="O297" s="7" t="s">
        <v>36</v>
      </c>
      <c r="Q297" s="7">
        <v>8</v>
      </c>
      <c r="R297" s="7">
        <v>4</v>
      </c>
      <c r="S297" s="7">
        <v>10</v>
      </c>
      <c r="T297" s="7">
        <v>9</v>
      </c>
      <c r="U297" s="7">
        <v>3</v>
      </c>
      <c r="W297" s="4">
        <v>0</v>
      </c>
      <c r="X297" s="4">
        <v>0</v>
      </c>
      <c r="Y297" s="4">
        <v>0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36</v>
      </c>
      <c r="L298" s="7" t="s">
        <v>40</v>
      </c>
      <c r="M298" s="7" t="s">
        <v>43</v>
      </c>
      <c r="N298" s="7" t="s">
        <v>42</v>
      </c>
      <c r="O298" s="7" t="s">
        <v>42</v>
      </c>
      <c r="Q298" s="7">
        <v>3</v>
      </c>
      <c r="R298" s="7">
        <v>7</v>
      </c>
      <c r="S298" s="7">
        <v>10</v>
      </c>
      <c r="T298" s="7">
        <v>9</v>
      </c>
      <c r="U298" s="7">
        <v>9</v>
      </c>
      <c r="W298" s="4">
        <v>0</v>
      </c>
      <c r="X298" s="4">
        <v>0</v>
      </c>
      <c r="Y298" s="4">
        <v>0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40</v>
      </c>
      <c r="L299" s="7" t="s">
        <v>42</v>
      </c>
      <c r="M299" s="7" t="s">
        <v>58</v>
      </c>
      <c r="N299" s="7" t="s">
        <v>42</v>
      </c>
      <c r="O299" s="7" t="s">
        <v>40</v>
      </c>
      <c r="Q299" s="7">
        <v>7</v>
      </c>
      <c r="R299" s="7">
        <v>9</v>
      </c>
      <c r="S299" s="7">
        <v>18</v>
      </c>
      <c r="T299" s="7">
        <v>9</v>
      </c>
      <c r="U299" s="7">
        <v>7</v>
      </c>
      <c r="W299" s="4">
        <v>0</v>
      </c>
      <c r="X299" s="4">
        <v>0</v>
      </c>
      <c r="Y299" s="4">
        <v>0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36</v>
      </c>
      <c r="L300" s="7" t="s">
        <v>39</v>
      </c>
      <c r="M300" s="7" t="s">
        <v>38</v>
      </c>
      <c r="N300" s="7" t="s">
        <v>39</v>
      </c>
      <c r="O300" s="7" t="s">
        <v>41</v>
      </c>
      <c r="Q300" s="7">
        <v>3</v>
      </c>
      <c r="R300" s="7">
        <v>6</v>
      </c>
      <c r="S300" s="7">
        <v>5</v>
      </c>
      <c r="T300" s="7">
        <v>6</v>
      </c>
      <c r="U300" s="7">
        <v>8</v>
      </c>
      <c r="W300" s="4">
        <v>0</v>
      </c>
      <c r="X300" s="4">
        <v>0</v>
      </c>
      <c r="Y300" s="4">
        <v>0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40</v>
      </c>
      <c r="L301" s="7" t="s">
        <v>37</v>
      </c>
      <c r="M301" s="7" t="s">
        <v>38</v>
      </c>
      <c r="N301" s="7" t="s">
        <v>56</v>
      </c>
      <c r="O301" s="7" t="s">
        <v>42</v>
      </c>
      <c r="Q301" s="7">
        <v>7</v>
      </c>
      <c r="R301" s="7">
        <v>4</v>
      </c>
      <c r="S301" s="7">
        <v>5</v>
      </c>
      <c r="T301" s="7">
        <v>17</v>
      </c>
      <c r="U301" s="7">
        <v>9</v>
      </c>
      <c r="W301" s="4">
        <v>0</v>
      </c>
      <c r="X301" s="4">
        <v>0</v>
      </c>
      <c r="Y301" s="4">
        <v>0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43</v>
      </c>
      <c r="L302" s="7" t="s">
        <v>42</v>
      </c>
      <c r="M302" s="7" t="s">
        <v>43</v>
      </c>
      <c r="N302" s="7" t="s">
        <v>39</v>
      </c>
      <c r="O302" s="7" t="s">
        <v>38</v>
      </c>
      <c r="Q302" s="7">
        <v>10</v>
      </c>
      <c r="R302" s="7">
        <v>9</v>
      </c>
      <c r="S302" s="7">
        <v>10</v>
      </c>
      <c r="T302" s="7">
        <v>6</v>
      </c>
      <c r="U302" s="7">
        <v>5</v>
      </c>
      <c r="W302" s="4">
        <v>0</v>
      </c>
      <c r="X302" s="4">
        <v>0</v>
      </c>
      <c r="Y302" s="4">
        <v>0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41</v>
      </c>
      <c r="L303" s="7" t="s">
        <v>40</v>
      </c>
      <c r="M303" s="7" t="s">
        <v>42</v>
      </c>
      <c r="N303" s="7" t="s">
        <v>42</v>
      </c>
      <c r="O303" s="7" t="s">
        <v>39</v>
      </c>
      <c r="Q303" s="7">
        <v>8</v>
      </c>
      <c r="R303" s="7">
        <v>7</v>
      </c>
      <c r="S303" s="7">
        <v>9</v>
      </c>
      <c r="T303" s="7">
        <v>9</v>
      </c>
      <c r="U303" s="7">
        <v>6</v>
      </c>
      <c r="W303" s="4">
        <v>0</v>
      </c>
      <c r="X303" s="4">
        <v>0</v>
      </c>
      <c r="Y303" s="4">
        <v>0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40</v>
      </c>
      <c r="L304" s="7" t="s">
        <v>39</v>
      </c>
      <c r="M304" s="7" t="s">
        <v>42</v>
      </c>
      <c r="N304" s="7" t="s">
        <v>37</v>
      </c>
      <c r="O304" s="7" t="s">
        <v>41</v>
      </c>
      <c r="Q304" s="7">
        <v>7</v>
      </c>
      <c r="R304" s="7">
        <v>6</v>
      </c>
      <c r="S304" s="7">
        <v>9</v>
      </c>
      <c r="T304" s="7">
        <v>4</v>
      </c>
      <c r="U304" s="7">
        <v>8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40</v>
      </c>
      <c r="L305" s="7" t="s">
        <v>37</v>
      </c>
      <c r="M305" s="7" t="s">
        <v>42</v>
      </c>
      <c r="N305" s="7" t="s">
        <v>41</v>
      </c>
      <c r="O305" s="7" t="s">
        <v>36</v>
      </c>
      <c r="Q305" s="7">
        <v>7</v>
      </c>
      <c r="R305" s="7">
        <v>4</v>
      </c>
      <c r="S305" s="7">
        <v>9</v>
      </c>
      <c r="T305" s="7">
        <v>8</v>
      </c>
      <c r="U305" s="7">
        <v>3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40</v>
      </c>
      <c r="M306" s="7" t="s">
        <v>38</v>
      </c>
      <c r="N306" s="7" t="s">
        <v>39</v>
      </c>
      <c r="O306" s="7" t="s">
        <v>39</v>
      </c>
      <c r="Q306" s="7">
        <v>10</v>
      </c>
      <c r="R306" s="7">
        <v>7</v>
      </c>
      <c r="S306" s="7">
        <v>5</v>
      </c>
      <c r="T306" s="7">
        <v>6</v>
      </c>
      <c r="U306" s="7">
        <v>6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34</v>
      </c>
      <c r="L307" s="7" t="s">
        <v>34</v>
      </c>
      <c r="M307" s="7" t="s">
        <v>34</v>
      </c>
      <c r="N307" s="7" t="s">
        <v>42</v>
      </c>
      <c r="O307" s="7" t="s">
        <v>42</v>
      </c>
      <c r="Q307" s="7">
        <v>2</v>
      </c>
      <c r="R307" s="7">
        <v>2</v>
      </c>
      <c r="S307" s="7">
        <v>2</v>
      </c>
      <c r="T307" s="7">
        <v>9</v>
      </c>
      <c r="U307" s="7">
        <v>9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40</v>
      </c>
      <c r="M308" s="7" t="s">
        <v>42</v>
      </c>
      <c r="N308" s="7" t="s">
        <v>42</v>
      </c>
      <c r="O308" s="7" t="s">
        <v>36</v>
      </c>
      <c r="Q308" s="7">
        <v>8</v>
      </c>
      <c r="R308" s="7">
        <v>7</v>
      </c>
      <c r="S308" s="7">
        <v>9</v>
      </c>
      <c r="T308" s="7">
        <v>9</v>
      </c>
      <c r="U308" s="7">
        <v>3</v>
      </c>
      <c r="W308" s="4">
        <v>0</v>
      </c>
      <c r="X308" s="4">
        <v>0</v>
      </c>
      <c r="Y308" s="4">
        <v>0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41</v>
      </c>
      <c r="L309" s="7" t="s">
        <v>40</v>
      </c>
      <c r="M309" s="7" t="s">
        <v>43</v>
      </c>
      <c r="N309" s="7" t="s">
        <v>54</v>
      </c>
      <c r="O309" s="7" t="s">
        <v>38</v>
      </c>
      <c r="Q309" s="7">
        <v>8</v>
      </c>
      <c r="R309" s="7">
        <v>7</v>
      </c>
      <c r="S309" s="7">
        <v>10</v>
      </c>
      <c r="T309" s="7">
        <v>16</v>
      </c>
      <c r="U309" s="7">
        <v>5</v>
      </c>
      <c r="W309" s="4">
        <v>0</v>
      </c>
      <c r="X309" s="4">
        <v>0</v>
      </c>
      <c r="Y309" s="4">
        <v>0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38</v>
      </c>
      <c r="L310" s="7" t="s">
        <v>42</v>
      </c>
      <c r="M310" s="7" t="s">
        <v>41</v>
      </c>
      <c r="N310" s="7" t="s">
        <v>42</v>
      </c>
      <c r="O310" s="7" t="s">
        <v>40</v>
      </c>
      <c r="Q310" s="7">
        <v>5</v>
      </c>
      <c r="R310" s="7">
        <v>9</v>
      </c>
      <c r="S310" s="7">
        <v>8</v>
      </c>
      <c r="T310" s="7">
        <v>9</v>
      </c>
      <c r="U310" s="7">
        <v>7</v>
      </c>
      <c r="W310" s="4">
        <v>0</v>
      </c>
      <c r="X310" s="4">
        <v>0</v>
      </c>
      <c r="Y310" s="4">
        <v>0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43</v>
      </c>
      <c r="M311" s="7" t="s">
        <v>38</v>
      </c>
      <c r="N311" s="7" t="s">
        <v>58</v>
      </c>
      <c r="O311" s="7" t="s">
        <v>38</v>
      </c>
      <c r="Q311" s="7">
        <v>6</v>
      </c>
      <c r="R311" s="7">
        <v>10</v>
      </c>
      <c r="S311" s="7">
        <v>5</v>
      </c>
      <c r="T311" s="7">
        <v>18</v>
      </c>
      <c r="U311" s="7">
        <v>5</v>
      </c>
      <c r="W311" s="4">
        <v>0</v>
      </c>
      <c r="X311" s="4">
        <v>0</v>
      </c>
      <c r="Y311" s="4">
        <v>0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42</v>
      </c>
      <c r="L312" s="7" t="s">
        <v>42</v>
      </c>
      <c r="M312" s="7" t="s">
        <v>36</v>
      </c>
      <c r="N312" s="7" t="s">
        <v>41</v>
      </c>
      <c r="O312" s="7" t="s">
        <v>42</v>
      </c>
      <c r="Q312" s="7">
        <v>9</v>
      </c>
      <c r="R312" s="7">
        <v>9</v>
      </c>
      <c r="S312" s="7">
        <v>3</v>
      </c>
      <c r="T312" s="7">
        <v>8</v>
      </c>
      <c r="U312" s="7">
        <v>9</v>
      </c>
      <c r="W312" s="4">
        <v>0</v>
      </c>
      <c r="X312" s="4">
        <v>0</v>
      </c>
      <c r="Y312" s="4">
        <v>0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37</v>
      </c>
      <c r="L313" s="7" t="s">
        <v>41</v>
      </c>
      <c r="M313" s="7" t="s">
        <v>42</v>
      </c>
      <c r="N313" s="7" t="s">
        <v>38</v>
      </c>
      <c r="O313" s="7" t="s">
        <v>43</v>
      </c>
      <c r="Q313" s="7">
        <v>4</v>
      </c>
      <c r="R313" s="7">
        <v>8</v>
      </c>
      <c r="S313" s="7">
        <v>9</v>
      </c>
      <c r="T313" s="7">
        <v>5</v>
      </c>
      <c r="U313" s="7">
        <v>10</v>
      </c>
      <c r="W313" s="4">
        <v>0</v>
      </c>
      <c r="X313" s="4">
        <v>0</v>
      </c>
      <c r="Y313" s="4">
        <v>0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38</v>
      </c>
      <c r="L314" s="7" t="s">
        <v>41</v>
      </c>
      <c r="M314" s="7" t="s">
        <v>42</v>
      </c>
      <c r="N314" s="7" t="s">
        <v>41</v>
      </c>
      <c r="O314" s="7" t="s">
        <v>37</v>
      </c>
      <c r="Q314" s="7">
        <v>5</v>
      </c>
      <c r="R314" s="7">
        <v>8</v>
      </c>
      <c r="S314" s="7">
        <v>9</v>
      </c>
      <c r="T314" s="7">
        <v>8</v>
      </c>
      <c r="U314" s="7">
        <v>4</v>
      </c>
      <c r="W314" s="4">
        <v>0</v>
      </c>
      <c r="X314" s="4">
        <v>0</v>
      </c>
      <c r="Y314" s="4">
        <v>0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40</v>
      </c>
      <c r="L315" s="7" t="s">
        <v>48</v>
      </c>
      <c r="M315" s="7" t="s">
        <v>43</v>
      </c>
      <c r="N315" s="7" t="s">
        <v>43</v>
      </c>
      <c r="O315" s="7" t="s">
        <v>42</v>
      </c>
      <c r="Q315" s="7">
        <v>7</v>
      </c>
      <c r="R315" s="7">
        <v>13</v>
      </c>
      <c r="S315" s="7">
        <v>10</v>
      </c>
      <c r="T315" s="7">
        <v>10</v>
      </c>
      <c r="U315" s="7">
        <v>9</v>
      </c>
      <c r="W315" s="4">
        <v>0</v>
      </c>
      <c r="X315" s="4">
        <v>0</v>
      </c>
      <c r="Y315" s="4">
        <v>0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43</v>
      </c>
      <c r="L316" s="7" t="s">
        <v>46</v>
      </c>
      <c r="M316" s="7" t="s">
        <v>38</v>
      </c>
      <c r="N316" s="7" t="s">
        <v>41</v>
      </c>
      <c r="O316" s="7" t="s">
        <v>39</v>
      </c>
      <c r="Q316" s="7">
        <v>10</v>
      </c>
      <c r="R316" s="7">
        <v>12</v>
      </c>
      <c r="S316" s="7">
        <v>5</v>
      </c>
      <c r="T316" s="7">
        <v>8</v>
      </c>
      <c r="U316" s="7">
        <v>6</v>
      </c>
      <c r="W316" s="4">
        <v>0</v>
      </c>
      <c r="X316" s="4">
        <v>0</v>
      </c>
      <c r="Y316" s="4">
        <v>0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42</v>
      </c>
      <c r="L317" s="7" t="s">
        <v>37</v>
      </c>
      <c r="M317" s="7" t="s">
        <v>43</v>
      </c>
      <c r="N317" s="7" t="s">
        <v>42</v>
      </c>
      <c r="O317" s="7" t="s">
        <v>38</v>
      </c>
      <c r="Q317" s="7">
        <v>9</v>
      </c>
      <c r="R317" s="7">
        <v>4</v>
      </c>
      <c r="S317" s="7">
        <v>10</v>
      </c>
      <c r="T317" s="7">
        <v>9</v>
      </c>
      <c r="U317" s="7">
        <v>5</v>
      </c>
      <c r="W317" s="4">
        <v>0</v>
      </c>
      <c r="X317" s="4">
        <v>0</v>
      </c>
      <c r="Y317" s="4">
        <v>0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39</v>
      </c>
      <c r="L318" s="7" t="s">
        <v>44</v>
      </c>
      <c r="M318" s="7" t="s">
        <v>43</v>
      </c>
      <c r="N318" s="7" t="s">
        <v>43</v>
      </c>
      <c r="O318" s="7" t="s">
        <v>41</v>
      </c>
      <c r="Q318" s="7">
        <v>6</v>
      </c>
      <c r="R318" s="7">
        <v>11</v>
      </c>
      <c r="S318" s="7">
        <v>10</v>
      </c>
      <c r="T318" s="7">
        <v>10</v>
      </c>
      <c r="U318" s="7">
        <v>8</v>
      </c>
      <c r="W318" s="4">
        <v>0</v>
      </c>
      <c r="X318" s="4">
        <v>0</v>
      </c>
      <c r="Y318" s="4">
        <v>0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41</v>
      </c>
      <c r="L319" s="7" t="s">
        <v>40</v>
      </c>
      <c r="M319" s="7" t="s">
        <v>48</v>
      </c>
      <c r="N319" s="7" t="s">
        <v>39</v>
      </c>
      <c r="O319" s="7" t="s">
        <v>37</v>
      </c>
      <c r="Q319" s="7">
        <v>8</v>
      </c>
      <c r="R319" s="7">
        <v>7</v>
      </c>
      <c r="S319" s="7">
        <v>13</v>
      </c>
      <c r="T319" s="7">
        <v>6</v>
      </c>
      <c r="U319" s="7">
        <v>4</v>
      </c>
      <c r="W319" s="4">
        <v>0</v>
      </c>
      <c r="X319" s="4">
        <v>0</v>
      </c>
      <c r="Y319" s="4">
        <v>0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43</v>
      </c>
      <c r="L320" s="7" t="s">
        <v>39</v>
      </c>
      <c r="M320" s="7" t="s">
        <v>42</v>
      </c>
      <c r="N320" s="7" t="s">
        <v>42</v>
      </c>
      <c r="O320" s="7" t="s">
        <v>36</v>
      </c>
      <c r="Q320" s="7">
        <v>10</v>
      </c>
      <c r="R320" s="7">
        <v>6</v>
      </c>
      <c r="S320" s="7">
        <v>9</v>
      </c>
      <c r="T320" s="7">
        <v>9</v>
      </c>
      <c r="U320" s="7">
        <v>3</v>
      </c>
      <c r="W320" s="4">
        <v>0</v>
      </c>
      <c r="X320" s="4">
        <v>0</v>
      </c>
      <c r="Y320" s="4">
        <v>0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40</v>
      </c>
      <c r="L321" s="7" t="s">
        <v>37</v>
      </c>
      <c r="M321" s="7" t="s">
        <v>38</v>
      </c>
      <c r="N321" s="7" t="s">
        <v>46</v>
      </c>
      <c r="O321" s="7" t="s">
        <v>39</v>
      </c>
      <c r="Q321" s="7">
        <v>7</v>
      </c>
      <c r="R321" s="7">
        <v>4</v>
      </c>
      <c r="S321" s="7">
        <v>5</v>
      </c>
      <c r="T321" s="7">
        <v>12</v>
      </c>
      <c r="U321" s="7">
        <v>6</v>
      </c>
      <c r="W321" s="4">
        <v>0</v>
      </c>
      <c r="X321" s="4">
        <v>0</v>
      </c>
      <c r="Y321" s="4">
        <v>0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43</v>
      </c>
      <c r="L322" s="7" t="s">
        <v>50</v>
      </c>
      <c r="M322" s="7" t="s">
        <v>41</v>
      </c>
      <c r="N322" s="7" t="s">
        <v>46</v>
      </c>
      <c r="O322" s="7" t="s">
        <v>40</v>
      </c>
      <c r="Q322" s="7">
        <v>10</v>
      </c>
      <c r="R322" s="7">
        <v>14</v>
      </c>
      <c r="S322" s="7">
        <v>8</v>
      </c>
      <c r="T322" s="7">
        <v>12</v>
      </c>
      <c r="U322" s="7">
        <v>7</v>
      </c>
      <c r="W322" s="4">
        <v>0</v>
      </c>
      <c r="X322" s="4">
        <v>0</v>
      </c>
      <c r="Y322" s="4">
        <v>0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36</v>
      </c>
      <c r="L323" s="7" t="s">
        <v>42</v>
      </c>
      <c r="M323" s="7" t="s">
        <v>38</v>
      </c>
      <c r="N323" s="7" t="s">
        <v>58</v>
      </c>
      <c r="O323" s="7" t="s">
        <v>39</v>
      </c>
      <c r="Q323" s="7">
        <v>3</v>
      </c>
      <c r="R323" s="7">
        <v>9</v>
      </c>
      <c r="S323" s="7">
        <v>5</v>
      </c>
      <c r="T323" s="7">
        <v>18</v>
      </c>
      <c r="U323" s="7">
        <v>6</v>
      </c>
      <c r="W323" s="4">
        <v>0</v>
      </c>
      <c r="X323" s="4">
        <v>0</v>
      </c>
      <c r="Y323" s="4">
        <v>0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40</v>
      </c>
      <c r="L324" s="7" t="s">
        <v>37</v>
      </c>
      <c r="M324" s="7" t="s">
        <v>38</v>
      </c>
      <c r="N324" s="7" t="s">
        <v>54</v>
      </c>
      <c r="O324" s="7" t="s">
        <v>42</v>
      </c>
      <c r="Q324" s="7">
        <v>7</v>
      </c>
      <c r="R324" s="7">
        <v>4</v>
      </c>
      <c r="S324" s="7">
        <v>5</v>
      </c>
      <c r="T324" s="7">
        <v>16</v>
      </c>
      <c r="U324" s="7">
        <v>9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41</v>
      </c>
      <c r="L325" s="7" t="s">
        <v>40</v>
      </c>
      <c r="M325" s="7" t="s">
        <v>42</v>
      </c>
      <c r="N325" s="7" t="s">
        <v>42</v>
      </c>
      <c r="O325" s="7" t="s">
        <v>38</v>
      </c>
      <c r="Q325" s="7">
        <v>8</v>
      </c>
      <c r="R325" s="7">
        <v>7</v>
      </c>
      <c r="S325" s="7">
        <v>9</v>
      </c>
      <c r="T325" s="7">
        <v>9</v>
      </c>
      <c r="U325" s="7">
        <v>5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37</v>
      </c>
      <c r="M326" s="7" t="s">
        <v>42</v>
      </c>
      <c r="N326" s="7" t="s">
        <v>36</v>
      </c>
      <c r="O326" s="7" t="s">
        <v>42</v>
      </c>
      <c r="Q326" s="7">
        <v>8</v>
      </c>
      <c r="R326" s="7">
        <v>4</v>
      </c>
      <c r="S326" s="7">
        <v>9</v>
      </c>
      <c r="T326" s="7">
        <v>3</v>
      </c>
      <c r="U326" s="7">
        <v>9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34</v>
      </c>
      <c r="L327" s="7" t="s">
        <v>34</v>
      </c>
      <c r="M327" s="7" t="s">
        <v>34</v>
      </c>
      <c r="N327" s="7" t="s">
        <v>37</v>
      </c>
      <c r="O327" s="7" t="s">
        <v>41</v>
      </c>
      <c r="Q327" s="7">
        <v>2</v>
      </c>
      <c r="R327" s="7">
        <v>2</v>
      </c>
      <c r="S327" s="7">
        <v>2</v>
      </c>
      <c r="T327" s="7">
        <v>4</v>
      </c>
      <c r="U327" s="7">
        <v>8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40</v>
      </c>
      <c r="L328" s="7" t="s">
        <v>37</v>
      </c>
      <c r="M328" s="7" t="s">
        <v>43</v>
      </c>
      <c r="N328" s="7" t="s">
        <v>36</v>
      </c>
      <c r="O328" s="7" t="s">
        <v>43</v>
      </c>
      <c r="Q328" s="7">
        <v>7</v>
      </c>
      <c r="R328" s="7">
        <v>4</v>
      </c>
      <c r="S328" s="7">
        <v>10</v>
      </c>
      <c r="T328" s="7">
        <v>3</v>
      </c>
      <c r="U328" s="7">
        <v>10</v>
      </c>
      <c r="W328" s="4">
        <v>0</v>
      </c>
      <c r="X328" s="4">
        <v>0</v>
      </c>
      <c r="Y328" s="4">
        <v>0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41</v>
      </c>
      <c r="L329" s="7" t="s">
        <v>41</v>
      </c>
      <c r="M329" s="7" t="s">
        <v>58</v>
      </c>
      <c r="N329" s="7" t="s">
        <v>42</v>
      </c>
      <c r="O329" s="7" t="s">
        <v>36</v>
      </c>
      <c r="Q329" s="7">
        <v>8</v>
      </c>
      <c r="R329" s="7">
        <v>8</v>
      </c>
      <c r="S329" s="7">
        <v>18</v>
      </c>
      <c r="T329" s="7">
        <v>9</v>
      </c>
      <c r="U329" s="7">
        <v>3</v>
      </c>
      <c r="W329" s="4">
        <v>0</v>
      </c>
      <c r="X329" s="4">
        <v>0</v>
      </c>
      <c r="Y329" s="4">
        <v>0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43</v>
      </c>
      <c r="L330" s="7" t="s">
        <v>40</v>
      </c>
      <c r="M330" s="7" t="s">
        <v>38</v>
      </c>
      <c r="N330" s="7" t="s">
        <v>42</v>
      </c>
      <c r="O330" s="7" t="s">
        <v>36</v>
      </c>
      <c r="Q330" s="7">
        <v>10</v>
      </c>
      <c r="R330" s="7">
        <v>7</v>
      </c>
      <c r="S330" s="7">
        <v>5</v>
      </c>
      <c r="T330" s="7">
        <v>9</v>
      </c>
      <c r="U330" s="7">
        <v>3</v>
      </c>
      <c r="W330" s="4">
        <v>0</v>
      </c>
      <c r="X330" s="4">
        <v>0</v>
      </c>
      <c r="Y330" s="4">
        <v>0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39</v>
      </c>
      <c r="M331" s="7" t="s">
        <v>58</v>
      </c>
      <c r="N331" s="7" t="s">
        <v>38</v>
      </c>
      <c r="O331" s="7" t="s">
        <v>36</v>
      </c>
      <c r="Q331" s="7">
        <v>7</v>
      </c>
      <c r="R331" s="7">
        <v>6</v>
      </c>
      <c r="S331" s="7">
        <v>18</v>
      </c>
      <c r="T331" s="7">
        <v>5</v>
      </c>
      <c r="U331" s="7">
        <v>3</v>
      </c>
      <c r="W331" s="4">
        <v>0</v>
      </c>
      <c r="X331" s="4">
        <v>0</v>
      </c>
      <c r="Y331" s="4">
        <v>0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43</v>
      </c>
      <c r="L332" s="7" t="s">
        <v>40</v>
      </c>
      <c r="M332" s="7" t="s">
        <v>38</v>
      </c>
      <c r="N332" s="7" t="s">
        <v>42</v>
      </c>
      <c r="O332" s="7" t="s">
        <v>38</v>
      </c>
      <c r="Q332" s="7">
        <v>10</v>
      </c>
      <c r="R332" s="7">
        <v>7</v>
      </c>
      <c r="S332" s="7">
        <v>5</v>
      </c>
      <c r="T332" s="7">
        <v>9</v>
      </c>
      <c r="U332" s="7">
        <v>5</v>
      </c>
      <c r="W332" s="4">
        <v>0</v>
      </c>
      <c r="X332" s="4">
        <v>0</v>
      </c>
      <c r="Y332" s="4">
        <v>0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43</v>
      </c>
      <c r="L333" s="7" t="s">
        <v>39</v>
      </c>
      <c r="M333" s="7" t="s">
        <v>43</v>
      </c>
      <c r="N333" s="7" t="s">
        <v>39</v>
      </c>
      <c r="O333" s="7" t="s">
        <v>42</v>
      </c>
      <c r="Q333" s="7">
        <v>10</v>
      </c>
      <c r="R333" s="7">
        <v>6</v>
      </c>
      <c r="S333" s="7">
        <v>10</v>
      </c>
      <c r="T333" s="7">
        <v>6</v>
      </c>
      <c r="U333" s="7">
        <v>9</v>
      </c>
      <c r="W333" s="4">
        <v>0</v>
      </c>
      <c r="X333" s="4">
        <v>0</v>
      </c>
      <c r="Y333" s="4">
        <v>0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42</v>
      </c>
      <c r="L334" s="7" t="s">
        <v>41</v>
      </c>
      <c r="M334" s="7" t="s">
        <v>42</v>
      </c>
      <c r="N334" s="7" t="s">
        <v>42</v>
      </c>
      <c r="O334" s="7" t="s">
        <v>37</v>
      </c>
      <c r="Q334" s="7">
        <v>9</v>
      </c>
      <c r="R334" s="7">
        <v>8</v>
      </c>
      <c r="S334" s="7">
        <v>9</v>
      </c>
      <c r="T334" s="7">
        <v>9</v>
      </c>
      <c r="U334" s="7">
        <v>4</v>
      </c>
      <c r="W334" s="4">
        <v>0</v>
      </c>
      <c r="X334" s="4">
        <v>0</v>
      </c>
      <c r="Y334" s="4">
        <v>0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39</v>
      </c>
      <c r="L335" s="7" t="s">
        <v>43</v>
      </c>
      <c r="M335" s="7" t="s">
        <v>43</v>
      </c>
      <c r="N335" s="7" t="s">
        <v>42</v>
      </c>
      <c r="O335" s="7" t="s">
        <v>36</v>
      </c>
      <c r="Q335" s="7">
        <v>6</v>
      </c>
      <c r="R335" s="7">
        <v>10</v>
      </c>
      <c r="S335" s="7">
        <v>10</v>
      </c>
      <c r="T335" s="7">
        <v>9</v>
      </c>
      <c r="U335" s="7">
        <v>3</v>
      </c>
      <c r="W335" s="4">
        <v>0</v>
      </c>
      <c r="X335" s="4">
        <v>0</v>
      </c>
      <c r="Y335" s="4">
        <v>0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42</v>
      </c>
      <c r="M336" s="7" t="s">
        <v>38</v>
      </c>
      <c r="N336" s="7" t="s">
        <v>41</v>
      </c>
      <c r="O336" s="7" t="s">
        <v>41</v>
      </c>
      <c r="Q336" s="7">
        <v>4</v>
      </c>
      <c r="R336" s="7">
        <v>9</v>
      </c>
      <c r="S336" s="7">
        <v>5</v>
      </c>
      <c r="T336" s="7">
        <v>8</v>
      </c>
      <c r="U336" s="7">
        <v>8</v>
      </c>
      <c r="W336" s="4">
        <v>0</v>
      </c>
      <c r="X336" s="4">
        <v>0</v>
      </c>
      <c r="Y336" s="4">
        <v>0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40</v>
      </c>
      <c r="M337" s="7" t="s">
        <v>42</v>
      </c>
      <c r="N337" s="7" t="s">
        <v>40</v>
      </c>
      <c r="O337" s="7" t="s">
        <v>41</v>
      </c>
      <c r="Q337" s="7">
        <v>8</v>
      </c>
      <c r="R337" s="7">
        <v>7</v>
      </c>
      <c r="S337" s="7">
        <v>9</v>
      </c>
      <c r="T337" s="7">
        <v>7</v>
      </c>
      <c r="U337" s="7">
        <v>8</v>
      </c>
      <c r="W337" s="4">
        <v>0</v>
      </c>
      <c r="X337" s="4">
        <v>0</v>
      </c>
      <c r="Y337" s="4">
        <v>0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41</v>
      </c>
      <c r="L338" s="7" t="s">
        <v>40</v>
      </c>
      <c r="M338" s="7" t="s">
        <v>58</v>
      </c>
      <c r="N338" s="7" t="s">
        <v>42</v>
      </c>
      <c r="O338" s="7" t="s">
        <v>43</v>
      </c>
      <c r="Q338" s="7">
        <v>8</v>
      </c>
      <c r="R338" s="7">
        <v>7</v>
      </c>
      <c r="S338" s="7">
        <v>18</v>
      </c>
      <c r="T338" s="7">
        <v>9</v>
      </c>
      <c r="U338" s="7">
        <v>10</v>
      </c>
      <c r="W338" s="4">
        <v>0</v>
      </c>
      <c r="X338" s="4">
        <v>0</v>
      </c>
      <c r="Y338" s="4">
        <v>0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43</v>
      </c>
      <c r="L339" s="7" t="s">
        <v>42</v>
      </c>
      <c r="M339" s="7" t="s">
        <v>36</v>
      </c>
      <c r="N339" s="7" t="s">
        <v>38</v>
      </c>
      <c r="O339" s="7" t="s">
        <v>37</v>
      </c>
      <c r="Q339" s="7">
        <v>10</v>
      </c>
      <c r="R339" s="7">
        <v>9</v>
      </c>
      <c r="S339" s="7">
        <v>3</v>
      </c>
      <c r="T339" s="7">
        <v>5</v>
      </c>
      <c r="U339" s="7">
        <v>4</v>
      </c>
      <c r="W339" s="4">
        <v>0</v>
      </c>
      <c r="X339" s="4">
        <v>0</v>
      </c>
      <c r="Y339" s="4">
        <v>0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40</v>
      </c>
      <c r="L340" s="7" t="s">
        <v>41</v>
      </c>
      <c r="M340" s="7" t="s">
        <v>36</v>
      </c>
      <c r="N340" s="7" t="s">
        <v>40</v>
      </c>
      <c r="O340" s="7" t="s">
        <v>42</v>
      </c>
      <c r="Q340" s="7">
        <v>7</v>
      </c>
      <c r="R340" s="7">
        <v>8</v>
      </c>
      <c r="S340" s="7">
        <v>3</v>
      </c>
      <c r="T340" s="7">
        <v>7</v>
      </c>
      <c r="U340" s="7">
        <v>9</v>
      </c>
      <c r="W340" s="4">
        <v>0</v>
      </c>
      <c r="X340" s="4">
        <v>0</v>
      </c>
      <c r="Y340" s="4">
        <v>0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40</v>
      </c>
      <c r="L341" s="7" t="s">
        <v>40</v>
      </c>
      <c r="M341" s="7" t="s">
        <v>54</v>
      </c>
      <c r="N341" s="7" t="s">
        <v>48</v>
      </c>
      <c r="O341" s="7" t="s">
        <v>38</v>
      </c>
      <c r="Q341" s="7">
        <v>7</v>
      </c>
      <c r="R341" s="7">
        <v>7</v>
      </c>
      <c r="S341" s="7">
        <v>16</v>
      </c>
      <c r="T341" s="7">
        <v>13</v>
      </c>
      <c r="U341" s="7">
        <v>5</v>
      </c>
      <c r="W341" s="4">
        <v>0</v>
      </c>
      <c r="X341" s="4">
        <v>0</v>
      </c>
      <c r="Y341" s="4">
        <v>0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36</v>
      </c>
      <c r="L342" s="7" t="s">
        <v>39</v>
      </c>
      <c r="M342" s="7" t="s">
        <v>43</v>
      </c>
      <c r="N342" s="7" t="s">
        <v>48</v>
      </c>
      <c r="O342" s="7" t="s">
        <v>42</v>
      </c>
      <c r="Q342" s="7">
        <v>3</v>
      </c>
      <c r="R342" s="7">
        <v>6</v>
      </c>
      <c r="S342" s="7">
        <v>10</v>
      </c>
      <c r="T342" s="7">
        <v>13</v>
      </c>
      <c r="U342" s="7">
        <v>9</v>
      </c>
      <c r="W342" s="4">
        <v>0</v>
      </c>
      <c r="X342" s="4">
        <v>0</v>
      </c>
      <c r="Y342" s="4">
        <v>0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39</v>
      </c>
      <c r="L343" s="7" t="s">
        <v>37</v>
      </c>
      <c r="M343" s="7" t="s">
        <v>38</v>
      </c>
      <c r="N343" s="7" t="s">
        <v>48</v>
      </c>
      <c r="O343" s="7" t="s">
        <v>42</v>
      </c>
      <c r="Q343" s="7">
        <v>6</v>
      </c>
      <c r="R343" s="7">
        <v>4</v>
      </c>
      <c r="S343" s="7">
        <v>5</v>
      </c>
      <c r="T343" s="7">
        <v>13</v>
      </c>
      <c r="U343" s="7">
        <v>9</v>
      </c>
      <c r="W343" s="4">
        <v>0</v>
      </c>
      <c r="X343" s="4">
        <v>0</v>
      </c>
      <c r="Y343" s="4">
        <v>0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43</v>
      </c>
      <c r="L344" s="7" t="s">
        <v>42</v>
      </c>
      <c r="M344" s="7" t="s">
        <v>38</v>
      </c>
      <c r="N344" s="7" t="s">
        <v>38</v>
      </c>
      <c r="O344" s="7" t="s">
        <v>43</v>
      </c>
      <c r="Q344" s="7">
        <v>10</v>
      </c>
      <c r="R344" s="7">
        <v>9</v>
      </c>
      <c r="S344" s="7">
        <v>5</v>
      </c>
      <c r="T344" s="7">
        <v>5</v>
      </c>
      <c r="U344" s="7">
        <v>10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41</v>
      </c>
      <c r="L345" s="7" t="s">
        <v>37</v>
      </c>
      <c r="M345" s="7" t="s">
        <v>42</v>
      </c>
      <c r="N345" s="7" t="s">
        <v>38</v>
      </c>
      <c r="O345" s="7" t="s">
        <v>38</v>
      </c>
      <c r="Q345" s="7">
        <v>8</v>
      </c>
      <c r="R345" s="7">
        <v>4</v>
      </c>
      <c r="S345" s="7">
        <v>9</v>
      </c>
      <c r="T345" s="7">
        <v>5</v>
      </c>
      <c r="U345" s="7">
        <v>5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43</v>
      </c>
      <c r="L346" s="7" t="s">
        <v>37</v>
      </c>
      <c r="M346" s="7" t="s">
        <v>43</v>
      </c>
      <c r="N346" s="7" t="s">
        <v>39</v>
      </c>
      <c r="O346" s="7" t="s">
        <v>40</v>
      </c>
      <c r="Q346" s="7">
        <v>10</v>
      </c>
      <c r="R346" s="7">
        <v>4</v>
      </c>
      <c r="S346" s="7">
        <v>10</v>
      </c>
      <c r="T346" s="7">
        <v>6</v>
      </c>
      <c r="U346" s="7">
        <v>7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34</v>
      </c>
      <c r="L347" s="7" t="s">
        <v>34</v>
      </c>
      <c r="M347" s="7" t="s">
        <v>34</v>
      </c>
      <c r="N347" s="7" t="s">
        <v>39</v>
      </c>
      <c r="O347" s="7" t="s">
        <v>43</v>
      </c>
      <c r="Q347" s="7">
        <v>2</v>
      </c>
      <c r="R347" s="7">
        <v>2</v>
      </c>
      <c r="S347" s="7">
        <v>2</v>
      </c>
      <c r="T347" s="7">
        <v>6</v>
      </c>
      <c r="U347" s="7">
        <v>10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40</v>
      </c>
      <c r="L348" s="7" t="s">
        <v>41</v>
      </c>
      <c r="M348" s="7" t="s">
        <v>58</v>
      </c>
      <c r="N348" s="7" t="s">
        <v>42</v>
      </c>
      <c r="O348" s="7" t="s">
        <v>38</v>
      </c>
      <c r="Q348" s="7">
        <v>7</v>
      </c>
      <c r="R348" s="7">
        <v>8</v>
      </c>
      <c r="S348" s="7">
        <v>18</v>
      </c>
      <c r="T348" s="7">
        <v>9</v>
      </c>
      <c r="U348" s="7">
        <v>5</v>
      </c>
      <c r="W348" s="4">
        <v>0</v>
      </c>
      <c r="X348" s="4">
        <v>0</v>
      </c>
      <c r="Y348" s="4">
        <v>0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43</v>
      </c>
      <c r="L349" s="7" t="s">
        <v>41</v>
      </c>
      <c r="M349" s="7" t="s">
        <v>42</v>
      </c>
      <c r="N349" s="7" t="s">
        <v>36</v>
      </c>
      <c r="O349" s="7" t="s">
        <v>41</v>
      </c>
      <c r="Q349" s="7">
        <v>10</v>
      </c>
      <c r="R349" s="7">
        <v>8</v>
      </c>
      <c r="S349" s="7">
        <v>9</v>
      </c>
      <c r="T349" s="7">
        <v>3</v>
      </c>
      <c r="U349" s="7">
        <v>8</v>
      </c>
      <c r="W349" s="4">
        <v>0</v>
      </c>
      <c r="X349" s="4">
        <v>0</v>
      </c>
      <c r="Y349" s="4">
        <v>0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41</v>
      </c>
      <c r="L350" s="7" t="s">
        <v>46</v>
      </c>
      <c r="M350" s="7" t="s">
        <v>43</v>
      </c>
      <c r="N350" s="7" t="s">
        <v>58</v>
      </c>
      <c r="O350" s="7" t="s">
        <v>43</v>
      </c>
      <c r="Q350" s="7">
        <v>8</v>
      </c>
      <c r="R350" s="7">
        <v>12</v>
      </c>
      <c r="S350" s="7">
        <v>10</v>
      </c>
      <c r="T350" s="7">
        <v>18</v>
      </c>
      <c r="U350" s="7">
        <v>10</v>
      </c>
      <c r="W350" s="4">
        <v>0</v>
      </c>
      <c r="X350" s="4">
        <v>0</v>
      </c>
      <c r="Y350" s="4">
        <v>0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40</v>
      </c>
      <c r="L351" s="7" t="s">
        <v>37</v>
      </c>
      <c r="M351" s="7" t="s">
        <v>58</v>
      </c>
      <c r="N351" s="7" t="s">
        <v>37</v>
      </c>
      <c r="O351" s="7" t="s">
        <v>40</v>
      </c>
      <c r="Q351" s="7">
        <v>7</v>
      </c>
      <c r="R351" s="7">
        <v>4</v>
      </c>
      <c r="S351" s="7">
        <v>18</v>
      </c>
      <c r="T351" s="7">
        <v>4</v>
      </c>
      <c r="U351" s="7">
        <v>7</v>
      </c>
      <c r="W351" s="4">
        <v>0</v>
      </c>
      <c r="X351" s="4">
        <v>0</v>
      </c>
      <c r="Y351" s="4">
        <v>0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41</v>
      </c>
      <c r="L352" s="7" t="s">
        <v>48</v>
      </c>
      <c r="M352" s="7" t="s">
        <v>37</v>
      </c>
      <c r="N352" s="7" t="s">
        <v>43</v>
      </c>
      <c r="O352" s="7" t="s">
        <v>41</v>
      </c>
      <c r="Q352" s="7">
        <v>8</v>
      </c>
      <c r="R352" s="7">
        <v>13</v>
      </c>
      <c r="S352" s="7">
        <v>4</v>
      </c>
      <c r="T352" s="7">
        <v>10</v>
      </c>
      <c r="U352" s="7">
        <v>8</v>
      </c>
      <c r="W352" s="4">
        <v>0</v>
      </c>
      <c r="X352" s="4">
        <v>0</v>
      </c>
      <c r="Y352" s="4">
        <v>0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40</v>
      </c>
      <c r="L353" s="7" t="s">
        <v>39</v>
      </c>
      <c r="M353" s="7" t="s">
        <v>43</v>
      </c>
      <c r="N353" s="7" t="s">
        <v>39</v>
      </c>
      <c r="O353" s="7" t="s">
        <v>39</v>
      </c>
      <c r="Q353" s="7">
        <v>7</v>
      </c>
      <c r="R353" s="7">
        <v>6</v>
      </c>
      <c r="S353" s="7">
        <v>10</v>
      </c>
      <c r="T353" s="7">
        <v>6</v>
      </c>
      <c r="U353" s="7">
        <v>6</v>
      </c>
      <c r="W353" s="4">
        <v>0</v>
      </c>
      <c r="X353" s="4">
        <v>0</v>
      </c>
      <c r="Y353" s="4">
        <v>0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43</v>
      </c>
      <c r="L354" s="7" t="s">
        <v>40</v>
      </c>
      <c r="M354" s="7" t="s">
        <v>43</v>
      </c>
      <c r="N354" s="7" t="s">
        <v>42</v>
      </c>
      <c r="O354" s="7" t="s">
        <v>43</v>
      </c>
      <c r="Q354" s="7">
        <v>10</v>
      </c>
      <c r="R354" s="7">
        <v>7</v>
      </c>
      <c r="S354" s="7">
        <v>10</v>
      </c>
      <c r="T354" s="7">
        <v>9</v>
      </c>
      <c r="U354" s="7">
        <v>10</v>
      </c>
      <c r="W354" s="4">
        <v>0</v>
      </c>
      <c r="X354" s="4">
        <v>0</v>
      </c>
      <c r="Y354" s="4">
        <v>0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41</v>
      </c>
      <c r="L355" s="7" t="s">
        <v>39</v>
      </c>
      <c r="M355" s="7" t="s">
        <v>41</v>
      </c>
      <c r="N355" s="7" t="s">
        <v>36</v>
      </c>
      <c r="O355" s="7" t="s">
        <v>43</v>
      </c>
      <c r="Q355" s="7">
        <v>8</v>
      </c>
      <c r="R355" s="7">
        <v>6</v>
      </c>
      <c r="S355" s="7">
        <v>8</v>
      </c>
      <c r="T355" s="7">
        <v>3</v>
      </c>
      <c r="U355" s="7">
        <v>10</v>
      </c>
      <c r="W355" s="4">
        <v>0</v>
      </c>
      <c r="X355" s="4">
        <v>0</v>
      </c>
      <c r="Y355" s="4">
        <v>0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41</v>
      </c>
      <c r="L356" s="7" t="s">
        <v>56</v>
      </c>
      <c r="M356" s="7" t="s">
        <v>38</v>
      </c>
      <c r="N356" s="7" t="s">
        <v>40</v>
      </c>
      <c r="O356" s="7" t="s">
        <v>41</v>
      </c>
      <c r="Q356" s="7">
        <v>8</v>
      </c>
      <c r="R356" s="7">
        <v>17</v>
      </c>
      <c r="S356" s="7">
        <v>5</v>
      </c>
      <c r="T356" s="7">
        <v>7</v>
      </c>
      <c r="U356" s="7">
        <v>8</v>
      </c>
      <c r="W356" s="4">
        <v>0</v>
      </c>
      <c r="X356" s="4">
        <v>0</v>
      </c>
      <c r="Y356" s="4">
        <v>0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38</v>
      </c>
      <c r="L357" s="7" t="s">
        <v>40</v>
      </c>
      <c r="M357" s="7" t="s">
        <v>42</v>
      </c>
      <c r="N357" s="7" t="s">
        <v>41</v>
      </c>
      <c r="O357" s="7" t="s">
        <v>42</v>
      </c>
      <c r="Q357" s="7">
        <v>5</v>
      </c>
      <c r="R357" s="7">
        <v>7</v>
      </c>
      <c r="S357" s="7">
        <v>9</v>
      </c>
      <c r="T357" s="7">
        <v>8</v>
      </c>
      <c r="U357" s="7">
        <v>9</v>
      </c>
      <c r="W357" s="4">
        <v>0</v>
      </c>
      <c r="X357" s="4">
        <v>0</v>
      </c>
      <c r="Y357" s="4">
        <v>0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36</v>
      </c>
      <c r="L358" s="7" t="s">
        <v>39</v>
      </c>
      <c r="M358" s="7" t="s">
        <v>43</v>
      </c>
      <c r="N358" s="7" t="s">
        <v>42</v>
      </c>
      <c r="O358" s="7" t="s">
        <v>43</v>
      </c>
      <c r="Q358" s="7">
        <v>3</v>
      </c>
      <c r="R358" s="7">
        <v>6</v>
      </c>
      <c r="S358" s="7">
        <v>10</v>
      </c>
      <c r="T358" s="7">
        <v>9</v>
      </c>
      <c r="U358" s="7">
        <v>10</v>
      </c>
      <c r="W358" s="4">
        <v>0</v>
      </c>
      <c r="X358" s="4">
        <v>0</v>
      </c>
      <c r="Y358" s="4">
        <v>0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40</v>
      </c>
      <c r="L359" s="7" t="s">
        <v>42</v>
      </c>
      <c r="M359" s="7" t="s">
        <v>42</v>
      </c>
      <c r="N359" s="7" t="s">
        <v>39</v>
      </c>
      <c r="O359" s="7" t="s">
        <v>43</v>
      </c>
      <c r="Q359" s="7">
        <v>7</v>
      </c>
      <c r="R359" s="7">
        <v>9</v>
      </c>
      <c r="S359" s="7">
        <v>9</v>
      </c>
      <c r="T359" s="7">
        <v>6</v>
      </c>
      <c r="U359" s="7">
        <v>10</v>
      </c>
      <c r="W359" s="4">
        <v>0</v>
      </c>
      <c r="X359" s="4">
        <v>0</v>
      </c>
      <c r="Y359" s="4">
        <v>0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38</v>
      </c>
      <c r="N360" s="7" t="s">
        <v>36</v>
      </c>
      <c r="O360" s="7" t="s">
        <v>39</v>
      </c>
      <c r="Q360" s="7">
        <v>3</v>
      </c>
      <c r="R360" s="7">
        <v>7</v>
      </c>
      <c r="S360" s="7">
        <v>5</v>
      </c>
      <c r="T360" s="7">
        <v>3</v>
      </c>
      <c r="U360" s="7">
        <v>6</v>
      </c>
      <c r="W360" s="4">
        <v>0</v>
      </c>
      <c r="X360" s="4">
        <v>0</v>
      </c>
      <c r="Y360" s="4">
        <v>0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36</v>
      </c>
      <c r="L361" s="7" t="s">
        <v>40</v>
      </c>
      <c r="M361" s="7" t="s">
        <v>43</v>
      </c>
      <c r="N361" s="7" t="s">
        <v>38</v>
      </c>
      <c r="O361" s="7" t="s">
        <v>39</v>
      </c>
      <c r="Q361" s="7">
        <v>3</v>
      </c>
      <c r="R361" s="7">
        <v>7</v>
      </c>
      <c r="S361" s="7">
        <v>10</v>
      </c>
      <c r="T361" s="7">
        <v>5</v>
      </c>
      <c r="U361" s="7">
        <v>6</v>
      </c>
      <c r="W361" s="4">
        <v>0</v>
      </c>
      <c r="X361" s="4">
        <v>0</v>
      </c>
      <c r="Y361" s="4">
        <v>0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43</v>
      </c>
      <c r="L362" s="7" t="s">
        <v>37</v>
      </c>
      <c r="M362" s="7" t="s">
        <v>42</v>
      </c>
      <c r="N362" s="7" t="s">
        <v>39</v>
      </c>
      <c r="O362" s="7" t="s">
        <v>39</v>
      </c>
      <c r="Q362" s="7">
        <v>10</v>
      </c>
      <c r="R362" s="7">
        <v>4</v>
      </c>
      <c r="S362" s="7">
        <v>9</v>
      </c>
      <c r="T362" s="7">
        <v>6</v>
      </c>
      <c r="U362" s="7">
        <v>6</v>
      </c>
      <c r="W362" s="4">
        <v>0</v>
      </c>
      <c r="X362" s="4">
        <v>0</v>
      </c>
      <c r="Y362" s="4">
        <v>0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43</v>
      </c>
      <c r="L363" s="7" t="s">
        <v>40</v>
      </c>
      <c r="M363" s="7" t="s">
        <v>38</v>
      </c>
      <c r="N363" s="7" t="s">
        <v>42</v>
      </c>
      <c r="O363" s="7" t="s">
        <v>40</v>
      </c>
      <c r="Q363" s="7">
        <v>10</v>
      </c>
      <c r="R363" s="7">
        <v>7</v>
      </c>
      <c r="S363" s="7">
        <v>5</v>
      </c>
      <c r="T363" s="7">
        <v>9</v>
      </c>
      <c r="U363" s="7">
        <v>7</v>
      </c>
      <c r="W363" s="4">
        <v>0</v>
      </c>
      <c r="X363" s="4">
        <v>0</v>
      </c>
      <c r="Y363" s="4">
        <v>0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40</v>
      </c>
      <c r="L364" s="7" t="s">
        <v>39</v>
      </c>
      <c r="M364" s="7" t="s">
        <v>48</v>
      </c>
      <c r="N364" s="7" t="s">
        <v>42</v>
      </c>
      <c r="O364" s="7" t="s">
        <v>43</v>
      </c>
      <c r="Q364" s="7">
        <v>7</v>
      </c>
      <c r="R364" s="7">
        <v>6</v>
      </c>
      <c r="S364" s="7">
        <v>13</v>
      </c>
      <c r="T364" s="7">
        <v>9</v>
      </c>
      <c r="U364" s="7">
        <v>10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36</v>
      </c>
      <c r="L365" s="7" t="s">
        <v>37</v>
      </c>
      <c r="M365" s="7" t="s">
        <v>43</v>
      </c>
      <c r="N365" s="7" t="s">
        <v>42</v>
      </c>
      <c r="O365" s="7" t="s">
        <v>42</v>
      </c>
      <c r="Q365" s="7">
        <v>3</v>
      </c>
      <c r="R365" s="7">
        <v>4</v>
      </c>
      <c r="S365" s="7">
        <v>10</v>
      </c>
      <c r="T365" s="7">
        <v>9</v>
      </c>
      <c r="U365" s="7">
        <v>9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43</v>
      </c>
      <c r="L366" s="7" t="s">
        <v>37</v>
      </c>
      <c r="M366" s="7" t="s">
        <v>38</v>
      </c>
      <c r="N366" s="7" t="s">
        <v>41</v>
      </c>
      <c r="O366" s="7" t="s">
        <v>43</v>
      </c>
      <c r="Q366" s="7">
        <v>10</v>
      </c>
      <c r="R366" s="7">
        <v>4</v>
      </c>
      <c r="S366" s="7">
        <v>5</v>
      </c>
      <c r="T366" s="7">
        <v>8</v>
      </c>
      <c r="U366" s="7">
        <v>10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34</v>
      </c>
      <c r="L367" s="7" t="s">
        <v>34</v>
      </c>
      <c r="M367" s="7" t="s">
        <v>34</v>
      </c>
      <c r="N367" s="7" t="s">
        <v>42</v>
      </c>
      <c r="O367" s="7" t="s">
        <v>42</v>
      </c>
      <c r="Q367" s="7">
        <v>2</v>
      </c>
      <c r="R367" s="7">
        <v>2</v>
      </c>
      <c r="S367" s="7">
        <v>2</v>
      </c>
      <c r="T367" s="7">
        <v>9</v>
      </c>
      <c r="U367" s="7">
        <v>9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40</v>
      </c>
      <c r="M368" s="7" t="s">
        <v>42</v>
      </c>
      <c r="N368" s="7" t="s">
        <v>39</v>
      </c>
      <c r="O368" s="7" t="s">
        <v>39</v>
      </c>
      <c r="Q368" s="7">
        <v>8</v>
      </c>
      <c r="R368" s="7">
        <v>7</v>
      </c>
      <c r="S368" s="7">
        <v>9</v>
      </c>
      <c r="T368" s="7">
        <v>6</v>
      </c>
      <c r="U368" s="7">
        <v>6</v>
      </c>
      <c r="W368" s="4">
        <v>0</v>
      </c>
      <c r="X368" s="4">
        <v>0</v>
      </c>
      <c r="Y368" s="4">
        <v>0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42</v>
      </c>
      <c r="N369" s="7" t="s">
        <v>39</v>
      </c>
      <c r="O369" s="7" t="s">
        <v>42</v>
      </c>
      <c r="Q369" s="7">
        <v>10</v>
      </c>
      <c r="R369" s="7">
        <v>6</v>
      </c>
      <c r="S369" s="7">
        <v>9</v>
      </c>
      <c r="T369" s="7">
        <v>6</v>
      </c>
      <c r="U369" s="7">
        <v>9</v>
      </c>
      <c r="W369" s="4">
        <v>0</v>
      </c>
      <c r="X369" s="4">
        <v>0</v>
      </c>
      <c r="Y369" s="4">
        <v>0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40</v>
      </c>
      <c r="L370" s="7" t="s">
        <v>39</v>
      </c>
      <c r="M370" s="7" t="s">
        <v>42</v>
      </c>
      <c r="N370" s="7" t="s">
        <v>58</v>
      </c>
      <c r="O370" s="7" t="s">
        <v>41</v>
      </c>
      <c r="Q370" s="7">
        <v>7</v>
      </c>
      <c r="R370" s="7">
        <v>6</v>
      </c>
      <c r="S370" s="7">
        <v>9</v>
      </c>
      <c r="T370" s="7">
        <v>18</v>
      </c>
      <c r="U370" s="7">
        <v>8</v>
      </c>
      <c r="W370" s="4">
        <v>0</v>
      </c>
      <c r="X370" s="4">
        <v>0</v>
      </c>
      <c r="Y370" s="4">
        <v>0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37</v>
      </c>
      <c r="M371" s="7" t="s">
        <v>36</v>
      </c>
      <c r="N371" s="7" t="s">
        <v>40</v>
      </c>
      <c r="O371" s="7" t="s">
        <v>36</v>
      </c>
      <c r="Q371" s="7">
        <v>3</v>
      </c>
      <c r="R371" s="7">
        <v>4</v>
      </c>
      <c r="S371" s="7">
        <v>3</v>
      </c>
      <c r="T371" s="7">
        <v>7</v>
      </c>
      <c r="U371" s="7">
        <v>3</v>
      </c>
      <c r="W371" s="4">
        <v>0</v>
      </c>
      <c r="X371" s="4">
        <v>0</v>
      </c>
      <c r="Y371" s="4">
        <v>0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41</v>
      </c>
      <c r="L372" s="7" t="s">
        <v>58</v>
      </c>
      <c r="M372" s="7" t="s">
        <v>42</v>
      </c>
      <c r="N372" s="7" t="s">
        <v>42</v>
      </c>
      <c r="O372" s="7" t="s">
        <v>43</v>
      </c>
      <c r="Q372" s="7">
        <v>8</v>
      </c>
      <c r="R372" s="7">
        <v>18</v>
      </c>
      <c r="S372" s="7">
        <v>9</v>
      </c>
      <c r="T372" s="7">
        <v>9</v>
      </c>
      <c r="U372" s="7">
        <v>10</v>
      </c>
      <c r="W372" s="4">
        <v>0</v>
      </c>
      <c r="X372" s="4">
        <v>0</v>
      </c>
      <c r="Y372" s="4">
        <v>0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43</v>
      </c>
      <c r="L373" s="7" t="s">
        <v>39</v>
      </c>
      <c r="M373" s="7" t="s">
        <v>43</v>
      </c>
      <c r="N373" s="7" t="s">
        <v>42</v>
      </c>
      <c r="O373" s="7" t="s">
        <v>42</v>
      </c>
      <c r="Q373" s="7">
        <v>10</v>
      </c>
      <c r="R373" s="7">
        <v>6</v>
      </c>
      <c r="S373" s="7">
        <v>10</v>
      </c>
      <c r="T373" s="7">
        <v>9</v>
      </c>
      <c r="U373" s="7">
        <v>9</v>
      </c>
      <c r="W373" s="4">
        <v>0</v>
      </c>
      <c r="X373" s="4">
        <v>0</v>
      </c>
      <c r="Y373" s="4">
        <v>0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38</v>
      </c>
      <c r="L374" s="7" t="s">
        <v>37</v>
      </c>
      <c r="M374" s="7" t="s">
        <v>42</v>
      </c>
      <c r="N374" s="7" t="s">
        <v>58</v>
      </c>
      <c r="O374" s="7" t="s">
        <v>38</v>
      </c>
      <c r="Q374" s="7">
        <v>5</v>
      </c>
      <c r="R374" s="7">
        <v>4</v>
      </c>
      <c r="S374" s="7">
        <v>9</v>
      </c>
      <c r="T374" s="7">
        <v>18</v>
      </c>
      <c r="U374" s="7">
        <v>5</v>
      </c>
      <c r="W374" s="4">
        <v>0</v>
      </c>
      <c r="X374" s="4">
        <v>0</v>
      </c>
      <c r="Y374" s="4">
        <v>0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43</v>
      </c>
      <c r="L375" s="7" t="s">
        <v>39</v>
      </c>
      <c r="M375" s="7" t="s">
        <v>38</v>
      </c>
      <c r="N375" s="7" t="s">
        <v>42</v>
      </c>
      <c r="O375" s="7" t="s">
        <v>38</v>
      </c>
      <c r="Q375" s="7">
        <v>10</v>
      </c>
      <c r="R375" s="7">
        <v>6</v>
      </c>
      <c r="S375" s="7">
        <v>5</v>
      </c>
      <c r="T375" s="7">
        <v>9</v>
      </c>
      <c r="U375" s="7">
        <v>5</v>
      </c>
      <c r="W375" s="4">
        <v>0</v>
      </c>
      <c r="X375" s="4">
        <v>0</v>
      </c>
      <c r="Y375" s="4">
        <v>0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43</v>
      </c>
      <c r="L376" s="7" t="s">
        <v>42</v>
      </c>
      <c r="M376" s="7" t="s">
        <v>42</v>
      </c>
      <c r="N376" s="7" t="s">
        <v>37</v>
      </c>
      <c r="O376" s="7" t="s">
        <v>40</v>
      </c>
      <c r="Q376" s="7">
        <v>10</v>
      </c>
      <c r="R376" s="7">
        <v>9</v>
      </c>
      <c r="S376" s="7">
        <v>9</v>
      </c>
      <c r="T376" s="7">
        <v>4</v>
      </c>
      <c r="U376" s="7">
        <v>7</v>
      </c>
      <c r="W376" s="4">
        <v>0</v>
      </c>
      <c r="X376" s="4">
        <v>0</v>
      </c>
      <c r="Y376" s="4">
        <v>0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41</v>
      </c>
      <c r="L377" s="7" t="s">
        <v>42</v>
      </c>
      <c r="M377" s="7" t="s">
        <v>42</v>
      </c>
      <c r="N377" s="7" t="s">
        <v>40</v>
      </c>
      <c r="O377" s="7" t="s">
        <v>41</v>
      </c>
      <c r="Q377" s="7">
        <v>8</v>
      </c>
      <c r="R377" s="7">
        <v>9</v>
      </c>
      <c r="S377" s="7">
        <v>9</v>
      </c>
      <c r="T377" s="7">
        <v>7</v>
      </c>
      <c r="U377" s="7">
        <v>8</v>
      </c>
      <c r="W377" s="4">
        <v>0</v>
      </c>
      <c r="X377" s="4">
        <v>0</v>
      </c>
      <c r="Y377" s="4">
        <v>0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43</v>
      </c>
      <c r="L378" s="7" t="s">
        <v>39</v>
      </c>
      <c r="M378" s="7" t="s">
        <v>42</v>
      </c>
      <c r="N378" s="7" t="s">
        <v>41</v>
      </c>
      <c r="O378" s="7" t="s">
        <v>41</v>
      </c>
      <c r="Q378" s="7">
        <v>10</v>
      </c>
      <c r="R378" s="7">
        <v>6</v>
      </c>
      <c r="S378" s="7">
        <v>9</v>
      </c>
      <c r="T378" s="7">
        <v>8</v>
      </c>
      <c r="U378" s="7">
        <v>8</v>
      </c>
      <c r="W378" s="4">
        <v>0</v>
      </c>
      <c r="X378" s="4">
        <v>0</v>
      </c>
      <c r="Y378" s="4">
        <v>0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39</v>
      </c>
      <c r="L379" s="7" t="s">
        <v>36</v>
      </c>
      <c r="M379" s="7" t="s">
        <v>38</v>
      </c>
      <c r="N379" s="7" t="s">
        <v>46</v>
      </c>
      <c r="O379" s="7" t="s">
        <v>38</v>
      </c>
      <c r="Q379" s="7">
        <v>6</v>
      </c>
      <c r="R379" s="7">
        <v>3</v>
      </c>
      <c r="S379" s="7">
        <v>5</v>
      </c>
      <c r="T379" s="7">
        <v>12</v>
      </c>
      <c r="U379" s="7">
        <v>5</v>
      </c>
      <c r="W379" s="4">
        <v>0</v>
      </c>
      <c r="X379" s="4">
        <v>0</v>
      </c>
      <c r="Y379" s="4">
        <v>0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41</v>
      </c>
      <c r="L380" s="7" t="s">
        <v>39</v>
      </c>
      <c r="M380" s="7" t="s">
        <v>42</v>
      </c>
      <c r="N380" s="7" t="s">
        <v>41</v>
      </c>
      <c r="O380" s="7" t="s">
        <v>39</v>
      </c>
      <c r="Q380" s="7">
        <v>8</v>
      </c>
      <c r="R380" s="7">
        <v>6</v>
      </c>
      <c r="S380" s="7">
        <v>9</v>
      </c>
      <c r="T380" s="7">
        <v>8</v>
      </c>
      <c r="U380" s="7">
        <v>6</v>
      </c>
      <c r="W380" s="4">
        <v>0</v>
      </c>
      <c r="X380" s="4">
        <v>0</v>
      </c>
      <c r="Y380" s="4">
        <v>0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43</v>
      </c>
      <c r="L381" s="7" t="s">
        <v>40</v>
      </c>
      <c r="M381" s="7" t="s">
        <v>38</v>
      </c>
      <c r="N381" s="7" t="s">
        <v>42</v>
      </c>
      <c r="O381" s="7" t="s">
        <v>42</v>
      </c>
      <c r="Q381" s="7">
        <v>10</v>
      </c>
      <c r="R381" s="7">
        <v>7</v>
      </c>
      <c r="S381" s="7">
        <v>5</v>
      </c>
      <c r="T381" s="7">
        <v>9</v>
      </c>
      <c r="U381" s="7">
        <v>9</v>
      </c>
      <c r="W381" s="4">
        <v>0</v>
      </c>
      <c r="X381" s="4">
        <v>0</v>
      </c>
      <c r="Y381" s="4">
        <v>0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43</v>
      </c>
      <c r="L382" s="7" t="s">
        <v>39</v>
      </c>
      <c r="M382" s="7" t="s">
        <v>38</v>
      </c>
      <c r="N382" s="7" t="s">
        <v>39</v>
      </c>
      <c r="O382" s="7" t="s">
        <v>40</v>
      </c>
      <c r="Q382" s="7">
        <v>10</v>
      </c>
      <c r="R382" s="7">
        <v>6</v>
      </c>
      <c r="S382" s="7">
        <v>5</v>
      </c>
      <c r="T382" s="7">
        <v>6</v>
      </c>
      <c r="U382" s="7">
        <v>7</v>
      </c>
      <c r="W382" s="4">
        <v>0</v>
      </c>
      <c r="X382" s="4">
        <v>0</v>
      </c>
      <c r="Y382" s="4">
        <v>0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40</v>
      </c>
      <c r="L383" s="7" t="s">
        <v>42</v>
      </c>
      <c r="M383" s="7" t="s">
        <v>36</v>
      </c>
      <c r="N383" s="7" t="s">
        <v>42</v>
      </c>
      <c r="O383" s="7" t="s">
        <v>39</v>
      </c>
      <c r="Q383" s="7">
        <v>7</v>
      </c>
      <c r="R383" s="7">
        <v>9</v>
      </c>
      <c r="S383" s="7">
        <v>3</v>
      </c>
      <c r="T383" s="7">
        <v>9</v>
      </c>
      <c r="U383" s="7">
        <v>6</v>
      </c>
      <c r="W383" s="4">
        <v>0</v>
      </c>
      <c r="X383" s="4">
        <v>0</v>
      </c>
      <c r="Y383" s="4">
        <v>0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40</v>
      </c>
      <c r="L384" s="7" t="s">
        <v>52</v>
      </c>
      <c r="M384" s="7" t="s">
        <v>42</v>
      </c>
      <c r="N384" s="7" t="s">
        <v>54</v>
      </c>
      <c r="O384" s="7" t="s">
        <v>41</v>
      </c>
      <c r="Q384" s="7">
        <v>7</v>
      </c>
      <c r="R384" s="7">
        <v>15</v>
      </c>
      <c r="S384" s="7">
        <v>9</v>
      </c>
      <c r="T384" s="7">
        <v>16</v>
      </c>
      <c r="U384" s="7">
        <v>8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41</v>
      </c>
      <c r="L385" s="7" t="s">
        <v>41</v>
      </c>
      <c r="M385" s="7" t="s">
        <v>43</v>
      </c>
      <c r="N385" s="7" t="s">
        <v>38</v>
      </c>
      <c r="O385" s="7" t="s">
        <v>42</v>
      </c>
      <c r="Q385" s="7">
        <v>8</v>
      </c>
      <c r="R385" s="7">
        <v>8</v>
      </c>
      <c r="S385" s="7">
        <v>10</v>
      </c>
      <c r="T385" s="7">
        <v>5</v>
      </c>
      <c r="U385" s="7">
        <v>9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42</v>
      </c>
      <c r="M386" s="7" t="s">
        <v>38</v>
      </c>
      <c r="N386" s="7" t="s">
        <v>39</v>
      </c>
      <c r="O386" s="7" t="s">
        <v>43</v>
      </c>
      <c r="Q386" s="7">
        <v>4</v>
      </c>
      <c r="R386" s="7">
        <v>9</v>
      </c>
      <c r="S386" s="7">
        <v>5</v>
      </c>
      <c r="T386" s="7">
        <v>6</v>
      </c>
      <c r="U386" s="7">
        <v>10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34</v>
      </c>
      <c r="L387" s="7" t="s">
        <v>34</v>
      </c>
      <c r="M387" s="7" t="s">
        <v>34</v>
      </c>
      <c r="N387" s="7" t="s">
        <v>42</v>
      </c>
      <c r="O387" s="7" t="s">
        <v>37</v>
      </c>
      <c r="Q387" s="7">
        <v>2</v>
      </c>
      <c r="R387" s="7">
        <v>2</v>
      </c>
      <c r="S387" s="7">
        <v>2</v>
      </c>
      <c r="T387" s="7">
        <v>9</v>
      </c>
      <c r="U387" s="7">
        <v>4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36</v>
      </c>
      <c r="L388" s="7" t="s">
        <v>37</v>
      </c>
      <c r="M388" s="7" t="s">
        <v>42</v>
      </c>
      <c r="N388" s="7" t="s">
        <v>42</v>
      </c>
      <c r="O388" s="7" t="s">
        <v>40</v>
      </c>
      <c r="Q388" s="7">
        <v>3</v>
      </c>
      <c r="R388" s="7">
        <v>4</v>
      </c>
      <c r="S388" s="7">
        <v>9</v>
      </c>
      <c r="T388" s="7">
        <v>9</v>
      </c>
      <c r="U388" s="7">
        <v>7</v>
      </c>
      <c r="W388" s="4">
        <v>0</v>
      </c>
      <c r="X388" s="4">
        <v>0</v>
      </c>
      <c r="Y388" s="4">
        <v>0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40</v>
      </c>
      <c r="M389" s="7" t="s">
        <v>43</v>
      </c>
      <c r="N389" s="7" t="s">
        <v>41</v>
      </c>
      <c r="O389" s="7" t="s">
        <v>38</v>
      </c>
      <c r="Q389" s="7">
        <v>8</v>
      </c>
      <c r="R389" s="7">
        <v>7</v>
      </c>
      <c r="S389" s="7">
        <v>10</v>
      </c>
      <c r="T389" s="7">
        <v>8</v>
      </c>
      <c r="U389" s="7">
        <v>5</v>
      </c>
      <c r="W389" s="4">
        <v>0</v>
      </c>
      <c r="X389" s="4">
        <v>0</v>
      </c>
      <c r="Y389" s="4">
        <v>0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43</v>
      </c>
      <c r="L390" s="7" t="s">
        <v>41</v>
      </c>
      <c r="M390" s="7" t="s">
        <v>42</v>
      </c>
      <c r="N390" s="7" t="s">
        <v>36</v>
      </c>
      <c r="O390" s="7" t="s">
        <v>40</v>
      </c>
      <c r="Q390" s="7">
        <v>10</v>
      </c>
      <c r="R390" s="7">
        <v>8</v>
      </c>
      <c r="S390" s="7">
        <v>9</v>
      </c>
      <c r="T390" s="7">
        <v>3</v>
      </c>
      <c r="U390" s="7">
        <v>7</v>
      </c>
      <c r="W390" s="4">
        <v>0</v>
      </c>
      <c r="X390" s="4">
        <v>0</v>
      </c>
      <c r="Y390" s="4">
        <v>0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40</v>
      </c>
      <c r="L391" s="7" t="s">
        <v>40</v>
      </c>
      <c r="M391" s="7" t="s">
        <v>43</v>
      </c>
      <c r="N391" s="7" t="s">
        <v>37</v>
      </c>
      <c r="O391" s="7" t="s">
        <v>39</v>
      </c>
      <c r="Q391" s="7">
        <v>7</v>
      </c>
      <c r="R391" s="7">
        <v>7</v>
      </c>
      <c r="S391" s="7">
        <v>10</v>
      </c>
      <c r="T391" s="7">
        <v>4</v>
      </c>
      <c r="U391" s="7">
        <v>6</v>
      </c>
      <c r="W391" s="4">
        <v>0</v>
      </c>
      <c r="X391" s="4">
        <v>0</v>
      </c>
      <c r="Y391" s="4">
        <v>0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40</v>
      </c>
      <c r="L392" s="7" t="s">
        <v>56</v>
      </c>
      <c r="M392" s="7" t="s">
        <v>43</v>
      </c>
      <c r="N392" s="7" t="s">
        <v>39</v>
      </c>
      <c r="O392" s="7" t="s">
        <v>42</v>
      </c>
      <c r="Q392" s="7">
        <v>7</v>
      </c>
      <c r="R392" s="7">
        <v>17</v>
      </c>
      <c r="S392" s="7">
        <v>10</v>
      </c>
      <c r="T392" s="7">
        <v>6</v>
      </c>
      <c r="U392" s="7">
        <v>9</v>
      </c>
      <c r="W392" s="4">
        <v>0</v>
      </c>
      <c r="X392" s="4">
        <v>0</v>
      </c>
      <c r="Y392" s="4">
        <v>0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40</v>
      </c>
      <c r="L393" s="7" t="s">
        <v>37</v>
      </c>
      <c r="M393" s="7" t="s">
        <v>43</v>
      </c>
      <c r="N393" s="7" t="s">
        <v>42</v>
      </c>
      <c r="O393" s="7" t="s">
        <v>41</v>
      </c>
      <c r="Q393" s="7">
        <v>7</v>
      </c>
      <c r="R393" s="7">
        <v>4</v>
      </c>
      <c r="S393" s="7">
        <v>10</v>
      </c>
      <c r="T393" s="7">
        <v>9</v>
      </c>
      <c r="U393" s="7">
        <v>8</v>
      </c>
      <c r="W393" s="4">
        <v>0</v>
      </c>
      <c r="X393" s="4">
        <v>0</v>
      </c>
      <c r="Y393" s="4">
        <v>0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43</v>
      </c>
      <c r="L394" s="7" t="s">
        <v>40</v>
      </c>
      <c r="M394" s="7" t="s">
        <v>38</v>
      </c>
      <c r="N394" s="7" t="s">
        <v>41</v>
      </c>
      <c r="O394" s="7" t="s">
        <v>36</v>
      </c>
      <c r="Q394" s="7">
        <v>10</v>
      </c>
      <c r="R394" s="7">
        <v>7</v>
      </c>
      <c r="S394" s="7">
        <v>5</v>
      </c>
      <c r="T394" s="7">
        <v>8</v>
      </c>
      <c r="U394" s="7">
        <v>3</v>
      </c>
      <c r="W394" s="4">
        <v>0</v>
      </c>
      <c r="X394" s="4">
        <v>0</v>
      </c>
      <c r="Y394" s="4">
        <v>0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43</v>
      </c>
      <c r="L395" s="7" t="s">
        <v>40</v>
      </c>
      <c r="M395" s="7" t="s">
        <v>38</v>
      </c>
      <c r="N395" s="7" t="s">
        <v>41</v>
      </c>
      <c r="O395" s="7" t="s">
        <v>42</v>
      </c>
      <c r="Q395" s="7">
        <v>10</v>
      </c>
      <c r="R395" s="7">
        <v>7</v>
      </c>
      <c r="S395" s="7">
        <v>5</v>
      </c>
      <c r="T395" s="7">
        <v>8</v>
      </c>
      <c r="U395" s="7">
        <v>9</v>
      </c>
      <c r="W395" s="4">
        <v>0</v>
      </c>
      <c r="X395" s="4">
        <v>0</v>
      </c>
      <c r="Y395" s="4">
        <v>0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43</v>
      </c>
      <c r="L396" s="7" t="s">
        <v>40</v>
      </c>
      <c r="M396" s="7" t="s">
        <v>42</v>
      </c>
      <c r="N396" s="7" t="s">
        <v>36</v>
      </c>
      <c r="O396" s="7" t="s">
        <v>42</v>
      </c>
      <c r="Q396" s="7">
        <v>10</v>
      </c>
      <c r="R396" s="7">
        <v>7</v>
      </c>
      <c r="S396" s="7">
        <v>9</v>
      </c>
      <c r="T396" s="7">
        <v>3</v>
      </c>
      <c r="U396" s="7">
        <v>9</v>
      </c>
      <c r="W396" s="4">
        <v>0</v>
      </c>
      <c r="X396" s="4">
        <v>0</v>
      </c>
      <c r="Y396" s="4">
        <v>0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36</v>
      </c>
      <c r="L397" s="7" t="s">
        <v>39</v>
      </c>
      <c r="M397" s="7" t="s">
        <v>43</v>
      </c>
      <c r="N397" s="7" t="s">
        <v>43</v>
      </c>
      <c r="O397" s="7" t="s">
        <v>42</v>
      </c>
      <c r="Q397" s="7">
        <v>3</v>
      </c>
      <c r="R397" s="7">
        <v>6</v>
      </c>
      <c r="S397" s="7">
        <v>10</v>
      </c>
      <c r="T397" s="7">
        <v>10</v>
      </c>
      <c r="U397" s="7">
        <v>9</v>
      </c>
      <c r="W397" s="4">
        <v>0</v>
      </c>
      <c r="X397" s="4">
        <v>0</v>
      </c>
      <c r="Y397" s="4">
        <v>0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46</v>
      </c>
      <c r="M398" s="7" t="s">
        <v>38</v>
      </c>
      <c r="N398" s="7" t="s">
        <v>42</v>
      </c>
      <c r="O398" s="7" t="s">
        <v>40</v>
      </c>
      <c r="Q398" s="7">
        <v>10</v>
      </c>
      <c r="R398" s="7">
        <v>12</v>
      </c>
      <c r="S398" s="7">
        <v>5</v>
      </c>
      <c r="T398" s="7">
        <v>9</v>
      </c>
      <c r="U398" s="7">
        <v>7</v>
      </c>
      <c r="W398" s="4">
        <v>0</v>
      </c>
      <c r="X398" s="4">
        <v>0</v>
      </c>
      <c r="Y398" s="4">
        <v>0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41</v>
      </c>
      <c r="L399" s="7" t="s">
        <v>39</v>
      </c>
      <c r="M399" s="7" t="s">
        <v>42</v>
      </c>
      <c r="N399" s="7" t="s">
        <v>39</v>
      </c>
      <c r="O399" s="7" t="s">
        <v>40</v>
      </c>
      <c r="Q399" s="7">
        <v>8</v>
      </c>
      <c r="R399" s="7">
        <v>6</v>
      </c>
      <c r="S399" s="7">
        <v>9</v>
      </c>
      <c r="T399" s="7">
        <v>6</v>
      </c>
      <c r="U399" s="7">
        <v>7</v>
      </c>
      <c r="W399" s="4">
        <v>0</v>
      </c>
      <c r="X399" s="4">
        <v>0</v>
      </c>
      <c r="Y399" s="4">
        <v>0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43</v>
      </c>
      <c r="L400" s="7" t="s">
        <v>44</v>
      </c>
      <c r="M400" s="7" t="s">
        <v>42</v>
      </c>
      <c r="N400" s="7" t="s">
        <v>39</v>
      </c>
      <c r="O400" s="7" t="s">
        <v>36</v>
      </c>
      <c r="Q400" s="7">
        <v>10</v>
      </c>
      <c r="R400" s="7">
        <v>11</v>
      </c>
      <c r="S400" s="7">
        <v>9</v>
      </c>
      <c r="T400" s="7">
        <v>6</v>
      </c>
      <c r="U400" s="7">
        <v>3</v>
      </c>
      <c r="W400" s="4">
        <v>0</v>
      </c>
      <c r="X400" s="4">
        <v>0</v>
      </c>
      <c r="Y400" s="4">
        <v>0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36</v>
      </c>
      <c r="L401" s="7" t="s">
        <v>39</v>
      </c>
      <c r="M401" s="7" t="s">
        <v>42</v>
      </c>
      <c r="N401" s="7" t="s">
        <v>42</v>
      </c>
      <c r="O401" s="7" t="s">
        <v>41</v>
      </c>
      <c r="Q401" s="7">
        <v>3</v>
      </c>
      <c r="R401" s="7">
        <v>6</v>
      </c>
      <c r="S401" s="7">
        <v>9</v>
      </c>
      <c r="T401" s="7">
        <v>9</v>
      </c>
      <c r="U401" s="7">
        <v>8</v>
      </c>
      <c r="W401" s="4">
        <v>0</v>
      </c>
      <c r="X401" s="4">
        <v>0</v>
      </c>
      <c r="Y401" s="4">
        <v>0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36</v>
      </c>
      <c r="L402" s="7" t="s">
        <v>52</v>
      </c>
      <c r="M402" s="7" t="s">
        <v>40</v>
      </c>
      <c r="N402" s="7" t="s">
        <v>50</v>
      </c>
      <c r="O402" s="7" t="s">
        <v>39</v>
      </c>
      <c r="Q402" s="7">
        <v>3</v>
      </c>
      <c r="R402" s="7">
        <v>15</v>
      </c>
      <c r="S402" s="7">
        <v>7</v>
      </c>
      <c r="T402" s="7">
        <v>14</v>
      </c>
      <c r="U402" s="7">
        <v>6</v>
      </c>
      <c r="W402" s="4">
        <v>0</v>
      </c>
      <c r="X402" s="4">
        <v>0</v>
      </c>
      <c r="Y402" s="4">
        <v>0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40</v>
      </c>
      <c r="L403" s="7" t="s">
        <v>37</v>
      </c>
      <c r="M403" s="7" t="s">
        <v>43</v>
      </c>
      <c r="N403" s="7" t="s">
        <v>41</v>
      </c>
      <c r="O403" s="7" t="s">
        <v>42</v>
      </c>
      <c r="Q403" s="7">
        <v>7</v>
      </c>
      <c r="R403" s="7">
        <v>4</v>
      </c>
      <c r="S403" s="7">
        <v>10</v>
      </c>
      <c r="T403" s="7">
        <v>8</v>
      </c>
      <c r="U403" s="7">
        <v>9</v>
      </c>
      <c r="W403" s="4">
        <v>0</v>
      </c>
      <c r="X403" s="4">
        <v>0</v>
      </c>
      <c r="Y403" s="4">
        <v>0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FG_Symbol</vt:lpstr>
      <vt:lpstr>FG_Symbol (2)</vt:lpstr>
      <vt:lpstr>FG_Symbol (3)</vt:lpstr>
      <vt:lpstr>FG_Symbol (4)</vt:lpstr>
      <vt:lpstr>FG_Symbol (5)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2026-08-07T05:58:19Z</dcterms:created>
  <dcterms:modified xsi:type="dcterms:W3CDTF">2026-08-07T07:56:47Z</dcterms:modified>
</cp:coreProperties>
</file>