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1D4A458E-653A-4832-9E58-2C2A4B8DE3AD}" xr6:coauthVersionLast="47" xr6:coauthVersionMax="47" xr10:uidLastSave="{00000000-0000-0000-0000-000000000000}"/>
  <bookViews>
    <workbookView xWindow="-28920" yWindow="60" windowWidth="29040" windowHeight="15720" tabRatio="800" activeTab="1" xr2:uid="{AD39F839-ECDA-4527-95BF-F4AB0DE85CE1}"/>
  </bookViews>
  <sheets>
    <sheet name="Overview" sheetId="4" r:id="rId1"/>
    <sheet name="Parameter" sheetId="30" r:id="rId2"/>
    <sheet name="Multiplier_Weight" sheetId="55" r:id="rId3"/>
    <sheet name="BG_Symbol" sheetId="13" r:id="rId4"/>
    <sheet name="FG_Symbol" sheetId="28" r:id="rId5"/>
    <sheet name="BF_Symbol" sheetId="3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0" i="34" l="1"/>
  <c r="G30" i="34"/>
  <c r="F30" i="34"/>
  <c r="E30" i="34"/>
  <c r="D30" i="34"/>
  <c r="C30" i="34"/>
  <c r="H29" i="34"/>
  <c r="G29" i="34"/>
  <c r="F29" i="34"/>
  <c r="E29" i="34"/>
  <c r="D29" i="34"/>
  <c r="C29" i="34"/>
  <c r="H28" i="34"/>
  <c r="G28" i="34"/>
  <c r="F28" i="34"/>
  <c r="E28" i="34"/>
  <c r="D28" i="34"/>
  <c r="C28" i="34"/>
  <c r="H27" i="34"/>
  <c r="G27" i="34"/>
  <c r="F27" i="34"/>
  <c r="E27" i="34"/>
  <c r="D27" i="34"/>
  <c r="C27" i="34"/>
  <c r="H26" i="34"/>
  <c r="G26" i="34"/>
  <c r="F26" i="34"/>
  <c r="E26" i="34"/>
  <c r="D26" i="34"/>
  <c r="C26" i="34"/>
  <c r="H25" i="34"/>
  <c r="G25" i="34"/>
  <c r="F25" i="34"/>
  <c r="E25" i="34"/>
  <c r="D25" i="34"/>
  <c r="C25" i="34"/>
  <c r="H24" i="34"/>
  <c r="G24" i="34"/>
  <c r="F24" i="34"/>
  <c r="E24" i="34"/>
  <c r="D24" i="34"/>
  <c r="C24" i="34"/>
  <c r="H23" i="34"/>
  <c r="G23" i="34"/>
  <c r="F23" i="34"/>
  <c r="E23" i="34"/>
  <c r="D23" i="34"/>
  <c r="C23" i="34"/>
  <c r="H22" i="34"/>
  <c r="G22" i="34"/>
  <c r="F22" i="34"/>
  <c r="E22" i="34"/>
  <c r="D22" i="34"/>
  <c r="C22" i="34"/>
  <c r="H21" i="34"/>
  <c r="G21" i="34"/>
  <c r="F21" i="34"/>
  <c r="E21" i="34"/>
  <c r="D21" i="34"/>
  <c r="C21" i="34"/>
  <c r="H20" i="34"/>
  <c r="G20" i="34"/>
  <c r="F20" i="34"/>
  <c r="E20" i="34"/>
  <c r="D20" i="34"/>
  <c r="C20" i="34"/>
  <c r="H19" i="34"/>
  <c r="G19" i="34"/>
  <c r="F19" i="34"/>
  <c r="E19" i="34"/>
  <c r="D19" i="34"/>
  <c r="C19" i="34"/>
  <c r="H16" i="34"/>
  <c r="G16" i="34"/>
  <c r="F16" i="34"/>
  <c r="E16" i="34"/>
  <c r="D16" i="34"/>
  <c r="C16" i="34"/>
  <c r="H15" i="34"/>
  <c r="G15" i="34"/>
  <c r="F15" i="34"/>
  <c r="E15" i="34"/>
  <c r="D15" i="34"/>
  <c r="C15" i="34"/>
  <c r="H14" i="34"/>
  <c r="G14" i="34"/>
  <c r="F14" i="34"/>
  <c r="E14" i="34"/>
  <c r="D14" i="34"/>
  <c r="C14" i="34"/>
  <c r="H13" i="34"/>
  <c r="G13" i="34"/>
  <c r="F13" i="34"/>
  <c r="E13" i="34"/>
  <c r="D13" i="34"/>
  <c r="C13" i="34"/>
  <c r="H12" i="34"/>
  <c r="G12" i="34"/>
  <c r="F12" i="34"/>
  <c r="E12" i="34"/>
  <c r="D12" i="34"/>
  <c r="C12" i="34"/>
  <c r="H11" i="34"/>
  <c r="G11" i="34"/>
  <c r="F11" i="34"/>
  <c r="E11" i="34"/>
  <c r="D11" i="34"/>
  <c r="C11" i="34"/>
  <c r="H10" i="34"/>
  <c r="G10" i="34"/>
  <c r="F10" i="34"/>
  <c r="E10" i="34"/>
  <c r="D10" i="34"/>
  <c r="C10" i="34"/>
  <c r="H9" i="34"/>
  <c r="G9" i="34"/>
  <c r="F9" i="34"/>
  <c r="E9" i="34"/>
  <c r="D9" i="34"/>
  <c r="C9" i="34"/>
  <c r="H8" i="34"/>
  <c r="G8" i="34"/>
  <c r="F8" i="34"/>
  <c r="E8" i="34"/>
  <c r="D8" i="34"/>
  <c r="C8" i="34"/>
  <c r="H7" i="34"/>
  <c r="G7" i="34"/>
  <c r="F7" i="34"/>
  <c r="E7" i="34"/>
  <c r="D7" i="34"/>
  <c r="C7" i="34"/>
  <c r="H6" i="34"/>
  <c r="G6" i="34"/>
  <c r="F6" i="34"/>
  <c r="E6" i="34"/>
  <c r="D6" i="34"/>
  <c r="C6" i="34"/>
  <c r="H5" i="34"/>
  <c r="G5" i="34"/>
  <c r="F5" i="34"/>
  <c r="E5" i="34"/>
  <c r="D5" i="34"/>
  <c r="C5" i="34"/>
  <c r="S4" i="34"/>
  <c r="S4" i="34" a="1"/>
  <c r="H4" i="34"/>
  <c r="G4" i="34"/>
  <c r="F4" i="34"/>
  <c r="E4" i="34"/>
  <c r="D4" i="34"/>
  <c r="C4" i="34"/>
  <c r="H30" i="28"/>
  <c r="G30" i="28"/>
  <c r="F30" i="28"/>
  <c r="E30" i="28"/>
  <c r="D30" i="28"/>
  <c r="C30" i="28"/>
  <c r="H29" i="28"/>
  <c r="G29" i="28"/>
  <c r="F29" i="28"/>
  <c r="E29" i="28"/>
  <c r="D29" i="28"/>
  <c r="C29" i="28"/>
  <c r="H28" i="28"/>
  <c r="G28" i="28"/>
  <c r="F28" i="28"/>
  <c r="E28" i="28"/>
  <c r="D28" i="28"/>
  <c r="C28" i="28"/>
  <c r="H27" i="28"/>
  <c r="G27" i="28"/>
  <c r="F27" i="28"/>
  <c r="E27" i="28"/>
  <c r="D27" i="28"/>
  <c r="C27" i="28"/>
  <c r="H26" i="28"/>
  <c r="G26" i="28"/>
  <c r="F26" i="28"/>
  <c r="E26" i="28"/>
  <c r="D26" i="28"/>
  <c r="C26" i="28"/>
  <c r="H25" i="28"/>
  <c r="G25" i="28"/>
  <c r="F25" i="28"/>
  <c r="E25" i="28"/>
  <c r="D25" i="28"/>
  <c r="C25" i="28"/>
  <c r="H24" i="28"/>
  <c r="G24" i="28"/>
  <c r="F24" i="28"/>
  <c r="E24" i="28"/>
  <c r="D24" i="28"/>
  <c r="C24" i="28"/>
  <c r="H23" i="28"/>
  <c r="G23" i="28"/>
  <c r="F23" i="28"/>
  <c r="E23" i="28"/>
  <c r="D23" i="28"/>
  <c r="C23" i="28"/>
  <c r="H22" i="28"/>
  <c r="G22" i="28"/>
  <c r="F22" i="28"/>
  <c r="E22" i="28"/>
  <c r="D22" i="28"/>
  <c r="C22" i="28"/>
  <c r="H21" i="28"/>
  <c r="G21" i="28"/>
  <c r="F21" i="28"/>
  <c r="E21" i="28"/>
  <c r="D21" i="28"/>
  <c r="C21" i="28"/>
  <c r="H20" i="28"/>
  <c r="G20" i="28"/>
  <c r="F20" i="28"/>
  <c r="E20" i="28"/>
  <c r="D20" i="28"/>
  <c r="C20" i="28"/>
  <c r="H19" i="28"/>
  <c r="G19" i="28"/>
  <c r="F19" i="28"/>
  <c r="E19" i="28"/>
  <c r="D19" i="28"/>
  <c r="C19" i="28"/>
  <c r="H16" i="28"/>
  <c r="G16" i="28"/>
  <c r="F16" i="28"/>
  <c r="E16" i="28"/>
  <c r="D16" i="28"/>
  <c r="C16" i="28"/>
  <c r="H15" i="28"/>
  <c r="G15" i="28"/>
  <c r="F15" i="28"/>
  <c r="E15" i="28"/>
  <c r="D15" i="28"/>
  <c r="C15" i="28"/>
  <c r="H14" i="28"/>
  <c r="G14" i="28"/>
  <c r="F14" i="28"/>
  <c r="E14" i="28"/>
  <c r="D14" i="28"/>
  <c r="C14" i="28"/>
  <c r="H13" i="28"/>
  <c r="G13" i="28"/>
  <c r="F13" i="28"/>
  <c r="E13" i="28"/>
  <c r="D13" i="28"/>
  <c r="C13" i="28"/>
  <c r="H12" i="28"/>
  <c r="G12" i="28"/>
  <c r="F12" i="28"/>
  <c r="E12" i="28"/>
  <c r="D12" i="28"/>
  <c r="C12" i="28"/>
  <c r="H11" i="28"/>
  <c r="G11" i="28"/>
  <c r="F11" i="28"/>
  <c r="E11" i="28"/>
  <c r="D11" i="28"/>
  <c r="C11" i="28"/>
  <c r="H10" i="28"/>
  <c r="G10" i="28"/>
  <c r="F10" i="28"/>
  <c r="E10" i="28"/>
  <c r="D10" i="28"/>
  <c r="C10" i="28"/>
  <c r="H9" i="28"/>
  <c r="G9" i="28"/>
  <c r="F9" i="28"/>
  <c r="E9" i="28"/>
  <c r="D9" i="28"/>
  <c r="C9" i="28"/>
  <c r="H8" i="28"/>
  <c r="G8" i="28"/>
  <c r="F8" i="28"/>
  <c r="E8" i="28"/>
  <c r="D8" i="28"/>
  <c r="C8" i="28"/>
  <c r="H7" i="28"/>
  <c r="G7" i="28"/>
  <c r="F7" i="28"/>
  <c r="E7" i="28"/>
  <c r="D7" i="28"/>
  <c r="C7" i="28"/>
  <c r="H6" i="28"/>
  <c r="G6" i="28"/>
  <c r="F6" i="28"/>
  <c r="E6" i="28"/>
  <c r="D6" i="28"/>
  <c r="C6" i="28"/>
  <c r="H5" i="28"/>
  <c r="G5" i="28"/>
  <c r="F5" i="28"/>
  <c r="E5" i="28"/>
  <c r="D5" i="28"/>
  <c r="C5" i="28"/>
  <c r="S4" i="28"/>
  <c r="S4" i="28" a="1"/>
  <c r="H4" i="28"/>
  <c r="G4" i="28"/>
  <c r="F4" i="28"/>
  <c r="E4" i="28"/>
  <c r="D4" i="28"/>
  <c r="C4" i="28"/>
  <c r="G30" i="13"/>
  <c r="C30" i="13"/>
  <c r="G29" i="13"/>
  <c r="C29" i="13"/>
  <c r="G28" i="13"/>
  <c r="C28" i="13"/>
  <c r="G27" i="13"/>
  <c r="C27" i="13"/>
  <c r="G26" i="13"/>
  <c r="C26" i="13"/>
  <c r="G25" i="13"/>
  <c r="C25" i="13"/>
  <c r="G24" i="13"/>
  <c r="C24" i="13"/>
  <c r="G23" i="13"/>
  <c r="C23" i="13"/>
  <c r="G22" i="13"/>
  <c r="C22" i="13"/>
  <c r="G21" i="13"/>
  <c r="C21" i="13"/>
  <c r="G20" i="13"/>
  <c r="C20" i="13"/>
  <c r="G19" i="13"/>
  <c r="C19" i="13"/>
  <c r="G16" i="13"/>
  <c r="C16" i="13"/>
  <c r="H15" i="13"/>
  <c r="G15" i="13"/>
  <c r="F15" i="13"/>
  <c r="E15" i="13"/>
  <c r="D15" i="13"/>
  <c r="C15" i="13"/>
  <c r="H14" i="13"/>
  <c r="G14" i="13"/>
  <c r="F14" i="13"/>
  <c r="E14" i="13"/>
  <c r="D14" i="13"/>
  <c r="C14" i="13"/>
  <c r="H13" i="13"/>
  <c r="G13" i="13"/>
  <c r="F13" i="13"/>
  <c r="E13" i="13"/>
  <c r="D13" i="13"/>
  <c r="C13" i="13"/>
  <c r="H12" i="13"/>
  <c r="G12" i="13"/>
  <c r="F12" i="13"/>
  <c r="E12" i="13"/>
  <c r="D12" i="13"/>
  <c r="C12" i="13"/>
  <c r="H11" i="13"/>
  <c r="G11" i="13"/>
  <c r="F11" i="13"/>
  <c r="E11" i="13"/>
  <c r="D11" i="13"/>
  <c r="C11" i="13"/>
  <c r="H10" i="13"/>
  <c r="G10" i="13"/>
  <c r="F10" i="13"/>
  <c r="E10" i="13"/>
  <c r="D10" i="13"/>
  <c r="C43" i="13" s="1"/>
  <c r="C10" i="13"/>
  <c r="H9" i="13"/>
  <c r="C42" i="13" s="1"/>
  <c r="G9" i="13"/>
  <c r="F9" i="13"/>
  <c r="E9" i="13"/>
  <c r="D9" i="13"/>
  <c r="C9" i="13"/>
  <c r="H8" i="13"/>
  <c r="C41" i="13" s="1"/>
  <c r="G8" i="13"/>
  <c r="F8" i="13"/>
  <c r="E8" i="13"/>
  <c r="D8" i="13"/>
  <c r="C8" i="13"/>
  <c r="H7" i="13"/>
  <c r="G7" i="13"/>
  <c r="F7" i="13"/>
  <c r="E7" i="13"/>
  <c r="D7" i="13"/>
  <c r="C7" i="13"/>
  <c r="H6" i="13"/>
  <c r="G6" i="13"/>
  <c r="F6" i="13"/>
  <c r="E6" i="13"/>
  <c r="D6" i="13"/>
  <c r="C6" i="13"/>
  <c r="H5" i="13"/>
  <c r="G5" i="13"/>
  <c r="F5" i="13"/>
  <c r="E5" i="13"/>
  <c r="D5" i="13"/>
  <c r="C5" i="13"/>
  <c r="S4" i="13" a="1"/>
  <c r="S4" i="13" s="1"/>
  <c r="H4" i="13"/>
  <c r="G4" i="13"/>
  <c r="F4" i="13"/>
  <c r="E4" i="13"/>
  <c r="D4" i="13"/>
  <c r="C4" i="13"/>
  <c r="M107" i="30"/>
  <c r="C107" i="30"/>
  <c r="M96" i="30"/>
  <c r="C96" i="30"/>
  <c r="M85" i="30"/>
  <c r="C85" i="30"/>
  <c r="M71" i="30"/>
  <c r="C71" i="30"/>
  <c r="N70" i="30"/>
  <c r="N70" i="30" a="1"/>
  <c r="M70" i="30"/>
  <c r="D70" i="30"/>
  <c r="D70" i="30" a="1"/>
  <c r="C70" i="30"/>
  <c r="S66" i="30"/>
  <c r="R66" i="30"/>
  <c r="Q66" i="30"/>
  <c r="P66" i="30"/>
  <c r="O66" i="30"/>
  <c r="N66" i="30"/>
  <c r="M66" i="30"/>
  <c r="I66" i="30"/>
  <c r="H66" i="30"/>
  <c r="G66" i="30"/>
  <c r="F66" i="30"/>
  <c r="E66" i="30"/>
  <c r="D66" i="30"/>
  <c r="C66" i="30"/>
  <c r="S65" i="30"/>
  <c r="R65" i="30"/>
  <c r="Q65" i="30"/>
  <c r="P65" i="30"/>
  <c r="O65" i="30"/>
  <c r="N65" i="30"/>
  <c r="M65" i="30"/>
  <c r="I65" i="30"/>
  <c r="H65" i="30"/>
  <c r="G65" i="30"/>
  <c r="F65" i="30"/>
  <c r="E65" i="30"/>
  <c r="D65" i="30"/>
  <c r="C65" i="30"/>
  <c r="S64" i="30"/>
  <c r="R64" i="30"/>
  <c r="Q64" i="30"/>
  <c r="P64" i="30"/>
  <c r="O64" i="30"/>
  <c r="N64" i="30"/>
  <c r="M64" i="30"/>
  <c r="I64" i="30"/>
  <c r="H64" i="30"/>
  <c r="G64" i="30"/>
  <c r="F64" i="30"/>
  <c r="E64" i="30"/>
  <c r="D64" i="30"/>
  <c r="C64" i="30"/>
  <c r="S63" i="30"/>
  <c r="R63" i="30"/>
  <c r="Q63" i="30"/>
  <c r="P63" i="30"/>
  <c r="O63" i="30"/>
  <c r="N63" i="30"/>
  <c r="M63" i="30"/>
  <c r="I63" i="30"/>
  <c r="H63" i="30"/>
  <c r="G63" i="30"/>
  <c r="F63" i="30"/>
  <c r="E63" i="30"/>
  <c r="D63" i="30"/>
  <c r="C63" i="30"/>
  <c r="S62" i="30"/>
  <c r="R62" i="30"/>
  <c r="Q62" i="30"/>
  <c r="P62" i="30"/>
  <c r="O62" i="30"/>
  <c r="N62" i="30"/>
  <c r="M62" i="30"/>
  <c r="I62" i="30"/>
  <c r="H62" i="30"/>
  <c r="G62" i="30"/>
  <c r="F62" i="30"/>
  <c r="E62" i="30"/>
  <c r="D62" i="30"/>
  <c r="C62" i="30"/>
  <c r="S61" i="30"/>
  <c r="R61" i="30"/>
  <c r="Q61" i="30"/>
  <c r="P61" i="30"/>
  <c r="O61" i="30"/>
  <c r="N61" i="30"/>
  <c r="M61" i="30"/>
  <c r="I61" i="30"/>
  <c r="H61" i="30"/>
  <c r="G61" i="30"/>
  <c r="F61" i="30"/>
  <c r="E61" i="30"/>
  <c r="D61" i="30"/>
  <c r="C61" i="30"/>
  <c r="S60" i="30"/>
  <c r="R60" i="30"/>
  <c r="Q60" i="30"/>
  <c r="P60" i="30"/>
  <c r="O60" i="30"/>
  <c r="N60" i="30"/>
  <c r="M60" i="30"/>
  <c r="I60" i="30"/>
  <c r="H60" i="30"/>
  <c r="G60" i="30"/>
  <c r="F60" i="30"/>
  <c r="E60" i="30"/>
  <c r="D60" i="30"/>
  <c r="C60" i="30"/>
  <c r="S59" i="30"/>
  <c r="R59" i="30"/>
  <c r="Q59" i="30"/>
  <c r="P59" i="30"/>
  <c r="O59" i="30"/>
  <c r="N59" i="30"/>
  <c r="M59" i="30"/>
  <c r="I59" i="30"/>
  <c r="H59" i="30"/>
  <c r="G59" i="30"/>
  <c r="F59" i="30"/>
  <c r="E59" i="30"/>
  <c r="D59" i="30"/>
  <c r="C59" i="30"/>
  <c r="S58" i="30"/>
  <c r="R58" i="30"/>
  <c r="Q58" i="30"/>
  <c r="P58" i="30"/>
  <c r="O58" i="30"/>
  <c r="N58" i="30"/>
  <c r="M58" i="30"/>
  <c r="I58" i="30"/>
  <c r="H58" i="30"/>
  <c r="G58" i="30"/>
  <c r="F58" i="30"/>
  <c r="E58" i="30"/>
  <c r="D58" i="30"/>
  <c r="C58" i="30"/>
  <c r="S57" i="30"/>
  <c r="R57" i="30"/>
  <c r="Q57" i="30"/>
  <c r="P57" i="30"/>
  <c r="O57" i="30"/>
  <c r="N57" i="30"/>
  <c r="M57" i="30"/>
  <c r="I57" i="30"/>
  <c r="H57" i="30"/>
  <c r="G57" i="30"/>
  <c r="F57" i="30"/>
  <c r="E57" i="30"/>
  <c r="D57" i="30"/>
  <c r="C57" i="30"/>
  <c r="S56" i="30"/>
  <c r="R56" i="30"/>
  <c r="Q56" i="30"/>
  <c r="P56" i="30"/>
  <c r="O56" i="30"/>
  <c r="N56" i="30"/>
  <c r="M56" i="30"/>
  <c r="I56" i="30"/>
  <c r="H56" i="30"/>
  <c r="G56" i="30"/>
  <c r="F56" i="30"/>
  <c r="E56" i="30"/>
  <c r="D56" i="30"/>
  <c r="C56" i="30"/>
  <c r="S55" i="30"/>
  <c r="R55" i="30"/>
  <c r="Q55" i="30"/>
  <c r="P55" i="30"/>
  <c r="O55" i="30"/>
  <c r="N55" i="30"/>
  <c r="M55" i="30"/>
  <c r="I55" i="30"/>
  <c r="H55" i="30"/>
  <c r="G55" i="30"/>
  <c r="F55" i="30"/>
  <c r="E55" i="30"/>
  <c r="D55" i="30"/>
  <c r="C55" i="30"/>
  <c r="S54" i="30"/>
  <c r="R54" i="30"/>
  <c r="Q54" i="30"/>
  <c r="P54" i="30"/>
  <c r="O54" i="30"/>
  <c r="N54" i="30"/>
  <c r="M54" i="30"/>
  <c r="I54" i="30"/>
  <c r="H54" i="30"/>
  <c r="G54" i="30"/>
  <c r="F54" i="30"/>
  <c r="E54" i="30"/>
  <c r="D54" i="30"/>
  <c r="C54" i="30"/>
  <c r="S53" i="30"/>
  <c r="R53" i="30"/>
  <c r="Q53" i="30"/>
  <c r="P53" i="30"/>
  <c r="O53" i="30"/>
  <c r="N53" i="30"/>
  <c r="M53" i="30"/>
  <c r="I53" i="30"/>
  <c r="H53" i="30"/>
  <c r="G53" i="30"/>
  <c r="F53" i="30"/>
  <c r="E53" i="30"/>
  <c r="D53" i="30"/>
  <c r="C53" i="30"/>
  <c r="S52" i="30"/>
  <c r="R52" i="30"/>
  <c r="Q52" i="30"/>
  <c r="P52" i="30"/>
  <c r="O52" i="30"/>
  <c r="N52" i="30"/>
  <c r="M52" i="30"/>
  <c r="I52" i="30"/>
  <c r="H52" i="30"/>
  <c r="G52" i="30"/>
  <c r="F52" i="30"/>
  <c r="E52" i="30"/>
  <c r="D52" i="30"/>
  <c r="C52" i="30"/>
  <c r="S51" i="30"/>
  <c r="R51" i="30"/>
  <c r="Q51" i="30"/>
  <c r="P51" i="30"/>
  <c r="O51" i="30"/>
  <c r="N51" i="30"/>
  <c r="M51" i="30"/>
  <c r="I51" i="30"/>
  <c r="H51" i="30"/>
  <c r="G51" i="30"/>
  <c r="F51" i="30"/>
  <c r="E51" i="30"/>
  <c r="D51" i="30"/>
  <c r="C51" i="30"/>
  <c r="S50" i="30"/>
  <c r="R50" i="30"/>
  <c r="Q50" i="30"/>
  <c r="P50" i="30"/>
  <c r="O50" i="30"/>
  <c r="N50" i="30"/>
  <c r="M50" i="30"/>
  <c r="I50" i="30"/>
  <c r="H50" i="30"/>
  <c r="G50" i="30"/>
  <c r="F50" i="30"/>
  <c r="E50" i="30"/>
  <c r="D50" i="30"/>
  <c r="C50" i="30"/>
  <c r="S49" i="30"/>
  <c r="R49" i="30"/>
  <c r="Q49" i="30"/>
  <c r="P49" i="30"/>
  <c r="O49" i="30"/>
  <c r="N49" i="30"/>
  <c r="M49" i="30"/>
  <c r="I49" i="30"/>
  <c r="H49" i="30"/>
  <c r="G49" i="30"/>
  <c r="F49" i="30"/>
  <c r="E49" i="30"/>
  <c r="D49" i="30"/>
  <c r="C49" i="30"/>
  <c r="T44" i="30"/>
  <c r="J44" i="30"/>
  <c r="T43" i="30"/>
  <c r="J43" i="30"/>
  <c r="T42" i="30"/>
  <c r="J42" i="30"/>
  <c r="T41" i="30"/>
  <c r="J41" i="30"/>
  <c r="T40" i="30"/>
  <c r="J40" i="30"/>
  <c r="T39" i="30"/>
  <c r="J39" i="30"/>
  <c r="T38" i="30"/>
  <c r="J38" i="30"/>
  <c r="T37" i="30"/>
  <c r="J37" i="30"/>
  <c r="T36" i="30"/>
  <c r="J36" i="30"/>
  <c r="T35" i="30"/>
  <c r="J35" i="30"/>
  <c r="T34" i="30"/>
  <c r="J34" i="30"/>
  <c r="T33" i="30"/>
  <c r="J33" i="30"/>
  <c r="T32" i="30"/>
  <c r="J32" i="30"/>
  <c r="T31" i="30"/>
  <c r="J31" i="30"/>
  <c r="T30" i="30"/>
  <c r="J30" i="30"/>
  <c r="T29" i="30"/>
  <c r="J29" i="30"/>
  <c r="T28" i="30"/>
  <c r="M28" i="30"/>
  <c r="M28" i="30" a="1"/>
  <c r="J28" i="30"/>
  <c r="M22" i="30"/>
  <c r="M22" i="30" a="1"/>
  <c r="C18" i="30"/>
  <c r="E17" i="30" s="1"/>
  <c r="E15" i="30"/>
  <c r="M14" i="30" a="1"/>
  <c r="M14" i="30" s="1"/>
  <c r="E14" i="30"/>
  <c r="D10" i="30"/>
  <c r="C10" i="30"/>
  <c r="D9" i="30"/>
  <c r="D8" i="30"/>
  <c r="N7" i="30"/>
  <c r="D7" i="30"/>
  <c r="N6" i="30"/>
  <c r="D6" i="30"/>
  <c r="B42" i="4"/>
  <c r="C26" i="4"/>
  <c r="A26" i="4"/>
  <c r="C22" i="4"/>
  <c r="A22" i="4"/>
  <c r="C18" i="4"/>
  <c r="A18" i="4"/>
  <c r="C13" i="4"/>
  <c r="C12" i="4"/>
  <c r="C11" i="4"/>
  <c r="A11" i="4"/>
  <c r="A11" i="4" a="1"/>
  <c r="E16" i="30" l="1"/>
  <c r="C39" i="13"/>
  <c r="C38" i="13"/>
  <c r="H16" i="13"/>
  <c r="C48" i="13"/>
  <c r="F16" i="13"/>
  <c r="C37" i="13"/>
  <c r="E16" i="13"/>
  <c r="E23" i="13" s="1"/>
  <c r="E29" i="13"/>
  <c r="E24" i="13"/>
  <c r="E20" i="13"/>
  <c r="E27" i="13"/>
  <c r="C44" i="13"/>
  <c r="C45" i="13"/>
  <c r="C46" i="13"/>
  <c r="C47" i="13"/>
  <c r="D16" i="13"/>
  <c r="D22" i="13" s="1"/>
  <c r="C40" i="13"/>
  <c r="H26" i="13" l="1"/>
  <c r="H19" i="13"/>
  <c r="H25" i="13"/>
  <c r="H24" i="13"/>
  <c r="H30" i="13"/>
  <c r="H23" i="13"/>
  <c r="H28" i="13"/>
  <c r="H21" i="13"/>
  <c r="H27" i="13"/>
  <c r="H20" i="13"/>
  <c r="H29" i="13"/>
  <c r="H22" i="13"/>
  <c r="F28" i="13"/>
  <c r="F27" i="13"/>
  <c r="F22" i="13"/>
  <c r="F21" i="13"/>
  <c r="F25" i="13"/>
  <c r="F24" i="13"/>
  <c r="F30" i="13"/>
  <c r="F23" i="13"/>
  <c r="F26" i="13"/>
  <c r="F29" i="13"/>
  <c r="F19" i="13"/>
  <c r="F20" i="13"/>
  <c r="E22" i="13"/>
  <c r="E25" i="13"/>
  <c r="E28" i="13"/>
  <c r="E26" i="13"/>
  <c r="E30" i="13"/>
  <c r="E21" i="13"/>
  <c r="E19" i="13"/>
  <c r="D21" i="13"/>
  <c r="D47" i="13"/>
  <c r="D19" i="13"/>
  <c r="D30" i="13"/>
  <c r="D26" i="13"/>
  <c r="D25" i="13"/>
  <c r="D28" i="13"/>
  <c r="D27" i="13"/>
  <c r="D29" i="13"/>
  <c r="D46" i="13"/>
  <c r="D40" i="13"/>
  <c r="D45" i="13"/>
  <c r="D44" i="13"/>
  <c r="D41" i="13"/>
  <c r="D39" i="13"/>
  <c r="D48" i="13"/>
  <c r="D43" i="13"/>
  <c r="D37" i="13"/>
  <c r="D42" i="13"/>
  <c r="D23" i="13"/>
  <c r="D24" i="13"/>
  <c r="D20" i="13"/>
  <c r="D38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<sst xmlns="http://schemas.openxmlformats.org/spreadsheetml/2006/main" count="3081" uniqueCount="206">
  <si>
    <t xml:space="preserve">Pay Back </t>
    <phoneticPr fontId="23" type="noConversion"/>
  </si>
  <si>
    <t>Hit%</t>
    <phoneticPr fontId="23" type="noConversion"/>
  </si>
  <si>
    <t>Pulls/Hit</t>
    <phoneticPr fontId="23" type="noConversion"/>
  </si>
  <si>
    <t>Reel #</t>
    <phoneticPr fontId="23" type="noConversion"/>
  </si>
  <si>
    <t>Visible Window Size</t>
    <phoneticPr fontId="23" type="noConversion"/>
  </si>
  <si>
    <t>Symbol</t>
    <phoneticPr fontId="23" type="noConversion"/>
  </si>
  <si>
    <t>ID</t>
  </si>
  <si>
    <t>R1</t>
    <phoneticPr fontId="23" type="noConversion"/>
  </si>
  <si>
    <t>R2</t>
    <phoneticPr fontId="23" type="noConversion"/>
  </si>
  <si>
    <t>R3</t>
    <phoneticPr fontId="23" type="noConversion"/>
  </si>
  <si>
    <t>R4</t>
    <phoneticPr fontId="23" type="noConversion"/>
  </si>
  <si>
    <t>R5</t>
    <phoneticPr fontId="23" type="noConversion"/>
  </si>
  <si>
    <t>ID</t>
    <phoneticPr fontId="23" type="noConversion"/>
  </si>
  <si>
    <t>Description</t>
    <phoneticPr fontId="23" type="noConversion"/>
  </si>
  <si>
    <t>Line #</t>
    <phoneticPr fontId="23" type="noConversion"/>
  </si>
  <si>
    <t>R1</t>
  </si>
  <si>
    <t>R2</t>
  </si>
  <si>
    <t>R3</t>
  </si>
  <si>
    <t>R4</t>
  </si>
  <si>
    <t>R5</t>
  </si>
  <si>
    <t>WW</t>
  </si>
  <si>
    <t>WILD</t>
    <phoneticPr fontId="23" type="noConversion"/>
  </si>
  <si>
    <t>M3</t>
  </si>
  <si>
    <t>M4</t>
  </si>
  <si>
    <t>C1</t>
  </si>
  <si>
    <t>Scatter</t>
    <phoneticPr fontId="23" type="noConversion"/>
  </si>
  <si>
    <t>M1</t>
  </si>
  <si>
    <t>M2</t>
  </si>
  <si>
    <t/>
  </si>
  <si>
    <t>R6</t>
    <phoneticPr fontId="20" type="noConversion"/>
  </si>
  <si>
    <t>A</t>
    <phoneticPr fontId="20" type="noConversion"/>
  </si>
  <si>
    <t>K</t>
    <phoneticPr fontId="23" type="noConversion"/>
  </si>
  <si>
    <t>Q</t>
    <phoneticPr fontId="23" type="noConversion"/>
  </si>
  <si>
    <t>J</t>
    <phoneticPr fontId="23" type="noConversion"/>
  </si>
  <si>
    <t>TE</t>
    <phoneticPr fontId="23" type="noConversion"/>
  </si>
  <si>
    <t>8~9</t>
    <phoneticPr fontId="20" type="noConversion"/>
  </si>
  <si>
    <t>10~11</t>
    <phoneticPr fontId="20" type="noConversion"/>
  </si>
  <si>
    <t>12+</t>
    <phoneticPr fontId="20" type="noConversion"/>
  </si>
  <si>
    <t>C2</t>
    <phoneticPr fontId="20" type="noConversion"/>
  </si>
  <si>
    <t>Multiplier</t>
    <phoneticPr fontId="20" type="noConversion"/>
  </si>
  <si>
    <t>weight</t>
    <phoneticPr fontId="20" type="noConversion"/>
  </si>
  <si>
    <t>R6</t>
    <phoneticPr fontId="23" type="noConversion"/>
  </si>
  <si>
    <t>Total Pay Back Percentage includes the following adjustments.</t>
    <phoneticPr fontId="23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</si>
  <si>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</si>
  <si>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</si>
  <si>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</si>
  <si>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</si>
  <si>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</si>
  <si>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</si>
  <si>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</si>
  <si>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</si>
  <si>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</si>
  <si>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TE</t>
    <phoneticPr fontId="20" type="noConversion"/>
  </si>
  <si>
    <t>type</t>
    <phoneticPr fontId="20" type="noConversion"/>
  </si>
  <si>
    <t>prob.</t>
    <phoneticPr fontId="20" type="noConversion"/>
  </si>
  <si>
    <t>multiplier</t>
    <phoneticPr fontId="20" type="noConversion"/>
  </si>
  <si>
    <t>scene</t>
    <phoneticPr fontId="20" type="noConversion"/>
  </si>
  <si>
    <t>Weight</t>
    <phoneticPr fontId="23" type="noConversion"/>
  </si>
  <si>
    <t>weight_base</t>
    <phoneticPr fontId="20" type="noConversion"/>
  </si>
  <si>
    <t>weight_free</t>
    <phoneticPr fontId="20" type="noConversion"/>
  </si>
  <si>
    <t>normal</t>
    <phoneticPr fontId="20" type="noConversion"/>
  </si>
  <si>
    <t>super</t>
    <phoneticPr fontId="20" type="noConversion"/>
  </si>
  <si>
    <t>ultimate</t>
    <phoneticPr fontId="20" type="noConversion"/>
  </si>
  <si>
    <t>Q</t>
  </si>
  <si>
    <t>K</t>
  </si>
  <si>
    <t>J</t>
  </si>
  <si>
    <t>A</t>
  </si>
  <si>
    <t>TE</t>
  </si>
  <si>
    <t>C2</t>
  </si>
  <si>
    <t>Total RTP</t>
    <phoneticPr fontId="20" type="noConversion"/>
  </si>
  <si>
    <t>Model:</t>
  </si>
  <si>
    <t>Version:</t>
    <phoneticPr fontId="23" type="noConversion"/>
  </si>
  <si>
    <t>C1 Num.</t>
    <phoneticPr fontId="20" type="noConversion"/>
  </si>
  <si>
    <t>Symbol</t>
  </si>
  <si>
    <t>Description</t>
  </si>
  <si>
    <t>Wild</t>
  </si>
  <si>
    <t>Scatter</t>
  </si>
  <si>
    <t>Multiplier</t>
  </si>
  <si>
    <r>
      <t>Pay Table</t>
    </r>
    <r>
      <rPr>
        <sz val="12"/>
        <rFont val="微軟正黑體"/>
        <family val="2"/>
        <charset val="136"/>
      </rPr>
      <t>：</t>
    </r>
    <phoneticPr fontId="23" type="noConversion"/>
  </si>
  <si>
    <t>Free Spins Setting</t>
    <phoneticPr fontId="23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</si>
  <si>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</si>
  <si>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</si>
  <si>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</si>
  <si>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3" type="noConversion"/>
  </si>
  <si>
    <t>Bet Type</t>
    <phoneticPr fontId="20" type="noConversion"/>
  </si>
  <si>
    <t>Normal Bet</t>
    <phoneticPr fontId="20" type="noConversion"/>
  </si>
  <si>
    <t>Price(x)</t>
    <phoneticPr fontId="23" type="noConversion"/>
  </si>
  <si>
    <t>Buy Feature</t>
    <phoneticPr fontId="20" type="noConversion"/>
  </si>
  <si>
    <t>Super Feature</t>
    <phoneticPr fontId="20" type="noConversion"/>
  </si>
  <si>
    <t>Base Bet</t>
    <phoneticPr fontId="23" type="noConversion"/>
  </si>
  <si>
    <t>Free Game</t>
    <phoneticPr fontId="23" type="noConversion"/>
  </si>
  <si>
    <t>BG_Symbol (2)</t>
  </si>
  <si>
    <t>BG_Symbol (3)</t>
  </si>
  <si>
    <t>BG_Symbol (4)</t>
  </si>
  <si>
    <t>FG_Symbol (2)</t>
  </si>
  <si>
    <t>FG_Symbol (3)</t>
  </si>
  <si>
    <t>FG_Symbol (4)</t>
  </si>
  <si>
    <t>Retrigger</t>
    <phoneticPr fontId="20" type="noConversion"/>
  </si>
  <si>
    <t>Free Game Table Setting</t>
    <phoneticPr fontId="20" type="noConversion"/>
  </si>
  <si>
    <t>BG_Symbol</t>
    <phoneticPr fontId="20" type="noConversion"/>
  </si>
  <si>
    <t>FG_Symbol</t>
    <phoneticPr fontId="20" type="noConversion"/>
  </si>
  <si>
    <t>BF_Symbol</t>
    <phoneticPr fontId="20" type="noConversion"/>
  </si>
  <si>
    <t>base_direct</t>
    <phoneticPr fontId="20" type="noConversion"/>
  </si>
  <si>
    <t>base_wild</t>
    <phoneticPr fontId="20" type="noConversion"/>
  </si>
  <si>
    <t>free_direct</t>
    <phoneticPr fontId="20" type="noConversion"/>
  </si>
  <si>
    <t>free_wild</t>
    <phoneticPr fontId="20" type="noConversion"/>
  </si>
  <si>
    <t>bad</t>
    <phoneticPr fontId="20" type="noConversion"/>
  </si>
  <si>
    <t>Weight Base Reelset</t>
    <phoneticPr fontId="20" type="noConversion"/>
  </si>
  <si>
    <t>Weight Selection Probs</t>
    <phoneticPr fontId="20" type="noConversion"/>
  </si>
  <si>
    <t>Weight C2</t>
    <phoneticPr fontId="20" type="noConversion"/>
  </si>
  <si>
    <t>Prob C2</t>
    <phoneticPr fontId="20" type="noConversion"/>
  </si>
  <si>
    <t>Prob.</t>
    <phoneticPr fontId="20" type="noConversion"/>
  </si>
  <si>
    <t>Weight</t>
    <phoneticPr fontId="20" type="noConversion"/>
  </si>
  <si>
    <t>Threshold</t>
    <phoneticPr fontId="20" type="noConversion"/>
  </si>
  <si>
    <t xml:space="preserve">BGC1hit[1] hit </t>
  </si>
  <si>
    <t xml:space="preserve"> FGC1hit[1] </t>
  </si>
  <si>
    <t xml:space="preserve">BGC1hit[2] hit </t>
  </si>
  <si>
    <t xml:space="preserve"> FGC1hit[2] </t>
  </si>
  <si>
    <t xml:space="preserve">BGC1hit[3] hit </t>
  </si>
  <si>
    <t xml:space="preserve"> FGC1hit[3] </t>
  </si>
  <si>
    <t xml:space="preserve">BGC1hit[4] hit </t>
  </si>
  <si>
    <t xml:space="preserve"> FGC1hit[4] </t>
  </si>
  <si>
    <t xml:space="preserve">BGC1hit[5] hit </t>
  </si>
  <si>
    <t xml:space="preserve"> FGC1hit[5] </t>
  </si>
  <si>
    <t xml:space="preserve">BGC1hit[6] hit </t>
  </si>
  <si>
    <t xml:space="preserve"> FGC1hit[6] </t>
  </si>
  <si>
    <t>Total Spin</t>
    <phoneticPr fontId="20" type="noConversion"/>
  </si>
  <si>
    <t>C1 cnt</t>
    <phoneticPr fontId="20" type="noConversion"/>
  </si>
  <si>
    <r>
      <t>Scatter Combo Rate (</t>
    </r>
    <r>
      <rPr>
        <sz val="12"/>
        <rFont val="微軟正黑體"/>
        <family val="2"/>
        <charset val="136"/>
      </rPr>
      <t>新手</t>
    </r>
    <r>
      <rPr>
        <sz val="12"/>
        <rFont val="Courier New"/>
        <family val="3"/>
      </rPr>
      <t>)</t>
    </r>
    <phoneticPr fontId="20" type="noConversion"/>
  </si>
  <si>
    <r>
      <t>Scatter Combo Rate (</t>
    </r>
    <r>
      <rPr>
        <sz val="12"/>
        <rFont val="微軟正黑體"/>
        <family val="2"/>
        <charset val="136"/>
      </rPr>
      <t>老手</t>
    </r>
    <r>
      <rPr>
        <sz val="12"/>
        <rFont val="Courier New"/>
        <family val="3"/>
      </rPr>
      <t>)</t>
    </r>
    <phoneticPr fontId="20" type="noConversion"/>
  </si>
  <si>
    <t>Newbie</t>
    <phoneticPr fontId="20" type="noConversion"/>
  </si>
  <si>
    <t>Oldhand</t>
    <phoneticPr fontId="20" type="noConversion"/>
  </si>
  <si>
    <t>Range</t>
    <phoneticPr fontId="20" type="noConversion"/>
  </si>
  <si>
    <t>Weight_NB_BG</t>
    <phoneticPr fontId="29" type="noConversion"/>
  </si>
  <si>
    <t>Weight_NB_FG</t>
    <phoneticPr fontId="29" type="noConversion"/>
  </si>
  <si>
    <t>Weight_BF_FG</t>
    <phoneticPr fontId="29" type="noConversion"/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</si>
  <si>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</si>
  <si>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</si>
  <si>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</si>
  <si>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</si>
  <si>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</si>
  <si>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</si>
  <si>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</si>
  <si>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</si>
  <si>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</si>
  <si>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</si>
  <si>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</si>
  <si>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</si>
  <si>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</si>
  <si>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</si>
  <si>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</si>
  <si>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</si>
  <si>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</si>
  <si>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</si>
  <si>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</si>
  <si>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</si>
  <si>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</si>
  <si>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</si>
  <si>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</si>
  <si>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</si>
  <si>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</si>
  <si>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</si>
  <si>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</si>
  <si>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</si>
  <si>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</si>
  <si>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</si>
  <si>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</si>
  <si>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</si>
  <si>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</si>
  <si>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</si>
  <si>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</si>
  <si>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</si>
  <si>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</si>
  <si>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</si>
  <si>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</si>
  <si>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</si>
  <si>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</si>
  <si>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</si>
  <si>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</si>
  <si>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</si>
  <si>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</si>
  <si>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</si>
  <si>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</si>
  <si>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</si>
  <si>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</si>
  <si>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</si>
  <si>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</si>
  <si>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</si>
  <si>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</si>
  <si>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</si>
  <si>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</si>
  <si>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</si>
  <si>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</si>
  <si>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</si>
  <si>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</si>
  <si>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</si>
  <si>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</si>
  <si>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</si>
  <si>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</si>
  <si>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</si>
  <si>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Free Game</t>
  </si>
  <si>
    <t>H027192A</t>
    <phoneticPr fontId="23" type="noConversion"/>
  </si>
  <si>
    <t>0.0.0.1</t>
    <phoneticPr fontId="23" type="noConversion"/>
  </si>
  <si>
    <t>Extra Bet</t>
    <phoneticPr fontId="20" type="noConversion"/>
  </si>
  <si>
    <t>Weight_EB_BG</t>
    <phoneticPr fontId="29" type="noConversion"/>
  </si>
  <si>
    <t>Weight_EB_FG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</si>
</sst>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m&quot;月&quot;d&quot;日&quot;"/>
    <numFmt numFmtId="177" formatCode="0.00_);[Red]\(0.00\)"/>
    <numFmt numFmtId="178" formatCode="_-* #,##0_-;\-* #,##0_-;_-* &quot;-&quot;??_-;_-@_-"/>
    <numFmt numFmtId="179" formatCode="0_);[Red]\(0\)"/>
  </numFmts>
  <fonts count="30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9"/>
      <name val="Courier New"/>
      <family val="2"/>
      <charset val="136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11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7" fontId="19" fillId="0" borderId="0" xfId="1" applyNumberFormat="1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0" fontId="19" fillId="0" borderId="0" xfId="1" applyNumberFormat="1" applyFont="1" applyAlignment="1">
      <alignment horizontal="center" vertical="center"/>
    </xf>
    <xf numFmtId="0" fontId="26" fillId="0" borderId="11" xfId="0" applyFont="1" applyBorder="1" applyAlignment="1">
      <alignment horizontal="center"/>
    </xf>
    <xf numFmtId="10" fontId="19" fillId="0" borderId="0" xfId="1" applyNumberFormat="1" applyFont="1" applyBorder="1" applyAlignment="1">
      <alignment horizontal="center" vertical="top" wrapText="1"/>
    </xf>
    <xf numFmtId="0" fontId="19" fillId="0" borderId="0" xfId="0" applyFont="1"/>
    <xf numFmtId="10" fontId="19" fillId="0" borderId="11" xfId="0" applyNumberFormat="1" applyFont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19" fillId="37" borderId="11" xfId="0" applyFont="1" applyFill="1" applyBorder="1" applyAlignment="1">
      <alignment horizontal="center" vertical="center"/>
    </xf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8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19" fillId="0" borderId="10" xfId="0" applyFont="1" applyBorder="1" applyAlignment="1">
      <alignment horizontal="center" vertical="center" wrapText="1"/>
    </xf>
    <xf numFmtId="0" fontId="26" fillId="0" borderId="0" xfId="0" applyFont="1"/>
    <xf numFmtId="10" fontId="19" fillId="0" borderId="10" xfId="0" applyNumberFormat="1" applyFont="1" applyBorder="1" applyAlignment="1">
      <alignment horizontal="right" vertical="center" wrapText="1"/>
    </xf>
    <xf numFmtId="10" fontId="19" fillId="0" borderId="11" xfId="0" applyNumberFormat="1" applyFont="1" applyBorder="1" applyAlignment="1">
      <alignment horizontal="right" vertical="center" wrapText="1"/>
    </xf>
    <xf numFmtId="0" fontId="19" fillId="0" borderId="10" xfId="0" applyFont="1" applyBorder="1" applyAlignment="1">
      <alignment horizontal="center" vertical="top" wrapText="1"/>
    </xf>
    <xf numFmtId="0" fontId="26" fillId="0" borderId="10" xfId="0" applyFont="1" applyBorder="1" applyAlignment="1">
      <alignment horizontal="center"/>
    </xf>
    <xf numFmtId="10" fontId="19" fillId="0" borderId="10" xfId="0" applyNumberFormat="1" applyFont="1" applyBorder="1" applyAlignment="1">
      <alignment horizontal="center" vertical="center"/>
    </xf>
    <xf numFmtId="0" fontId="19" fillId="39" borderId="11" xfId="0" applyFont="1" applyFill="1" applyBorder="1" applyAlignment="1">
      <alignment horizontal="center" vertical="top" wrapText="1"/>
    </xf>
    <xf numFmtId="0" fontId="19" fillId="39" borderId="11" xfId="0" applyFont="1" applyFill="1" applyBorder="1" applyAlignment="1">
      <alignment horizontal="center" vertical="center"/>
    </xf>
    <xf numFmtId="10" fontId="19" fillId="39" borderId="11" xfId="0" applyNumberFormat="1" applyFont="1" applyFill="1" applyBorder="1" applyAlignment="1">
      <alignment horizontal="right" vertical="center" wrapText="1"/>
    </xf>
    <xf numFmtId="0" fontId="19" fillId="40" borderId="11" xfId="0" applyFont="1" applyFill="1" applyBorder="1" applyAlignment="1">
      <alignment horizontal="center" vertical="top" wrapText="1"/>
    </xf>
    <xf numFmtId="0" fontId="19" fillId="40" borderId="11" xfId="0" applyFont="1" applyFill="1" applyBorder="1" applyAlignment="1">
      <alignment horizontal="center" vertical="center"/>
    </xf>
    <xf numFmtId="10" fontId="19" fillId="40" borderId="11" xfId="0" applyNumberFormat="1" applyFont="1" applyFill="1" applyBorder="1" applyAlignment="1">
      <alignment horizontal="right" vertical="center" wrapText="1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10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41" borderId="10" xfId="0" applyFont="1" applyFill="1" applyBorder="1" applyAlignment="1">
      <alignment horizontal="center" vertical="center"/>
    </xf>
    <xf numFmtId="0" fontId="19" fillId="41" borderId="11" xfId="0" applyFont="1" applyFill="1" applyBorder="1" applyAlignment="1">
      <alignment horizontal="center" vertical="center"/>
    </xf>
    <xf numFmtId="0" fontId="19" fillId="41" borderId="0" xfId="0" applyFont="1" applyFill="1" applyAlignment="1">
      <alignment horizontal="center"/>
    </xf>
    <xf numFmtId="0" fontId="19" fillId="0" borderId="0" xfId="0" applyFont="1" applyBorder="1" applyAlignment="1">
      <alignment horizontal="center" vertical="center"/>
    </xf>
    <xf numFmtId="10" fontId="19" fillId="38" borderId="11" xfId="1" applyNumberFormat="1" applyFont="1" applyFill="1" applyBorder="1" applyAlignment="1">
      <alignment horizontal="center" vertical="center"/>
    </xf>
    <xf numFmtId="176" fontId="19" fillId="38" borderId="11" xfId="0" applyNumberFormat="1" applyFont="1" applyFill="1" applyBorder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1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177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0" applyNumberFormat="1" applyFont="1" applyAlignment="1">
      <alignment vertical="center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19" fillId="0" borderId="0" xfId="0" applyFont="1" applyFill="1"/>
    <xf numFmtId="0" fontId="19" fillId="0" borderId="0" xfId="0" applyFont="1" applyAlignment="1"/>
    <xf numFmtId="0" fontId="28" fillId="0" borderId="0" xfId="0" applyFont="1"/>
    <xf numFmtId="0" fontId="28" fillId="0" borderId="0" xfId="0" applyFont="1" applyFill="1"/>
    <xf numFmtId="10" fontId="19" fillId="0" borderId="0" xfId="1" applyNumberFormat="1" applyFont="1" applyAlignment="1"/>
    <xf numFmtId="177" fontId="19" fillId="0" borderId="0" xfId="0" applyNumberFormat="1" applyFont="1" applyAlignment="1">
      <alignment horizontal="center" vertical="center"/>
    </xf>
    <xf numFmtId="177" fontId="28" fillId="0" borderId="0" xfId="0" applyNumberFormat="1" applyFont="1" applyAlignment="1">
      <alignment horizontal="center" vertical="center"/>
    </xf>
    <xf numFmtId="177" fontId="28" fillId="0" borderId="0" xfId="0" applyNumberFormat="1" applyFont="1"/>
    <xf numFmtId="177" fontId="19" fillId="0" borderId="0" xfId="0" applyNumberFormat="1" applyFont="1"/>
    <xf numFmtId="0" fontId="22" fillId="38" borderId="11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19" fillId="0" borderId="11" xfId="0" applyFont="1" applyBorder="1"/>
    <xf numFmtId="0" fontId="19" fillId="0" borderId="10" xfId="0" applyFont="1" applyBorder="1"/>
    <xf numFmtId="178" fontId="19" fillId="41" borderId="11" xfId="61099" applyNumberFormat="1" applyFont="1" applyFill="1" applyBorder="1" applyAlignment="1"/>
    <xf numFmtId="0" fontId="19" fillId="41" borderId="11" xfId="0" applyFont="1" applyFill="1" applyBorder="1"/>
    <xf numFmtId="1" fontId="19" fillId="41" borderId="11" xfId="0" applyNumberFormat="1" applyFont="1" applyFill="1" applyBorder="1" applyAlignment="1">
      <alignment horizontal="center"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10" fontId="28" fillId="0" borderId="0" xfId="1" applyNumberFormat="1" applyFont="1" applyAlignment="1">
      <alignment vertical="center"/>
    </xf>
    <xf numFmtId="0" fontId="19" fillId="35" borderId="10" xfId="0" applyFont="1" applyFill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19" fillId="0" borderId="0" xfId="0" applyFont="1" applyFill="1" applyAlignment="1">
      <alignment horizontal="left" vertical="center"/>
    </xf>
    <xf numFmtId="177" fontId="19" fillId="0" borderId="0" xfId="0" applyNumberFormat="1" applyFont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19" fillId="40" borderId="11" xfId="0" applyFont="1" applyFill="1" applyBorder="1"/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2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7" fontId="19" fillId="33" borderId="12" xfId="0" applyNumberFormat="1" applyFont="1" applyFill="1" applyBorder="1" applyAlignment="1">
      <alignment horizontal="center" vertical="center" wrapText="1"/>
    </xf>
    <xf numFmtId="177" fontId="19" fillId="33" borderId="10" xfId="0" applyNumberFormat="1" applyFont="1" applyFill="1" applyBorder="1" applyAlignment="1">
      <alignment horizontal="center" vertical="center" wrapText="1"/>
    </xf>
    <xf numFmtId="177" fontId="19" fillId="0" borderId="12" xfId="0" applyNumberFormat="1" applyFont="1" applyFill="1" applyBorder="1" applyAlignment="1">
      <alignment horizontal="center" vertical="center" wrapText="1"/>
    </xf>
    <xf numFmtId="177" fontId="19" fillId="0" borderId="10" xfId="0" applyNumberFormat="1" applyFont="1" applyFill="1" applyBorder="1" applyAlignment="1">
      <alignment horizontal="center" vertical="center" wrapText="1"/>
    </xf>
    <xf numFmtId="0" fontId="19" fillId="42" borderId="0" xfId="0" applyFont="1" applyFill="1" applyBorder="1" applyAlignment="1">
      <alignment horizontal="center" vertic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0"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colors>
    <mruColors>
      <color rgb="FFFF8181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108"/>
  <sheetViews>
    <sheetView zoomScale="85" zoomScaleNormal="85" workbookViewId="0">
      <selection activeCell="H19" sqref="H19"/>
    </sheetView>
  </sheetViews>
  <sheetFormatPr defaultColWidth="8.88671875" defaultRowHeight="15.6"/>
  <cols>
    <col min="1" max="1" width="28.21875" style="1" customWidth="1"/>
    <col min="2" max="2" width="24.77734375" style="1" customWidth="1"/>
    <col min="3" max="3" width="22" style="1" customWidth="1"/>
    <col min="4" max="4" width="29.6640625" style="1" customWidth="1"/>
    <col min="5" max="7" width="22" style="1" customWidth="1"/>
    <col min="8" max="8" width="15.77734375" style="1" customWidth="1"/>
    <col min="9" max="9" width="14.6640625" style="1" customWidth="1"/>
    <col min="10" max="10" width="13.21875" style="1" bestFit="1" customWidth="1"/>
    <col min="11" max="16384" width="8.88671875" style="1"/>
  </cols>
  <sheetData>
    <row r="2" spans="1:9">
      <c r="A2" s="27" t="s">
        <v>70</v>
      </c>
      <c r="B2" s="64" t="s">
        <v>201</v>
      </c>
    </row>
    <row r="3" spans="1:9">
      <c r="A3" s="27" t="s">
        <v>71</v>
      </c>
      <c r="B3" s="64" t="s">
        <v>202</v>
      </c>
      <c r="C3" s="28"/>
    </row>
    <row r="4" spans="1:9">
      <c r="C4" s="47"/>
    </row>
    <row r="5" spans="1:9">
      <c r="C5" s="47"/>
    </row>
    <row r="6" spans="1:9">
      <c r="A6" s="29" t="s">
        <v>89</v>
      </c>
      <c r="C6" s="47"/>
    </row>
    <row r="7" spans="1:9">
      <c r="A7" s="63">
        <v>100</v>
      </c>
      <c r="C7" s="47"/>
    </row>
    <row r="8" spans="1:9">
      <c r="C8" s="47"/>
    </row>
    <row r="9" spans="1:9">
      <c r="C9" s="47"/>
    </row>
    <row r="10" spans="1:9">
      <c r="A10" s="29" t="s">
        <v>83</v>
      </c>
      <c r="B10" s="29" t="s">
        <v>86</v>
      </c>
      <c r="C10" s="56" t="s">
        <v>69</v>
      </c>
      <c r="D10" s="56" t="s">
        <v>84</v>
      </c>
      <c r="G10" s="8"/>
      <c r="H10" s="8"/>
      <c r="I10" s="8"/>
    </row>
    <row r="11" spans="1:9">
      <c r="A11" s="68" cm="1">
        <f t="array" ref="A11:A13">B11:B13*A7</f>
        <v>100</v>
      </c>
      <c r="B11" s="63">
        <v>1</v>
      </c>
      <c r="C11" s="94">
        <f>SUM(B18:B19)</f>
        <v>0</v>
      </c>
      <c r="D11" s="94" t="s">
        <v>85</v>
      </c>
      <c r="G11" s="8"/>
      <c r="H11" s="8"/>
      <c r="I11" s="8"/>
    </row>
    <row r="12" spans="1:9">
      <c r="A12" s="68">
        <v>200</v>
      </c>
      <c r="B12" s="63">
        <v>2</v>
      </c>
      <c r="C12" s="76">
        <f>SUM(B22:B23)</f>
        <v>0</v>
      </c>
      <c r="D12" s="100" t="s">
        <v>203</v>
      </c>
      <c r="F12" s="74"/>
    </row>
    <row r="13" spans="1:9">
      <c r="A13" s="68">
        <v>10000</v>
      </c>
      <c r="B13" s="63">
        <v>100</v>
      </c>
      <c r="C13" s="76">
        <f>SUM(B26:B27)</f>
        <v>0</v>
      </c>
      <c r="D13" s="76" t="s">
        <v>87</v>
      </c>
    </row>
    <row r="14" spans="1:9">
      <c r="A14" s="32"/>
      <c r="B14" s="32"/>
      <c r="C14" s="34"/>
      <c r="D14" s="2"/>
      <c r="F14" s="3"/>
    </row>
    <row r="15" spans="1:9">
      <c r="A15" s="11"/>
      <c r="B15" s="11"/>
      <c r="C15" s="34"/>
      <c r="D15" s="34"/>
      <c r="E15" s="4"/>
      <c r="F15" s="4"/>
    </row>
    <row r="16" spans="1:9">
      <c r="A16" s="46" t="s">
        <v>42</v>
      </c>
      <c r="B16" s="12"/>
      <c r="C16" s="73"/>
      <c r="D16" s="70"/>
      <c r="E16" s="75"/>
      <c r="F16" s="8"/>
      <c r="G16" s="8"/>
      <c r="H16" s="8"/>
      <c r="I16" s="13"/>
    </row>
    <row r="17" spans="1:10">
      <c r="A17" s="56" t="s">
        <v>84</v>
      </c>
      <c r="B17" s="29" t="s">
        <v>0</v>
      </c>
      <c r="C17" s="29" t="s">
        <v>1</v>
      </c>
      <c r="D17" s="29" t="s">
        <v>2</v>
      </c>
      <c r="E17" s="29" t="s">
        <v>13</v>
      </c>
      <c r="F17" s="95"/>
      <c r="G17" s="8"/>
      <c r="H17" s="8"/>
      <c r="I17" s="13"/>
    </row>
    <row r="18" spans="1:10">
      <c r="A18" s="102" t="str">
        <f>D11</f>
        <v>Normal Bet</v>
      </c>
      <c r="B18" s="67"/>
      <c r="C18" s="103" t="e">
        <f>1/D18</f>
        <v>#DIV/0!</v>
      </c>
      <c r="D18" s="105"/>
      <c r="E18" s="48" t="s">
        <v>81</v>
      </c>
      <c r="F18" s="95"/>
      <c r="G18" s="8"/>
      <c r="H18" s="8"/>
      <c r="I18" s="13"/>
    </row>
    <row r="19" spans="1:10">
      <c r="A19" s="102"/>
      <c r="B19" s="67"/>
      <c r="C19" s="104"/>
      <c r="D19" s="106"/>
      <c r="E19" s="48" t="s">
        <v>90</v>
      </c>
      <c r="F19" s="95"/>
      <c r="G19" s="8"/>
      <c r="H19" s="8"/>
      <c r="I19" s="13"/>
    </row>
    <row r="20" spans="1:10">
      <c r="A20" s="46"/>
      <c r="B20" s="12"/>
      <c r="C20" s="73"/>
      <c r="D20" s="70"/>
      <c r="E20" s="75"/>
      <c r="F20" s="95"/>
      <c r="G20" s="8"/>
      <c r="H20" s="8"/>
      <c r="I20" s="13"/>
    </row>
    <row r="21" spans="1:10">
      <c r="A21" s="56" t="s">
        <v>84</v>
      </c>
      <c r="B21" s="29" t="s">
        <v>0</v>
      </c>
      <c r="C21" s="29" t="s">
        <v>1</v>
      </c>
      <c r="D21" s="29" t="s">
        <v>2</v>
      </c>
      <c r="E21" s="29" t="s">
        <v>13</v>
      </c>
      <c r="F21" s="95"/>
      <c r="G21" s="8"/>
      <c r="H21" s="8"/>
      <c r="I21" s="13"/>
    </row>
    <row r="22" spans="1:10">
      <c r="A22" s="102" t="str">
        <f>D12</f>
        <v>Extra Bet</v>
      </c>
      <c r="B22" s="67"/>
      <c r="C22" s="103" t="e">
        <f>1/D22</f>
        <v>#DIV/0!</v>
      </c>
      <c r="D22" s="105"/>
      <c r="E22" s="48" t="s">
        <v>81</v>
      </c>
      <c r="F22" s="95"/>
      <c r="G22" s="8"/>
      <c r="H22" s="8"/>
      <c r="I22" s="13"/>
      <c r="J22" s="99"/>
    </row>
    <row r="23" spans="1:10">
      <c r="A23" s="102"/>
      <c r="B23" s="67"/>
      <c r="C23" s="104"/>
      <c r="D23" s="106"/>
      <c r="E23" s="48" t="s">
        <v>90</v>
      </c>
      <c r="F23" s="95"/>
      <c r="G23" s="8"/>
      <c r="H23" s="8"/>
      <c r="I23" s="13"/>
    </row>
    <row r="24" spans="1:10">
      <c r="A24" s="71"/>
      <c r="B24" s="72"/>
      <c r="C24" s="73"/>
      <c r="D24" s="70"/>
      <c r="E24" s="8"/>
      <c r="F24" s="95"/>
      <c r="G24" s="8"/>
      <c r="H24" s="8"/>
      <c r="I24" s="13"/>
    </row>
    <row r="25" spans="1:10">
      <c r="A25" s="56" t="s">
        <v>84</v>
      </c>
      <c r="B25" s="29" t="s">
        <v>0</v>
      </c>
      <c r="C25" s="29" t="s">
        <v>1</v>
      </c>
      <c r="D25" s="29" t="s">
        <v>2</v>
      </c>
      <c r="E25" s="29" t="s">
        <v>13</v>
      </c>
      <c r="F25" s="95"/>
      <c r="G25" s="8"/>
      <c r="H25" s="8"/>
      <c r="I25" s="13"/>
    </row>
    <row r="26" spans="1:10">
      <c r="A26" s="102" t="str">
        <f>D13</f>
        <v>Buy Feature</v>
      </c>
      <c r="B26" s="67"/>
      <c r="C26" s="103">
        <f>1/D26</f>
        <v>1</v>
      </c>
      <c r="D26" s="107">
        <v>1</v>
      </c>
      <c r="E26" s="48" t="s">
        <v>81</v>
      </c>
      <c r="F26" s="95"/>
      <c r="G26" s="8"/>
      <c r="H26" s="8"/>
      <c r="I26" s="13"/>
    </row>
    <row r="27" spans="1:10">
      <c r="A27" s="102"/>
      <c r="B27" s="67"/>
      <c r="C27" s="104"/>
      <c r="D27" s="108"/>
      <c r="E27" s="48" t="s">
        <v>90</v>
      </c>
      <c r="F27" s="95"/>
      <c r="G27" s="8"/>
      <c r="H27" s="8"/>
      <c r="I27" s="13"/>
    </row>
    <row r="28" spans="1:10">
      <c r="A28" s="71"/>
      <c r="B28" s="72"/>
      <c r="C28" s="73"/>
      <c r="D28" s="70"/>
      <c r="E28" s="8"/>
      <c r="F28" s="95"/>
      <c r="G28" s="8"/>
      <c r="H28" s="8"/>
      <c r="I28" s="13"/>
    </row>
    <row r="29" spans="1:10">
      <c r="A29" s="71"/>
      <c r="B29" s="72"/>
      <c r="C29" s="73"/>
      <c r="D29" s="70"/>
      <c r="E29" s="8"/>
      <c r="F29" s="8"/>
      <c r="G29" s="8"/>
      <c r="H29" s="8"/>
      <c r="I29" s="13"/>
    </row>
    <row r="30" spans="1:10">
      <c r="A30" s="29" t="s">
        <v>3</v>
      </c>
      <c r="B30" s="29">
        <v>1</v>
      </c>
      <c r="C30" s="29">
        <v>2</v>
      </c>
      <c r="D30" s="29">
        <v>3</v>
      </c>
      <c r="E30" s="29">
        <v>4</v>
      </c>
      <c r="F30" s="29">
        <v>5</v>
      </c>
      <c r="G30" s="29">
        <v>6</v>
      </c>
    </row>
    <row r="31" spans="1:10">
      <c r="A31" s="30" t="s">
        <v>4</v>
      </c>
      <c r="B31" s="31">
        <v>5</v>
      </c>
      <c r="C31" s="31">
        <v>5</v>
      </c>
      <c r="D31" s="31">
        <v>5</v>
      </c>
      <c r="E31" s="31">
        <v>5</v>
      </c>
      <c r="F31" s="31">
        <v>5</v>
      </c>
      <c r="G31" s="31">
        <v>5</v>
      </c>
    </row>
    <row r="34" spans="1:9">
      <c r="A34" s="1" t="s">
        <v>79</v>
      </c>
    </row>
    <row r="35" spans="1:9">
      <c r="A35" s="29" t="s">
        <v>72</v>
      </c>
      <c r="B35" s="29" t="s">
        <v>81</v>
      </c>
      <c r="C35" s="29" t="s">
        <v>82</v>
      </c>
    </row>
    <row r="36" spans="1:9">
      <c r="A36" s="31">
        <v>3</v>
      </c>
      <c r="B36" s="65">
        <v>0</v>
      </c>
      <c r="C36" s="65">
        <v>5</v>
      </c>
    </row>
    <row r="37" spans="1:9">
      <c r="A37" s="31">
        <v>4</v>
      </c>
      <c r="B37" s="65">
        <v>15</v>
      </c>
      <c r="C37" s="65">
        <v>5</v>
      </c>
    </row>
    <row r="38" spans="1:9">
      <c r="A38" s="9">
        <v>5</v>
      </c>
      <c r="B38" s="66">
        <v>15</v>
      </c>
      <c r="C38" s="66">
        <v>5</v>
      </c>
    </row>
    <row r="39" spans="1:9">
      <c r="A39" s="9">
        <v>6</v>
      </c>
      <c r="B39" s="66">
        <v>15</v>
      </c>
      <c r="C39" s="66">
        <v>5</v>
      </c>
    </row>
    <row r="40" spans="1:9">
      <c r="A40" s="55"/>
      <c r="B40" s="55"/>
    </row>
    <row r="42" spans="1:9">
      <c r="A42" s="1" t="s">
        <v>78</v>
      </c>
      <c r="B42" s="1" t="str">
        <f>"All wins show for "&amp;A12&amp;" credit bet."</f>
        <v>All wins show for 200 credit bet.</v>
      </c>
    </row>
    <row r="43" spans="1:9">
      <c r="A43" s="29" t="s">
        <v>73</v>
      </c>
      <c r="B43" s="29" t="s">
        <v>74</v>
      </c>
      <c r="C43" s="29">
        <v>4</v>
      </c>
      <c r="D43" s="29">
        <v>5</v>
      </c>
      <c r="E43" s="29">
        <v>6</v>
      </c>
      <c r="F43" s="57" t="s">
        <v>35</v>
      </c>
      <c r="G43" s="29" t="s">
        <v>36</v>
      </c>
      <c r="H43" s="29" t="s">
        <v>37</v>
      </c>
      <c r="I43" s="29" t="s">
        <v>80</v>
      </c>
    </row>
    <row r="44" spans="1:9">
      <c r="A44" s="31" t="s">
        <v>43</v>
      </c>
      <c r="B44" s="31" t="s">
        <v>75</v>
      </c>
      <c r="C44" s="59">
        <v>0</v>
      </c>
      <c r="D44" s="59">
        <v>0</v>
      </c>
      <c r="E44" s="59">
        <v>0</v>
      </c>
      <c r="F44" s="59">
        <v>0</v>
      </c>
      <c r="G44" s="59">
        <v>0</v>
      </c>
      <c r="H44" s="59">
        <v>0</v>
      </c>
      <c r="I44" s="61">
        <v>0</v>
      </c>
    </row>
    <row r="45" spans="1:9">
      <c r="A45" s="9" t="s">
        <v>48</v>
      </c>
      <c r="B45" s="9" t="s">
        <v>76</v>
      </c>
      <c r="C45" s="66">
        <v>300</v>
      </c>
      <c r="D45" s="66">
        <v>500</v>
      </c>
      <c r="E45" s="66">
        <v>10000</v>
      </c>
      <c r="F45" s="60">
        <v>0</v>
      </c>
      <c r="G45" s="60">
        <v>0</v>
      </c>
      <c r="H45" s="60">
        <v>0</v>
      </c>
      <c r="I45" s="62">
        <v>1</v>
      </c>
    </row>
    <row r="46" spans="1:9">
      <c r="A46" s="9" t="s">
        <v>38</v>
      </c>
      <c r="B46" s="9" t="s">
        <v>77</v>
      </c>
      <c r="C46" s="60">
        <v>0</v>
      </c>
      <c r="D46" s="60">
        <v>0</v>
      </c>
      <c r="E46" s="60">
        <v>0</v>
      </c>
      <c r="F46" s="60">
        <v>0</v>
      </c>
      <c r="G46" s="60">
        <v>0</v>
      </c>
      <c r="H46" s="60">
        <v>0</v>
      </c>
      <c r="I46" s="62">
        <v>2</v>
      </c>
    </row>
    <row r="47" spans="1:9">
      <c r="A47" s="9" t="s">
        <v>44</v>
      </c>
      <c r="B47" s="9" t="s">
        <v>44</v>
      </c>
      <c r="C47" s="51">
        <v>0</v>
      </c>
      <c r="D47" s="51">
        <v>0</v>
      </c>
      <c r="E47" s="51">
        <v>0</v>
      </c>
      <c r="F47" s="66">
        <v>1000</v>
      </c>
      <c r="G47" s="66">
        <v>2500</v>
      </c>
      <c r="H47" s="66">
        <v>5000</v>
      </c>
      <c r="I47" s="9">
        <v>3</v>
      </c>
    </row>
    <row r="48" spans="1:9">
      <c r="A48" s="9" t="s">
        <v>45</v>
      </c>
      <c r="B48" s="9" t="s">
        <v>45</v>
      </c>
      <c r="C48" s="51">
        <v>0</v>
      </c>
      <c r="D48" s="51">
        <v>0</v>
      </c>
      <c r="E48" s="51">
        <v>0</v>
      </c>
      <c r="F48" s="66">
        <v>250</v>
      </c>
      <c r="G48" s="66">
        <v>1000</v>
      </c>
      <c r="H48" s="66">
        <v>2500</v>
      </c>
      <c r="I48" s="9">
        <v>4</v>
      </c>
    </row>
    <row r="49" spans="1:9">
      <c r="A49" s="9" t="s">
        <v>46</v>
      </c>
      <c r="B49" s="9" t="s">
        <v>46</v>
      </c>
      <c r="C49" s="51">
        <v>0</v>
      </c>
      <c r="D49" s="51">
        <v>0</v>
      </c>
      <c r="E49" s="51">
        <v>0</v>
      </c>
      <c r="F49" s="66">
        <v>200</v>
      </c>
      <c r="G49" s="66">
        <v>500</v>
      </c>
      <c r="H49" s="66">
        <v>1500</v>
      </c>
      <c r="I49" s="9">
        <v>5</v>
      </c>
    </row>
    <row r="50" spans="1:9">
      <c r="A50" s="9" t="s">
        <v>47</v>
      </c>
      <c r="B50" s="9" t="s">
        <v>47</v>
      </c>
      <c r="C50" s="51">
        <v>0</v>
      </c>
      <c r="D50" s="51">
        <v>0</v>
      </c>
      <c r="E50" s="51">
        <v>0</v>
      </c>
      <c r="F50" s="66">
        <v>150</v>
      </c>
      <c r="G50" s="66">
        <v>200</v>
      </c>
      <c r="H50" s="66">
        <v>1200</v>
      </c>
      <c r="I50" s="9">
        <v>6</v>
      </c>
    </row>
    <row r="51" spans="1:9">
      <c r="A51" s="9" t="s">
        <v>30</v>
      </c>
      <c r="B51" s="9" t="s">
        <v>30</v>
      </c>
      <c r="C51" s="51">
        <v>0</v>
      </c>
      <c r="D51" s="51">
        <v>0</v>
      </c>
      <c r="E51" s="51">
        <v>0</v>
      </c>
      <c r="F51" s="66">
        <v>100</v>
      </c>
      <c r="G51" s="66">
        <v>150</v>
      </c>
      <c r="H51" s="66">
        <v>1000</v>
      </c>
      <c r="I51" s="9">
        <v>7</v>
      </c>
    </row>
    <row r="52" spans="1:9">
      <c r="A52" s="9" t="s">
        <v>49</v>
      </c>
      <c r="B52" s="9" t="s">
        <v>49</v>
      </c>
      <c r="C52" s="51">
        <v>0</v>
      </c>
      <c r="D52" s="51">
        <v>0</v>
      </c>
      <c r="E52" s="51">
        <v>0</v>
      </c>
      <c r="F52" s="66">
        <v>80</v>
      </c>
      <c r="G52" s="66">
        <v>120</v>
      </c>
      <c r="H52" s="66">
        <v>800</v>
      </c>
      <c r="I52" s="9">
        <v>8</v>
      </c>
    </row>
    <row r="53" spans="1:9">
      <c r="A53" s="9" t="s">
        <v>50</v>
      </c>
      <c r="B53" s="9" t="s">
        <v>50</v>
      </c>
      <c r="C53" s="51">
        <v>0</v>
      </c>
      <c r="D53" s="51">
        <v>0</v>
      </c>
      <c r="E53" s="51">
        <v>0</v>
      </c>
      <c r="F53" s="66">
        <v>50</v>
      </c>
      <c r="G53" s="66">
        <v>100</v>
      </c>
      <c r="H53" s="66">
        <v>500</v>
      </c>
      <c r="I53" s="9">
        <v>9</v>
      </c>
    </row>
    <row r="54" spans="1:9">
      <c r="A54" s="9" t="s">
        <v>51</v>
      </c>
      <c r="B54" s="9" t="s">
        <v>51</v>
      </c>
      <c r="C54" s="51">
        <v>0</v>
      </c>
      <c r="D54" s="51">
        <v>0</v>
      </c>
      <c r="E54" s="51">
        <v>0</v>
      </c>
      <c r="F54" s="66">
        <v>40</v>
      </c>
      <c r="G54" s="66">
        <v>90</v>
      </c>
      <c r="H54" s="66">
        <v>400</v>
      </c>
      <c r="I54" s="9">
        <v>10</v>
      </c>
    </row>
    <row r="55" spans="1:9">
      <c r="A55" s="9" t="s">
        <v>52</v>
      </c>
      <c r="B55" s="9" t="s">
        <v>52</v>
      </c>
      <c r="C55" s="51">
        <v>0</v>
      </c>
      <c r="D55" s="51">
        <v>0</v>
      </c>
      <c r="E55" s="51">
        <v>0</v>
      </c>
      <c r="F55" s="66">
        <v>25</v>
      </c>
      <c r="G55" s="66">
        <v>75</v>
      </c>
      <c r="H55" s="66">
        <v>200</v>
      </c>
      <c r="I55" s="9">
        <v>11</v>
      </c>
    </row>
    <row r="56" spans="1:9">
      <c r="C56" s="58"/>
      <c r="D56" s="58"/>
      <c r="E56" s="58"/>
      <c r="F56" s="58"/>
      <c r="G56" s="58"/>
      <c r="H56" s="58"/>
    </row>
    <row r="64" spans="1:9">
      <c r="A64" s="34"/>
      <c r="B64" s="34"/>
      <c r="C64" s="34"/>
    </row>
    <row r="65" spans="1:9">
      <c r="A65" s="34"/>
      <c r="B65" s="34"/>
      <c r="C65" s="34"/>
    </row>
    <row r="66" spans="1:9">
      <c r="A66" s="34"/>
      <c r="B66" s="34"/>
      <c r="C66" s="34"/>
    </row>
    <row r="67" spans="1:9">
      <c r="A67" s="34"/>
      <c r="B67" s="34"/>
      <c r="C67" s="34"/>
    </row>
    <row r="68" spans="1:9">
      <c r="A68" s="34"/>
      <c r="B68" s="34"/>
      <c r="C68" s="34"/>
    </row>
    <row r="69" spans="1:9">
      <c r="A69" s="34"/>
      <c r="B69" s="34"/>
      <c r="C69" s="34"/>
      <c r="D69" s="34"/>
      <c r="E69" s="34"/>
      <c r="F69" s="34"/>
      <c r="G69" s="34"/>
      <c r="H69" s="34"/>
      <c r="I69" s="34"/>
    </row>
    <row r="70" spans="1:9">
      <c r="A70" s="34"/>
      <c r="B70" s="34"/>
      <c r="C70" s="34"/>
      <c r="D70" s="34"/>
      <c r="E70" s="34"/>
      <c r="F70" s="34"/>
      <c r="G70" s="34"/>
      <c r="H70" s="34"/>
      <c r="I70" s="34"/>
    </row>
    <row r="71" spans="1:9">
      <c r="A71" s="34"/>
      <c r="B71" s="34"/>
      <c r="C71" s="34"/>
      <c r="D71" s="34"/>
      <c r="E71" s="34"/>
      <c r="F71" s="34"/>
      <c r="G71" s="34"/>
      <c r="H71" s="34"/>
      <c r="I71" s="34"/>
    </row>
    <row r="72" spans="1:9">
      <c r="A72" s="34"/>
      <c r="B72" s="34"/>
      <c r="C72" s="34"/>
      <c r="D72" s="34"/>
      <c r="E72" s="34"/>
      <c r="F72" s="34"/>
      <c r="G72" s="34"/>
      <c r="H72" s="34"/>
      <c r="I72" s="34"/>
    </row>
    <row r="73" spans="1:9">
      <c r="A73" s="34"/>
      <c r="B73" s="34"/>
      <c r="C73" s="34"/>
      <c r="D73" s="34"/>
      <c r="E73" s="34"/>
      <c r="F73" s="34"/>
      <c r="G73" s="34"/>
      <c r="H73" s="34"/>
      <c r="I73" s="34"/>
    </row>
    <row r="74" spans="1:9">
      <c r="A74" s="34"/>
      <c r="B74" s="34"/>
      <c r="C74" s="34"/>
      <c r="D74" s="34"/>
      <c r="E74" s="34"/>
      <c r="F74" s="34"/>
      <c r="G74" s="34"/>
      <c r="H74" s="34"/>
      <c r="I74" s="34"/>
    </row>
    <row r="75" spans="1:9">
      <c r="A75" s="34"/>
      <c r="B75" s="34"/>
      <c r="C75" s="34"/>
      <c r="D75" s="34"/>
      <c r="E75" s="34"/>
      <c r="F75" s="34"/>
      <c r="G75" s="34"/>
      <c r="H75" s="34"/>
      <c r="I75" s="34"/>
    </row>
    <row r="76" spans="1:9">
      <c r="A76" s="34"/>
      <c r="B76" s="34"/>
      <c r="C76" s="34"/>
      <c r="D76" s="34"/>
      <c r="E76" s="34"/>
      <c r="F76" s="34"/>
      <c r="G76" s="34"/>
      <c r="H76" s="34"/>
      <c r="I76" s="34"/>
    </row>
    <row r="77" spans="1:9">
      <c r="A77" s="34"/>
      <c r="B77" s="34"/>
      <c r="C77" s="34"/>
      <c r="D77" s="34"/>
      <c r="E77" s="34"/>
      <c r="F77" s="34"/>
      <c r="G77" s="34"/>
      <c r="H77" s="34"/>
      <c r="I77" s="34"/>
    </row>
    <row r="78" spans="1:9">
      <c r="A78" s="34"/>
      <c r="B78" s="34"/>
      <c r="C78" s="34"/>
      <c r="D78" s="34"/>
      <c r="E78" s="34"/>
      <c r="F78" s="34"/>
      <c r="G78" s="34"/>
      <c r="H78" s="34"/>
      <c r="I78" s="34"/>
    </row>
    <row r="79" spans="1:9">
      <c r="A79" s="34"/>
      <c r="B79" s="34"/>
      <c r="C79" s="34"/>
      <c r="D79" s="34"/>
      <c r="E79" s="34"/>
      <c r="F79" s="34"/>
      <c r="G79" s="34"/>
      <c r="H79" s="34"/>
      <c r="I79" s="34"/>
    </row>
    <row r="80" spans="1:9">
      <c r="A80" s="34"/>
      <c r="B80" s="34"/>
      <c r="C80" s="34"/>
      <c r="D80" s="34"/>
      <c r="E80" s="34"/>
      <c r="F80" s="34"/>
      <c r="G80" s="34"/>
      <c r="H80" s="34"/>
      <c r="I80" s="34"/>
    </row>
    <row r="81" spans="1:9">
      <c r="A81" s="34"/>
      <c r="B81" s="34"/>
      <c r="C81" s="34"/>
      <c r="D81" s="34"/>
      <c r="E81" s="34"/>
      <c r="F81" s="34"/>
      <c r="G81" s="34"/>
      <c r="H81" s="34"/>
      <c r="I81" s="34"/>
    </row>
    <row r="82" spans="1:9">
      <c r="A82" s="34"/>
      <c r="B82" s="34"/>
      <c r="C82" s="34"/>
      <c r="D82" s="34"/>
      <c r="E82" s="34"/>
      <c r="F82" s="34"/>
      <c r="G82" s="34"/>
      <c r="H82" s="34"/>
      <c r="I82" s="34"/>
    </row>
    <row r="83" spans="1:9">
      <c r="A83" s="34"/>
      <c r="B83" s="34"/>
      <c r="C83" s="34"/>
      <c r="D83" s="34"/>
      <c r="E83" s="34"/>
      <c r="F83" s="34"/>
      <c r="G83" s="34"/>
      <c r="H83" s="34"/>
      <c r="I83" s="34"/>
    </row>
    <row r="84" spans="1:9">
      <c r="A84" s="34"/>
      <c r="B84" s="34"/>
      <c r="C84" s="34"/>
      <c r="D84" s="34"/>
      <c r="E84" s="34"/>
      <c r="F84" s="34"/>
      <c r="G84" s="34"/>
      <c r="H84" s="34"/>
      <c r="I84" s="34"/>
    </row>
    <row r="85" spans="1:9">
      <c r="A85" s="34"/>
      <c r="B85" s="34"/>
      <c r="C85" s="34"/>
      <c r="D85" s="34"/>
      <c r="E85" s="34"/>
      <c r="F85" s="34"/>
      <c r="G85" s="34"/>
      <c r="H85" s="34"/>
      <c r="I85" s="34"/>
    </row>
    <row r="86" spans="1:9">
      <c r="B86" s="6"/>
      <c r="C86" s="6"/>
      <c r="D86" s="6"/>
    </row>
    <row r="88" spans="1:9">
      <c r="F88" s="34"/>
      <c r="G88" s="34"/>
      <c r="H88" s="34"/>
      <c r="I88" s="34"/>
    </row>
    <row r="93" spans="1:9">
      <c r="F93" s="34"/>
      <c r="G93" s="34"/>
      <c r="H93" s="34"/>
      <c r="I93" s="34"/>
    </row>
    <row r="98" spans="6:7">
      <c r="F98" s="34"/>
      <c r="G98" s="34"/>
    </row>
    <row r="103" spans="6:7">
      <c r="F103" s="34"/>
      <c r="G103" s="34"/>
    </row>
    <row r="108" spans="6:7">
      <c r="F108" s="34"/>
      <c r="G108" s="34"/>
    </row>
  </sheetData>
  <mergeCells count="9">
    <mergeCell ref="A18:A19"/>
    <mergeCell ref="C18:C19"/>
    <mergeCell ref="D18:D19"/>
    <mergeCell ref="A22:A23"/>
    <mergeCell ref="A26:A27"/>
    <mergeCell ref="C22:C23"/>
    <mergeCell ref="D26:D27"/>
    <mergeCell ref="D22:D23"/>
    <mergeCell ref="C26:C27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>
    <tabColor theme="3" tint="0.59999389629810485"/>
  </sheetPr>
  <dimension ref="B2:W184"/>
  <sheetViews>
    <sheetView tabSelected="1" workbookViewId="0">
      <selection activeCell="H16" sqref="H16"/>
    </sheetView>
  </sheetViews>
  <sheetFormatPr defaultColWidth="8.88671875" defaultRowHeight="15.6"/>
  <cols>
    <col min="1" max="1" width="8.88671875" style="21"/>
    <col min="2" max="2" width="38.21875" style="5" bestFit="1" customWidth="1"/>
    <col min="3" max="3" width="25.5546875" style="5" bestFit="1" customWidth="1"/>
    <col min="4" max="4" width="19.44140625" style="5" bestFit="1" customWidth="1"/>
    <col min="5" max="5" width="17.88671875" style="21" bestFit="1" customWidth="1"/>
    <col min="6" max="6" width="14.6640625" style="21" bestFit="1" customWidth="1"/>
    <col min="7" max="7" width="10.21875" style="21" customWidth="1"/>
    <col min="8" max="8" width="13.21875" style="21" bestFit="1" customWidth="1"/>
    <col min="9" max="9" width="11.6640625" style="21" bestFit="1" customWidth="1"/>
    <col min="10" max="10" width="6.109375" style="79" bestFit="1" customWidth="1"/>
    <col min="11" max="11" width="8.88671875" style="21"/>
    <col min="12" max="12" width="38.21875" style="21" bestFit="1" customWidth="1"/>
    <col min="13" max="13" width="25.5546875" style="21" bestFit="1" customWidth="1"/>
    <col min="14" max="14" width="19.44140625" style="21" bestFit="1" customWidth="1"/>
    <col min="15" max="15" width="17.88671875" style="21" bestFit="1" customWidth="1"/>
    <col min="16" max="16" width="14.6640625" style="21" bestFit="1" customWidth="1"/>
    <col min="17" max="17" width="10.21875" style="21" bestFit="1" customWidth="1"/>
    <col min="18" max="18" width="13.21875" style="21" bestFit="1" customWidth="1"/>
    <col min="19" max="19" width="11.6640625" style="21" bestFit="1" customWidth="1"/>
    <col min="20" max="20" width="6.109375" style="79" bestFit="1" customWidth="1"/>
    <col min="21" max="16384" width="8.88671875" style="21"/>
  </cols>
  <sheetData>
    <row r="2" spans="2:19">
      <c r="B2" s="109" t="s">
        <v>85</v>
      </c>
      <c r="C2" s="109"/>
      <c r="D2" s="109"/>
      <c r="E2" s="109"/>
      <c r="F2" s="109"/>
      <c r="G2" s="109"/>
      <c r="H2" s="109"/>
      <c r="I2" s="109"/>
      <c r="L2" s="109" t="s">
        <v>87</v>
      </c>
      <c r="M2" s="109"/>
      <c r="N2" s="109"/>
      <c r="O2" s="109"/>
      <c r="P2" s="109"/>
      <c r="Q2" s="109"/>
      <c r="R2" s="109"/>
      <c r="S2" s="109"/>
    </row>
    <row r="4" spans="2:19">
      <c r="B4" s="46" t="s">
        <v>107</v>
      </c>
      <c r="L4" s="46" t="s">
        <v>107</v>
      </c>
      <c r="M4" s="5"/>
      <c r="N4" s="5"/>
    </row>
    <row r="5" spans="2:19">
      <c r="B5" s="29" t="s">
        <v>53</v>
      </c>
      <c r="C5" s="29" t="s">
        <v>40</v>
      </c>
      <c r="D5" s="29" t="s">
        <v>54</v>
      </c>
      <c r="L5" s="29" t="s">
        <v>53</v>
      </c>
      <c r="M5" s="29" t="s">
        <v>40</v>
      </c>
      <c r="N5" s="29" t="s">
        <v>54</v>
      </c>
    </row>
    <row r="6" spans="2:19" ht="15.6" customHeight="1">
      <c r="B6" s="31" t="s">
        <v>99</v>
      </c>
      <c r="C6" s="52">
        <v>300</v>
      </c>
      <c r="D6" s="39">
        <f>C6/$C$10</f>
        <v>0.3</v>
      </c>
      <c r="I6" s="81"/>
      <c r="L6" s="31" t="s">
        <v>101</v>
      </c>
      <c r="M6" s="52">
        <v>1</v>
      </c>
      <c r="N6" s="39">
        <f>M6/$M$7</f>
        <v>1</v>
      </c>
    </row>
    <row r="7" spans="2:19" ht="15.6" customHeight="1">
      <c r="B7" s="31" t="s">
        <v>91</v>
      </c>
      <c r="C7" s="52">
        <v>0</v>
      </c>
      <c r="D7" s="22">
        <f>C7/$C$10</f>
        <v>0</v>
      </c>
      <c r="I7" s="81"/>
      <c r="L7" s="5"/>
      <c r="M7" s="50">
        <v>1</v>
      </c>
      <c r="N7" s="49">
        <f>SUM(N6:N6)</f>
        <v>1</v>
      </c>
    </row>
    <row r="8" spans="2:19" ht="15.6" customHeight="1">
      <c r="B8" s="31" t="s">
        <v>92</v>
      </c>
      <c r="C8" s="53">
        <v>50</v>
      </c>
      <c r="D8" s="22">
        <f>C8/$C$10</f>
        <v>0.05</v>
      </c>
      <c r="I8" s="81"/>
    </row>
    <row r="9" spans="2:19" ht="15.6" customHeight="1">
      <c r="B9" s="31" t="s">
        <v>93</v>
      </c>
      <c r="C9" s="53">
        <v>650</v>
      </c>
      <c r="D9" s="22">
        <f>C9/$C$10</f>
        <v>0.65</v>
      </c>
      <c r="E9" s="77"/>
      <c r="H9" s="79"/>
      <c r="I9" s="79"/>
    </row>
    <row r="10" spans="2:19">
      <c r="C10" s="50">
        <f>SUM(C6:C9)</f>
        <v>1000</v>
      </c>
      <c r="D10" s="49">
        <f>SUM(D6:D9)</f>
        <v>1</v>
      </c>
      <c r="H10" s="79"/>
      <c r="I10" s="79"/>
    </row>
    <row r="11" spans="2:19">
      <c r="H11" s="79"/>
      <c r="I11" s="79"/>
      <c r="L11" s="5"/>
      <c r="M11" s="5"/>
      <c r="N11" s="5"/>
    </row>
    <row r="12" spans="2:19">
      <c r="B12" s="21" t="s">
        <v>98</v>
      </c>
      <c r="C12" s="21"/>
      <c r="D12" s="21"/>
      <c r="H12" s="79"/>
      <c r="I12" s="79"/>
      <c r="L12" s="78" t="s">
        <v>98</v>
      </c>
    </row>
    <row r="13" spans="2:19">
      <c r="B13" s="29"/>
      <c r="C13" s="29" t="s">
        <v>82</v>
      </c>
      <c r="D13" s="29" t="s">
        <v>97</v>
      </c>
      <c r="E13" s="29" t="s">
        <v>54</v>
      </c>
      <c r="H13" s="79"/>
      <c r="I13" s="79"/>
      <c r="L13" s="29"/>
      <c r="M13" s="29" t="s">
        <v>82</v>
      </c>
      <c r="N13" s="29" t="s">
        <v>97</v>
      </c>
    </row>
    <row r="14" spans="2:19">
      <c r="B14" s="9" t="s">
        <v>100</v>
      </c>
      <c r="C14" s="53">
        <v>15</v>
      </c>
      <c r="D14" s="53">
        <v>5</v>
      </c>
      <c r="E14" s="39">
        <f>C14/$C$18</f>
        <v>1</v>
      </c>
      <c r="H14" s="79"/>
      <c r="I14" s="79"/>
      <c r="L14" s="9" t="s">
        <v>100</v>
      </c>
      <c r="M14" s="53" cm="1">
        <f t="array" ref="M14:N17">C14:D17</f>
        <v>15</v>
      </c>
      <c r="N14" s="53">
        <v>5</v>
      </c>
    </row>
    <row r="15" spans="2:19">
      <c r="B15" s="9" t="s">
        <v>94</v>
      </c>
      <c r="C15" s="53">
        <v>0</v>
      </c>
      <c r="D15" s="53">
        <v>0</v>
      </c>
      <c r="E15" s="39">
        <f>C15/$C$18</f>
        <v>0</v>
      </c>
      <c r="H15" s="79"/>
      <c r="I15" s="79"/>
      <c r="L15" s="9" t="s">
        <v>94</v>
      </c>
      <c r="M15" s="53">
        <v>0</v>
      </c>
      <c r="N15" s="53">
        <v>0</v>
      </c>
    </row>
    <row r="16" spans="2:19">
      <c r="B16" s="9" t="s">
        <v>95</v>
      </c>
      <c r="C16" s="53">
        <v>0</v>
      </c>
      <c r="D16" s="53">
        <v>0</v>
      </c>
      <c r="E16" s="39">
        <f>C16/$C$18</f>
        <v>0</v>
      </c>
      <c r="H16" s="79"/>
      <c r="I16" s="79"/>
      <c r="L16" s="9" t="s">
        <v>95</v>
      </c>
      <c r="M16" s="53">
        <v>0</v>
      </c>
      <c r="N16" s="53">
        <v>0</v>
      </c>
    </row>
    <row r="17" spans="2:20">
      <c r="B17" s="9" t="s">
        <v>96</v>
      </c>
      <c r="C17" s="53">
        <v>0</v>
      </c>
      <c r="D17" s="93">
        <v>0</v>
      </c>
      <c r="E17" s="39">
        <f>C17/$C$18</f>
        <v>0</v>
      </c>
      <c r="L17" s="9" t="s">
        <v>96</v>
      </c>
      <c r="M17" s="53">
        <v>0</v>
      </c>
      <c r="N17" s="53">
        <v>0</v>
      </c>
    </row>
    <row r="18" spans="2:20">
      <c r="B18" s="55"/>
      <c r="C18" s="97">
        <f>SUM(C14:C17)</f>
        <v>15</v>
      </c>
      <c r="D18" s="55"/>
    </row>
    <row r="19" spans="2:20">
      <c r="B19" s="55"/>
      <c r="C19" s="97"/>
      <c r="D19" s="55"/>
    </row>
    <row r="20" spans="2:20" s="77" customFormat="1">
      <c r="B20" s="58" t="s">
        <v>108</v>
      </c>
      <c r="C20" s="69"/>
      <c r="D20" s="69"/>
      <c r="J20" s="80"/>
      <c r="L20" s="58" t="s">
        <v>108</v>
      </c>
      <c r="M20" s="69"/>
      <c r="N20" s="69"/>
      <c r="T20" s="80"/>
    </row>
    <row r="21" spans="2:20">
      <c r="B21" s="29" t="s">
        <v>56</v>
      </c>
      <c r="C21" s="29" t="s">
        <v>60</v>
      </c>
      <c r="D21" s="29" t="s">
        <v>61</v>
      </c>
      <c r="E21" s="29" t="s">
        <v>62</v>
      </c>
      <c r="L21" s="29" t="s">
        <v>56</v>
      </c>
      <c r="M21" s="29" t="s">
        <v>60</v>
      </c>
      <c r="N21" s="29" t="s">
        <v>61</v>
      </c>
      <c r="O21" s="29" t="s">
        <v>62</v>
      </c>
    </row>
    <row r="22" spans="2:20">
      <c r="B22" s="31" t="s">
        <v>58</v>
      </c>
      <c r="C22" s="53">
        <v>5000</v>
      </c>
      <c r="D22" s="53">
        <v>2500</v>
      </c>
      <c r="E22" s="53">
        <v>1500</v>
      </c>
      <c r="F22" s="77"/>
      <c r="L22" s="31" t="s">
        <v>58</v>
      </c>
      <c r="M22" s="52" cm="1">
        <f t="array" ref="M22:O23">C22:E23</f>
        <v>5000</v>
      </c>
      <c r="N22" s="52">
        <v>2500</v>
      </c>
      <c r="O22" s="52">
        <v>1500</v>
      </c>
      <c r="P22" s="77"/>
    </row>
    <row r="23" spans="2:20">
      <c r="B23" s="9" t="s">
        <v>59</v>
      </c>
      <c r="C23" s="53">
        <v>5000</v>
      </c>
      <c r="D23" s="53">
        <v>2500</v>
      </c>
      <c r="E23" s="53">
        <v>1500</v>
      </c>
      <c r="L23" s="9" t="s">
        <v>59</v>
      </c>
      <c r="M23" s="52">
        <v>5000</v>
      </c>
      <c r="N23" s="52">
        <v>2500</v>
      </c>
      <c r="O23" s="52">
        <v>1500</v>
      </c>
    </row>
    <row r="24" spans="2:20">
      <c r="E24" s="5"/>
    </row>
    <row r="26" spans="2:20">
      <c r="B26" s="98" t="s">
        <v>109</v>
      </c>
      <c r="L26" s="98" t="s">
        <v>109</v>
      </c>
      <c r="M26" s="5"/>
      <c r="N26" s="5"/>
    </row>
    <row r="27" spans="2:20">
      <c r="B27" s="29" t="s">
        <v>55</v>
      </c>
      <c r="C27" s="29" t="s">
        <v>102</v>
      </c>
      <c r="D27" s="29" t="s">
        <v>103</v>
      </c>
      <c r="E27" s="29" t="s">
        <v>104</v>
      </c>
      <c r="F27" s="29" t="s">
        <v>105</v>
      </c>
      <c r="G27" s="29" t="s">
        <v>61</v>
      </c>
      <c r="H27" s="29" t="s">
        <v>62</v>
      </c>
      <c r="I27" s="29" t="s">
        <v>106</v>
      </c>
      <c r="L27" s="29" t="s">
        <v>55</v>
      </c>
      <c r="M27" s="29" t="s">
        <v>102</v>
      </c>
      <c r="N27" s="29" t="s">
        <v>103</v>
      </c>
      <c r="O27" s="29" t="s">
        <v>104</v>
      </c>
      <c r="P27" s="29" t="s">
        <v>105</v>
      </c>
      <c r="Q27" s="29" t="s">
        <v>61</v>
      </c>
      <c r="R27" s="29" t="s">
        <v>62</v>
      </c>
      <c r="S27" s="29" t="s">
        <v>106</v>
      </c>
    </row>
    <row r="28" spans="2:20">
      <c r="B28" s="96">
        <v>2</v>
      </c>
      <c r="C28" s="52">
        <v>5000</v>
      </c>
      <c r="D28" s="52">
        <v>5000</v>
      </c>
      <c r="E28" s="52">
        <v>5000</v>
      </c>
      <c r="F28" s="52">
        <v>5000</v>
      </c>
      <c r="G28" s="52">
        <v>40000</v>
      </c>
      <c r="H28" s="52">
        <v>40000</v>
      </c>
      <c r="I28" s="52">
        <v>10000</v>
      </c>
      <c r="J28" s="79">
        <f t="shared" ref="J28:J44" si="0">IF(SUM(C28:H28)&gt;0, B28, "")</f>
        <v>2</v>
      </c>
      <c r="L28" s="96">
        <v>2</v>
      </c>
      <c r="M28" s="52" cm="1">
        <f t="array" ref="M28:S44">C28:I44</f>
        <v>5000</v>
      </c>
      <c r="N28" s="52">
        <v>5000</v>
      </c>
      <c r="O28" s="52">
        <v>5000</v>
      </c>
      <c r="P28" s="52">
        <v>5000</v>
      </c>
      <c r="Q28" s="52">
        <v>40000</v>
      </c>
      <c r="R28" s="52">
        <v>40000</v>
      </c>
      <c r="S28" s="52">
        <v>10000</v>
      </c>
      <c r="T28" s="79">
        <f t="shared" ref="T28:T44" si="1">IF(SUM(M28:R28)&gt;0, L28, "")</f>
        <v>2</v>
      </c>
    </row>
    <row r="29" spans="2:20">
      <c r="B29" s="24">
        <v>3</v>
      </c>
      <c r="C29" s="53">
        <v>5000</v>
      </c>
      <c r="D29" s="53">
        <v>5000</v>
      </c>
      <c r="E29" s="53">
        <v>5000</v>
      </c>
      <c r="F29" s="53">
        <v>5000</v>
      </c>
      <c r="G29" s="53">
        <v>40000</v>
      </c>
      <c r="H29" s="53">
        <v>40000</v>
      </c>
      <c r="I29" s="53">
        <v>0</v>
      </c>
      <c r="J29" s="79">
        <f t="shared" si="0"/>
        <v>3</v>
      </c>
      <c r="L29" s="24">
        <v>3</v>
      </c>
      <c r="M29" s="53">
        <v>5000</v>
      </c>
      <c r="N29" s="53">
        <v>5000</v>
      </c>
      <c r="O29" s="53">
        <v>5000</v>
      </c>
      <c r="P29" s="53">
        <v>5000</v>
      </c>
      <c r="Q29" s="53">
        <v>40000</v>
      </c>
      <c r="R29" s="53">
        <v>40000</v>
      </c>
      <c r="S29" s="53">
        <v>0</v>
      </c>
      <c r="T29" s="79">
        <f t="shared" si="1"/>
        <v>3</v>
      </c>
    </row>
    <row r="30" spans="2:20">
      <c r="B30" s="24">
        <v>4</v>
      </c>
      <c r="C30" s="53">
        <v>500</v>
      </c>
      <c r="D30" s="53">
        <v>350</v>
      </c>
      <c r="E30" s="53">
        <v>500</v>
      </c>
      <c r="F30" s="53">
        <v>350</v>
      </c>
      <c r="G30" s="53">
        <v>0</v>
      </c>
      <c r="H30" s="53">
        <v>0</v>
      </c>
      <c r="I30" s="53">
        <v>0</v>
      </c>
      <c r="J30" s="79">
        <f t="shared" si="0"/>
        <v>4</v>
      </c>
      <c r="L30" s="24">
        <v>4</v>
      </c>
      <c r="M30" s="53">
        <v>500</v>
      </c>
      <c r="N30" s="53">
        <v>350</v>
      </c>
      <c r="O30" s="53">
        <v>500</v>
      </c>
      <c r="P30" s="53">
        <v>350</v>
      </c>
      <c r="Q30" s="53">
        <v>0</v>
      </c>
      <c r="R30" s="53">
        <v>0</v>
      </c>
      <c r="S30" s="53">
        <v>0</v>
      </c>
      <c r="T30" s="79">
        <f t="shared" si="1"/>
        <v>4</v>
      </c>
    </row>
    <row r="31" spans="2:20">
      <c r="B31" s="24">
        <v>5</v>
      </c>
      <c r="C31" s="53">
        <v>500</v>
      </c>
      <c r="D31" s="53">
        <v>350</v>
      </c>
      <c r="E31" s="53">
        <v>500</v>
      </c>
      <c r="F31" s="53">
        <v>350</v>
      </c>
      <c r="G31" s="53">
        <v>0</v>
      </c>
      <c r="H31" s="53">
        <v>0</v>
      </c>
      <c r="I31" s="53">
        <v>0</v>
      </c>
      <c r="J31" s="79">
        <f t="shared" si="0"/>
        <v>5</v>
      </c>
      <c r="L31" s="24">
        <v>5</v>
      </c>
      <c r="M31" s="53">
        <v>500</v>
      </c>
      <c r="N31" s="53">
        <v>350</v>
      </c>
      <c r="O31" s="53">
        <v>500</v>
      </c>
      <c r="P31" s="53">
        <v>350</v>
      </c>
      <c r="Q31" s="53">
        <v>0</v>
      </c>
      <c r="R31" s="53">
        <v>0</v>
      </c>
      <c r="S31" s="53">
        <v>0</v>
      </c>
      <c r="T31" s="79">
        <f t="shared" si="1"/>
        <v>5</v>
      </c>
    </row>
    <row r="32" spans="2:20">
      <c r="B32" s="24">
        <v>8</v>
      </c>
      <c r="C32" s="53">
        <v>500</v>
      </c>
      <c r="D32" s="53">
        <v>350</v>
      </c>
      <c r="E32" s="53">
        <v>500</v>
      </c>
      <c r="F32" s="53">
        <v>350</v>
      </c>
      <c r="G32" s="53">
        <v>0</v>
      </c>
      <c r="H32" s="53">
        <v>0</v>
      </c>
      <c r="I32" s="53">
        <v>0</v>
      </c>
      <c r="J32" s="79">
        <f t="shared" si="0"/>
        <v>8</v>
      </c>
      <c r="L32" s="24">
        <v>8</v>
      </c>
      <c r="M32" s="53">
        <v>500</v>
      </c>
      <c r="N32" s="53">
        <v>350</v>
      </c>
      <c r="O32" s="53">
        <v>500</v>
      </c>
      <c r="P32" s="53">
        <v>350</v>
      </c>
      <c r="Q32" s="53">
        <v>0</v>
      </c>
      <c r="R32" s="53">
        <v>0</v>
      </c>
      <c r="S32" s="53">
        <v>0</v>
      </c>
      <c r="T32" s="79">
        <f t="shared" si="1"/>
        <v>8</v>
      </c>
    </row>
    <row r="33" spans="2:20">
      <c r="B33" s="26">
        <v>10</v>
      </c>
      <c r="C33" s="53">
        <v>900</v>
      </c>
      <c r="D33" s="54">
        <v>600</v>
      </c>
      <c r="E33" s="53">
        <v>900</v>
      </c>
      <c r="F33" s="54">
        <v>600</v>
      </c>
      <c r="G33" s="53">
        <v>8000</v>
      </c>
      <c r="H33" s="53">
        <v>0</v>
      </c>
      <c r="I33" s="53">
        <v>0</v>
      </c>
      <c r="J33" s="79">
        <f t="shared" si="0"/>
        <v>10</v>
      </c>
      <c r="L33" s="26">
        <v>10</v>
      </c>
      <c r="M33" s="53">
        <v>900</v>
      </c>
      <c r="N33" s="54">
        <v>600</v>
      </c>
      <c r="O33" s="53">
        <v>900</v>
      </c>
      <c r="P33" s="53">
        <v>600</v>
      </c>
      <c r="Q33" s="53">
        <v>8000</v>
      </c>
      <c r="R33" s="53">
        <v>0</v>
      </c>
      <c r="S33" s="53">
        <v>0</v>
      </c>
      <c r="T33" s="79">
        <f t="shared" si="1"/>
        <v>10</v>
      </c>
    </row>
    <row r="34" spans="2:20">
      <c r="B34" s="26">
        <v>12</v>
      </c>
      <c r="C34" s="53">
        <v>0</v>
      </c>
      <c r="D34" s="53">
        <v>350</v>
      </c>
      <c r="E34" s="53">
        <v>0</v>
      </c>
      <c r="F34" s="53">
        <v>350</v>
      </c>
      <c r="G34" s="53">
        <v>4700</v>
      </c>
      <c r="H34" s="53">
        <v>0</v>
      </c>
      <c r="I34" s="53">
        <v>0</v>
      </c>
      <c r="J34" s="79">
        <f t="shared" si="0"/>
        <v>12</v>
      </c>
      <c r="L34" s="26">
        <v>12</v>
      </c>
      <c r="M34" s="53">
        <v>0</v>
      </c>
      <c r="N34" s="53">
        <v>350</v>
      </c>
      <c r="O34" s="53">
        <v>0</v>
      </c>
      <c r="P34" s="53">
        <v>350</v>
      </c>
      <c r="Q34" s="53">
        <v>4700</v>
      </c>
      <c r="R34" s="53">
        <v>0</v>
      </c>
      <c r="S34" s="53">
        <v>0</v>
      </c>
      <c r="T34" s="79">
        <f t="shared" si="1"/>
        <v>12</v>
      </c>
    </row>
    <row r="35" spans="2:20">
      <c r="B35" s="26">
        <v>15</v>
      </c>
      <c r="C35" s="53">
        <v>0</v>
      </c>
      <c r="D35" s="53">
        <v>350</v>
      </c>
      <c r="E35" s="53">
        <v>0</v>
      </c>
      <c r="F35" s="53">
        <v>350</v>
      </c>
      <c r="G35" s="53">
        <v>4700</v>
      </c>
      <c r="H35" s="53">
        <v>0</v>
      </c>
      <c r="I35" s="53">
        <v>0</v>
      </c>
      <c r="J35" s="79">
        <f t="shared" si="0"/>
        <v>15</v>
      </c>
      <c r="L35" s="26">
        <v>15</v>
      </c>
      <c r="M35" s="53">
        <v>0</v>
      </c>
      <c r="N35" s="53">
        <v>350</v>
      </c>
      <c r="O35" s="53">
        <v>0</v>
      </c>
      <c r="P35" s="53">
        <v>350</v>
      </c>
      <c r="Q35" s="53">
        <v>4700</v>
      </c>
      <c r="R35" s="53">
        <v>0</v>
      </c>
      <c r="S35" s="53">
        <v>0</v>
      </c>
      <c r="T35" s="79">
        <f t="shared" si="1"/>
        <v>15</v>
      </c>
    </row>
    <row r="36" spans="2:20">
      <c r="B36" s="25">
        <v>20</v>
      </c>
      <c r="C36" s="53">
        <v>500</v>
      </c>
      <c r="D36" s="53">
        <v>350</v>
      </c>
      <c r="E36" s="53">
        <v>500</v>
      </c>
      <c r="F36" s="53">
        <v>350</v>
      </c>
      <c r="G36" s="53">
        <v>4700</v>
      </c>
      <c r="H36" s="53">
        <v>0</v>
      </c>
      <c r="I36" s="53">
        <v>0</v>
      </c>
      <c r="J36" s="79">
        <f t="shared" si="0"/>
        <v>20</v>
      </c>
      <c r="L36" s="25">
        <v>20</v>
      </c>
      <c r="M36" s="53">
        <v>500</v>
      </c>
      <c r="N36" s="53">
        <v>350</v>
      </c>
      <c r="O36" s="53">
        <v>500</v>
      </c>
      <c r="P36" s="53">
        <v>350</v>
      </c>
      <c r="Q36" s="53">
        <v>4700</v>
      </c>
      <c r="R36" s="53">
        <v>0</v>
      </c>
      <c r="S36" s="53">
        <v>0</v>
      </c>
      <c r="T36" s="79">
        <f t="shared" si="1"/>
        <v>20</v>
      </c>
    </row>
    <row r="37" spans="2:20">
      <c r="B37" s="25">
        <v>25</v>
      </c>
      <c r="C37" s="53">
        <v>0</v>
      </c>
      <c r="D37" s="53">
        <v>0</v>
      </c>
      <c r="E37" s="53">
        <v>0</v>
      </c>
      <c r="F37" s="53">
        <v>0</v>
      </c>
      <c r="G37" s="53">
        <v>4700</v>
      </c>
      <c r="H37" s="53">
        <v>0</v>
      </c>
      <c r="I37" s="53">
        <v>0</v>
      </c>
      <c r="J37" s="79">
        <f t="shared" si="0"/>
        <v>25</v>
      </c>
      <c r="L37" s="25">
        <v>25</v>
      </c>
      <c r="M37" s="53">
        <v>0</v>
      </c>
      <c r="N37" s="53">
        <v>0</v>
      </c>
      <c r="O37" s="53">
        <v>0</v>
      </c>
      <c r="P37" s="53">
        <v>0</v>
      </c>
      <c r="Q37" s="53">
        <v>4700</v>
      </c>
      <c r="R37" s="53">
        <v>0</v>
      </c>
      <c r="S37" s="53">
        <v>0</v>
      </c>
      <c r="T37" s="79">
        <f t="shared" si="1"/>
        <v>25</v>
      </c>
    </row>
    <row r="38" spans="2:20">
      <c r="B38" s="25">
        <v>50</v>
      </c>
      <c r="C38" s="53">
        <v>0</v>
      </c>
      <c r="D38" s="53">
        <v>0</v>
      </c>
      <c r="E38" s="53">
        <v>0</v>
      </c>
      <c r="F38" s="53">
        <v>0</v>
      </c>
      <c r="G38" s="53">
        <v>4700</v>
      </c>
      <c r="H38" s="53">
        <v>0</v>
      </c>
      <c r="I38" s="53">
        <v>0</v>
      </c>
      <c r="J38" s="79">
        <f t="shared" si="0"/>
        <v>50</v>
      </c>
      <c r="L38" s="25">
        <v>50</v>
      </c>
      <c r="M38" s="53">
        <v>0</v>
      </c>
      <c r="N38" s="53">
        <v>0</v>
      </c>
      <c r="O38" s="53">
        <v>0</v>
      </c>
      <c r="P38" s="53">
        <v>0</v>
      </c>
      <c r="Q38" s="53">
        <v>4700</v>
      </c>
      <c r="R38" s="53">
        <v>0</v>
      </c>
      <c r="S38" s="53">
        <v>0</v>
      </c>
      <c r="T38" s="79">
        <f t="shared" si="1"/>
        <v>50</v>
      </c>
    </row>
    <row r="39" spans="2:20">
      <c r="B39" s="23">
        <v>100</v>
      </c>
      <c r="C39" s="53">
        <v>0</v>
      </c>
      <c r="D39" s="53">
        <v>350</v>
      </c>
      <c r="E39" s="53">
        <v>0</v>
      </c>
      <c r="F39" s="53">
        <v>0</v>
      </c>
      <c r="G39" s="53">
        <v>4700</v>
      </c>
      <c r="H39" s="53">
        <v>10000</v>
      </c>
      <c r="I39" s="53">
        <v>0</v>
      </c>
      <c r="J39" s="79">
        <f t="shared" si="0"/>
        <v>100</v>
      </c>
      <c r="L39" s="23">
        <v>100</v>
      </c>
      <c r="M39" s="53">
        <v>0</v>
      </c>
      <c r="N39" s="53">
        <v>350</v>
      </c>
      <c r="O39" s="53">
        <v>0</v>
      </c>
      <c r="P39" s="53">
        <v>0</v>
      </c>
      <c r="Q39" s="53">
        <v>4700</v>
      </c>
      <c r="R39" s="53">
        <v>10000</v>
      </c>
      <c r="S39" s="53">
        <v>0</v>
      </c>
      <c r="T39" s="79">
        <f t="shared" si="1"/>
        <v>100</v>
      </c>
    </row>
    <row r="40" spans="2:20">
      <c r="B40" s="23">
        <v>150</v>
      </c>
      <c r="C40" s="53">
        <v>0</v>
      </c>
      <c r="D40" s="53">
        <v>0</v>
      </c>
      <c r="E40" s="53">
        <v>0</v>
      </c>
      <c r="F40" s="53">
        <v>0</v>
      </c>
      <c r="G40" s="53">
        <v>0</v>
      </c>
      <c r="H40" s="53">
        <v>6000</v>
      </c>
      <c r="I40" s="53">
        <v>0</v>
      </c>
      <c r="J40" s="79">
        <f t="shared" si="0"/>
        <v>150</v>
      </c>
      <c r="L40" s="23">
        <v>150</v>
      </c>
      <c r="M40" s="53">
        <v>0</v>
      </c>
      <c r="N40" s="53">
        <v>0</v>
      </c>
      <c r="O40" s="53">
        <v>0</v>
      </c>
      <c r="P40" s="53">
        <v>0</v>
      </c>
      <c r="Q40" s="53">
        <v>0</v>
      </c>
      <c r="R40" s="53">
        <v>6000</v>
      </c>
      <c r="S40" s="53">
        <v>0</v>
      </c>
      <c r="T40" s="79">
        <f t="shared" si="1"/>
        <v>150</v>
      </c>
    </row>
    <row r="41" spans="2:20">
      <c r="B41" s="23">
        <v>200</v>
      </c>
      <c r="C41" s="53">
        <v>0</v>
      </c>
      <c r="D41" s="53">
        <v>0</v>
      </c>
      <c r="E41" s="53">
        <v>0</v>
      </c>
      <c r="F41" s="53">
        <v>0</v>
      </c>
      <c r="G41" s="53">
        <v>0</v>
      </c>
      <c r="H41" s="53">
        <v>6000</v>
      </c>
      <c r="I41" s="53">
        <v>0</v>
      </c>
      <c r="J41" s="79">
        <f t="shared" si="0"/>
        <v>200</v>
      </c>
      <c r="L41" s="23">
        <v>200</v>
      </c>
      <c r="M41" s="53">
        <v>0</v>
      </c>
      <c r="N41" s="53">
        <v>0</v>
      </c>
      <c r="O41" s="53">
        <v>0</v>
      </c>
      <c r="P41" s="53">
        <v>0</v>
      </c>
      <c r="Q41" s="53">
        <v>0</v>
      </c>
      <c r="R41" s="53">
        <v>6000</v>
      </c>
      <c r="S41" s="53">
        <v>0</v>
      </c>
      <c r="T41" s="79">
        <f t="shared" si="1"/>
        <v>200</v>
      </c>
    </row>
    <row r="42" spans="2:20">
      <c r="B42" s="23">
        <v>250</v>
      </c>
      <c r="C42" s="53">
        <v>0</v>
      </c>
      <c r="D42" s="53">
        <v>0</v>
      </c>
      <c r="E42" s="53">
        <v>0</v>
      </c>
      <c r="F42" s="53">
        <v>0</v>
      </c>
      <c r="G42" s="53">
        <v>0</v>
      </c>
      <c r="H42" s="53">
        <v>6000</v>
      </c>
      <c r="I42" s="53">
        <v>0</v>
      </c>
      <c r="J42" s="79">
        <f t="shared" si="0"/>
        <v>250</v>
      </c>
      <c r="L42" s="23">
        <v>250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6000</v>
      </c>
      <c r="S42" s="53">
        <v>0</v>
      </c>
      <c r="T42" s="79">
        <f t="shared" si="1"/>
        <v>250</v>
      </c>
    </row>
    <row r="43" spans="2:20">
      <c r="B43" s="23">
        <v>500</v>
      </c>
      <c r="C43" s="53">
        <v>0</v>
      </c>
      <c r="D43" s="53">
        <v>0</v>
      </c>
      <c r="E43" s="53">
        <v>0</v>
      </c>
      <c r="F43" s="53">
        <v>0</v>
      </c>
      <c r="G43" s="53">
        <v>0</v>
      </c>
      <c r="H43" s="53">
        <v>6000</v>
      </c>
      <c r="I43" s="53">
        <v>0</v>
      </c>
      <c r="J43" s="79">
        <f t="shared" si="0"/>
        <v>500</v>
      </c>
      <c r="L43" s="23">
        <v>500</v>
      </c>
      <c r="M43" s="53">
        <v>0</v>
      </c>
      <c r="N43" s="53">
        <v>0</v>
      </c>
      <c r="O43" s="53">
        <v>0</v>
      </c>
      <c r="P43" s="53">
        <v>0</v>
      </c>
      <c r="Q43" s="53">
        <v>0</v>
      </c>
      <c r="R43" s="53">
        <v>6000</v>
      </c>
      <c r="S43" s="53">
        <v>0</v>
      </c>
      <c r="T43" s="79">
        <f t="shared" si="1"/>
        <v>500</v>
      </c>
    </row>
    <row r="44" spans="2:20">
      <c r="B44" s="23">
        <v>1000</v>
      </c>
      <c r="C44" s="53">
        <v>0</v>
      </c>
      <c r="D44" s="53">
        <v>0</v>
      </c>
      <c r="E44" s="53">
        <v>0</v>
      </c>
      <c r="F44" s="53">
        <v>0</v>
      </c>
      <c r="G44" s="53">
        <v>0</v>
      </c>
      <c r="H44" s="53">
        <v>6000</v>
      </c>
      <c r="I44" s="53">
        <v>0</v>
      </c>
      <c r="J44" s="79">
        <f t="shared" si="0"/>
        <v>1000</v>
      </c>
      <c r="L44" s="23">
        <v>1000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6000</v>
      </c>
      <c r="S44" s="53">
        <v>0</v>
      </c>
      <c r="T44" s="79">
        <f t="shared" si="1"/>
        <v>1000</v>
      </c>
    </row>
    <row r="45" spans="2:20">
      <c r="E45" s="5"/>
      <c r="F45" s="5"/>
      <c r="G45" s="5"/>
      <c r="H45" s="5"/>
      <c r="I45" s="5"/>
      <c r="L45" s="5"/>
      <c r="M45" s="5"/>
      <c r="N45" s="5"/>
      <c r="O45" s="5"/>
      <c r="P45" s="5"/>
      <c r="Q45" s="5"/>
      <c r="R45" s="5"/>
      <c r="S45" s="5"/>
    </row>
    <row r="46" spans="2:20">
      <c r="E46" s="5"/>
      <c r="F46" s="5"/>
      <c r="G46" s="5"/>
      <c r="L46" s="5"/>
      <c r="M46" s="5"/>
      <c r="N46" s="5"/>
    </row>
    <row r="47" spans="2:20">
      <c r="B47" s="46" t="s">
        <v>110</v>
      </c>
      <c r="I47" s="5"/>
      <c r="L47" s="46" t="s">
        <v>110</v>
      </c>
      <c r="M47" s="5"/>
      <c r="N47" s="5"/>
      <c r="S47" s="5"/>
    </row>
    <row r="48" spans="2:20">
      <c r="B48" s="29" t="s">
        <v>55</v>
      </c>
      <c r="C48" s="29" t="s">
        <v>102</v>
      </c>
      <c r="D48" s="29" t="s">
        <v>103</v>
      </c>
      <c r="E48" s="29" t="s">
        <v>104</v>
      </c>
      <c r="F48" s="29" t="s">
        <v>105</v>
      </c>
      <c r="G48" s="29" t="s">
        <v>61</v>
      </c>
      <c r="H48" s="29" t="s">
        <v>62</v>
      </c>
      <c r="I48" s="29" t="s">
        <v>106</v>
      </c>
      <c r="L48" s="29" t="s">
        <v>55</v>
      </c>
      <c r="M48" s="29" t="s">
        <v>102</v>
      </c>
      <c r="N48" s="29" t="s">
        <v>103</v>
      </c>
      <c r="O48" s="29" t="s">
        <v>104</v>
      </c>
      <c r="P48" s="29" t="s">
        <v>105</v>
      </c>
      <c r="Q48" s="29" t="s">
        <v>61</v>
      </c>
      <c r="R48" s="29" t="s">
        <v>62</v>
      </c>
      <c r="S48" s="29" t="s">
        <v>106</v>
      </c>
    </row>
    <row r="49" spans="2:19">
      <c r="B49" s="96">
        <v>2</v>
      </c>
      <c r="C49" s="39">
        <f>C28/SUM(C$28:C$44)</f>
        <v>0.38759689922480622</v>
      </c>
      <c r="D49" s="39">
        <f t="shared" ref="D49:I49" si="2">D28/SUM(D$28:D$44)</f>
        <v>0.38314176245210729</v>
      </c>
      <c r="E49" s="39">
        <f t="shared" si="2"/>
        <v>0.38759689922480622</v>
      </c>
      <c r="F49" s="39">
        <f t="shared" si="2"/>
        <v>0.39370078740157483</v>
      </c>
      <c r="G49" s="39">
        <f t="shared" si="2"/>
        <v>0.34423407917383819</v>
      </c>
      <c r="H49" s="39">
        <f t="shared" si="2"/>
        <v>0.33333333333333331</v>
      </c>
      <c r="I49" s="39">
        <f t="shared" si="2"/>
        <v>1</v>
      </c>
      <c r="L49" s="96">
        <v>2</v>
      </c>
      <c r="M49" s="39">
        <f>M28/SUM(M$28:M$44)</f>
        <v>0.38759689922480622</v>
      </c>
      <c r="N49" s="39">
        <f t="shared" ref="N49:S49" si="3">N28/SUM(N$28:N$44)</f>
        <v>0.38314176245210729</v>
      </c>
      <c r="O49" s="39">
        <f t="shared" si="3"/>
        <v>0.38759689922480622</v>
      </c>
      <c r="P49" s="39">
        <f t="shared" si="3"/>
        <v>0.39370078740157483</v>
      </c>
      <c r="Q49" s="39">
        <f t="shared" si="3"/>
        <v>0.34423407917383819</v>
      </c>
      <c r="R49" s="39">
        <f t="shared" si="3"/>
        <v>0.33333333333333331</v>
      </c>
      <c r="S49" s="39">
        <f t="shared" si="3"/>
        <v>1</v>
      </c>
    </row>
    <row r="50" spans="2:19">
      <c r="B50" s="24">
        <v>3</v>
      </c>
      <c r="C50" s="39">
        <f t="shared" ref="C50:I50" si="4">C29/SUM(C$28:C$44)</f>
        <v>0.38759689922480622</v>
      </c>
      <c r="D50" s="39">
        <f t="shared" si="4"/>
        <v>0.38314176245210729</v>
      </c>
      <c r="E50" s="39">
        <f t="shared" si="4"/>
        <v>0.38759689922480622</v>
      </c>
      <c r="F50" s="39">
        <f t="shared" si="4"/>
        <v>0.39370078740157483</v>
      </c>
      <c r="G50" s="39">
        <f t="shared" si="4"/>
        <v>0.34423407917383819</v>
      </c>
      <c r="H50" s="39">
        <f t="shared" si="4"/>
        <v>0.33333333333333331</v>
      </c>
      <c r="I50" s="39">
        <f t="shared" si="4"/>
        <v>0</v>
      </c>
      <c r="L50" s="24">
        <v>3</v>
      </c>
      <c r="M50" s="39">
        <f t="shared" ref="M50:S50" si="5">M29/SUM(M$28:M$44)</f>
        <v>0.38759689922480622</v>
      </c>
      <c r="N50" s="39">
        <f t="shared" si="5"/>
        <v>0.38314176245210729</v>
      </c>
      <c r="O50" s="39">
        <f t="shared" si="5"/>
        <v>0.38759689922480622</v>
      </c>
      <c r="P50" s="39">
        <f t="shared" si="5"/>
        <v>0.39370078740157483</v>
      </c>
      <c r="Q50" s="39">
        <f t="shared" si="5"/>
        <v>0.34423407917383819</v>
      </c>
      <c r="R50" s="39">
        <f t="shared" si="5"/>
        <v>0.33333333333333331</v>
      </c>
      <c r="S50" s="39">
        <f t="shared" si="5"/>
        <v>0</v>
      </c>
    </row>
    <row r="51" spans="2:19">
      <c r="B51" s="24">
        <v>4</v>
      </c>
      <c r="C51" s="39">
        <f t="shared" ref="C51:I51" si="6">C30/SUM(C$28:C$44)</f>
        <v>3.875968992248062E-2</v>
      </c>
      <c r="D51" s="39">
        <f t="shared" si="6"/>
        <v>2.681992337164751E-2</v>
      </c>
      <c r="E51" s="39">
        <f t="shared" si="6"/>
        <v>3.875968992248062E-2</v>
      </c>
      <c r="F51" s="39">
        <f t="shared" si="6"/>
        <v>2.7559055118110236E-2</v>
      </c>
      <c r="G51" s="39">
        <f t="shared" si="6"/>
        <v>0</v>
      </c>
      <c r="H51" s="39">
        <f t="shared" si="6"/>
        <v>0</v>
      </c>
      <c r="I51" s="39">
        <f t="shared" si="6"/>
        <v>0</v>
      </c>
      <c r="L51" s="24">
        <v>4</v>
      </c>
      <c r="M51" s="39">
        <f t="shared" ref="M51:S51" si="7">M30/SUM(M$28:M$44)</f>
        <v>3.875968992248062E-2</v>
      </c>
      <c r="N51" s="39">
        <f t="shared" si="7"/>
        <v>2.681992337164751E-2</v>
      </c>
      <c r="O51" s="39">
        <f t="shared" si="7"/>
        <v>3.875968992248062E-2</v>
      </c>
      <c r="P51" s="39">
        <f t="shared" si="7"/>
        <v>2.7559055118110236E-2</v>
      </c>
      <c r="Q51" s="39">
        <f t="shared" si="7"/>
        <v>0</v>
      </c>
      <c r="R51" s="39">
        <f t="shared" si="7"/>
        <v>0</v>
      </c>
      <c r="S51" s="39">
        <f t="shared" si="7"/>
        <v>0</v>
      </c>
    </row>
    <row r="52" spans="2:19">
      <c r="B52" s="24">
        <v>5</v>
      </c>
      <c r="C52" s="39">
        <f t="shared" ref="C52:I52" si="8">C31/SUM(C$28:C$44)</f>
        <v>3.875968992248062E-2</v>
      </c>
      <c r="D52" s="39">
        <f t="shared" si="8"/>
        <v>2.681992337164751E-2</v>
      </c>
      <c r="E52" s="39">
        <f t="shared" si="8"/>
        <v>3.875968992248062E-2</v>
      </c>
      <c r="F52" s="39">
        <f t="shared" si="8"/>
        <v>2.7559055118110236E-2</v>
      </c>
      <c r="G52" s="39">
        <f t="shared" si="8"/>
        <v>0</v>
      </c>
      <c r="H52" s="39">
        <f t="shared" si="8"/>
        <v>0</v>
      </c>
      <c r="I52" s="39">
        <f t="shared" si="8"/>
        <v>0</v>
      </c>
      <c r="L52" s="24">
        <v>5</v>
      </c>
      <c r="M52" s="39">
        <f t="shared" ref="M52:S52" si="9">M31/SUM(M$28:M$44)</f>
        <v>3.875968992248062E-2</v>
      </c>
      <c r="N52" s="39">
        <f t="shared" si="9"/>
        <v>2.681992337164751E-2</v>
      </c>
      <c r="O52" s="39">
        <f t="shared" si="9"/>
        <v>3.875968992248062E-2</v>
      </c>
      <c r="P52" s="39">
        <f t="shared" si="9"/>
        <v>2.7559055118110236E-2</v>
      </c>
      <c r="Q52" s="39">
        <f t="shared" si="9"/>
        <v>0</v>
      </c>
      <c r="R52" s="39">
        <f t="shared" si="9"/>
        <v>0</v>
      </c>
      <c r="S52" s="39">
        <f t="shared" si="9"/>
        <v>0</v>
      </c>
    </row>
    <row r="53" spans="2:19">
      <c r="B53" s="24">
        <v>8</v>
      </c>
      <c r="C53" s="39">
        <f t="shared" ref="C53:I53" si="10">C32/SUM(C$28:C$44)</f>
        <v>3.875968992248062E-2</v>
      </c>
      <c r="D53" s="39">
        <f t="shared" si="10"/>
        <v>2.681992337164751E-2</v>
      </c>
      <c r="E53" s="39">
        <f t="shared" si="10"/>
        <v>3.875968992248062E-2</v>
      </c>
      <c r="F53" s="39">
        <f t="shared" si="10"/>
        <v>2.7559055118110236E-2</v>
      </c>
      <c r="G53" s="39">
        <f t="shared" si="10"/>
        <v>0</v>
      </c>
      <c r="H53" s="39">
        <f t="shared" si="10"/>
        <v>0</v>
      </c>
      <c r="I53" s="39">
        <f t="shared" si="10"/>
        <v>0</v>
      </c>
      <c r="L53" s="24">
        <v>8</v>
      </c>
      <c r="M53" s="39">
        <f t="shared" ref="M53:S53" si="11">M32/SUM(M$28:M$44)</f>
        <v>3.875968992248062E-2</v>
      </c>
      <c r="N53" s="39">
        <f t="shared" si="11"/>
        <v>2.681992337164751E-2</v>
      </c>
      <c r="O53" s="39">
        <f t="shared" si="11"/>
        <v>3.875968992248062E-2</v>
      </c>
      <c r="P53" s="39">
        <f t="shared" si="11"/>
        <v>2.7559055118110236E-2</v>
      </c>
      <c r="Q53" s="39">
        <f t="shared" si="11"/>
        <v>0</v>
      </c>
      <c r="R53" s="39">
        <f t="shared" si="11"/>
        <v>0</v>
      </c>
      <c r="S53" s="39">
        <f t="shared" si="11"/>
        <v>0</v>
      </c>
    </row>
    <row r="54" spans="2:19">
      <c r="B54" s="26">
        <v>10</v>
      </c>
      <c r="C54" s="39">
        <f t="shared" ref="C54:I54" si="12">C33/SUM(C$28:C$44)</f>
        <v>6.9767441860465115E-2</v>
      </c>
      <c r="D54" s="39">
        <f t="shared" si="12"/>
        <v>4.5977011494252873E-2</v>
      </c>
      <c r="E54" s="39">
        <f t="shared" si="12"/>
        <v>6.9767441860465115E-2</v>
      </c>
      <c r="F54" s="39">
        <f t="shared" si="12"/>
        <v>4.7244094488188976E-2</v>
      </c>
      <c r="G54" s="39">
        <f t="shared" si="12"/>
        <v>6.8846815834767636E-2</v>
      </c>
      <c r="H54" s="39">
        <f t="shared" si="12"/>
        <v>0</v>
      </c>
      <c r="I54" s="39">
        <f t="shared" si="12"/>
        <v>0</v>
      </c>
      <c r="L54" s="26">
        <v>10</v>
      </c>
      <c r="M54" s="39">
        <f t="shared" ref="M54:S54" si="13">M33/SUM(M$28:M$44)</f>
        <v>6.9767441860465115E-2</v>
      </c>
      <c r="N54" s="39">
        <f t="shared" si="13"/>
        <v>4.5977011494252873E-2</v>
      </c>
      <c r="O54" s="39">
        <f t="shared" si="13"/>
        <v>6.9767441860465115E-2</v>
      </c>
      <c r="P54" s="39">
        <f t="shared" si="13"/>
        <v>4.7244094488188976E-2</v>
      </c>
      <c r="Q54" s="39">
        <f t="shared" si="13"/>
        <v>6.8846815834767636E-2</v>
      </c>
      <c r="R54" s="39">
        <f t="shared" si="13"/>
        <v>0</v>
      </c>
      <c r="S54" s="39">
        <f t="shared" si="13"/>
        <v>0</v>
      </c>
    </row>
    <row r="55" spans="2:19">
      <c r="B55" s="26">
        <v>12</v>
      </c>
      <c r="C55" s="39">
        <f t="shared" ref="C55:I55" si="14">C34/SUM(C$28:C$44)</f>
        <v>0</v>
      </c>
      <c r="D55" s="39">
        <f t="shared" si="14"/>
        <v>2.681992337164751E-2</v>
      </c>
      <c r="E55" s="39">
        <f t="shared" si="14"/>
        <v>0</v>
      </c>
      <c r="F55" s="39">
        <f t="shared" si="14"/>
        <v>2.7559055118110236E-2</v>
      </c>
      <c r="G55" s="39">
        <f t="shared" si="14"/>
        <v>4.0447504302925992E-2</v>
      </c>
      <c r="H55" s="39">
        <f t="shared" si="14"/>
        <v>0</v>
      </c>
      <c r="I55" s="39">
        <f t="shared" si="14"/>
        <v>0</v>
      </c>
      <c r="L55" s="26">
        <v>12</v>
      </c>
      <c r="M55" s="39">
        <f t="shared" ref="M55:S55" si="15">M34/SUM(M$28:M$44)</f>
        <v>0</v>
      </c>
      <c r="N55" s="39">
        <f t="shared" si="15"/>
        <v>2.681992337164751E-2</v>
      </c>
      <c r="O55" s="39">
        <f t="shared" si="15"/>
        <v>0</v>
      </c>
      <c r="P55" s="39">
        <f t="shared" si="15"/>
        <v>2.7559055118110236E-2</v>
      </c>
      <c r="Q55" s="39">
        <f t="shared" si="15"/>
        <v>4.0447504302925992E-2</v>
      </c>
      <c r="R55" s="39">
        <f t="shared" si="15"/>
        <v>0</v>
      </c>
      <c r="S55" s="39">
        <f t="shared" si="15"/>
        <v>0</v>
      </c>
    </row>
    <row r="56" spans="2:19">
      <c r="B56" s="26">
        <v>15</v>
      </c>
      <c r="C56" s="39">
        <f t="shared" ref="C56:I56" si="16">C35/SUM(C$28:C$44)</f>
        <v>0</v>
      </c>
      <c r="D56" s="39">
        <f t="shared" si="16"/>
        <v>2.681992337164751E-2</v>
      </c>
      <c r="E56" s="39">
        <f t="shared" si="16"/>
        <v>0</v>
      </c>
      <c r="F56" s="39">
        <f t="shared" si="16"/>
        <v>2.7559055118110236E-2</v>
      </c>
      <c r="G56" s="39">
        <f t="shared" si="16"/>
        <v>4.0447504302925992E-2</v>
      </c>
      <c r="H56" s="39">
        <f t="shared" si="16"/>
        <v>0</v>
      </c>
      <c r="I56" s="39">
        <f t="shared" si="16"/>
        <v>0</v>
      </c>
      <c r="L56" s="26">
        <v>15</v>
      </c>
      <c r="M56" s="39">
        <f t="shared" ref="M56:S56" si="17">M35/SUM(M$28:M$44)</f>
        <v>0</v>
      </c>
      <c r="N56" s="39">
        <f t="shared" si="17"/>
        <v>2.681992337164751E-2</v>
      </c>
      <c r="O56" s="39">
        <f t="shared" si="17"/>
        <v>0</v>
      </c>
      <c r="P56" s="39">
        <f t="shared" si="17"/>
        <v>2.7559055118110236E-2</v>
      </c>
      <c r="Q56" s="39">
        <f t="shared" si="17"/>
        <v>4.0447504302925992E-2</v>
      </c>
      <c r="R56" s="39">
        <f t="shared" si="17"/>
        <v>0</v>
      </c>
      <c r="S56" s="39">
        <f t="shared" si="17"/>
        <v>0</v>
      </c>
    </row>
    <row r="57" spans="2:19">
      <c r="B57" s="25">
        <v>20</v>
      </c>
      <c r="C57" s="39">
        <f t="shared" ref="C57:I57" si="18">C36/SUM(C$28:C$44)</f>
        <v>3.875968992248062E-2</v>
      </c>
      <c r="D57" s="39">
        <f t="shared" si="18"/>
        <v>2.681992337164751E-2</v>
      </c>
      <c r="E57" s="39">
        <f t="shared" si="18"/>
        <v>3.875968992248062E-2</v>
      </c>
      <c r="F57" s="39">
        <f t="shared" si="18"/>
        <v>2.7559055118110236E-2</v>
      </c>
      <c r="G57" s="39">
        <f t="shared" si="18"/>
        <v>4.0447504302925992E-2</v>
      </c>
      <c r="H57" s="39">
        <f t="shared" si="18"/>
        <v>0</v>
      </c>
      <c r="I57" s="39">
        <f t="shared" si="18"/>
        <v>0</v>
      </c>
      <c r="L57" s="25">
        <v>20</v>
      </c>
      <c r="M57" s="39">
        <f t="shared" ref="M57:S57" si="19">M36/SUM(M$28:M$44)</f>
        <v>3.875968992248062E-2</v>
      </c>
      <c r="N57" s="39">
        <f t="shared" si="19"/>
        <v>2.681992337164751E-2</v>
      </c>
      <c r="O57" s="39">
        <f t="shared" si="19"/>
        <v>3.875968992248062E-2</v>
      </c>
      <c r="P57" s="39">
        <f t="shared" si="19"/>
        <v>2.7559055118110236E-2</v>
      </c>
      <c r="Q57" s="39">
        <f t="shared" si="19"/>
        <v>4.0447504302925992E-2</v>
      </c>
      <c r="R57" s="39">
        <f t="shared" si="19"/>
        <v>0</v>
      </c>
      <c r="S57" s="39">
        <f t="shared" si="19"/>
        <v>0</v>
      </c>
    </row>
    <row r="58" spans="2:19">
      <c r="B58" s="25">
        <v>25</v>
      </c>
      <c r="C58" s="39">
        <f t="shared" ref="C58:I58" si="20">C37/SUM(C$28:C$44)</f>
        <v>0</v>
      </c>
      <c r="D58" s="39">
        <f t="shared" si="20"/>
        <v>0</v>
      </c>
      <c r="E58" s="39">
        <f t="shared" si="20"/>
        <v>0</v>
      </c>
      <c r="F58" s="39">
        <f t="shared" si="20"/>
        <v>0</v>
      </c>
      <c r="G58" s="39">
        <f t="shared" si="20"/>
        <v>4.0447504302925992E-2</v>
      </c>
      <c r="H58" s="39">
        <f t="shared" si="20"/>
        <v>0</v>
      </c>
      <c r="I58" s="39">
        <f t="shared" si="20"/>
        <v>0</v>
      </c>
      <c r="L58" s="25">
        <v>25</v>
      </c>
      <c r="M58" s="39">
        <f t="shared" ref="M58:S58" si="21">M37/SUM(M$28:M$44)</f>
        <v>0</v>
      </c>
      <c r="N58" s="39">
        <f t="shared" si="21"/>
        <v>0</v>
      </c>
      <c r="O58" s="39">
        <f t="shared" si="21"/>
        <v>0</v>
      </c>
      <c r="P58" s="39">
        <f t="shared" si="21"/>
        <v>0</v>
      </c>
      <c r="Q58" s="39">
        <f t="shared" si="21"/>
        <v>4.0447504302925992E-2</v>
      </c>
      <c r="R58" s="39">
        <f t="shared" si="21"/>
        <v>0</v>
      </c>
      <c r="S58" s="39">
        <f t="shared" si="21"/>
        <v>0</v>
      </c>
    </row>
    <row r="59" spans="2:19">
      <c r="B59" s="25">
        <v>50</v>
      </c>
      <c r="C59" s="39">
        <f t="shared" ref="C59:I59" si="22">C38/SUM(C$28:C$44)</f>
        <v>0</v>
      </c>
      <c r="D59" s="39">
        <f t="shared" si="22"/>
        <v>0</v>
      </c>
      <c r="E59" s="39">
        <f t="shared" si="22"/>
        <v>0</v>
      </c>
      <c r="F59" s="39">
        <f t="shared" si="22"/>
        <v>0</v>
      </c>
      <c r="G59" s="39">
        <f t="shared" si="22"/>
        <v>4.0447504302925992E-2</v>
      </c>
      <c r="H59" s="39">
        <f t="shared" si="22"/>
        <v>0</v>
      </c>
      <c r="I59" s="39">
        <f t="shared" si="22"/>
        <v>0</v>
      </c>
      <c r="L59" s="25">
        <v>50</v>
      </c>
      <c r="M59" s="39">
        <f t="shared" ref="M59:S59" si="23">M38/SUM(M$28:M$44)</f>
        <v>0</v>
      </c>
      <c r="N59" s="39">
        <f t="shared" si="23"/>
        <v>0</v>
      </c>
      <c r="O59" s="39">
        <f t="shared" si="23"/>
        <v>0</v>
      </c>
      <c r="P59" s="39">
        <f t="shared" si="23"/>
        <v>0</v>
      </c>
      <c r="Q59" s="39">
        <f t="shared" si="23"/>
        <v>4.0447504302925992E-2</v>
      </c>
      <c r="R59" s="39">
        <f t="shared" si="23"/>
        <v>0</v>
      </c>
      <c r="S59" s="39">
        <f t="shared" si="23"/>
        <v>0</v>
      </c>
    </row>
    <row r="60" spans="2:19">
      <c r="B60" s="23">
        <v>100</v>
      </c>
      <c r="C60" s="39">
        <f t="shared" ref="C60:I60" si="24">C39/SUM(C$28:C$44)</f>
        <v>0</v>
      </c>
      <c r="D60" s="39">
        <f t="shared" si="24"/>
        <v>2.681992337164751E-2</v>
      </c>
      <c r="E60" s="39">
        <f t="shared" si="24"/>
        <v>0</v>
      </c>
      <c r="F60" s="39">
        <f t="shared" si="24"/>
        <v>0</v>
      </c>
      <c r="G60" s="39">
        <f t="shared" si="24"/>
        <v>4.0447504302925992E-2</v>
      </c>
      <c r="H60" s="39">
        <f t="shared" si="24"/>
        <v>8.3333333333333329E-2</v>
      </c>
      <c r="I60" s="39">
        <f t="shared" si="24"/>
        <v>0</v>
      </c>
      <c r="L60" s="23">
        <v>100</v>
      </c>
      <c r="M60" s="39">
        <f t="shared" ref="M60:S60" si="25">M39/SUM(M$28:M$44)</f>
        <v>0</v>
      </c>
      <c r="N60" s="39">
        <f t="shared" si="25"/>
        <v>2.681992337164751E-2</v>
      </c>
      <c r="O60" s="39">
        <f t="shared" si="25"/>
        <v>0</v>
      </c>
      <c r="P60" s="39">
        <f t="shared" si="25"/>
        <v>0</v>
      </c>
      <c r="Q60" s="39">
        <f t="shared" si="25"/>
        <v>4.0447504302925992E-2</v>
      </c>
      <c r="R60" s="39">
        <f t="shared" si="25"/>
        <v>8.3333333333333329E-2</v>
      </c>
      <c r="S60" s="39">
        <f t="shared" si="25"/>
        <v>0</v>
      </c>
    </row>
    <row r="61" spans="2:19">
      <c r="B61" s="23">
        <v>150</v>
      </c>
      <c r="C61" s="39">
        <f t="shared" ref="C61:I61" si="26">C40/SUM(C$28:C$44)</f>
        <v>0</v>
      </c>
      <c r="D61" s="39">
        <f t="shared" si="26"/>
        <v>0</v>
      </c>
      <c r="E61" s="39">
        <f t="shared" si="26"/>
        <v>0</v>
      </c>
      <c r="F61" s="39">
        <f t="shared" si="26"/>
        <v>0</v>
      </c>
      <c r="G61" s="39">
        <f t="shared" si="26"/>
        <v>0</v>
      </c>
      <c r="H61" s="39">
        <f t="shared" si="26"/>
        <v>0.05</v>
      </c>
      <c r="I61" s="39">
        <f t="shared" si="26"/>
        <v>0</v>
      </c>
      <c r="L61" s="23">
        <v>150</v>
      </c>
      <c r="M61" s="39">
        <f t="shared" ref="M61:S61" si="27">M40/SUM(M$28:M$44)</f>
        <v>0</v>
      </c>
      <c r="N61" s="39">
        <f t="shared" si="27"/>
        <v>0</v>
      </c>
      <c r="O61" s="39">
        <f t="shared" si="27"/>
        <v>0</v>
      </c>
      <c r="P61" s="39">
        <f t="shared" si="27"/>
        <v>0</v>
      </c>
      <c r="Q61" s="39">
        <f t="shared" si="27"/>
        <v>0</v>
      </c>
      <c r="R61" s="39">
        <f t="shared" si="27"/>
        <v>0.05</v>
      </c>
      <c r="S61" s="39">
        <f t="shared" si="27"/>
        <v>0</v>
      </c>
    </row>
    <row r="62" spans="2:19">
      <c r="B62" s="23">
        <v>200</v>
      </c>
      <c r="C62" s="39">
        <f t="shared" ref="C62:I62" si="28">C41/SUM(C$28:C$44)</f>
        <v>0</v>
      </c>
      <c r="D62" s="39">
        <f t="shared" si="28"/>
        <v>0</v>
      </c>
      <c r="E62" s="39">
        <f t="shared" si="28"/>
        <v>0</v>
      </c>
      <c r="F62" s="39">
        <f t="shared" si="28"/>
        <v>0</v>
      </c>
      <c r="G62" s="39">
        <f t="shared" si="28"/>
        <v>0</v>
      </c>
      <c r="H62" s="39">
        <f t="shared" si="28"/>
        <v>0.05</v>
      </c>
      <c r="I62" s="39">
        <f t="shared" si="28"/>
        <v>0</v>
      </c>
      <c r="L62" s="23">
        <v>200</v>
      </c>
      <c r="M62" s="39">
        <f t="shared" ref="M62:S62" si="29">M41/SUM(M$28:M$44)</f>
        <v>0</v>
      </c>
      <c r="N62" s="39">
        <f t="shared" si="29"/>
        <v>0</v>
      </c>
      <c r="O62" s="39">
        <f t="shared" si="29"/>
        <v>0</v>
      </c>
      <c r="P62" s="39">
        <f t="shared" si="29"/>
        <v>0</v>
      </c>
      <c r="Q62" s="39">
        <f t="shared" si="29"/>
        <v>0</v>
      </c>
      <c r="R62" s="39">
        <f t="shared" si="29"/>
        <v>0.05</v>
      </c>
      <c r="S62" s="39">
        <f t="shared" si="29"/>
        <v>0</v>
      </c>
    </row>
    <row r="63" spans="2:19">
      <c r="B63" s="23">
        <v>250</v>
      </c>
      <c r="C63" s="39">
        <f t="shared" ref="C63:I63" si="30">C42/SUM(C$28:C$44)</f>
        <v>0</v>
      </c>
      <c r="D63" s="39">
        <f t="shared" si="30"/>
        <v>0</v>
      </c>
      <c r="E63" s="39">
        <f t="shared" si="30"/>
        <v>0</v>
      </c>
      <c r="F63" s="39">
        <f t="shared" si="30"/>
        <v>0</v>
      </c>
      <c r="G63" s="39">
        <f t="shared" si="30"/>
        <v>0</v>
      </c>
      <c r="H63" s="39">
        <f t="shared" si="30"/>
        <v>0.05</v>
      </c>
      <c r="I63" s="39">
        <f t="shared" si="30"/>
        <v>0</v>
      </c>
      <c r="L63" s="23">
        <v>250</v>
      </c>
      <c r="M63" s="39">
        <f t="shared" ref="M63:S63" si="31">M42/SUM(M$28:M$44)</f>
        <v>0</v>
      </c>
      <c r="N63" s="39">
        <f t="shared" si="31"/>
        <v>0</v>
      </c>
      <c r="O63" s="39">
        <f t="shared" si="31"/>
        <v>0</v>
      </c>
      <c r="P63" s="39">
        <f t="shared" si="31"/>
        <v>0</v>
      </c>
      <c r="Q63" s="39">
        <f t="shared" si="31"/>
        <v>0</v>
      </c>
      <c r="R63" s="39">
        <f t="shared" si="31"/>
        <v>0.05</v>
      </c>
      <c r="S63" s="39">
        <f t="shared" si="31"/>
        <v>0</v>
      </c>
    </row>
    <row r="64" spans="2:19">
      <c r="B64" s="23">
        <v>500</v>
      </c>
      <c r="C64" s="39">
        <f t="shared" ref="C64:I64" si="32">C43/SUM(C$28:C$44)</f>
        <v>0</v>
      </c>
      <c r="D64" s="39">
        <f t="shared" si="32"/>
        <v>0</v>
      </c>
      <c r="E64" s="39">
        <f t="shared" si="32"/>
        <v>0</v>
      </c>
      <c r="F64" s="39">
        <f t="shared" si="32"/>
        <v>0</v>
      </c>
      <c r="G64" s="39">
        <f t="shared" si="32"/>
        <v>0</v>
      </c>
      <c r="H64" s="39">
        <f t="shared" si="32"/>
        <v>0.05</v>
      </c>
      <c r="I64" s="39">
        <f t="shared" si="32"/>
        <v>0</v>
      </c>
      <c r="L64" s="23">
        <v>500</v>
      </c>
      <c r="M64" s="39">
        <f t="shared" ref="M64:S64" si="33">M43/SUM(M$28:M$44)</f>
        <v>0</v>
      </c>
      <c r="N64" s="39">
        <f t="shared" si="33"/>
        <v>0</v>
      </c>
      <c r="O64" s="39">
        <f t="shared" si="33"/>
        <v>0</v>
      </c>
      <c r="P64" s="39">
        <f t="shared" si="33"/>
        <v>0</v>
      </c>
      <c r="Q64" s="39">
        <f t="shared" si="33"/>
        <v>0</v>
      </c>
      <c r="R64" s="39">
        <f t="shared" si="33"/>
        <v>0.05</v>
      </c>
      <c r="S64" s="39">
        <f t="shared" si="33"/>
        <v>0</v>
      </c>
    </row>
    <row r="65" spans="2:23">
      <c r="B65" s="23">
        <v>1000</v>
      </c>
      <c r="C65" s="39">
        <f t="shared" ref="C65:I65" si="34">C44/SUM(C$28:C$44)</f>
        <v>0</v>
      </c>
      <c r="D65" s="39">
        <f t="shared" si="34"/>
        <v>0</v>
      </c>
      <c r="E65" s="39">
        <f t="shared" si="34"/>
        <v>0</v>
      </c>
      <c r="F65" s="39">
        <f t="shared" si="34"/>
        <v>0</v>
      </c>
      <c r="G65" s="39">
        <f t="shared" si="34"/>
        <v>0</v>
      </c>
      <c r="H65" s="39">
        <f t="shared" si="34"/>
        <v>0.05</v>
      </c>
      <c r="I65" s="39">
        <f t="shared" si="34"/>
        <v>0</v>
      </c>
      <c r="L65" s="23">
        <v>1000</v>
      </c>
      <c r="M65" s="39">
        <f t="shared" ref="M65:S65" si="35">M44/SUM(M$28:M$44)</f>
        <v>0</v>
      </c>
      <c r="N65" s="39">
        <f t="shared" si="35"/>
        <v>0</v>
      </c>
      <c r="O65" s="39">
        <f t="shared" si="35"/>
        <v>0</v>
      </c>
      <c r="P65" s="39">
        <f t="shared" si="35"/>
        <v>0</v>
      </c>
      <c r="Q65" s="39">
        <f t="shared" si="35"/>
        <v>0</v>
      </c>
      <c r="R65" s="39">
        <f t="shared" si="35"/>
        <v>0.05</v>
      </c>
      <c r="S65" s="39">
        <f t="shared" si="35"/>
        <v>0</v>
      </c>
    </row>
    <row r="66" spans="2:23" s="85" customFormat="1">
      <c r="B66" s="82"/>
      <c r="C66" s="83">
        <f>SUMPRODUCT($B$49:$B$65,C49:C65)</f>
        <v>4.0697674418604652</v>
      </c>
      <c r="D66" s="83">
        <f t="shared" ref="D66:I66" si="36">SUMPRODUCT($B$49:$B$65,D49:D65)</f>
        <v>6.7739463601532552</v>
      </c>
      <c r="E66" s="83">
        <f t="shared" si="36"/>
        <v>4.0697674418604652</v>
      </c>
      <c r="F66" s="83">
        <f t="shared" si="36"/>
        <v>4.2047244094488194</v>
      </c>
      <c r="G66" s="83">
        <f t="shared" si="36"/>
        <v>11.388984509466436</v>
      </c>
      <c r="H66" s="83">
        <f t="shared" si="36"/>
        <v>115</v>
      </c>
      <c r="I66" s="83">
        <f t="shared" si="36"/>
        <v>2</v>
      </c>
      <c r="J66" s="84"/>
      <c r="L66" s="82"/>
      <c r="M66" s="83">
        <f>SUMPRODUCT($B$49:$B$65,M49:M65)</f>
        <v>4.0697674418604652</v>
      </c>
      <c r="N66" s="83">
        <f t="shared" ref="N66:S66" si="37">SUMPRODUCT($B$49:$B$65,N49:N65)</f>
        <v>6.7739463601532552</v>
      </c>
      <c r="O66" s="83">
        <f t="shared" si="37"/>
        <v>4.0697674418604652</v>
      </c>
      <c r="P66" s="83">
        <f t="shared" si="37"/>
        <v>4.2047244094488194</v>
      </c>
      <c r="Q66" s="83">
        <f t="shared" si="37"/>
        <v>11.388984509466436</v>
      </c>
      <c r="R66" s="83">
        <f t="shared" si="37"/>
        <v>115</v>
      </c>
      <c r="S66" s="83">
        <f t="shared" si="37"/>
        <v>2</v>
      </c>
      <c r="T66" s="84"/>
    </row>
    <row r="67" spans="2:23">
      <c r="E67" s="5"/>
      <c r="L67" s="5"/>
      <c r="M67" s="5"/>
      <c r="N67" s="5"/>
    </row>
    <row r="68" spans="2:23" hidden="1">
      <c r="B68" s="46" t="s">
        <v>128</v>
      </c>
      <c r="D68" s="21"/>
      <c r="J68" s="21"/>
      <c r="L68" s="46" t="s">
        <v>129</v>
      </c>
      <c r="M68" s="5"/>
    </row>
    <row r="69" spans="2:23" hidden="1">
      <c r="B69" s="29"/>
      <c r="C69" s="29" t="s">
        <v>111</v>
      </c>
      <c r="D69" s="29" t="s">
        <v>112</v>
      </c>
      <c r="J69" s="21"/>
      <c r="L69" s="29"/>
      <c r="M69" s="29" t="s">
        <v>111</v>
      </c>
      <c r="N69" s="29" t="s">
        <v>112</v>
      </c>
    </row>
    <row r="70" spans="2:23" hidden="1">
      <c r="B70" s="90" t="s">
        <v>85</v>
      </c>
      <c r="C70" s="92" t="e">
        <f>C85/C84</f>
        <v>#DIV/0!</v>
      </c>
      <c r="D70" s="92" t="e" cm="1">
        <f t="array" ref="D70:D72">C70:C72*C74</f>
        <v>#DIV/0!</v>
      </c>
      <c r="J70" s="21"/>
      <c r="L70" s="90" t="s">
        <v>85</v>
      </c>
      <c r="M70" s="92">
        <f>M85/M84</f>
        <v>2.935459E-2</v>
      </c>
      <c r="N70" s="92" cm="1">
        <f t="array" ref="N70:N72">M70:M72*M74</f>
        <v>293545900</v>
      </c>
    </row>
    <row r="71" spans="2:23" hidden="1">
      <c r="B71" s="89" t="s">
        <v>87</v>
      </c>
      <c r="C71" s="92" t="e">
        <f>C96/C95</f>
        <v>#DIV/0!</v>
      </c>
      <c r="D71" s="92" t="e">
        <v>#DIV/0!</v>
      </c>
      <c r="J71" s="21"/>
      <c r="L71" s="89" t="s">
        <v>87</v>
      </c>
      <c r="M71" s="92">
        <f>M96/M95</f>
        <v>6.1027780952380954</v>
      </c>
      <c r="N71" s="92">
        <v>61027780952.380951</v>
      </c>
    </row>
    <row r="72" spans="2:23" hidden="1">
      <c r="B72" s="89" t="s">
        <v>88</v>
      </c>
      <c r="C72" s="92"/>
      <c r="D72" s="92">
        <v>0</v>
      </c>
      <c r="J72" s="21"/>
      <c r="L72" s="89" t="s">
        <v>88</v>
      </c>
      <c r="M72" s="92"/>
      <c r="N72" s="92">
        <v>0</v>
      </c>
    </row>
    <row r="73" spans="2:23" hidden="1">
      <c r="B73" s="21"/>
      <c r="C73" s="21"/>
      <c r="D73" s="21"/>
      <c r="J73" s="21"/>
    </row>
    <row r="74" spans="2:23" hidden="1">
      <c r="B74" s="89" t="s">
        <v>113</v>
      </c>
      <c r="C74" s="91">
        <v>10000000000</v>
      </c>
      <c r="L74" s="89" t="s">
        <v>113</v>
      </c>
      <c r="M74" s="91">
        <v>10000000000</v>
      </c>
      <c r="N74" s="5"/>
      <c r="P74" s="5"/>
      <c r="Q74" s="5"/>
      <c r="R74" s="5"/>
      <c r="S74" s="5"/>
      <c r="T74" s="5"/>
      <c r="U74" s="5"/>
      <c r="V74" s="5"/>
      <c r="W74" s="5"/>
    </row>
    <row r="75" spans="2:23" hidden="1">
      <c r="L75" s="5"/>
      <c r="M75" s="5"/>
      <c r="N75" s="5"/>
      <c r="P75" s="5"/>
      <c r="Q75" s="5"/>
      <c r="R75" s="5"/>
      <c r="S75" s="5"/>
      <c r="T75" s="5"/>
      <c r="U75" s="5"/>
      <c r="V75" s="5"/>
      <c r="W75" s="5"/>
    </row>
    <row r="76" spans="2:23" hidden="1">
      <c r="L76" s="5"/>
      <c r="M76" s="5"/>
      <c r="N76" s="5"/>
      <c r="P76" s="5"/>
      <c r="Q76" s="5"/>
      <c r="R76" s="5"/>
      <c r="S76" s="5"/>
      <c r="T76" s="5"/>
      <c r="U76" s="5"/>
      <c r="V76" s="5"/>
      <c r="W76" s="5"/>
    </row>
    <row r="77" spans="2:23" hidden="1">
      <c r="B77" s="9" t="s">
        <v>114</v>
      </c>
      <c r="C77" s="9"/>
      <c r="D77" s="9" t="s">
        <v>115</v>
      </c>
      <c r="E77" s="89"/>
      <c r="L77" s="9" t="s">
        <v>114</v>
      </c>
      <c r="M77" s="9">
        <v>565163</v>
      </c>
      <c r="N77" s="9" t="s">
        <v>115</v>
      </c>
      <c r="O77" s="89">
        <v>702150</v>
      </c>
      <c r="P77" s="5"/>
      <c r="Q77" s="5"/>
      <c r="R77" s="5"/>
      <c r="S77" s="5"/>
      <c r="T77" s="5"/>
      <c r="U77" s="5"/>
      <c r="V77" s="5"/>
      <c r="W77" s="5"/>
    </row>
    <row r="78" spans="2:23" hidden="1">
      <c r="B78" s="9" t="s">
        <v>116</v>
      </c>
      <c r="C78" s="9"/>
      <c r="D78" s="9" t="s">
        <v>117</v>
      </c>
      <c r="E78" s="89"/>
      <c r="L78" s="9" t="s">
        <v>116</v>
      </c>
      <c r="M78" s="9">
        <v>689631</v>
      </c>
      <c r="N78" s="9" t="s">
        <v>117</v>
      </c>
      <c r="O78" s="89">
        <v>345053</v>
      </c>
      <c r="P78" s="5"/>
      <c r="Q78" s="5"/>
      <c r="R78" s="5"/>
      <c r="S78" s="5"/>
      <c r="T78" s="5"/>
      <c r="U78" s="5"/>
      <c r="V78" s="5"/>
      <c r="W78" s="5"/>
    </row>
    <row r="79" spans="2:23" hidden="1">
      <c r="B79" s="9" t="s">
        <v>118</v>
      </c>
      <c r="C79" s="9"/>
      <c r="D79" s="9" t="s">
        <v>119</v>
      </c>
      <c r="E79" s="89"/>
      <c r="L79" s="9" t="s">
        <v>118</v>
      </c>
      <c r="M79" s="9">
        <v>495532</v>
      </c>
      <c r="N79" s="9" t="s">
        <v>119</v>
      </c>
      <c r="O79" s="89">
        <v>28992</v>
      </c>
      <c r="P79" s="5"/>
      <c r="Q79" s="5"/>
      <c r="R79" s="5"/>
      <c r="S79" s="5"/>
      <c r="T79" s="5"/>
      <c r="U79" s="5"/>
      <c r="V79" s="5"/>
      <c r="W79" s="5"/>
    </row>
    <row r="80" spans="2:23" hidden="1">
      <c r="B80" s="9" t="s">
        <v>120</v>
      </c>
      <c r="C80" s="9"/>
      <c r="D80" s="9" t="s">
        <v>121</v>
      </c>
      <c r="E80" s="89"/>
      <c r="J80" s="21"/>
      <c r="L80" s="9" t="s">
        <v>120</v>
      </c>
      <c r="M80" s="9">
        <v>95450</v>
      </c>
      <c r="N80" s="9" t="s">
        <v>121</v>
      </c>
      <c r="O80" s="89">
        <v>72</v>
      </c>
      <c r="R80" s="5"/>
      <c r="S80" s="5"/>
      <c r="T80" s="5"/>
      <c r="U80" s="5"/>
      <c r="V80" s="5"/>
      <c r="W80" s="5"/>
    </row>
    <row r="81" spans="2:23" hidden="1">
      <c r="B81" s="9" t="s">
        <v>122</v>
      </c>
      <c r="C81" s="9"/>
      <c r="D81" s="9" t="s">
        <v>123</v>
      </c>
      <c r="E81" s="89"/>
      <c r="J81" s="21"/>
      <c r="L81" s="9" t="s">
        <v>122</v>
      </c>
      <c r="M81" s="9">
        <v>12656</v>
      </c>
      <c r="N81" s="9" t="s">
        <v>123</v>
      </c>
      <c r="O81" s="89">
        <v>0</v>
      </c>
      <c r="R81" s="5"/>
      <c r="S81" s="5"/>
      <c r="T81" s="5"/>
      <c r="U81" s="5"/>
      <c r="V81" s="5"/>
      <c r="W81" s="5"/>
    </row>
    <row r="82" spans="2:23" hidden="1">
      <c r="B82" s="9" t="s">
        <v>124</v>
      </c>
      <c r="C82" s="9"/>
      <c r="D82" s="9" t="s">
        <v>125</v>
      </c>
      <c r="E82" s="89"/>
      <c r="J82" s="21"/>
      <c r="L82" s="9" t="s">
        <v>124</v>
      </c>
      <c r="M82" s="9">
        <v>760</v>
      </c>
      <c r="N82" s="9" t="s">
        <v>125</v>
      </c>
      <c r="O82" s="89">
        <v>0</v>
      </c>
      <c r="R82" s="5"/>
      <c r="S82" s="5"/>
      <c r="T82" s="5"/>
      <c r="U82" s="5"/>
      <c r="V82" s="5"/>
      <c r="W82" s="5"/>
    </row>
    <row r="83" spans="2:23" hidden="1">
      <c r="J83" s="21"/>
      <c r="L83" s="5"/>
      <c r="M83" s="5"/>
      <c r="N83" s="5"/>
      <c r="R83" s="5"/>
      <c r="S83" s="5"/>
      <c r="T83" s="5"/>
      <c r="U83" s="5"/>
      <c r="V83" s="5"/>
      <c r="W83" s="5"/>
    </row>
    <row r="84" spans="2:23" hidden="1">
      <c r="B84" s="46" t="s">
        <v>126</v>
      </c>
      <c r="J84" s="21"/>
      <c r="L84" s="46" t="s">
        <v>126</v>
      </c>
      <c r="M84" s="5">
        <v>100000000</v>
      </c>
      <c r="N84" s="5"/>
    </row>
    <row r="85" spans="2:23" hidden="1">
      <c r="B85" s="46" t="s">
        <v>127</v>
      </c>
      <c r="C85" s="5">
        <f>SUM(C77:C82,E77:E82)</f>
        <v>0</v>
      </c>
      <c r="J85" s="21"/>
      <c r="L85" s="46" t="s">
        <v>127</v>
      </c>
      <c r="M85" s="5">
        <f>SUM(M77:M82,O77:O82)</f>
        <v>2935459</v>
      </c>
      <c r="N85" s="5"/>
    </row>
    <row r="86" spans="2:23" hidden="1">
      <c r="J86" s="21"/>
      <c r="L86" s="5"/>
      <c r="M86" s="5"/>
      <c r="N86" s="5"/>
    </row>
    <row r="87" spans="2:23" hidden="1">
      <c r="J87" s="21"/>
      <c r="L87" s="5"/>
      <c r="M87" s="5"/>
      <c r="N87" s="5"/>
    </row>
    <row r="88" spans="2:23" hidden="1">
      <c r="B88" s="9" t="s">
        <v>114</v>
      </c>
      <c r="C88" s="9"/>
      <c r="D88" s="9" t="s">
        <v>115</v>
      </c>
      <c r="E88" s="89"/>
      <c r="J88" s="21"/>
      <c r="L88" s="9" t="s">
        <v>114</v>
      </c>
      <c r="M88" s="9">
        <v>0</v>
      </c>
      <c r="N88" s="9" t="s">
        <v>115</v>
      </c>
      <c r="O88" s="89">
        <v>7010203</v>
      </c>
    </row>
    <row r="89" spans="2:23" hidden="1">
      <c r="B89" s="9" t="s">
        <v>116</v>
      </c>
      <c r="C89" s="9"/>
      <c r="D89" s="9" t="s">
        <v>117</v>
      </c>
      <c r="E89" s="89"/>
      <c r="J89" s="21"/>
      <c r="L89" s="9" t="s">
        <v>116</v>
      </c>
      <c r="M89" s="9">
        <v>0</v>
      </c>
      <c r="N89" s="9" t="s">
        <v>117</v>
      </c>
      <c r="O89" s="89">
        <v>3430735</v>
      </c>
    </row>
    <row r="90" spans="2:23" hidden="1">
      <c r="B90" s="9" t="s">
        <v>118</v>
      </c>
      <c r="C90" s="9"/>
      <c r="D90" s="9" t="s">
        <v>119</v>
      </c>
      <c r="E90" s="89"/>
      <c r="J90" s="21"/>
      <c r="L90" s="9" t="s">
        <v>118</v>
      </c>
      <c r="M90" s="9">
        <v>0</v>
      </c>
      <c r="N90" s="9" t="s">
        <v>119</v>
      </c>
      <c r="O90" s="89">
        <v>274318</v>
      </c>
    </row>
    <row r="91" spans="2:23" hidden="1">
      <c r="B91" s="9" t="s">
        <v>120</v>
      </c>
      <c r="C91" s="9"/>
      <c r="D91" s="9" t="s">
        <v>121</v>
      </c>
      <c r="E91" s="89"/>
      <c r="J91" s="21"/>
      <c r="L91" s="9" t="s">
        <v>120</v>
      </c>
      <c r="M91" s="9">
        <v>2100000</v>
      </c>
      <c r="N91" s="9" t="s">
        <v>121</v>
      </c>
      <c r="O91" s="89">
        <v>578</v>
      </c>
    </row>
    <row r="92" spans="2:23" hidden="1">
      <c r="B92" s="9"/>
      <c r="C92" s="9"/>
      <c r="D92" s="9"/>
      <c r="E92" s="89"/>
      <c r="J92" s="21"/>
      <c r="L92" s="9"/>
      <c r="M92" s="9"/>
      <c r="N92" s="9"/>
      <c r="O92" s="89"/>
    </row>
    <row r="93" spans="2:23" hidden="1">
      <c r="B93" s="9"/>
      <c r="C93" s="9"/>
      <c r="D93" s="9"/>
      <c r="E93" s="89"/>
      <c r="J93" s="21"/>
      <c r="L93" s="9"/>
      <c r="M93" s="9"/>
      <c r="N93" s="9"/>
      <c r="O93" s="89"/>
    </row>
    <row r="94" spans="2:23" hidden="1">
      <c r="B94" s="21"/>
      <c r="C94" s="81"/>
      <c r="D94" s="81"/>
      <c r="J94" s="21"/>
      <c r="M94" s="81"/>
      <c r="N94" s="81"/>
    </row>
    <row r="95" spans="2:23" hidden="1">
      <c r="B95" s="46" t="s">
        <v>126</v>
      </c>
      <c r="D95" s="81"/>
      <c r="J95" s="21"/>
      <c r="L95" s="46" t="s">
        <v>126</v>
      </c>
      <c r="M95" s="5">
        <v>2100000</v>
      </c>
      <c r="N95" s="81"/>
    </row>
    <row r="96" spans="2:23" hidden="1">
      <c r="B96" s="46" t="s">
        <v>127</v>
      </c>
      <c r="C96" s="5">
        <f>SUM(C88:C93,E88:E93)</f>
        <v>0</v>
      </c>
      <c r="D96" s="18"/>
      <c r="J96" s="21"/>
      <c r="L96" s="46" t="s">
        <v>127</v>
      </c>
      <c r="M96" s="5">
        <f>SUM(M88:M93,O88:O93)</f>
        <v>12815834</v>
      </c>
      <c r="N96" s="18"/>
    </row>
    <row r="97" spans="2:15" hidden="1">
      <c r="C97" s="18"/>
      <c r="D97" s="18"/>
      <c r="E97" s="5"/>
      <c r="J97" s="21"/>
      <c r="L97" s="5"/>
      <c r="M97" s="18"/>
      <c r="N97" s="18"/>
      <c r="O97" s="5"/>
    </row>
    <row r="98" spans="2:15" hidden="1">
      <c r="B98" s="21"/>
      <c r="C98" s="18"/>
      <c r="D98" s="18"/>
      <c r="E98" s="5"/>
      <c r="J98" s="21"/>
      <c r="M98" s="18"/>
      <c r="N98" s="18"/>
      <c r="O98" s="5"/>
    </row>
    <row r="99" spans="2:15" hidden="1">
      <c r="B99" s="9"/>
      <c r="C99" s="9"/>
      <c r="D99" s="9"/>
      <c r="E99" s="89"/>
      <c r="J99" s="21"/>
      <c r="L99" s="9"/>
      <c r="M99" s="9"/>
      <c r="N99" s="9"/>
      <c r="O99" s="89"/>
    </row>
    <row r="100" spans="2:15" hidden="1">
      <c r="B100" s="9"/>
      <c r="C100" s="9"/>
      <c r="D100" s="9"/>
      <c r="E100" s="89"/>
      <c r="J100" s="21"/>
      <c r="L100" s="9"/>
      <c r="M100" s="9"/>
      <c r="N100" s="9"/>
      <c r="O100" s="89"/>
    </row>
    <row r="101" spans="2:15" hidden="1">
      <c r="B101" s="9"/>
      <c r="C101" s="9"/>
      <c r="D101" s="9"/>
      <c r="E101" s="89"/>
      <c r="J101" s="21"/>
      <c r="L101" s="9"/>
      <c r="M101" s="9"/>
      <c r="N101" s="9"/>
      <c r="O101" s="89"/>
    </row>
    <row r="102" spans="2:15" hidden="1">
      <c r="B102" s="9"/>
      <c r="C102" s="9"/>
      <c r="D102" s="9"/>
      <c r="E102" s="89"/>
      <c r="J102" s="21"/>
      <c r="L102" s="9"/>
      <c r="M102" s="9"/>
      <c r="N102" s="9"/>
      <c r="O102" s="89"/>
    </row>
    <row r="103" spans="2:15" hidden="1">
      <c r="B103" s="9"/>
      <c r="C103" s="9"/>
      <c r="D103" s="9"/>
      <c r="E103" s="89"/>
      <c r="J103" s="21"/>
      <c r="L103" s="9"/>
      <c r="M103" s="9"/>
      <c r="N103" s="9"/>
      <c r="O103" s="89"/>
    </row>
    <row r="104" spans="2:15" hidden="1">
      <c r="B104" s="9"/>
      <c r="C104" s="9"/>
      <c r="D104" s="9"/>
      <c r="E104" s="89"/>
      <c r="F104" s="5"/>
      <c r="L104" s="9"/>
      <c r="M104" s="9"/>
      <c r="N104" s="9"/>
      <c r="O104" s="89"/>
    </row>
    <row r="105" spans="2:15" hidden="1">
      <c r="B105" s="21"/>
      <c r="C105" s="81"/>
      <c r="D105" s="81"/>
      <c r="F105" s="5"/>
      <c r="M105" s="81"/>
      <c r="N105" s="81"/>
    </row>
    <row r="106" spans="2:15" hidden="1">
      <c r="B106" s="46" t="s">
        <v>126</v>
      </c>
      <c r="D106" s="81"/>
      <c r="F106" s="5"/>
      <c r="L106" s="46" t="s">
        <v>126</v>
      </c>
      <c r="M106" s="5"/>
      <c r="N106" s="81"/>
    </row>
    <row r="107" spans="2:15" hidden="1">
      <c r="B107" s="46" t="s">
        <v>127</v>
      </c>
      <c r="C107" s="5">
        <f>SUM(C99:C104,E99:E104)</f>
        <v>0</v>
      </c>
      <c r="D107" s="18"/>
      <c r="F107" s="5"/>
      <c r="L107" s="46" t="s">
        <v>127</v>
      </c>
      <c r="M107" s="5">
        <f>SUM(M99:M104,O99:O104)</f>
        <v>0</v>
      </c>
      <c r="N107" s="18"/>
    </row>
    <row r="108" spans="2:15" hidden="1">
      <c r="B108" s="21"/>
      <c r="E108" s="5"/>
      <c r="F108" s="5"/>
      <c r="L108" s="5"/>
      <c r="M108" s="5"/>
      <c r="N108" s="5"/>
    </row>
    <row r="109" spans="2:15">
      <c r="B109" s="21"/>
      <c r="E109" s="5"/>
      <c r="F109" s="5"/>
      <c r="L109" s="5"/>
      <c r="M109" s="5"/>
      <c r="N109" s="5"/>
    </row>
    <row r="110" spans="2:15" hidden="1">
      <c r="B110" s="21"/>
      <c r="E110" s="5"/>
      <c r="F110" s="5"/>
      <c r="L110" s="5"/>
      <c r="M110" s="5"/>
      <c r="N110" s="5"/>
    </row>
    <row r="111" spans="2:15"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2:15"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5:14"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spans="5:14">
      <c r="I114" s="5"/>
      <c r="J114" s="5"/>
      <c r="K114" s="5"/>
      <c r="L114" s="5"/>
      <c r="M114" s="5"/>
      <c r="N114" s="5"/>
    </row>
    <row r="115" spans="5:14">
      <c r="I115" s="5"/>
      <c r="J115" s="5"/>
      <c r="K115" s="5"/>
      <c r="L115" s="5"/>
      <c r="M115" s="5"/>
      <c r="N115" s="5"/>
    </row>
    <row r="116" spans="5:14">
      <c r="I116" s="5"/>
      <c r="J116" s="5"/>
      <c r="K116" s="5"/>
      <c r="L116" s="5"/>
      <c r="M116" s="5"/>
      <c r="N116" s="5"/>
    </row>
    <row r="117" spans="5:14">
      <c r="I117" s="5"/>
      <c r="J117" s="5"/>
      <c r="K117" s="5"/>
      <c r="L117" s="5"/>
      <c r="M117" s="5"/>
      <c r="N117" s="5"/>
    </row>
    <row r="118" spans="5:14">
      <c r="I118" s="5"/>
      <c r="J118" s="5"/>
      <c r="K118" s="5"/>
      <c r="L118" s="5"/>
      <c r="M118" s="5"/>
      <c r="N118" s="5"/>
    </row>
    <row r="119" spans="5:14">
      <c r="I119" s="5"/>
      <c r="J119" s="5"/>
      <c r="K119" s="5"/>
      <c r="L119" s="5"/>
      <c r="M119" s="5"/>
      <c r="N119" s="5"/>
    </row>
    <row r="120" spans="5:14">
      <c r="I120" s="5"/>
      <c r="J120" s="5"/>
      <c r="K120" s="5"/>
      <c r="L120" s="5"/>
      <c r="M120" s="5"/>
      <c r="N120" s="5"/>
    </row>
    <row r="121" spans="5:14">
      <c r="I121" s="5"/>
      <c r="J121" s="5"/>
      <c r="K121" s="5"/>
      <c r="L121" s="5"/>
      <c r="M121" s="5"/>
      <c r="N121" s="5"/>
    </row>
    <row r="122" spans="5:14">
      <c r="I122" s="5"/>
      <c r="J122" s="5"/>
      <c r="K122" s="5"/>
      <c r="L122" s="5"/>
      <c r="M122" s="5"/>
      <c r="N122" s="5"/>
    </row>
    <row r="123" spans="5:14">
      <c r="I123" s="5"/>
      <c r="J123" s="5"/>
      <c r="K123" s="5"/>
      <c r="L123" s="5"/>
      <c r="M123" s="5"/>
      <c r="N123" s="5"/>
    </row>
    <row r="124" spans="5:14">
      <c r="I124" s="5"/>
      <c r="J124" s="5"/>
      <c r="K124" s="5"/>
      <c r="L124" s="5"/>
      <c r="M124" s="5"/>
      <c r="N124" s="5"/>
    </row>
    <row r="125" spans="5:14">
      <c r="I125" s="5"/>
      <c r="J125" s="5"/>
      <c r="K125" s="5"/>
      <c r="L125" s="5"/>
      <c r="M125" s="5"/>
      <c r="N125" s="5"/>
    </row>
    <row r="126" spans="5:14">
      <c r="I126" s="5"/>
      <c r="J126" s="5"/>
      <c r="K126" s="5"/>
      <c r="L126" s="5"/>
      <c r="M126" s="5"/>
      <c r="N126" s="5"/>
    </row>
    <row r="127" spans="5:14">
      <c r="I127" s="5"/>
      <c r="J127" s="5"/>
      <c r="K127" s="5"/>
      <c r="L127" s="5"/>
      <c r="M127" s="5"/>
      <c r="N127" s="5"/>
    </row>
    <row r="128" spans="5:14">
      <c r="I128" s="5"/>
      <c r="J128" s="5"/>
      <c r="K128" s="5"/>
      <c r="L128" s="5"/>
      <c r="M128" s="5"/>
      <c r="N128" s="5"/>
    </row>
    <row r="129" spans="2:14">
      <c r="I129" s="5"/>
      <c r="J129" s="5"/>
      <c r="K129" s="5"/>
      <c r="L129" s="5"/>
      <c r="M129" s="5"/>
      <c r="N129" s="5"/>
    </row>
    <row r="130" spans="2:14">
      <c r="I130" s="5"/>
      <c r="J130" s="5"/>
      <c r="K130" s="5"/>
      <c r="L130" s="5"/>
      <c r="M130" s="5"/>
      <c r="N130" s="5"/>
    </row>
    <row r="131" spans="2:14">
      <c r="I131" s="5"/>
      <c r="J131" s="5"/>
      <c r="K131" s="5"/>
      <c r="L131" s="5"/>
      <c r="M131" s="5"/>
      <c r="N131" s="5"/>
    </row>
    <row r="132" spans="2:14">
      <c r="B132" s="21"/>
      <c r="L132" s="5"/>
      <c r="M132" s="5"/>
      <c r="N132" s="5"/>
    </row>
    <row r="133" spans="2:14">
      <c r="B133" s="21"/>
      <c r="L133" s="5"/>
      <c r="M133" s="5"/>
      <c r="N133" s="5"/>
    </row>
    <row r="134" spans="2:14">
      <c r="B134" s="21"/>
      <c r="L134" s="5"/>
      <c r="M134" s="5"/>
      <c r="N134" s="5"/>
    </row>
    <row r="135" spans="2:14">
      <c r="B135" s="21"/>
      <c r="L135" s="5"/>
      <c r="M135" s="5"/>
      <c r="N135" s="5"/>
    </row>
    <row r="136" spans="2:14">
      <c r="B136" s="21"/>
      <c r="L136" s="5"/>
      <c r="M136" s="5"/>
      <c r="N136" s="5"/>
    </row>
    <row r="137" spans="2:14">
      <c r="B137" s="21"/>
      <c r="L137" s="5"/>
      <c r="M137" s="5"/>
      <c r="N137" s="5"/>
    </row>
    <row r="138" spans="2:14">
      <c r="B138" s="21"/>
      <c r="L138" s="5"/>
      <c r="M138" s="5"/>
      <c r="N138" s="5"/>
    </row>
    <row r="139" spans="2:14">
      <c r="B139" s="21"/>
      <c r="L139" s="5"/>
      <c r="M139" s="5"/>
      <c r="N139" s="5"/>
    </row>
    <row r="140" spans="2:14">
      <c r="B140" s="21"/>
      <c r="L140" s="5"/>
      <c r="M140" s="5"/>
      <c r="N140" s="5"/>
    </row>
    <row r="141" spans="2:14">
      <c r="B141" s="21"/>
      <c r="L141" s="5"/>
      <c r="M141" s="5"/>
      <c r="N141" s="5"/>
    </row>
    <row r="142" spans="2:14">
      <c r="B142" s="21"/>
      <c r="L142" s="5"/>
      <c r="M142" s="5"/>
      <c r="N142" s="5"/>
    </row>
    <row r="143" spans="2:14">
      <c r="B143" s="21"/>
      <c r="C143" s="21"/>
      <c r="D143" s="21"/>
      <c r="E143" s="5"/>
      <c r="F143" s="5"/>
      <c r="L143" s="5"/>
      <c r="M143" s="5"/>
      <c r="N143" s="5"/>
    </row>
    <row r="144" spans="2:14">
      <c r="B144" s="21"/>
      <c r="C144" s="21"/>
      <c r="D144" s="21"/>
      <c r="E144" s="5"/>
      <c r="F144" s="5"/>
      <c r="L144" s="5"/>
      <c r="M144" s="5"/>
      <c r="N144" s="5"/>
    </row>
    <row r="145" spans="2:14">
      <c r="B145" s="21"/>
      <c r="C145" s="21"/>
      <c r="D145" s="21"/>
      <c r="E145" s="5"/>
      <c r="F145" s="5"/>
      <c r="L145" s="5"/>
      <c r="M145" s="5"/>
      <c r="N145" s="5"/>
    </row>
    <row r="146" spans="2:14">
      <c r="B146" s="21"/>
      <c r="C146" s="21"/>
      <c r="D146" s="21"/>
      <c r="E146" s="5"/>
      <c r="F146" s="5"/>
      <c r="L146" s="5"/>
      <c r="M146" s="5"/>
      <c r="N146" s="5"/>
    </row>
    <row r="147" spans="2:14">
      <c r="B147" s="21"/>
      <c r="C147" s="21"/>
      <c r="D147" s="21"/>
      <c r="E147" s="5"/>
      <c r="F147" s="5"/>
      <c r="L147" s="5"/>
      <c r="M147" s="5"/>
      <c r="N147" s="5"/>
    </row>
    <row r="148" spans="2:14">
      <c r="B148" s="21"/>
      <c r="C148" s="21"/>
      <c r="D148" s="21"/>
      <c r="E148" s="5"/>
      <c r="F148" s="5"/>
      <c r="L148" s="5"/>
      <c r="M148" s="5"/>
      <c r="N148" s="5"/>
    </row>
    <row r="149" spans="2:14">
      <c r="B149" s="21"/>
      <c r="C149" s="21"/>
      <c r="D149" s="21"/>
      <c r="E149" s="5"/>
      <c r="F149" s="5"/>
      <c r="L149" s="5"/>
      <c r="M149" s="5"/>
      <c r="N149" s="5"/>
    </row>
    <row r="150" spans="2:14">
      <c r="B150" s="21"/>
      <c r="C150" s="21"/>
      <c r="D150" s="21"/>
      <c r="E150" s="5"/>
      <c r="F150" s="5"/>
      <c r="L150" s="5"/>
      <c r="M150" s="5"/>
      <c r="N150" s="5"/>
    </row>
    <row r="151" spans="2:14">
      <c r="B151" s="21"/>
      <c r="C151" s="21"/>
      <c r="D151" s="21"/>
      <c r="E151" s="5"/>
      <c r="F151" s="5"/>
      <c r="L151" s="5"/>
      <c r="M151" s="5"/>
      <c r="N151" s="5"/>
    </row>
    <row r="152" spans="2:14">
      <c r="B152" s="21"/>
      <c r="C152" s="21"/>
      <c r="D152" s="21"/>
      <c r="E152" s="5"/>
      <c r="F152" s="5"/>
      <c r="L152" s="5"/>
      <c r="M152" s="5"/>
      <c r="N152" s="5"/>
    </row>
    <row r="153" spans="2:14">
      <c r="B153" s="21"/>
      <c r="C153" s="21"/>
      <c r="D153" s="21"/>
      <c r="E153" s="5"/>
      <c r="F153" s="5"/>
      <c r="L153" s="5"/>
      <c r="M153" s="5"/>
      <c r="N153" s="5"/>
    </row>
    <row r="154" spans="2:14">
      <c r="B154" s="21"/>
      <c r="C154" s="21"/>
      <c r="D154" s="21"/>
      <c r="E154" s="5"/>
      <c r="F154" s="5"/>
      <c r="L154" s="5"/>
      <c r="M154" s="5"/>
      <c r="N154" s="5"/>
    </row>
    <row r="155" spans="2:14">
      <c r="B155" s="21"/>
      <c r="C155" s="21"/>
      <c r="D155" s="21"/>
      <c r="E155" s="5"/>
      <c r="F155" s="5"/>
      <c r="L155" s="5"/>
      <c r="M155" s="5"/>
      <c r="N155" s="5"/>
    </row>
    <row r="156" spans="2:14">
      <c r="B156" s="21"/>
      <c r="C156" s="21"/>
      <c r="D156" s="21"/>
      <c r="E156" s="5"/>
      <c r="F156" s="5"/>
      <c r="L156" s="5"/>
      <c r="M156" s="5"/>
      <c r="N156" s="5"/>
    </row>
    <row r="157" spans="2:14">
      <c r="B157" s="21"/>
      <c r="C157" s="21"/>
      <c r="D157" s="21"/>
      <c r="L157" s="5"/>
      <c r="M157" s="5"/>
      <c r="N157" s="5"/>
    </row>
    <row r="158" spans="2:14">
      <c r="B158" s="21"/>
      <c r="C158" s="21"/>
      <c r="D158" s="21"/>
      <c r="L158" s="5"/>
      <c r="M158" s="5"/>
      <c r="N158" s="5"/>
    </row>
    <row r="159" spans="2:14">
      <c r="B159" s="21"/>
      <c r="C159" s="21"/>
      <c r="D159" s="21"/>
      <c r="L159" s="5"/>
      <c r="M159" s="5"/>
      <c r="N159" s="5"/>
    </row>
    <row r="160" spans="2:14">
      <c r="B160" s="21"/>
      <c r="C160" s="21"/>
      <c r="D160" s="21"/>
      <c r="L160" s="5"/>
      <c r="M160" s="5"/>
      <c r="N160" s="5"/>
    </row>
    <row r="161" spans="2:14">
      <c r="B161" s="21"/>
      <c r="C161" s="21"/>
      <c r="D161" s="21"/>
      <c r="L161" s="5"/>
      <c r="M161" s="5"/>
      <c r="N161" s="5"/>
    </row>
    <row r="162" spans="2:14">
      <c r="B162" s="21"/>
      <c r="C162" s="21"/>
      <c r="D162" s="21"/>
      <c r="L162" s="5"/>
      <c r="M162" s="5"/>
      <c r="N162" s="5"/>
    </row>
    <row r="163" spans="2:14">
      <c r="B163" s="21"/>
      <c r="C163" s="21"/>
      <c r="D163" s="21"/>
      <c r="J163" s="21"/>
      <c r="L163" s="5"/>
      <c r="M163" s="5"/>
      <c r="N163" s="5"/>
    </row>
    <row r="164" spans="2:14">
      <c r="B164" s="21"/>
      <c r="C164" s="21"/>
      <c r="D164" s="21"/>
      <c r="J164" s="21"/>
      <c r="L164" s="5"/>
      <c r="M164" s="5"/>
      <c r="N164" s="5"/>
    </row>
    <row r="165" spans="2:14">
      <c r="B165" s="21"/>
      <c r="C165" s="21"/>
      <c r="D165" s="21"/>
      <c r="J165" s="21"/>
      <c r="L165" s="5"/>
      <c r="M165" s="5"/>
      <c r="N165" s="5"/>
    </row>
    <row r="166" spans="2:14">
      <c r="B166" s="21"/>
      <c r="C166" s="21"/>
      <c r="D166" s="21"/>
      <c r="J166" s="21"/>
      <c r="L166" s="5"/>
      <c r="M166" s="5"/>
      <c r="N166" s="5"/>
    </row>
    <row r="167" spans="2:14">
      <c r="B167" s="21"/>
      <c r="C167" s="21"/>
      <c r="D167" s="21"/>
      <c r="J167" s="21"/>
      <c r="L167" s="5"/>
      <c r="M167" s="5"/>
      <c r="N167" s="5"/>
    </row>
    <row r="168" spans="2:14">
      <c r="B168" s="21"/>
      <c r="C168" s="21"/>
      <c r="D168" s="21"/>
      <c r="J168" s="21"/>
      <c r="L168" s="5"/>
      <c r="M168" s="5"/>
      <c r="N168" s="5"/>
    </row>
    <row r="169" spans="2:14">
      <c r="B169" s="21"/>
      <c r="C169" s="21"/>
      <c r="D169" s="21"/>
      <c r="J169" s="21"/>
      <c r="L169" s="5"/>
      <c r="M169" s="5"/>
      <c r="N169" s="5"/>
    </row>
    <row r="170" spans="2:14">
      <c r="B170" s="21"/>
      <c r="C170" s="21"/>
      <c r="D170" s="21"/>
      <c r="J170" s="21"/>
      <c r="L170" s="5"/>
      <c r="M170" s="5"/>
      <c r="N170" s="5"/>
    </row>
    <row r="171" spans="2:14">
      <c r="B171" s="21"/>
      <c r="C171" s="21"/>
      <c r="D171" s="21"/>
      <c r="J171" s="21"/>
      <c r="L171" s="5"/>
      <c r="M171" s="5"/>
      <c r="N171" s="5"/>
    </row>
    <row r="172" spans="2:14">
      <c r="B172" s="21"/>
      <c r="C172" s="21"/>
      <c r="D172" s="21"/>
      <c r="J172" s="21"/>
      <c r="L172" s="5"/>
      <c r="M172" s="5"/>
      <c r="N172" s="5"/>
    </row>
    <row r="173" spans="2:14">
      <c r="B173" s="21"/>
      <c r="C173" s="21"/>
      <c r="D173" s="21"/>
      <c r="J173" s="21"/>
      <c r="L173" s="5"/>
      <c r="M173" s="5"/>
      <c r="N173" s="5"/>
    </row>
    <row r="174" spans="2:14">
      <c r="B174" s="21"/>
      <c r="C174" s="21"/>
      <c r="D174" s="21"/>
      <c r="J174" s="21"/>
      <c r="L174" s="5"/>
      <c r="M174" s="5"/>
      <c r="N174" s="5"/>
    </row>
    <row r="175" spans="2:14">
      <c r="B175" s="21"/>
      <c r="C175" s="21"/>
      <c r="D175" s="21"/>
      <c r="J175" s="21"/>
      <c r="L175" s="5"/>
      <c r="M175" s="5"/>
      <c r="N175" s="5"/>
    </row>
    <row r="176" spans="2:14">
      <c r="B176" s="21"/>
      <c r="C176" s="21"/>
      <c r="D176" s="21"/>
      <c r="J176" s="21"/>
      <c r="L176" s="5"/>
      <c r="M176" s="5"/>
      <c r="N176" s="5"/>
    </row>
    <row r="177" spans="2:14">
      <c r="B177" s="21"/>
      <c r="C177" s="21"/>
      <c r="D177" s="21"/>
      <c r="J177" s="21"/>
      <c r="L177" s="5"/>
      <c r="M177" s="5"/>
      <c r="N177" s="5"/>
    </row>
    <row r="178" spans="2:14">
      <c r="B178" s="21"/>
      <c r="C178" s="21"/>
      <c r="D178" s="21"/>
      <c r="J178" s="21"/>
      <c r="L178" s="5"/>
      <c r="M178" s="5"/>
      <c r="N178" s="5"/>
    </row>
    <row r="179" spans="2:14">
      <c r="B179" s="21"/>
      <c r="C179" s="21"/>
      <c r="D179" s="21"/>
      <c r="J179" s="21"/>
      <c r="L179" s="5"/>
      <c r="M179" s="5"/>
      <c r="N179" s="5"/>
    </row>
    <row r="180" spans="2:14">
      <c r="B180" s="21"/>
      <c r="C180" s="21"/>
      <c r="D180" s="21"/>
      <c r="J180" s="21"/>
      <c r="L180" s="5"/>
      <c r="M180" s="5"/>
      <c r="N180" s="5"/>
    </row>
    <row r="181" spans="2:14">
      <c r="B181" s="21"/>
      <c r="C181" s="21"/>
      <c r="D181" s="21"/>
      <c r="J181" s="21"/>
      <c r="L181" s="5"/>
      <c r="M181" s="5"/>
      <c r="N181" s="5"/>
    </row>
    <row r="182" spans="2:14">
      <c r="B182" s="21"/>
      <c r="C182" s="21"/>
      <c r="D182" s="21"/>
      <c r="J182" s="21"/>
      <c r="L182" s="5"/>
      <c r="M182" s="5"/>
      <c r="N182" s="5"/>
    </row>
    <row r="183" spans="2:14">
      <c r="B183" s="21"/>
      <c r="C183" s="21"/>
      <c r="D183" s="21"/>
      <c r="J183" s="21"/>
      <c r="L183" s="5"/>
      <c r="M183" s="5"/>
      <c r="N183" s="5"/>
    </row>
    <row r="184" spans="2:14">
      <c r="B184" s="21"/>
      <c r="C184" s="21"/>
      <c r="D184" s="21"/>
      <c r="J184" s="21"/>
      <c r="L184" s="5"/>
      <c r="M184" s="5"/>
      <c r="N184" s="5"/>
    </row>
  </sheetData>
  <mergeCells count="2">
    <mergeCell ref="B2:I2"/>
    <mergeCell ref="L2:S2"/>
  </mergeCells>
  <phoneticPr fontId="20" type="noConversion"/>
  <conditionalFormatting sqref="C49:I6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{80FCCBEB-383D-4C9C-B920-CD6CBB6898A3}</x14:id>
        </ext>
      </extLst>
    </cfRule>
  </conditionalFormatting>
  <conditionalFormatting sqref="M49:S6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{19A1D6EF-C5CF-4ACA-8F85-C345D78040CD}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FCCBEB-383D-4C9C-B920-CD6CBB68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C49:I65</xm:sqref>
        </x14:conditionalFormatting>
        <x14:conditionalFormatting xmlns:xm="http://schemas.microsoft.com/office/excel/2006/main">
          <x14:cfRule type="dataBar" id="{19A1D6EF-C5CF-4ACA-8F85-C345D78040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M49:S65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22F1-44F0-4C1D-A4D5-32FF52CF1D4C}">
  <dimension ref="A2:K68"/>
  <sheetViews>
    <sheetView workbookViewId="0">
      <selection activeCell="C4" sqref="C4:K68"/>
    </sheetView>
  </sheetViews>
  <sheetFormatPr defaultRowHeight="16.2"/>
  <cols>
    <col min="1" max="1" width="8.88671875" style="34"/>
    <col min="2" max="2" width="27.109375" style="21" bestFit="1" customWidth="1"/>
    <col min="3" max="11" width="19.44140625" style="21" bestFit="1" customWidth="1"/>
  </cols>
  <sheetData>
    <row r="2" spans="2:11">
      <c r="C2" s="21" t="s">
        <v>130</v>
      </c>
      <c r="D2" s="21" t="s">
        <v>130</v>
      </c>
      <c r="E2" s="21" t="s">
        <v>130</v>
      </c>
      <c r="F2" s="21" t="s">
        <v>130</v>
      </c>
      <c r="G2" s="21" t="s">
        <v>131</v>
      </c>
      <c r="H2" s="21" t="s">
        <v>131</v>
      </c>
      <c r="I2" s="21" t="s">
        <v>131</v>
      </c>
      <c r="J2" s="21" t="s">
        <v>131</v>
      </c>
    </row>
    <row r="3" spans="2:11">
      <c r="B3" s="29" t="s">
        <v>132</v>
      </c>
      <c r="C3" s="29" t="s">
        <v>133</v>
      </c>
      <c r="D3" s="29" t="s">
        <v>134</v>
      </c>
      <c r="E3" s="29" t="s">
        <v>204</v>
      </c>
      <c r="F3" s="29" t="s">
        <v>205</v>
      </c>
      <c r="G3" s="29" t="s">
        <v>133</v>
      </c>
      <c r="H3" s="29" t="s">
        <v>134</v>
      </c>
      <c r="I3" s="29" t="s">
        <v>204</v>
      </c>
      <c r="J3" s="29" t="s">
        <v>205</v>
      </c>
      <c r="K3" s="29" t="s">
        <v>135</v>
      </c>
    </row>
    <row r="4" spans="2:11">
      <c r="B4" s="87" t="s">
        <v>136</v>
      </c>
      <c r="C4" s="92">
        <v>712029383</v>
      </c>
      <c r="D4" s="92">
        <v>0</v>
      </c>
      <c r="E4" s="92">
        <v>712513756</v>
      </c>
      <c r="F4" s="92">
        <v>0</v>
      </c>
      <c r="G4" s="101">
        <v>717064058</v>
      </c>
      <c r="H4" s="101">
        <v>0</v>
      </c>
      <c r="I4" s="101">
        <v>713993007</v>
      </c>
      <c r="J4" s="101">
        <v>0</v>
      </c>
      <c r="K4" s="101">
        <v>0</v>
      </c>
    </row>
    <row r="5" spans="2:11">
      <c r="B5" s="87" t="s">
        <v>137</v>
      </c>
      <c r="C5" s="92">
        <v>159497132</v>
      </c>
      <c r="D5" s="92">
        <v>0</v>
      </c>
      <c r="E5" s="92">
        <v>157960215</v>
      </c>
      <c r="F5" s="92">
        <v>0</v>
      </c>
      <c r="G5" s="101">
        <v>160624918</v>
      </c>
      <c r="H5" s="101">
        <v>0</v>
      </c>
      <c r="I5" s="101">
        <v>158288156</v>
      </c>
      <c r="J5" s="101">
        <v>0</v>
      </c>
      <c r="K5" s="101">
        <v>0</v>
      </c>
    </row>
    <row r="6" spans="2:11">
      <c r="B6" s="87" t="s">
        <v>138</v>
      </c>
      <c r="C6" s="92">
        <v>45104420</v>
      </c>
      <c r="D6" s="92">
        <v>0</v>
      </c>
      <c r="E6" s="92">
        <v>44328802</v>
      </c>
      <c r="F6" s="92">
        <v>0</v>
      </c>
      <c r="G6" s="101">
        <v>45423348</v>
      </c>
      <c r="H6" s="101">
        <v>0</v>
      </c>
      <c r="I6" s="101">
        <v>44420834</v>
      </c>
      <c r="J6" s="101">
        <v>0</v>
      </c>
      <c r="K6" s="101">
        <v>0</v>
      </c>
    </row>
    <row r="7" spans="2:11">
      <c r="B7" s="87" t="s">
        <v>139</v>
      </c>
      <c r="C7" s="92">
        <v>21385436</v>
      </c>
      <c r="D7" s="92">
        <v>0</v>
      </c>
      <c r="E7" s="92">
        <v>21020122</v>
      </c>
      <c r="F7" s="92">
        <v>0</v>
      </c>
      <c r="G7" s="101">
        <v>21536650</v>
      </c>
      <c r="H7" s="101">
        <v>0</v>
      </c>
      <c r="I7" s="101">
        <v>21063762</v>
      </c>
      <c r="J7" s="101">
        <v>0</v>
      </c>
      <c r="K7" s="101">
        <v>0</v>
      </c>
    </row>
    <row r="8" spans="2:11">
      <c r="B8" s="87" t="s">
        <v>140</v>
      </c>
      <c r="C8" s="92">
        <v>11515364</v>
      </c>
      <c r="D8" s="92">
        <v>0</v>
      </c>
      <c r="E8" s="92">
        <v>8553301</v>
      </c>
      <c r="F8" s="92">
        <v>0</v>
      </c>
      <c r="G8" s="101">
        <v>11596788</v>
      </c>
      <c r="H8" s="101">
        <v>0</v>
      </c>
      <c r="I8" s="101">
        <v>8571059</v>
      </c>
      <c r="J8" s="101">
        <v>0</v>
      </c>
      <c r="K8" s="101">
        <v>0</v>
      </c>
    </row>
    <row r="9" spans="2:11">
      <c r="B9" s="87" t="s">
        <v>141</v>
      </c>
      <c r="C9" s="92">
        <v>9070768</v>
      </c>
      <c r="D9" s="92">
        <v>0</v>
      </c>
      <c r="E9" s="92">
        <v>6709795</v>
      </c>
      <c r="F9" s="92">
        <v>0</v>
      </c>
      <c r="G9" s="101">
        <v>9134906</v>
      </c>
      <c r="H9" s="101">
        <v>0</v>
      </c>
      <c r="I9" s="101">
        <v>6723725</v>
      </c>
      <c r="J9" s="101">
        <v>0</v>
      </c>
      <c r="K9" s="101">
        <v>0</v>
      </c>
    </row>
    <row r="10" spans="2:11">
      <c r="B10" s="87" t="s">
        <v>142</v>
      </c>
      <c r="C10" s="92">
        <v>7911946</v>
      </c>
      <c r="D10" s="92">
        <v>0</v>
      </c>
      <c r="E10" s="92">
        <v>5619479</v>
      </c>
      <c r="F10" s="92">
        <v>0</v>
      </c>
      <c r="G10" s="101">
        <v>7190264</v>
      </c>
      <c r="H10" s="101">
        <v>0</v>
      </c>
      <c r="I10" s="101">
        <v>4998284</v>
      </c>
      <c r="J10" s="101">
        <v>0</v>
      </c>
      <c r="K10" s="101">
        <v>0</v>
      </c>
    </row>
    <row r="11" spans="2:11">
      <c r="B11" s="87" t="s">
        <v>143</v>
      </c>
      <c r="C11" s="92">
        <v>4828116</v>
      </c>
      <c r="D11" s="92">
        <v>0</v>
      </c>
      <c r="E11" s="92">
        <v>3431600</v>
      </c>
      <c r="F11" s="92">
        <v>0</v>
      </c>
      <c r="G11" s="101">
        <v>3320505</v>
      </c>
      <c r="H11" s="101">
        <v>0</v>
      </c>
      <c r="I11" s="101">
        <v>3058524</v>
      </c>
      <c r="J11" s="101">
        <v>0</v>
      </c>
      <c r="K11" s="101">
        <v>0</v>
      </c>
    </row>
    <row r="12" spans="2:11">
      <c r="B12" s="87" t="s">
        <v>144</v>
      </c>
      <c r="C12" s="92">
        <v>4076918</v>
      </c>
      <c r="D12" s="92">
        <v>0</v>
      </c>
      <c r="E12" s="92">
        <v>2903161</v>
      </c>
      <c r="F12" s="92">
        <v>0</v>
      </c>
      <c r="G12" s="101">
        <v>2829517</v>
      </c>
      <c r="H12" s="101">
        <v>0</v>
      </c>
      <c r="I12" s="101">
        <v>2601703</v>
      </c>
      <c r="J12" s="101">
        <v>0</v>
      </c>
      <c r="K12" s="101">
        <v>0</v>
      </c>
    </row>
    <row r="13" spans="2:11">
      <c r="B13" s="87" t="s">
        <v>145</v>
      </c>
      <c r="C13" s="92">
        <v>3697551</v>
      </c>
      <c r="D13" s="92">
        <v>0</v>
      </c>
      <c r="E13" s="92">
        <v>2627865</v>
      </c>
      <c r="F13" s="92">
        <v>0</v>
      </c>
      <c r="G13" s="101">
        <v>2562449</v>
      </c>
      <c r="H13" s="101">
        <v>0</v>
      </c>
      <c r="I13" s="101">
        <v>2341697</v>
      </c>
      <c r="J13" s="101">
        <v>0</v>
      </c>
      <c r="K13" s="101">
        <v>0</v>
      </c>
    </row>
    <row r="14" spans="2:11">
      <c r="B14" s="87" t="s">
        <v>146</v>
      </c>
      <c r="C14" s="92">
        <v>3289085</v>
      </c>
      <c r="D14" s="92">
        <v>0</v>
      </c>
      <c r="E14" s="92">
        <v>2338406</v>
      </c>
      <c r="F14" s="92">
        <v>0</v>
      </c>
      <c r="G14" s="101">
        <v>2284096</v>
      </c>
      <c r="H14" s="101">
        <v>0</v>
      </c>
      <c r="I14" s="101">
        <v>2103462</v>
      </c>
      <c r="J14" s="101">
        <v>0</v>
      </c>
      <c r="K14" s="101">
        <v>0</v>
      </c>
    </row>
    <row r="15" spans="2:11">
      <c r="B15" s="87" t="s">
        <v>147</v>
      </c>
      <c r="C15" s="92">
        <v>4336746</v>
      </c>
      <c r="D15" s="92">
        <v>0</v>
      </c>
      <c r="E15" s="92">
        <v>3126141</v>
      </c>
      <c r="F15" s="92">
        <v>0</v>
      </c>
      <c r="G15" s="101">
        <v>3122514</v>
      </c>
      <c r="H15" s="101">
        <v>140657519</v>
      </c>
      <c r="I15" s="101">
        <v>2778723</v>
      </c>
      <c r="J15" s="101">
        <v>140657519</v>
      </c>
      <c r="K15" s="101">
        <v>124227685</v>
      </c>
    </row>
    <row r="16" spans="2:11">
      <c r="B16" s="87" t="s">
        <v>148</v>
      </c>
      <c r="C16" s="92">
        <v>5766486</v>
      </c>
      <c r="D16" s="92">
        <v>0</v>
      </c>
      <c r="E16" s="92">
        <v>4064396</v>
      </c>
      <c r="F16" s="92">
        <v>0</v>
      </c>
      <c r="G16" s="101">
        <v>4943360</v>
      </c>
      <c r="H16" s="101">
        <v>139483295</v>
      </c>
      <c r="I16" s="101">
        <v>3615414</v>
      </c>
      <c r="J16" s="101">
        <v>139483295</v>
      </c>
      <c r="K16" s="101">
        <v>123193249</v>
      </c>
    </row>
    <row r="17" spans="2:11">
      <c r="B17" s="87" t="s">
        <v>149</v>
      </c>
      <c r="C17" s="92">
        <v>2381856</v>
      </c>
      <c r="D17" s="92">
        <v>0</v>
      </c>
      <c r="E17" s="92">
        <v>1711090</v>
      </c>
      <c r="F17" s="92">
        <v>0</v>
      </c>
      <c r="G17" s="101">
        <v>1632517</v>
      </c>
      <c r="H17" s="101">
        <v>140212709</v>
      </c>
      <c r="I17" s="101">
        <v>1515940</v>
      </c>
      <c r="J17" s="101">
        <v>140212709</v>
      </c>
      <c r="K17" s="101">
        <v>123820857</v>
      </c>
    </row>
    <row r="18" spans="2:11">
      <c r="B18" s="87" t="s">
        <v>150</v>
      </c>
      <c r="C18" s="92">
        <v>953942</v>
      </c>
      <c r="D18" s="92">
        <v>0</v>
      </c>
      <c r="E18" s="92">
        <v>698228</v>
      </c>
      <c r="F18" s="92">
        <v>0</v>
      </c>
      <c r="G18" s="101">
        <v>484318</v>
      </c>
      <c r="H18" s="101">
        <v>139744400</v>
      </c>
      <c r="I18" s="101">
        <v>607139</v>
      </c>
      <c r="J18" s="101">
        <v>139744400</v>
      </c>
      <c r="K18" s="101">
        <v>123451025</v>
      </c>
    </row>
    <row r="19" spans="2:11">
      <c r="B19" s="87" t="s">
        <v>151</v>
      </c>
      <c r="C19" s="92">
        <v>0</v>
      </c>
      <c r="D19" s="92">
        <v>122957492</v>
      </c>
      <c r="E19" s="92">
        <v>581396</v>
      </c>
      <c r="F19" s="92">
        <v>122957492</v>
      </c>
      <c r="G19" s="101">
        <v>399246</v>
      </c>
      <c r="H19" s="101">
        <v>36792875</v>
      </c>
      <c r="I19" s="101">
        <v>505549</v>
      </c>
      <c r="J19" s="101">
        <v>36792875</v>
      </c>
      <c r="K19" s="101">
        <v>32672669</v>
      </c>
    </row>
    <row r="20" spans="2:11">
      <c r="B20" s="87" t="s">
        <v>152</v>
      </c>
      <c r="C20" s="92">
        <v>0</v>
      </c>
      <c r="D20" s="92">
        <v>100167056</v>
      </c>
      <c r="E20" s="92">
        <v>1003777</v>
      </c>
      <c r="F20" s="92">
        <v>100167056</v>
      </c>
      <c r="G20" s="101">
        <v>516972</v>
      </c>
      <c r="H20" s="101">
        <v>29973236</v>
      </c>
      <c r="I20" s="101">
        <v>872828</v>
      </c>
      <c r="J20" s="101">
        <v>29973236</v>
      </c>
      <c r="K20" s="101">
        <v>26641369</v>
      </c>
    </row>
    <row r="21" spans="2:11">
      <c r="B21" s="87" t="s">
        <v>153</v>
      </c>
      <c r="C21" s="92">
        <v>0</v>
      </c>
      <c r="D21" s="92">
        <v>98978963</v>
      </c>
      <c r="E21" s="92">
        <v>234437</v>
      </c>
      <c r="F21" s="92">
        <v>98978963</v>
      </c>
      <c r="G21" s="101">
        <v>206616</v>
      </c>
      <c r="H21" s="101">
        <v>29617720</v>
      </c>
      <c r="I21" s="101">
        <v>191862</v>
      </c>
      <c r="J21" s="101">
        <v>29617720</v>
      </c>
      <c r="K21" s="101">
        <v>26317044</v>
      </c>
    </row>
    <row r="22" spans="2:11">
      <c r="B22" s="87" t="s">
        <v>154</v>
      </c>
      <c r="C22" s="92">
        <v>0</v>
      </c>
      <c r="D22" s="92">
        <v>90531303</v>
      </c>
      <c r="E22" s="92">
        <v>0</v>
      </c>
      <c r="F22" s="92">
        <v>90531303</v>
      </c>
      <c r="G22" s="101">
        <v>218294</v>
      </c>
      <c r="H22" s="101">
        <v>27089906</v>
      </c>
      <c r="I22" s="101">
        <v>192570</v>
      </c>
      <c r="J22" s="101">
        <v>27089906</v>
      </c>
      <c r="K22" s="101">
        <v>24088437</v>
      </c>
    </row>
    <row r="23" spans="2:11">
      <c r="B23" s="87" t="s">
        <v>155</v>
      </c>
      <c r="C23" s="92">
        <v>0</v>
      </c>
      <c r="D23" s="92">
        <v>64429613</v>
      </c>
      <c r="E23" s="92">
        <v>0</v>
      </c>
      <c r="F23" s="92">
        <v>64429613</v>
      </c>
      <c r="G23" s="101">
        <v>362451</v>
      </c>
      <c r="H23" s="101">
        <v>20696065</v>
      </c>
      <c r="I23" s="101">
        <v>572167</v>
      </c>
      <c r="J23" s="101">
        <v>20696065</v>
      </c>
      <c r="K23" s="101">
        <v>19407769</v>
      </c>
    </row>
    <row r="24" spans="2:11">
      <c r="B24" s="87" t="s">
        <v>156</v>
      </c>
      <c r="C24" s="92">
        <v>0</v>
      </c>
      <c r="D24" s="92">
        <v>189521921</v>
      </c>
      <c r="E24" s="92">
        <v>0</v>
      </c>
      <c r="F24" s="92">
        <v>189521921</v>
      </c>
      <c r="G24" s="101">
        <v>145449</v>
      </c>
      <c r="H24" s="101">
        <v>60878188</v>
      </c>
      <c r="I24" s="101">
        <v>135063</v>
      </c>
      <c r="J24" s="101">
        <v>60878188</v>
      </c>
      <c r="K24" s="101">
        <v>63365378</v>
      </c>
    </row>
    <row r="25" spans="2:11">
      <c r="B25" s="87" t="s">
        <v>157</v>
      </c>
      <c r="C25" s="92">
        <v>0</v>
      </c>
      <c r="D25" s="92">
        <v>170191422</v>
      </c>
      <c r="E25" s="92">
        <v>0</v>
      </c>
      <c r="F25" s="92">
        <v>170191422</v>
      </c>
      <c r="G25" s="101">
        <v>128332</v>
      </c>
      <c r="H25" s="101">
        <v>54668849</v>
      </c>
      <c r="I25" s="101">
        <v>119167</v>
      </c>
      <c r="J25" s="101">
        <v>54668849</v>
      </c>
      <c r="K25" s="101">
        <v>56902356</v>
      </c>
    </row>
    <row r="26" spans="2:11">
      <c r="B26" s="87" t="s">
        <v>158</v>
      </c>
      <c r="C26" s="92">
        <v>0</v>
      </c>
      <c r="D26" s="92">
        <v>86657653</v>
      </c>
      <c r="E26" s="92">
        <v>0</v>
      </c>
      <c r="F26" s="92">
        <v>86657653</v>
      </c>
      <c r="G26" s="101">
        <v>0</v>
      </c>
      <c r="H26" s="101">
        <v>27836151</v>
      </c>
      <c r="I26" s="101">
        <v>0</v>
      </c>
      <c r="J26" s="101">
        <v>27836151</v>
      </c>
      <c r="K26" s="101">
        <v>26064426</v>
      </c>
    </row>
    <row r="27" spans="2:11">
      <c r="B27" s="87" t="s">
        <v>159</v>
      </c>
      <c r="C27" s="92">
        <v>0</v>
      </c>
      <c r="D27" s="92">
        <v>76564571</v>
      </c>
      <c r="E27" s="92">
        <v>0</v>
      </c>
      <c r="F27" s="92">
        <v>76564571</v>
      </c>
      <c r="G27" s="101">
        <v>0</v>
      </c>
      <c r="H27" s="101">
        <v>24594054</v>
      </c>
      <c r="I27" s="101">
        <v>0</v>
      </c>
      <c r="J27" s="101">
        <v>24594054</v>
      </c>
      <c r="K27" s="101">
        <v>22954836</v>
      </c>
    </row>
    <row r="28" spans="2:11">
      <c r="B28" s="87" t="s">
        <v>160</v>
      </c>
      <c r="C28" s="92">
        <v>0</v>
      </c>
      <c r="D28" s="92">
        <v>0</v>
      </c>
      <c r="E28" s="92">
        <v>0</v>
      </c>
      <c r="F28" s="92">
        <v>0</v>
      </c>
      <c r="G28" s="101">
        <v>88201</v>
      </c>
      <c r="H28" s="101">
        <v>38380480</v>
      </c>
      <c r="I28" s="101">
        <v>112616</v>
      </c>
      <c r="J28" s="101">
        <v>38380480</v>
      </c>
      <c r="K28" s="101">
        <v>50934366</v>
      </c>
    </row>
    <row r="29" spans="2:11">
      <c r="B29" s="87" t="s">
        <v>161</v>
      </c>
      <c r="C29" s="92">
        <v>0</v>
      </c>
      <c r="D29" s="92">
        <v>0</v>
      </c>
      <c r="E29" s="92">
        <v>0</v>
      </c>
      <c r="F29" s="92">
        <v>0</v>
      </c>
      <c r="G29" s="101">
        <v>0</v>
      </c>
      <c r="H29" s="101">
        <v>16844639</v>
      </c>
      <c r="I29" s="101">
        <v>0</v>
      </c>
      <c r="J29" s="101">
        <v>16844639</v>
      </c>
      <c r="K29" s="101">
        <v>24236560</v>
      </c>
    </row>
    <row r="30" spans="2:11">
      <c r="B30" s="87" t="s">
        <v>162</v>
      </c>
      <c r="C30" s="92">
        <v>0</v>
      </c>
      <c r="D30" s="92">
        <v>0</v>
      </c>
      <c r="E30" s="92">
        <v>0</v>
      </c>
      <c r="F30" s="92">
        <v>0</v>
      </c>
      <c r="G30" s="101">
        <v>0</v>
      </c>
      <c r="H30" s="101">
        <v>25739439</v>
      </c>
      <c r="I30" s="101">
        <v>0</v>
      </c>
      <c r="J30" s="101">
        <v>25739439</v>
      </c>
      <c r="K30" s="101">
        <v>37715526</v>
      </c>
    </row>
    <row r="31" spans="2:11">
      <c r="B31" s="87" t="s">
        <v>163</v>
      </c>
      <c r="C31" s="92">
        <v>0</v>
      </c>
      <c r="D31" s="92">
        <v>0</v>
      </c>
      <c r="E31" s="92">
        <v>0</v>
      </c>
      <c r="F31" s="92">
        <v>0</v>
      </c>
      <c r="G31" s="101">
        <v>0</v>
      </c>
      <c r="H31" s="101">
        <v>7539038</v>
      </c>
      <c r="I31" s="101">
        <v>0</v>
      </c>
      <c r="J31" s="101">
        <v>7539038</v>
      </c>
      <c r="K31" s="101">
        <v>18571346</v>
      </c>
    </row>
    <row r="32" spans="2:11">
      <c r="B32" s="87" t="s">
        <v>164</v>
      </c>
      <c r="C32" s="92">
        <v>0</v>
      </c>
      <c r="D32" s="92">
        <v>0</v>
      </c>
      <c r="E32" s="92">
        <v>0</v>
      </c>
      <c r="F32" s="92">
        <v>0</v>
      </c>
      <c r="G32" s="101">
        <v>0</v>
      </c>
      <c r="H32" s="101">
        <v>6495101</v>
      </c>
      <c r="I32" s="101">
        <v>0</v>
      </c>
      <c r="J32" s="101">
        <v>6495101</v>
      </c>
      <c r="K32" s="101">
        <v>16121098</v>
      </c>
    </row>
    <row r="33" spans="2:11">
      <c r="B33" s="87" t="s">
        <v>165</v>
      </c>
      <c r="C33" s="92">
        <v>0</v>
      </c>
      <c r="D33" s="92">
        <v>0</v>
      </c>
      <c r="E33" s="92">
        <v>0</v>
      </c>
      <c r="F33" s="92">
        <v>0</v>
      </c>
      <c r="G33" s="101">
        <v>0</v>
      </c>
      <c r="H33" s="101">
        <v>18141927</v>
      </c>
      <c r="I33" s="101">
        <v>0</v>
      </c>
      <c r="J33" s="101">
        <v>18141927</v>
      </c>
      <c r="K33" s="101">
        <v>31471866</v>
      </c>
    </row>
    <row r="34" spans="2:11">
      <c r="B34" s="87" t="s">
        <v>166</v>
      </c>
      <c r="C34" s="92">
        <v>0</v>
      </c>
      <c r="D34" s="92">
        <v>0</v>
      </c>
      <c r="E34" s="92">
        <v>0</v>
      </c>
      <c r="F34" s="92">
        <v>0</v>
      </c>
      <c r="G34" s="101">
        <v>0</v>
      </c>
      <c r="H34" s="101">
        <v>5092193</v>
      </c>
      <c r="I34" s="101">
        <v>0</v>
      </c>
      <c r="J34" s="101">
        <v>5092193</v>
      </c>
      <c r="K34" s="101">
        <v>12367218</v>
      </c>
    </row>
    <row r="35" spans="2:11">
      <c r="B35" s="87" t="s">
        <v>167</v>
      </c>
      <c r="C35" s="92">
        <v>0</v>
      </c>
      <c r="D35" s="92">
        <v>0</v>
      </c>
      <c r="E35" s="92">
        <v>0</v>
      </c>
      <c r="F35" s="92">
        <v>0</v>
      </c>
      <c r="G35" s="101">
        <v>0</v>
      </c>
      <c r="H35" s="101">
        <v>4164155</v>
      </c>
      <c r="I35" s="101">
        <v>0</v>
      </c>
      <c r="J35" s="101">
        <v>4164155</v>
      </c>
      <c r="K35" s="101">
        <v>10293920</v>
      </c>
    </row>
    <row r="36" spans="2:11">
      <c r="B36" s="87" t="s">
        <v>168</v>
      </c>
      <c r="C36" s="92">
        <v>0</v>
      </c>
      <c r="D36" s="92">
        <v>0</v>
      </c>
      <c r="E36" s="92">
        <v>0</v>
      </c>
      <c r="F36" s="92">
        <v>0</v>
      </c>
      <c r="G36" s="101">
        <v>0</v>
      </c>
      <c r="H36" s="101">
        <v>473477</v>
      </c>
      <c r="I36" s="101">
        <v>0</v>
      </c>
      <c r="J36" s="101">
        <v>473477</v>
      </c>
      <c r="K36" s="101">
        <v>492821</v>
      </c>
    </row>
    <row r="37" spans="2:11">
      <c r="B37" s="87" t="s">
        <v>169</v>
      </c>
      <c r="C37" s="92">
        <v>0</v>
      </c>
      <c r="D37" s="92">
        <v>0</v>
      </c>
      <c r="E37" s="92">
        <v>0</v>
      </c>
      <c r="F37" s="92">
        <v>0</v>
      </c>
      <c r="G37" s="101">
        <v>0</v>
      </c>
      <c r="H37" s="101">
        <v>427353</v>
      </c>
      <c r="I37" s="101">
        <v>0</v>
      </c>
      <c r="J37" s="101">
        <v>427353</v>
      </c>
      <c r="K37" s="101">
        <v>444813</v>
      </c>
    </row>
    <row r="38" spans="2:11">
      <c r="B38" s="87" t="s">
        <v>170</v>
      </c>
      <c r="C38" s="92">
        <v>0</v>
      </c>
      <c r="D38" s="92">
        <v>0</v>
      </c>
      <c r="E38" s="92">
        <v>0</v>
      </c>
      <c r="F38" s="92">
        <v>0</v>
      </c>
      <c r="G38" s="101">
        <v>0</v>
      </c>
      <c r="H38" s="101">
        <v>384470</v>
      </c>
      <c r="I38" s="101">
        <v>0</v>
      </c>
      <c r="J38" s="101">
        <v>384470</v>
      </c>
      <c r="K38" s="101">
        <v>400178</v>
      </c>
    </row>
    <row r="39" spans="2:11">
      <c r="B39" s="87" t="s">
        <v>171</v>
      </c>
      <c r="C39" s="92">
        <v>0</v>
      </c>
      <c r="D39" s="92">
        <v>0</v>
      </c>
      <c r="E39" s="92">
        <v>0</v>
      </c>
      <c r="F39" s="92">
        <v>0</v>
      </c>
      <c r="G39" s="101">
        <v>0</v>
      </c>
      <c r="H39" s="101">
        <v>346080</v>
      </c>
      <c r="I39" s="101">
        <v>0</v>
      </c>
      <c r="J39" s="101">
        <v>346080</v>
      </c>
      <c r="K39" s="101">
        <v>360219</v>
      </c>
    </row>
    <row r="40" spans="2:11">
      <c r="B40" s="87" t="s">
        <v>172</v>
      </c>
      <c r="C40" s="92">
        <v>0</v>
      </c>
      <c r="D40" s="92">
        <v>0</v>
      </c>
      <c r="E40" s="92">
        <v>0</v>
      </c>
      <c r="F40" s="92">
        <v>0</v>
      </c>
      <c r="G40" s="101">
        <v>0</v>
      </c>
      <c r="H40" s="101">
        <v>310154</v>
      </c>
      <c r="I40" s="101">
        <v>0</v>
      </c>
      <c r="J40" s="101">
        <v>310154</v>
      </c>
      <c r="K40" s="101">
        <v>322826</v>
      </c>
    </row>
    <row r="41" spans="2:11">
      <c r="B41" s="87" t="s">
        <v>173</v>
      </c>
      <c r="C41" s="92">
        <v>0</v>
      </c>
      <c r="D41" s="92">
        <v>0</v>
      </c>
      <c r="E41" s="92">
        <v>0</v>
      </c>
      <c r="F41" s="92">
        <v>0</v>
      </c>
      <c r="G41" s="101">
        <v>0</v>
      </c>
      <c r="H41" s="101">
        <v>277496</v>
      </c>
      <c r="I41" s="101">
        <v>0</v>
      </c>
      <c r="J41" s="101">
        <v>277496</v>
      </c>
      <c r="K41" s="101">
        <v>288833</v>
      </c>
    </row>
    <row r="42" spans="2:11">
      <c r="B42" s="87" t="s">
        <v>174</v>
      </c>
      <c r="C42" s="92">
        <v>0</v>
      </c>
      <c r="D42" s="92">
        <v>0</v>
      </c>
      <c r="E42" s="92">
        <v>0</v>
      </c>
      <c r="F42" s="92">
        <v>0</v>
      </c>
      <c r="G42" s="101">
        <v>0</v>
      </c>
      <c r="H42" s="101">
        <v>249827</v>
      </c>
      <c r="I42" s="101">
        <v>0</v>
      </c>
      <c r="J42" s="101">
        <v>249827</v>
      </c>
      <c r="K42" s="101">
        <v>260034</v>
      </c>
    </row>
    <row r="43" spans="2:11">
      <c r="B43" s="87" t="s">
        <v>175</v>
      </c>
      <c r="C43" s="92">
        <v>0</v>
      </c>
      <c r="D43" s="92">
        <v>0</v>
      </c>
      <c r="E43" s="92">
        <v>0</v>
      </c>
      <c r="F43" s="92">
        <v>0</v>
      </c>
      <c r="G43" s="101">
        <v>0</v>
      </c>
      <c r="H43" s="101">
        <v>223922</v>
      </c>
      <c r="I43" s="101">
        <v>0</v>
      </c>
      <c r="J43" s="101">
        <v>223922</v>
      </c>
      <c r="K43" s="101">
        <v>233071</v>
      </c>
    </row>
    <row r="44" spans="2:11">
      <c r="B44" s="87" t="s">
        <v>176</v>
      </c>
      <c r="C44" s="92">
        <v>0</v>
      </c>
      <c r="D44" s="92">
        <v>0</v>
      </c>
      <c r="E44" s="92">
        <v>0</v>
      </c>
      <c r="F44" s="92">
        <v>0</v>
      </c>
      <c r="G44" s="101">
        <v>0</v>
      </c>
      <c r="H44" s="101">
        <v>201467</v>
      </c>
      <c r="I44" s="101">
        <v>0</v>
      </c>
      <c r="J44" s="101">
        <v>201467</v>
      </c>
      <c r="K44" s="101">
        <v>209698</v>
      </c>
    </row>
    <row r="45" spans="2:11">
      <c r="B45" s="87" t="s">
        <v>177</v>
      </c>
      <c r="C45" s="92">
        <v>0</v>
      </c>
      <c r="D45" s="92">
        <v>0</v>
      </c>
      <c r="E45" s="92">
        <v>0</v>
      </c>
      <c r="F45" s="92">
        <v>0</v>
      </c>
      <c r="G45" s="101">
        <v>0</v>
      </c>
      <c r="H45" s="101">
        <v>181109</v>
      </c>
      <c r="I45" s="101">
        <v>0</v>
      </c>
      <c r="J45" s="101">
        <v>181109</v>
      </c>
      <c r="K45" s="101">
        <v>188508</v>
      </c>
    </row>
    <row r="46" spans="2:11">
      <c r="B46" s="87" t="s">
        <v>178</v>
      </c>
      <c r="C46" s="92">
        <v>0</v>
      </c>
      <c r="D46" s="92">
        <v>0</v>
      </c>
      <c r="E46" s="92">
        <v>0</v>
      </c>
      <c r="F46" s="92">
        <v>0</v>
      </c>
      <c r="G46" s="101">
        <v>0</v>
      </c>
      <c r="H46" s="101">
        <v>163461</v>
      </c>
      <c r="I46" s="101">
        <v>0</v>
      </c>
      <c r="J46" s="101">
        <v>163461</v>
      </c>
      <c r="K46" s="101">
        <v>170140</v>
      </c>
    </row>
    <row r="47" spans="2:11">
      <c r="B47" s="87" t="s">
        <v>179</v>
      </c>
      <c r="C47" s="92">
        <v>0</v>
      </c>
      <c r="D47" s="92">
        <v>0</v>
      </c>
      <c r="E47" s="92">
        <v>0</v>
      </c>
      <c r="F47" s="92">
        <v>0</v>
      </c>
      <c r="G47" s="101">
        <v>0</v>
      </c>
      <c r="H47" s="101">
        <v>148016</v>
      </c>
      <c r="I47" s="101">
        <v>0</v>
      </c>
      <c r="J47" s="101">
        <v>148016</v>
      </c>
      <c r="K47" s="101">
        <v>154063</v>
      </c>
    </row>
    <row r="48" spans="2:11">
      <c r="B48" s="87" t="s">
        <v>180</v>
      </c>
      <c r="C48" s="92">
        <v>0</v>
      </c>
      <c r="D48" s="92">
        <v>0</v>
      </c>
      <c r="E48" s="92">
        <v>0</v>
      </c>
      <c r="F48" s="92">
        <v>0</v>
      </c>
      <c r="G48" s="101">
        <v>0</v>
      </c>
      <c r="H48" s="101">
        <v>132884</v>
      </c>
      <c r="I48" s="101">
        <v>0</v>
      </c>
      <c r="J48" s="101">
        <v>132884</v>
      </c>
      <c r="K48" s="101">
        <v>138313</v>
      </c>
    </row>
    <row r="49" spans="2:11">
      <c r="B49" s="87" t="s">
        <v>181</v>
      </c>
      <c r="C49" s="92">
        <v>0</v>
      </c>
      <c r="D49" s="92">
        <v>0</v>
      </c>
      <c r="E49" s="92">
        <v>0</v>
      </c>
      <c r="F49" s="92">
        <v>0</v>
      </c>
      <c r="G49" s="101">
        <v>0</v>
      </c>
      <c r="H49" s="101">
        <v>1169793</v>
      </c>
      <c r="I49" s="101">
        <v>0</v>
      </c>
      <c r="J49" s="101">
        <v>1169793</v>
      </c>
      <c r="K49" s="101">
        <v>1217585</v>
      </c>
    </row>
    <row r="50" spans="2:11">
      <c r="B50" s="87" t="s">
        <v>182</v>
      </c>
      <c r="C50" s="92">
        <v>0</v>
      </c>
      <c r="D50" s="92">
        <v>0</v>
      </c>
      <c r="E50" s="92">
        <v>0</v>
      </c>
      <c r="F50" s="92">
        <v>0</v>
      </c>
      <c r="G50" s="101">
        <v>0</v>
      </c>
      <c r="H50" s="101">
        <v>275822</v>
      </c>
      <c r="I50" s="101">
        <v>0</v>
      </c>
      <c r="J50" s="101">
        <v>275822</v>
      </c>
      <c r="K50" s="101">
        <v>0</v>
      </c>
    </row>
    <row r="51" spans="2:11">
      <c r="B51" s="87" t="s">
        <v>183</v>
      </c>
      <c r="C51" s="92">
        <v>0</v>
      </c>
      <c r="D51" s="92">
        <v>0</v>
      </c>
      <c r="E51" s="92">
        <v>0</v>
      </c>
      <c r="F51" s="92">
        <v>0</v>
      </c>
      <c r="G51" s="101">
        <v>0</v>
      </c>
      <c r="H51" s="101">
        <v>104599</v>
      </c>
      <c r="I51" s="101">
        <v>0</v>
      </c>
      <c r="J51" s="101">
        <v>104599</v>
      </c>
      <c r="K51" s="101">
        <v>0</v>
      </c>
    </row>
    <row r="52" spans="2:11">
      <c r="B52" s="87" t="s">
        <v>184</v>
      </c>
      <c r="C52" s="92">
        <v>0</v>
      </c>
      <c r="D52" s="92">
        <v>0</v>
      </c>
      <c r="E52" s="92">
        <v>0</v>
      </c>
      <c r="F52" s="92">
        <v>0</v>
      </c>
      <c r="G52" s="101">
        <v>0</v>
      </c>
      <c r="H52" s="101">
        <v>52747</v>
      </c>
      <c r="I52" s="101">
        <v>0</v>
      </c>
      <c r="J52" s="101">
        <v>52747</v>
      </c>
      <c r="K52" s="101">
        <v>54902</v>
      </c>
    </row>
    <row r="53" spans="2:11">
      <c r="B53" s="87" t="s">
        <v>185</v>
      </c>
      <c r="C53" s="92">
        <v>0</v>
      </c>
      <c r="D53" s="92">
        <v>0</v>
      </c>
      <c r="E53" s="92">
        <v>0</v>
      </c>
      <c r="F53" s="92">
        <v>0</v>
      </c>
      <c r="G53" s="101">
        <v>0</v>
      </c>
      <c r="H53" s="101">
        <v>33335</v>
      </c>
      <c r="I53" s="101">
        <v>0</v>
      </c>
      <c r="J53" s="101">
        <v>33335</v>
      </c>
      <c r="K53" s="101">
        <v>34697</v>
      </c>
    </row>
    <row r="54" spans="2:11">
      <c r="B54" s="87" t="s">
        <v>186</v>
      </c>
      <c r="C54" s="92">
        <v>0</v>
      </c>
      <c r="D54" s="92">
        <v>0</v>
      </c>
      <c r="E54" s="92">
        <v>0</v>
      </c>
      <c r="F54" s="92">
        <v>0</v>
      </c>
      <c r="G54" s="101">
        <v>0</v>
      </c>
      <c r="H54" s="101">
        <v>24351</v>
      </c>
      <c r="I54" s="101">
        <v>0</v>
      </c>
      <c r="J54" s="101">
        <v>24351</v>
      </c>
      <c r="K54" s="101">
        <v>25346</v>
      </c>
    </row>
    <row r="55" spans="2:11">
      <c r="B55" s="87" t="s">
        <v>187</v>
      </c>
      <c r="C55" s="92">
        <v>0</v>
      </c>
      <c r="D55" s="92">
        <v>0</v>
      </c>
      <c r="E55" s="92">
        <v>0</v>
      </c>
      <c r="F55" s="92">
        <v>0</v>
      </c>
      <c r="G55" s="101">
        <v>0</v>
      </c>
      <c r="H55" s="101">
        <v>20013</v>
      </c>
      <c r="I55" s="101">
        <v>0</v>
      </c>
      <c r="J55" s="101">
        <v>20013</v>
      </c>
      <c r="K55" s="101">
        <v>20830</v>
      </c>
    </row>
    <row r="56" spans="2:11">
      <c r="B56" s="87" t="s">
        <v>188</v>
      </c>
      <c r="C56" s="92">
        <v>0</v>
      </c>
      <c r="D56" s="92">
        <v>0</v>
      </c>
      <c r="E56" s="92">
        <v>0</v>
      </c>
      <c r="F56" s="92">
        <v>0</v>
      </c>
      <c r="G56" s="101">
        <v>0</v>
      </c>
      <c r="H56" s="101">
        <v>17986</v>
      </c>
      <c r="I56" s="101">
        <v>0</v>
      </c>
      <c r="J56" s="101">
        <v>17986</v>
      </c>
      <c r="K56" s="101">
        <v>18721</v>
      </c>
    </row>
    <row r="57" spans="2:11">
      <c r="B57" s="87" t="s">
        <v>189</v>
      </c>
      <c r="C57" s="92">
        <v>0</v>
      </c>
      <c r="D57" s="92">
        <v>0</v>
      </c>
      <c r="E57" s="92">
        <v>0</v>
      </c>
      <c r="F57" s="92">
        <v>0</v>
      </c>
      <c r="G57" s="101">
        <v>0</v>
      </c>
      <c r="H57" s="101">
        <v>16508</v>
      </c>
      <c r="I57" s="101">
        <v>0</v>
      </c>
      <c r="J57" s="101">
        <v>16508</v>
      </c>
      <c r="K57" s="101">
        <v>17182</v>
      </c>
    </row>
    <row r="58" spans="2:11">
      <c r="B58" s="87" t="s">
        <v>190</v>
      </c>
      <c r="C58" s="92">
        <v>0</v>
      </c>
      <c r="D58" s="92">
        <v>0</v>
      </c>
      <c r="E58" s="92">
        <v>0</v>
      </c>
      <c r="F58" s="92">
        <v>0</v>
      </c>
      <c r="G58" s="101">
        <v>0</v>
      </c>
      <c r="H58" s="101">
        <v>123166</v>
      </c>
      <c r="I58" s="101">
        <v>0</v>
      </c>
      <c r="J58" s="101">
        <v>123166</v>
      </c>
      <c r="K58" s="101">
        <v>128198</v>
      </c>
    </row>
    <row r="59" spans="2:11">
      <c r="B59" s="87" t="s">
        <v>191</v>
      </c>
      <c r="C59" s="92">
        <v>0</v>
      </c>
      <c r="D59" s="92">
        <v>0</v>
      </c>
      <c r="E59" s="92">
        <v>0</v>
      </c>
      <c r="F59" s="92">
        <v>0</v>
      </c>
      <c r="G59" s="101">
        <v>0</v>
      </c>
      <c r="H59" s="101">
        <v>0</v>
      </c>
      <c r="I59" s="101">
        <v>0</v>
      </c>
      <c r="J59" s="101">
        <v>0</v>
      </c>
      <c r="K59" s="101">
        <v>0</v>
      </c>
    </row>
    <row r="60" spans="2:11">
      <c r="B60" s="87" t="s">
        <v>192</v>
      </c>
      <c r="C60" s="92">
        <v>0</v>
      </c>
      <c r="D60" s="92">
        <v>0</v>
      </c>
      <c r="E60" s="92">
        <v>0</v>
      </c>
      <c r="F60" s="92">
        <v>0</v>
      </c>
      <c r="G60" s="101">
        <v>0</v>
      </c>
      <c r="H60" s="101">
        <v>0</v>
      </c>
      <c r="I60" s="101">
        <v>0</v>
      </c>
      <c r="J60" s="101">
        <v>0</v>
      </c>
      <c r="K60" s="101">
        <v>0</v>
      </c>
    </row>
    <row r="61" spans="2:11">
      <c r="B61" s="87" t="s">
        <v>193</v>
      </c>
      <c r="C61" s="92">
        <v>0</v>
      </c>
      <c r="D61" s="92">
        <v>0</v>
      </c>
      <c r="E61" s="92">
        <v>0</v>
      </c>
      <c r="F61" s="92">
        <v>0</v>
      </c>
      <c r="G61" s="101">
        <v>0</v>
      </c>
      <c r="H61" s="101">
        <v>0</v>
      </c>
      <c r="I61" s="101">
        <v>0</v>
      </c>
      <c r="J61" s="101">
        <v>0</v>
      </c>
      <c r="K61" s="101">
        <v>0</v>
      </c>
    </row>
    <row r="62" spans="2:11">
      <c r="B62" s="87" t="s">
        <v>194</v>
      </c>
      <c r="C62" s="92">
        <v>0</v>
      </c>
      <c r="D62" s="92">
        <v>0</v>
      </c>
      <c r="E62" s="92">
        <v>0</v>
      </c>
      <c r="F62" s="92">
        <v>0</v>
      </c>
      <c r="G62" s="101">
        <v>0</v>
      </c>
      <c r="H62" s="101">
        <v>0</v>
      </c>
      <c r="I62" s="101">
        <v>0</v>
      </c>
      <c r="J62" s="101">
        <v>0</v>
      </c>
      <c r="K62" s="101">
        <v>0</v>
      </c>
    </row>
    <row r="63" spans="2:11">
      <c r="B63" s="87" t="s">
        <v>195</v>
      </c>
      <c r="C63" s="92">
        <v>0</v>
      </c>
      <c r="D63" s="92">
        <v>0</v>
      </c>
      <c r="E63" s="92">
        <v>0</v>
      </c>
      <c r="F63" s="92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</row>
    <row r="64" spans="2:11">
      <c r="B64" s="87" t="s">
        <v>196</v>
      </c>
      <c r="C64" s="92">
        <v>0</v>
      </c>
      <c r="D64" s="92">
        <v>0</v>
      </c>
      <c r="E64" s="92">
        <v>0</v>
      </c>
      <c r="F64" s="92">
        <v>0</v>
      </c>
      <c r="G64" s="101">
        <v>0</v>
      </c>
      <c r="H64" s="101">
        <v>0</v>
      </c>
      <c r="I64" s="101">
        <v>0</v>
      </c>
      <c r="J64" s="101">
        <v>0</v>
      </c>
      <c r="K64" s="101">
        <v>0</v>
      </c>
    </row>
    <row r="65" spans="2:11">
      <c r="B65" s="87" t="s">
        <v>197</v>
      </c>
      <c r="C65" s="92">
        <v>0</v>
      </c>
      <c r="D65" s="92">
        <v>0</v>
      </c>
      <c r="E65" s="92">
        <v>0</v>
      </c>
      <c r="F65" s="92">
        <v>0</v>
      </c>
      <c r="G65" s="101">
        <v>0</v>
      </c>
      <c r="H65" s="101">
        <v>0</v>
      </c>
      <c r="I65" s="101">
        <v>0</v>
      </c>
      <c r="J65" s="101">
        <v>0</v>
      </c>
      <c r="K65" s="101">
        <v>0</v>
      </c>
    </row>
    <row r="66" spans="2:11">
      <c r="B66" s="87" t="s">
        <v>198</v>
      </c>
      <c r="C66" s="92">
        <v>0</v>
      </c>
      <c r="D66" s="92">
        <v>0</v>
      </c>
      <c r="E66" s="92">
        <v>0</v>
      </c>
      <c r="F66" s="92">
        <v>0</v>
      </c>
      <c r="G66" s="101">
        <v>0</v>
      </c>
      <c r="H66" s="101">
        <v>0</v>
      </c>
      <c r="I66" s="101">
        <v>0</v>
      </c>
      <c r="J66" s="101">
        <v>0</v>
      </c>
      <c r="K66" s="101">
        <v>0</v>
      </c>
    </row>
    <row r="67" spans="2:11">
      <c r="B67" s="87" t="s">
        <v>199</v>
      </c>
      <c r="C67" s="92">
        <v>0</v>
      </c>
      <c r="D67" s="92">
        <v>0</v>
      </c>
      <c r="E67" s="92">
        <v>0</v>
      </c>
      <c r="F67" s="92">
        <v>0</v>
      </c>
      <c r="G67" s="101">
        <v>0</v>
      </c>
      <c r="H67" s="101">
        <v>0</v>
      </c>
      <c r="I67" s="101">
        <v>0</v>
      </c>
      <c r="J67" s="101">
        <v>0</v>
      </c>
      <c r="K67" s="101">
        <v>0</v>
      </c>
    </row>
    <row r="68" spans="2:11">
      <c r="B68" s="87" t="s">
        <v>200</v>
      </c>
      <c r="C68" s="92">
        <v>4195668</v>
      </c>
      <c r="D68" s="89"/>
      <c r="E68" s="92">
        <v>20978340</v>
      </c>
      <c r="F68" s="89"/>
      <c r="G68" s="101">
        <v>4195668</v>
      </c>
      <c r="H68" s="89"/>
      <c r="I68" s="101">
        <v>20978340</v>
      </c>
      <c r="J68" s="89"/>
      <c r="K68" s="89"/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F304"/>
  <sheetViews>
    <sheetView workbookViewId="0">
      <selection activeCell="J29" sqref="J29"/>
    </sheetView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32" width="9" style="1"/>
    <col min="33" max="16384" width="9" style="5"/>
  </cols>
  <sheetData>
    <row r="1" spans="1:32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5"/>
    </row>
    <row r="2" spans="1:32" ht="15.9" customHeight="1">
      <c r="J2" s="17"/>
      <c r="K2" s="5" t="s">
        <v>5</v>
      </c>
      <c r="S2" s="5" t="s">
        <v>6</v>
      </c>
      <c r="Z2" s="5" t="s">
        <v>57</v>
      </c>
      <c r="AF2" s="5"/>
    </row>
    <row r="3" spans="1:32" ht="15.9" customHeight="1">
      <c r="A3" s="86" t="s">
        <v>5</v>
      </c>
      <c r="B3" s="86" t="s">
        <v>13</v>
      </c>
      <c r="C3" s="86" t="s">
        <v>7</v>
      </c>
      <c r="D3" s="86" t="s">
        <v>8</v>
      </c>
      <c r="E3" s="86" t="s">
        <v>9</v>
      </c>
      <c r="F3" s="86" t="s">
        <v>10</v>
      </c>
      <c r="G3" s="86" t="s">
        <v>11</v>
      </c>
      <c r="H3" s="86" t="s">
        <v>41</v>
      </c>
      <c r="I3" s="86" t="s">
        <v>12</v>
      </c>
      <c r="J3" s="17"/>
      <c r="K3" s="29" t="s">
        <v>14</v>
      </c>
      <c r="L3" s="86" t="s">
        <v>15</v>
      </c>
      <c r="M3" s="86" t="s">
        <v>16</v>
      </c>
      <c r="N3" s="86" t="s">
        <v>17</v>
      </c>
      <c r="O3" s="86" t="s">
        <v>18</v>
      </c>
      <c r="P3" s="86" t="s">
        <v>19</v>
      </c>
      <c r="Q3" s="86" t="s">
        <v>29</v>
      </c>
      <c r="S3" s="29" t="s">
        <v>15</v>
      </c>
      <c r="T3" s="29" t="s">
        <v>16</v>
      </c>
      <c r="U3" s="29" t="s">
        <v>17</v>
      </c>
      <c r="V3" s="29" t="s">
        <v>18</v>
      </c>
      <c r="W3" s="29" t="s">
        <v>19</v>
      </c>
      <c r="X3" s="29" t="s">
        <v>29</v>
      </c>
      <c r="Z3" s="29" t="s">
        <v>7</v>
      </c>
      <c r="AA3" s="29" t="s">
        <v>16</v>
      </c>
      <c r="AB3" s="29" t="s">
        <v>17</v>
      </c>
      <c r="AC3" s="29" t="s">
        <v>18</v>
      </c>
      <c r="AD3" s="29" t="s">
        <v>19</v>
      </c>
      <c r="AE3" s="29" t="s">
        <v>29</v>
      </c>
      <c r="AF3" s="5"/>
    </row>
    <row r="4" spans="1:32" ht="15.9" customHeight="1">
      <c r="A4" s="48" t="s">
        <v>20</v>
      </c>
      <c r="B4" s="9" t="s">
        <v>21</v>
      </c>
      <c r="C4" s="48">
        <f t="shared" ref="C4:H15" si="0">COUNTIF(L$4:L$304,$A4)</f>
        <v>3</v>
      </c>
      <c r="D4" s="48">
        <f t="shared" si="0"/>
        <v>3</v>
      </c>
      <c r="E4" s="48">
        <f t="shared" si="0"/>
        <v>3</v>
      </c>
      <c r="F4" s="48">
        <f t="shared" si="0"/>
        <v>3</v>
      </c>
      <c r="G4" s="48">
        <f t="shared" si="0"/>
        <v>3</v>
      </c>
      <c r="H4" s="48">
        <f t="shared" si="0"/>
        <v>3</v>
      </c>
      <c r="I4" s="9">
        <v>0</v>
      </c>
      <c r="J4" s="88"/>
      <c r="K4" s="37">
        <v>0</v>
      </c>
      <c r="L4" s="19" t="s">
        <v>23</v>
      </c>
      <c r="M4" s="38" t="s">
        <v>26</v>
      </c>
      <c r="N4" s="38" t="s">
        <v>66</v>
      </c>
      <c r="O4" s="38" t="s">
        <v>63</v>
      </c>
      <c r="P4" s="38" t="s">
        <v>23</v>
      </c>
      <c r="Q4" s="38" t="s">
        <v>67</v>
      </c>
      <c r="S4" s="37" cm="1">
        <f t="array" ref="S4:X304">_xlfn.LET(_xlpm.x, L4:Q304, IF(_xlpm.x="", "", _xlfn.XLOOKUP(_xlpm.x, $A$4:$A$15, $I$4:$I$15)))</f>
        <v>6</v>
      </c>
      <c r="T4" s="37">
        <v>3</v>
      </c>
      <c r="U4" s="37">
        <v>7</v>
      </c>
      <c r="V4" s="37">
        <v>9</v>
      </c>
      <c r="W4" s="37">
        <v>6</v>
      </c>
      <c r="X4" s="37">
        <v>11</v>
      </c>
      <c r="Z4" s="37">
        <v>1</v>
      </c>
      <c r="AA4" s="37">
        <v>1</v>
      </c>
      <c r="AB4" s="37">
        <v>1</v>
      </c>
      <c r="AC4" s="37">
        <v>1</v>
      </c>
      <c r="AD4" s="37">
        <v>1</v>
      </c>
      <c r="AE4" s="37">
        <v>1</v>
      </c>
      <c r="AF4" s="5"/>
    </row>
    <row r="5" spans="1:32" ht="15.9" customHeight="1">
      <c r="A5" s="10" t="s">
        <v>24</v>
      </c>
      <c r="B5" s="9" t="s">
        <v>25</v>
      </c>
      <c r="C5" s="48">
        <f t="shared" si="0"/>
        <v>2</v>
      </c>
      <c r="D5" s="48">
        <f t="shared" si="0"/>
        <v>2</v>
      </c>
      <c r="E5" s="48">
        <f t="shared" si="0"/>
        <v>2</v>
      </c>
      <c r="F5" s="48">
        <f t="shared" si="0"/>
        <v>3</v>
      </c>
      <c r="G5" s="48">
        <f t="shared" si="0"/>
        <v>2</v>
      </c>
      <c r="H5" s="48">
        <f t="shared" si="0"/>
        <v>3</v>
      </c>
      <c r="I5" s="9">
        <v>1</v>
      </c>
      <c r="J5" s="88"/>
      <c r="K5" s="10">
        <v>1</v>
      </c>
      <c r="L5" s="19" t="s">
        <v>23</v>
      </c>
      <c r="M5" s="19" t="s">
        <v>26</v>
      </c>
      <c r="N5" s="19" t="s">
        <v>66</v>
      </c>
      <c r="O5" s="19" t="s">
        <v>63</v>
      </c>
      <c r="P5" s="19" t="s">
        <v>23</v>
      </c>
      <c r="Q5" s="19" t="s">
        <v>67</v>
      </c>
      <c r="S5" s="10">
        <v>6</v>
      </c>
      <c r="T5" s="10">
        <v>3</v>
      </c>
      <c r="U5" s="10">
        <v>7</v>
      </c>
      <c r="V5" s="10">
        <v>9</v>
      </c>
      <c r="W5" s="10">
        <v>6</v>
      </c>
      <c r="X5" s="10">
        <v>11</v>
      </c>
      <c r="Z5" s="37">
        <v>1</v>
      </c>
      <c r="AA5" s="37">
        <v>1</v>
      </c>
      <c r="AB5" s="37">
        <v>1</v>
      </c>
      <c r="AC5" s="37">
        <v>1</v>
      </c>
      <c r="AD5" s="37">
        <v>1</v>
      </c>
      <c r="AE5" s="37">
        <v>1</v>
      </c>
      <c r="AF5" s="5"/>
    </row>
    <row r="6" spans="1:32" ht="15.9" customHeight="1">
      <c r="A6" s="10" t="s">
        <v>38</v>
      </c>
      <c r="B6" s="9" t="s">
        <v>39</v>
      </c>
      <c r="C6" s="48">
        <f t="shared" si="0"/>
        <v>3</v>
      </c>
      <c r="D6" s="48">
        <f t="shared" si="0"/>
        <v>3</v>
      </c>
      <c r="E6" s="48">
        <f t="shared" si="0"/>
        <v>3</v>
      </c>
      <c r="F6" s="48">
        <f t="shared" si="0"/>
        <v>3</v>
      </c>
      <c r="G6" s="48">
        <f t="shared" si="0"/>
        <v>3</v>
      </c>
      <c r="H6" s="48">
        <f t="shared" si="0"/>
        <v>3</v>
      </c>
      <c r="I6" s="9">
        <v>2</v>
      </c>
      <c r="J6" s="88"/>
      <c r="K6" s="10">
        <v>2</v>
      </c>
      <c r="L6" s="19" t="s">
        <v>45</v>
      </c>
      <c r="M6" s="19" t="s">
        <v>66</v>
      </c>
      <c r="N6" s="19" t="s">
        <v>47</v>
      </c>
      <c r="O6" s="19" t="s">
        <v>26</v>
      </c>
      <c r="P6" s="19" t="s">
        <v>68</v>
      </c>
      <c r="Q6" s="19" t="s">
        <v>63</v>
      </c>
      <c r="S6" s="10">
        <v>4</v>
      </c>
      <c r="T6" s="10">
        <v>7</v>
      </c>
      <c r="U6" s="10">
        <v>6</v>
      </c>
      <c r="V6" s="10">
        <v>3</v>
      </c>
      <c r="W6" s="10">
        <v>2</v>
      </c>
      <c r="X6" s="10">
        <v>9</v>
      </c>
      <c r="Z6" s="37">
        <v>1</v>
      </c>
      <c r="AA6" s="37">
        <v>1</v>
      </c>
      <c r="AB6" s="37">
        <v>1</v>
      </c>
      <c r="AC6" s="37">
        <v>1</v>
      </c>
      <c r="AD6" s="37">
        <v>1</v>
      </c>
      <c r="AE6" s="37">
        <v>1</v>
      </c>
      <c r="AF6" s="5"/>
    </row>
    <row r="7" spans="1:32" ht="15.9" customHeight="1">
      <c r="A7" s="10" t="s">
        <v>26</v>
      </c>
      <c r="B7" s="9" t="s">
        <v>26</v>
      </c>
      <c r="C7" s="48">
        <f t="shared" si="0"/>
        <v>2</v>
      </c>
      <c r="D7" s="48">
        <f t="shared" si="0"/>
        <v>12</v>
      </c>
      <c r="E7" s="48">
        <f t="shared" si="0"/>
        <v>2</v>
      </c>
      <c r="F7" s="48">
        <f t="shared" si="0"/>
        <v>12</v>
      </c>
      <c r="G7" s="48">
        <f t="shared" si="0"/>
        <v>4</v>
      </c>
      <c r="H7" s="48">
        <f t="shared" si="0"/>
        <v>15</v>
      </c>
      <c r="I7" s="9">
        <v>3</v>
      </c>
      <c r="J7" s="88"/>
      <c r="K7" s="10">
        <v>3</v>
      </c>
      <c r="L7" s="19" t="s">
        <v>45</v>
      </c>
      <c r="M7" s="38" t="s">
        <v>66</v>
      </c>
      <c r="N7" s="19" t="s">
        <v>48</v>
      </c>
      <c r="O7" s="19" t="s">
        <v>26</v>
      </c>
      <c r="P7" s="19" t="s">
        <v>67</v>
      </c>
      <c r="Q7" s="19" t="s">
        <v>63</v>
      </c>
      <c r="S7" s="10">
        <v>4</v>
      </c>
      <c r="T7" s="10">
        <v>7</v>
      </c>
      <c r="U7" s="10">
        <v>1</v>
      </c>
      <c r="V7" s="10">
        <v>3</v>
      </c>
      <c r="W7" s="10">
        <v>11</v>
      </c>
      <c r="X7" s="10">
        <v>9</v>
      </c>
      <c r="Z7" s="37">
        <v>1</v>
      </c>
      <c r="AA7" s="37">
        <v>1</v>
      </c>
      <c r="AB7" s="37">
        <v>1</v>
      </c>
      <c r="AC7" s="37">
        <v>1</v>
      </c>
      <c r="AD7" s="37">
        <v>1</v>
      </c>
      <c r="AE7" s="37">
        <v>1</v>
      </c>
      <c r="AF7" s="5"/>
    </row>
    <row r="8" spans="1:32" ht="15.9" customHeight="1">
      <c r="A8" s="10" t="s">
        <v>27</v>
      </c>
      <c r="B8" s="9" t="s">
        <v>27</v>
      </c>
      <c r="C8" s="48">
        <f t="shared" si="0"/>
        <v>16</v>
      </c>
      <c r="D8" s="48">
        <f t="shared" si="0"/>
        <v>2</v>
      </c>
      <c r="E8" s="48">
        <f t="shared" si="0"/>
        <v>12</v>
      </c>
      <c r="F8" s="48">
        <f t="shared" si="0"/>
        <v>10</v>
      </c>
      <c r="G8" s="48">
        <f t="shared" si="0"/>
        <v>4</v>
      </c>
      <c r="H8" s="48">
        <f t="shared" si="0"/>
        <v>2</v>
      </c>
      <c r="I8" s="9">
        <v>4</v>
      </c>
      <c r="J8" s="88"/>
      <c r="K8" s="10">
        <v>4</v>
      </c>
      <c r="L8" s="19" t="s">
        <v>66</v>
      </c>
      <c r="M8" s="19" t="s">
        <v>64</v>
      </c>
      <c r="N8" s="19" t="s">
        <v>66</v>
      </c>
      <c r="O8" s="19" t="s">
        <v>63</v>
      </c>
      <c r="P8" s="19" t="s">
        <v>67</v>
      </c>
      <c r="Q8" s="19" t="s">
        <v>67</v>
      </c>
      <c r="S8" s="10">
        <v>7</v>
      </c>
      <c r="T8" s="10">
        <v>8</v>
      </c>
      <c r="U8" s="10">
        <v>7</v>
      </c>
      <c r="V8" s="10">
        <v>9</v>
      </c>
      <c r="W8" s="10">
        <v>11</v>
      </c>
      <c r="X8" s="10">
        <v>11</v>
      </c>
      <c r="Z8" s="37">
        <v>1</v>
      </c>
      <c r="AA8" s="37">
        <v>1</v>
      </c>
      <c r="AB8" s="37">
        <v>1</v>
      </c>
      <c r="AC8" s="37">
        <v>1</v>
      </c>
      <c r="AD8" s="37">
        <v>1</v>
      </c>
      <c r="AE8" s="37">
        <v>1</v>
      </c>
      <c r="AF8" s="5"/>
    </row>
    <row r="9" spans="1:32" ht="15.9" customHeight="1">
      <c r="A9" s="10" t="s">
        <v>22</v>
      </c>
      <c r="B9" s="9" t="s">
        <v>22</v>
      </c>
      <c r="C9" s="48">
        <f t="shared" si="0"/>
        <v>2</v>
      </c>
      <c r="D9" s="48">
        <f t="shared" si="0"/>
        <v>15</v>
      </c>
      <c r="E9" s="48">
        <f t="shared" si="0"/>
        <v>6</v>
      </c>
      <c r="F9" s="48">
        <f t="shared" si="0"/>
        <v>2</v>
      </c>
      <c r="G9" s="48">
        <f t="shared" si="0"/>
        <v>14</v>
      </c>
      <c r="H9" s="48">
        <f t="shared" si="0"/>
        <v>2</v>
      </c>
      <c r="I9" s="9">
        <v>5</v>
      </c>
      <c r="J9" s="88"/>
      <c r="K9" s="10">
        <v>5</v>
      </c>
      <c r="L9" s="19" t="s">
        <v>66</v>
      </c>
      <c r="M9" s="19" t="s">
        <v>64</v>
      </c>
      <c r="N9" s="19" t="s">
        <v>22</v>
      </c>
      <c r="O9" s="19" t="s">
        <v>63</v>
      </c>
      <c r="P9" s="19" t="s">
        <v>65</v>
      </c>
      <c r="Q9" s="19" t="s">
        <v>48</v>
      </c>
      <c r="S9" s="10">
        <v>7</v>
      </c>
      <c r="T9" s="10">
        <v>8</v>
      </c>
      <c r="U9" s="10">
        <v>5</v>
      </c>
      <c r="V9" s="10">
        <v>9</v>
      </c>
      <c r="W9" s="10">
        <v>10</v>
      </c>
      <c r="X9" s="10">
        <v>1</v>
      </c>
      <c r="Z9" s="37">
        <v>1</v>
      </c>
      <c r="AA9" s="37">
        <v>1</v>
      </c>
      <c r="AB9" s="37">
        <v>1</v>
      </c>
      <c r="AC9" s="37">
        <v>1</v>
      </c>
      <c r="AD9" s="37">
        <v>1</v>
      </c>
      <c r="AE9" s="37">
        <v>1</v>
      </c>
      <c r="AF9" s="5"/>
    </row>
    <row r="10" spans="1:32" ht="15.9" customHeight="1">
      <c r="A10" s="10" t="s">
        <v>23</v>
      </c>
      <c r="B10" s="9" t="s">
        <v>23</v>
      </c>
      <c r="C10" s="48">
        <f t="shared" si="0"/>
        <v>16</v>
      </c>
      <c r="D10" s="48">
        <f t="shared" si="0"/>
        <v>2</v>
      </c>
      <c r="E10" s="48">
        <f t="shared" si="0"/>
        <v>13</v>
      </c>
      <c r="F10" s="48">
        <f t="shared" si="0"/>
        <v>2</v>
      </c>
      <c r="G10" s="48">
        <f t="shared" si="0"/>
        <v>4</v>
      </c>
      <c r="H10" s="48">
        <f t="shared" si="0"/>
        <v>15</v>
      </c>
      <c r="I10" s="9">
        <v>6</v>
      </c>
      <c r="J10" s="88"/>
      <c r="K10" s="10">
        <v>6</v>
      </c>
      <c r="L10" s="19" t="s">
        <v>67</v>
      </c>
      <c r="M10" s="19" t="s">
        <v>46</v>
      </c>
      <c r="N10" s="19" t="s">
        <v>22</v>
      </c>
      <c r="O10" s="19" t="s">
        <v>67</v>
      </c>
      <c r="P10" s="19" t="s">
        <v>65</v>
      </c>
      <c r="Q10" s="19" t="s">
        <v>26</v>
      </c>
      <c r="S10" s="10">
        <v>11</v>
      </c>
      <c r="T10" s="10">
        <v>5</v>
      </c>
      <c r="U10" s="10">
        <v>5</v>
      </c>
      <c r="V10" s="10">
        <v>11</v>
      </c>
      <c r="W10" s="10">
        <v>10</v>
      </c>
      <c r="X10" s="10">
        <v>3</v>
      </c>
      <c r="Z10" s="37">
        <v>1</v>
      </c>
      <c r="AA10" s="37">
        <v>1</v>
      </c>
      <c r="AB10" s="37">
        <v>1</v>
      </c>
      <c r="AC10" s="37">
        <v>1</v>
      </c>
      <c r="AD10" s="37">
        <v>1</v>
      </c>
      <c r="AE10" s="37">
        <v>1</v>
      </c>
      <c r="AF10" s="5"/>
    </row>
    <row r="11" spans="1:32" ht="15.9" customHeight="1">
      <c r="A11" s="10" t="s">
        <v>30</v>
      </c>
      <c r="B11" s="10" t="s">
        <v>30</v>
      </c>
      <c r="C11" s="48">
        <f t="shared" si="0"/>
        <v>14</v>
      </c>
      <c r="D11" s="48">
        <f t="shared" si="0"/>
        <v>2</v>
      </c>
      <c r="E11" s="48">
        <f t="shared" si="0"/>
        <v>20</v>
      </c>
      <c r="F11" s="48">
        <f t="shared" si="0"/>
        <v>17</v>
      </c>
      <c r="G11" s="48">
        <f t="shared" si="0"/>
        <v>2</v>
      </c>
      <c r="H11" s="48">
        <f t="shared" si="0"/>
        <v>4</v>
      </c>
      <c r="I11" s="9">
        <v>7</v>
      </c>
      <c r="J11" s="88"/>
      <c r="K11" s="10">
        <v>7</v>
      </c>
      <c r="L11" s="19" t="s">
        <v>67</v>
      </c>
      <c r="M11" s="19" t="s">
        <v>63</v>
      </c>
      <c r="N11" s="19" t="s">
        <v>65</v>
      </c>
      <c r="O11" s="19" t="s">
        <v>67</v>
      </c>
      <c r="P11" s="19" t="s">
        <v>26</v>
      </c>
      <c r="Q11" s="19" t="s">
        <v>26</v>
      </c>
      <c r="S11" s="10">
        <v>11</v>
      </c>
      <c r="T11" s="10">
        <v>9</v>
      </c>
      <c r="U11" s="10">
        <v>10</v>
      </c>
      <c r="V11" s="10">
        <v>11</v>
      </c>
      <c r="W11" s="10">
        <v>3</v>
      </c>
      <c r="X11" s="10">
        <v>3</v>
      </c>
      <c r="Z11" s="37">
        <v>1</v>
      </c>
      <c r="AA11" s="37">
        <v>1</v>
      </c>
      <c r="AB11" s="37">
        <v>1</v>
      </c>
      <c r="AC11" s="37">
        <v>1</v>
      </c>
      <c r="AD11" s="37">
        <v>1</v>
      </c>
      <c r="AE11" s="37">
        <v>1</v>
      </c>
      <c r="AF11" s="5"/>
    </row>
    <row r="12" spans="1:32" ht="15.9" customHeight="1">
      <c r="A12" s="10" t="s">
        <v>31</v>
      </c>
      <c r="B12" s="10" t="s">
        <v>31</v>
      </c>
      <c r="C12" s="48">
        <f t="shared" si="0"/>
        <v>14</v>
      </c>
      <c r="D12" s="48">
        <f t="shared" si="0"/>
        <v>17</v>
      </c>
      <c r="E12" s="48">
        <f t="shared" si="0"/>
        <v>2</v>
      </c>
      <c r="F12" s="48">
        <f t="shared" si="0"/>
        <v>2</v>
      </c>
      <c r="G12" s="48">
        <f t="shared" si="0"/>
        <v>20</v>
      </c>
      <c r="H12" s="48">
        <f t="shared" si="0"/>
        <v>4</v>
      </c>
      <c r="I12" s="9">
        <v>8</v>
      </c>
      <c r="J12" s="88"/>
      <c r="K12" s="10">
        <v>8</v>
      </c>
      <c r="L12" s="19" t="s">
        <v>64</v>
      </c>
      <c r="M12" s="19" t="s">
        <v>48</v>
      </c>
      <c r="N12" s="19" t="s">
        <v>65</v>
      </c>
      <c r="O12" s="19" t="s">
        <v>26</v>
      </c>
      <c r="P12" s="19" t="s">
        <v>26</v>
      </c>
      <c r="Q12" s="19" t="s">
        <v>67</v>
      </c>
      <c r="S12" s="10">
        <v>8</v>
      </c>
      <c r="T12" s="10">
        <v>1</v>
      </c>
      <c r="U12" s="10">
        <v>10</v>
      </c>
      <c r="V12" s="10">
        <v>3</v>
      </c>
      <c r="W12" s="10">
        <v>3</v>
      </c>
      <c r="X12" s="10">
        <v>11</v>
      </c>
      <c r="Z12" s="37">
        <v>1</v>
      </c>
      <c r="AA12" s="37">
        <v>1</v>
      </c>
      <c r="AB12" s="37">
        <v>1</v>
      </c>
      <c r="AC12" s="37">
        <v>1</v>
      </c>
      <c r="AD12" s="37">
        <v>1</v>
      </c>
      <c r="AE12" s="37">
        <v>1</v>
      </c>
      <c r="AF12" s="5"/>
    </row>
    <row r="13" spans="1:32" ht="15.9" customHeight="1">
      <c r="A13" s="10" t="s">
        <v>32</v>
      </c>
      <c r="B13" s="10" t="s">
        <v>32</v>
      </c>
      <c r="C13" s="48">
        <f t="shared" si="0"/>
        <v>4</v>
      </c>
      <c r="D13" s="48">
        <f t="shared" si="0"/>
        <v>19</v>
      </c>
      <c r="E13" s="48">
        <f t="shared" si="0"/>
        <v>11</v>
      </c>
      <c r="F13" s="48">
        <f t="shared" si="0"/>
        <v>18</v>
      </c>
      <c r="G13" s="48">
        <f t="shared" si="0"/>
        <v>2</v>
      </c>
      <c r="H13" s="48">
        <f t="shared" si="0"/>
        <v>23</v>
      </c>
      <c r="I13" s="9">
        <v>9</v>
      </c>
      <c r="J13" s="88"/>
      <c r="K13" s="10">
        <v>9</v>
      </c>
      <c r="L13" s="19" t="s">
        <v>64</v>
      </c>
      <c r="M13" s="19" t="s">
        <v>67</v>
      </c>
      <c r="N13" s="19" t="s">
        <v>68</v>
      </c>
      <c r="O13" s="19" t="s">
        <v>26</v>
      </c>
      <c r="P13" s="19" t="s">
        <v>67</v>
      </c>
      <c r="Q13" s="19" t="s">
        <v>67</v>
      </c>
      <c r="S13" s="10">
        <v>8</v>
      </c>
      <c r="T13" s="10">
        <v>11</v>
      </c>
      <c r="U13" s="10">
        <v>2</v>
      </c>
      <c r="V13" s="10">
        <v>3</v>
      </c>
      <c r="W13" s="10">
        <v>11</v>
      </c>
      <c r="X13" s="10">
        <v>11</v>
      </c>
      <c r="Z13" s="37">
        <v>1</v>
      </c>
      <c r="AA13" s="37">
        <v>1</v>
      </c>
      <c r="AB13" s="37">
        <v>1</v>
      </c>
      <c r="AC13" s="37">
        <v>1</v>
      </c>
      <c r="AD13" s="37">
        <v>1</v>
      </c>
      <c r="AE13" s="37">
        <v>1</v>
      </c>
      <c r="AF13" s="5"/>
    </row>
    <row r="14" spans="1:32" ht="15.9" customHeight="1">
      <c r="A14" s="10" t="s">
        <v>33</v>
      </c>
      <c r="B14" s="10" t="s">
        <v>33</v>
      </c>
      <c r="C14" s="48">
        <f t="shared" si="0"/>
        <v>20</v>
      </c>
      <c r="D14" s="48">
        <f t="shared" si="0"/>
        <v>2</v>
      </c>
      <c r="E14" s="48">
        <f t="shared" si="0"/>
        <v>16</v>
      </c>
      <c r="F14" s="48">
        <f t="shared" si="0"/>
        <v>2</v>
      </c>
      <c r="G14" s="48">
        <f t="shared" si="0"/>
        <v>22</v>
      </c>
      <c r="H14" s="48">
        <f t="shared" si="0"/>
        <v>2</v>
      </c>
      <c r="I14" s="9">
        <v>10</v>
      </c>
      <c r="J14" s="88"/>
      <c r="K14" s="10">
        <v>10</v>
      </c>
      <c r="L14" s="19" t="s">
        <v>38</v>
      </c>
      <c r="M14" s="19" t="s">
        <v>67</v>
      </c>
      <c r="N14" s="19" t="s">
        <v>68</v>
      </c>
      <c r="O14" s="19" t="s">
        <v>67</v>
      </c>
      <c r="P14" s="19" t="s">
        <v>67</v>
      </c>
      <c r="Q14" s="19" t="s">
        <v>63</v>
      </c>
      <c r="S14" s="10">
        <v>2</v>
      </c>
      <c r="T14" s="10">
        <v>11</v>
      </c>
      <c r="U14" s="10">
        <v>2</v>
      </c>
      <c r="V14" s="10">
        <v>11</v>
      </c>
      <c r="W14" s="10">
        <v>11</v>
      </c>
      <c r="X14" s="10">
        <v>9</v>
      </c>
      <c r="Z14" s="37">
        <v>1</v>
      </c>
      <c r="AA14" s="37">
        <v>1</v>
      </c>
      <c r="AB14" s="37">
        <v>1</v>
      </c>
      <c r="AC14" s="37">
        <v>1</v>
      </c>
      <c r="AD14" s="37">
        <v>1</v>
      </c>
      <c r="AE14" s="37">
        <v>1</v>
      </c>
      <c r="AF14" s="5"/>
    </row>
    <row r="15" spans="1:32" ht="15.9" customHeight="1">
      <c r="A15" s="10" t="s">
        <v>34</v>
      </c>
      <c r="B15" s="10" t="s">
        <v>34</v>
      </c>
      <c r="C15" s="48">
        <f>COUNTIF(L$4:L$304,$A15)</f>
        <v>4</v>
      </c>
      <c r="D15" s="48">
        <f t="shared" si="0"/>
        <v>21</v>
      </c>
      <c r="E15" s="48">
        <f t="shared" si="0"/>
        <v>10</v>
      </c>
      <c r="F15" s="48">
        <f t="shared" si="0"/>
        <v>26</v>
      </c>
      <c r="G15" s="48">
        <f t="shared" si="0"/>
        <v>20</v>
      </c>
      <c r="H15" s="48">
        <f t="shared" si="0"/>
        <v>24</v>
      </c>
      <c r="I15" s="9">
        <v>11</v>
      </c>
      <c r="J15" s="88"/>
      <c r="K15" s="10">
        <v>11</v>
      </c>
      <c r="L15" s="19" t="s">
        <v>65</v>
      </c>
      <c r="M15" s="19" t="s">
        <v>64</v>
      </c>
      <c r="N15" s="19" t="s">
        <v>63</v>
      </c>
      <c r="O15" s="19" t="s">
        <v>67</v>
      </c>
      <c r="P15" s="19" t="s">
        <v>22</v>
      </c>
      <c r="Q15" s="19" t="s">
        <v>48</v>
      </c>
      <c r="S15" s="10">
        <v>10</v>
      </c>
      <c r="T15" s="10">
        <v>8</v>
      </c>
      <c r="U15" s="10">
        <v>9</v>
      </c>
      <c r="V15" s="10">
        <v>11</v>
      </c>
      <c r="W15" s="10">
        <v>5</v>
      </c>
      <c r="X15" s="10">
        <v>1</v>
      </c>
      <c r="Z15" s="37">
        <v>1</v>
      </c>
      <c r="AA15" s="37">
        <v>1</v>
      </c>
      <c r="AB15" s="37">
        <v>1</v>
      </c>
      <c r="AC15" s="37">
        <v>1</v>
      </c>
      <c r="AD15" s="37">
        <v>1</v>
      </c>
      <c r="AE15" s="37">
        <v>1</v>
      </c>
      <c r="AF15" s="5"/>
    </row>
    <row r="16" spans="1:32" ht="15.9" customHeight="1">
      <c r="B16" s="15"/>
      <c r="C16" s="14">
        <f t="shared" ref="C16:H16" si="1">SUM(C4:C15)</f>
        <v>100</v>
      </c>
      <c r="D16" s="14">
        <f t="shared" si="1"/>
        <v>100</v>
      </c>
      <c r="E16" s="14">
        <f t="shared" si="1"/>
        <v>100</v>
      </c>
      <c r="F16" s="14">
        <f t="shared" si="1"/>
        <v>100</v>
      </c>
      <c r="G16" s="14">
        <f t="shared" si="1"/>
        <v>100</v>
      </c>
      <c r="H16" s="14">
        <f t="shared" si="1"/>
        <v>100</v>
      </c>
      <c r="I16" s="14"/>
      <c r="J16" s="88"/>
      <c r="K16" s="10">
        <v>12</v>
      </c>
      <c r="L16" s="19" t="s">
        <v>65</v>
      </c>
      <c r="M16" s="19" t="s">
        <v>48</v>
      </c>
      <c r="N16" s="19" t="s">
        <v>63</v>
      </c>
      <c r="O16" s="19" t="s">
        <v>66</v>
      </c>
      <c r="P16" s="19" t="s">
        <v>22</v>
      </c>
      <c r="Q16" s="19" t="s">
        <v>67</v>
      </c>
      <c r="S16" s="10">
        <v>10</v>
      </c>
      <c r="T16" s="10">
        <v>1</v>
      </c>
      <c r="U16" s="10">
        <v>9</v>
      </c>
      <c r="V16" s="10">
        <v>7</v>
      </c>
      <c r="W16" s="10">
        <v>5</v>
      </c>
      <c r="X16" s="10">
        <v>11</v>
      </c>
      <c r="Z16" s="37">
        <v>1</v>
      </c>
      <c r="AA16" s="37">
        <v>1</v>
      </c>
      <c r="AB16" s="37">
        <v>1</v>
      </c>
      <c r="AC16" s="37">
        <v>1</v>
      </c>
      <c r="AD16" s="37">
        <v>1</v>
      </c>
      <c r="AE16" s="37">
        <v>1</v>
      </c>
      <c r="AF16" s="5"/>
    </row>
    <row r="17" spans="1:32" ht="15.9" customHeight="1">
      <c r="B17" s="15"/>
      <c r="C17" s="15"/>
      <c r="D17" s="15"/>
      <c r="E17" s="15"/>
      <c r="F17" s="15"/>
      <c r="G17" s="15"/>
      <c r="H17" s="15"/>
      <c r="I17" s="14"/>
      <c r="J17" s="88"/>
      <c r="K17" s="10">
        <v>13</v>
      </c>
      <c r="L17" s="19" t="s">
        <v>64</v>
      </c>
      <c r="M17" s="19" t="s">
        <v>22</v>
      </c>
      <c r="N17" s="19" t="s">
        <v>67</v>
      </c>
      <c r="O17" s="19" t="s">
        <v>66</v>
      </c>
      <c r="P17" s="19" t="s">
        <v>65</v>
      </c>
      <c r="Q17" s="19" t="s">
        <v>67</v>
      </c>
      <c r="S17" s="10">
        <v>8</v>
      </c>
      <c r="T17" s="10">
        <v>5</v>
      </c>
      <c r="U17" s="10">
        <v>11</v>
      </c>
      <c r="V17" s="10">
        <v>7</v>
      </c>
      <c r="W17" s="10">
        <v>10</v>
      </c>
      <c r="X17" s="10">
        <v>11</v>
      </c>
      <c r="Z17" s="37">
        <v>1</v>
      </c>
      <c r="AA17" s="37">
        <v>1</v>
      </c>
      <c r="AB17" s="37">
        <v>1</v>
      </c>
      <c r="AC17" s="37">
        <v>1</v>
      </c>
      <c r="AD17" s="37">
        <v>1</v>
      </c>
      <c r="AE17" s="37">
        <v>1</v>
      </c>
      <c r="AF17" s="5"/>
    </row>
    <row r="18" spans="1:32" ht="15.9" customHeight="1">
      <c r="A18" s="86" t="s">
        <v>5</v>
      </c>
      <c r="B18" s="86" t="s">
        <v>13</v>
      </c>
      <c r="C18" s="86" t="s">
        <v>7</v>
      </c>
      <c r="D18" s="86" t="s">
        <v>8</v>
      </c>
      <c r="E18" s="86" t="s">
        <v>9</v>
      </c>
      <c r="F18" s="86" t="s">
        <v>10</v>
      </c>
      <c r="G18" s="86" t="s">
        <v>11</v>
      </c>
      <c r="H18" s="86" t="s">
        <v>41</v>
      </c>
      <c r="I18" s="14"/>
      <c r="J18" s="88"/>
      <c r="K18" s="48">
        <v>14</v>
      </c>
      <c r="L18" s="19" t="s">
        <v>64</v>
      </c>
      <c r="M18" s="19" t="s">
        <v>22</v>
      </c>
      <c r="N18" s="19" t="s">
        <v>67</v>
      </c>
      <c r="O18" s="19" t="s">
        <v>67</v>
      </c>
      <c r="P18" s="19" t="s">
        <v>65</v>
      </c>
      <c r="Q18" s="19" t="s">
        <v>26</v>
      </c>
      <c r="S18" s="10">
        <v>8</v>
      </c>
      <c r="T18" s="10">
        <v>5</v>
      </c>
      <c r="U18" s="10">
        <v>11</v>
      </c>
      <c r="V18" s="10">
        <v>11</v>
      </c>
      <c r="W18" s="10">
        <v>10</v>
      </c>
      <c r="X18" s="10">
        <v>3</v>
      </c>
      <c r="Z18" s="37">
        <v>1</v>
      </c>
      <c r="AA18" s="37">
        <v>1</v>
      </c>
      <c r="AB18" s="37">
        <v>1</v>
      </c>
      <c r="AC18" s="37">
        <v>1</v>
      </c>
      <c r="AD18" s="37">
        <v>1</v>
      </c>
      <c r="AE18" s="37">
        <v>1</v>
      </c>
      <c r="AF18" s="5"/>
    </row>
    <row r="19" spans="1:32" ht="15.9" customHeight="1">
      <c r="A19" s="33" t="s">
        <v>20</v>
      </c>
      <c r="B19" s="31" t="s">
        <v>21</v>
      </c>
      <c r="C19" s="35">
        <f t="shared" ref="C19:H19" si="2">C4/C$16</f>
        <v>0.03</v>
      </c>
      <c r="D19" s="35">
        <f t="shared" si="2"/>
        <v>0.03</v>
      </c>
      <c r="E19" s="35">
        <f t="shared" si="2"/>
        <v>0.03</v>
      </c>
      <c r="F19" s="35">
        <f t="shared" si="2"/>
        <v>0.03</v>
      </c>
      <c r="G19" s="35">
        <f t="shared" si="2"/>
        <v>0.03</v>
      </c>
      <c r="H19" s="35">
        <f t="shared" si="2"/>
        <v>0.03</v>
      </c>
      <c r="I19" s="14"/>
      <c r="J19" s="88"/>
      <c r="K19" s="10">
        <v>15</v>
      </c>
      <c r="L19" s="19" t="s">
        <v>65</v>
      </c>
      <c r="M19" s="19" t="s">
        <v>63</v>
      </c>
      <c r="N19" s="19" t="s">
        <v>23</v>
      </c>
      <c r="O19" s="19" t="s">
        <v>67</v>
      </c>
      <c r="P19" s="19" t="s">
        <v>20</v>
      </c>
      <c r="Q19" s="19" t="s">
        <v>26</v>
      </c>
      <c r="S19" s="10">
        <v>10</v>
      </c>
      <c r="T19" s="10">
        <v>9</v>
      </c>
      <c r="U19" s="10">
        <v>6</v>
      </c>
      <c r="V19" s="10">
        <v>11</v>
      </c>
      <c r="W19" s="10">
        <v>0</v>
      </c>
      <c r="X19" s="10">
        <v>3</v>
      </c>
      <c r="Z19" s="37">
        <v>1</v>
      </c>
      <c r="AA19" s="37">
        <v>1</v>
      </c>
      <c r="AB19" s="37">
        <v>1</v>
      </c>
      <c r="AC19" s="37">
        <v>1</v>
      </c>
      <c r="AD19" s="37">
        <v>1</v>
      </c>
      <c r="AE19" s="37">
        <v>1</v>
      </c>
      <c r="AF19" s="5"/>
    </row>
    <row r="20" spans="1:32" ht="15.9" customHeight="1">
      <c r="A20" s="43" t="s">
        <v>24</v>
      </c>
      <c r="B20" s="44" t="s">
        <v>25</v>
      </c>
      <c r="C20" s="45">
        <f t="shared" ref="C20:H20" si="3">C5/C$16</f>
        <v>0.02</v>
      </c>
      <c r="D20" s="45">
        <f t="shared" si="3"/>
        <v>0.02</v>
      </c>
      <c r="E20" s="45">
        <f t="shared" si="3"/>
        <v>0.02</v>
      </c>
      <c r="F20" s="45">
        <f t="shared" si="3"/>
        <v>0.03</v>
      </c>
      <c r="G20" s="45">
        <f t="shared" si="3"/>
        <v>0.02</v>
      </c>
      <c r="H20" s="45">
        <f t="shared" si="3"/>
        <v>0.03</v>
      </c>
      <c r="I20" s="20"/>
      <c r="J20" s="88"/>
      <c r="K20" s="10">
        <v>16</v>
      </c>
      <c r="L20" s="19" t="s">
        <v>65</v>
      </c>
      <c r="M20" s="19" t="s">
        <v>63</v>
      </c>
      <c r="N20" s="19" t="s">
        <v>23</v>
      </c>
      <c r="O20" s="19" t="s">
        <v>27</v>
      </c>
      <c r="P20" s="19" t="s">
        <v>20</v>
      </c>
      <c r="Q20" s="19" t="s">
        <v>67</v>
      </c>
      <c r="S20" s="10">
        <v>10</v>
      </c>
      <c r="T20" s="10">
        <v>9</v>
      </c>
      <c r="U20" s="10">
        <v>6</v>
      </c>
      <c r="V20" s="10">
        <v>4</v>
      </c>
      <c r="W20" s="10">
        <v>0</v>
      </c>
      <c r="X20" s="10">
        <v>11</v>
      </c>
      <c r="Z20" s="37">
        <v>1</v>
      </c>
      <c r="AA20" s="37">
        <v>1</v>
      </c>
      <c r="AB20" s="37">
        <v>1</v>
      </c>
      <c r="AC20" s="37">
        <v>1</v>
      </c>
      <c r="AD20" s="37">
        <v>1</v>
      </c>
      <c r="AE20" s="37">
        <v>1</v>
      </c>
      <c r="AF20" s="5"/>
    </row>
    <row r="21" spans="1:32" ht="15.9" customHeight="1">
      <c r="A21" s="40" t="s">
        <v>38</v>
      </c>
      <c r="B21" s="41" t="s">
        <v>39</v>
      </c>
      <c r="C21" s="42">
        <f t="shared" ref="C21:H21" si="4">C6/C$16</f>
        <v>0.03</v>
      </c>
      <c r="D21" s="42">
        <f t="shared" si="4"/>
        <v>0.03</v>
      </c>
      <c r="E21" s="42">
        <f t="shared" si="4"/>
        <v>0.03</v>
      </c>
      <c r="F21" s="42">
        <f t="shared" si="4"/>
        <v>0.03</v>
      </c>
      <c r="G21" s="42">
        <f t="shared" si="4"/>
        <v>0.03</v>
      </c>
      <c r="H21" s="42">
        <f t="shared" si="4"/>
        <v>0.03</v>
      </c>
      <c r="I21" s="20"/>
      <c r="J21" s="88"/>
      <c r="K21" s="10">
        <v>17</v>
      </c>
      <c r="L21" s="19" t="s">
        <v>23</v>
      </c>
      <c r="M21" s="19" t="s">
        <v>22</v>
      </c>
      <c r="N21" s="19" t="s">
        <v>22</v>
      </c>
      <c r="O21" s="19" t="s">
        <v>27</v>
      </c>
      <c r="P21" s="19" t="s">
        <v>67</v>
      </c>
      <c r="Q21" s="19" t="s">
        <v>38</v>
      </c>
      <c r="S21" s="10">
        <v>6</v>
      </c>
      <c r="T21" s="10">
        <v>5</v>
      </c>
      <c r="U21" s="10">
        <v>5</v>
      </c>
      <c r="V21" s="10">
        <v>4</v>
      </c>
      <c r="W21" s="10">
        <v>11</v>
      </c>
      <c r="X21" s="10">
        <v>2</v>
      </c>
      <c r="Z21" s="37">
        <v>1</v>
      </c>
      <c r="AA21" s="37">
        <v>1</v>
      </c>
      <c r="AB21" s="37">
        <v>1</v>
      </c>
      <c r="AC21" s="37">
        <v>1</v>
      </c>
      <c r="AD21" s="37">
        <v>1</v>
      </c>
      <c r="AE21" s="37">
        <v>1</v>
      </c>
      <c r="AF21" s="5"/>
    </row>
    <row r="22" spans="1:32" ht="15.9" customHeight="1">
      <c r="A22" s="10" t="s">
        <v>26</v>
      </c>
      <c r="B22" s="9" t="s">
        <v>26</v>
      </c>
      <c r="C22" s="36">
        <f t="shared" ref="C22:H22" si="5">C7/C$16</f>
        <v>0.02</v>
      </c>
      <c r="D22" s="36">
        <f t="shared" si="5"/>
        <v>0.12</v>
      </c>
      <c r="E22" s="36">
        <f t="shared" si="5"/>
        <v>0.02</v>
      </c>
      <c r="F22" s="36">
        <f t="shared" si="5"/>
        <v>0.12</v>
      </c>
      <c r="G22" s="36">
        <f t="shared" si="5"/>
        <v>0.04</v>
      </c>
      <c r="H22" s="36">
        <f t="shared" si="5"/>
        <v>0.15</v>
      </c>
      <c r="I22" s="12"/>
      <c r="J22" s="88"/>
      <c r="K22" s="10">
        <v>18</v>
      </c>
      <c r="L22" s="19" t="s">
        <v>23</v>
      </c>
      <c r="M22" s="19" t="s">
        <v>22</v>
      </c>
      <c r="N22" s="19" t="s">
        <v>22</v>
      </c>
      <c r="O22" s="19" t="s">
        <v>67</v>
      </c>
      <c r="P22" s="19" t="s">
        <v>67</v>
      </c>
      <c r="Q22" s="19" t="s">
        <v>63</v>
      </c>
      <c r="S22" s="10">
        <v>6</v>
      </c>
      <c r="T22" s="10">
        <v>5</v>
      </c>
      <c r="U22" s="10">
        <v>5</v>
      </c>
      <c r="V22" s="10">
        <v>11</v>
      </c>
      <c r="W22" s="10">
        <v>11</v>
      </c>
      <c r="X22" s="10">
        <v>9</v>
      </c>
      <c r="Z22" s="37">
        <v>1</v>
      </c>
      <c r="AA22" s="37">
        <v>1</v>
      </c>
      <c r="AB22" s="37">
        <v>1</v>
      </c>
      <c r="AC22" s="37">
        <v>1</v>
      </c>
      <c r="AD22" s="37">
        <v>1</v>
      </c>
      <c r="AE22" s="37">
        <v>1</v>
      </c>
      <c r="AF22" s="5"/>
    </row>
    <row r="23" spans="1:32" ht="15.9" customHeight="1">
      <c r="A23" s="10" t="s">
        <v>27</v>
      </c>
      <c r="B23" s="9" t="s">
        <v>27</v>
      </c>
      <c r="C23" s="36">
        <f t="shared" ref="C23:H23" si="6">C8/C$16</f>
        <v>0.16</v>
      </c>
      <c r="D23" s="36">
        <f t="shared" si="6"/>
        <v>0.02</v>
      </c>
      <c r="E23" s="36">
        <f t="shared" si="6"/>
        <v>0.12</v>
      </c>
      <c r="F23" s="36">
        <f t="shared" si="6"/>
        <v>0.1</v>
      </c>
      <c r="G23" s="36">
        <f t="shared" si="6"/>
        <v>0.04</v>
      </c>
      <c r="H23" s="36">
        <f t="shared" si="6"/>
        <v>0.02</v>
      </c>
      <c r="I23" s="12"/>
      <c r="J23" s="88"/>
      <c r="K23" s="10">
        <v>19</v>
      </c>
      <c r="L23" s="19" t="s">
        <v>66</v>
      </c>
      <c r="M23" s="19" t="s">
        <v>52</v>
      </c>
      <c r="N23" s="19" t="s">
        <v>23</v>
      </c>
      <c r="O23" s="19" t="s">
        <v>67</v>
      </c>
      <c r="P23" s="19" t="s">
        <v>22</v>
      </c>
      <c r="Q23" s="19" t="s">
        <v>63</v>
      </c>
      <c r="S23" s="10">
        <v>7</v>
      </c>
      <c r="T23" s="10">
        <v>11</v>
      </c>
      <c r="U23" s="10">
        <v>6</v>
      </c>
      <c r="V23" s="10">
        <v>11</v>
      </c>
      <c r="W23" s="10">
        <v>5</v>
      </c>
      <c r="X23" s="10">
        <v>9</v>
      </c>
      <c r="Z23" s="37">
        <v>1</v>
      </c>
      <c r="AA23" s="37">
        <v>1</v>
      </c>
      <c r="AB23" s="37">
        <v>1</v>
      </c>
      <c r="AC23" s="37">
        <v>1</v>
      </c>
      <c r="AD23" s="37">
        <v>1</v>
      </c>
      <c r="AE23" s="37">
        <v>1</v>
      </c>
      <c r="AF23" s="5"/>
    </row>
    <row r="24" spans="1:32" ht="15.9" customHeight="1">
      <c r="A24" s="10" t="s">
        <v>22</v>
      </c>
      <c r="B24" s="9" t="s">
        <v>22</v>
      </c>
      <c r="C24" s="36">
        <f t="shared" ref="C24:H24" si="7">C9/C$16</f>
        <v>0.02</v>
      </c>
      <c r="D24" s="36">
        <f t="shared" si="7"/>
        <v>0.15</v>
      </c>
      <c r="E24" s="36">
        <f t="shared" si="7"/>
        <v>0.06</v>
      </c>
      <c r="F24" s="36">
        <f t="shared" si="7"/>
        <v>0.02</v>
      </c>
      <c r="G24" s="36">
        <f t="shared" si="7"/>
        <v>0.14000000000000001</v>
      </c>
      <c r="H24" s="36">
        <f t="shared" si="7"/>
        <v>0.02</v>
      </c>
      <c r="I24" s="12"/>
      <c r="J24" s="88"/>
      <c r="K24" s="10">
        <v>20</v>
      </c>
      <c r="L24" s="19" t="s">
        <v>66</v>
      </c>
      <c r="M24" s="19" t="s">
        <v>64</v>
      </c>
      <c r="N24" s="19" t="s">
        <v>23</v>
      </c>
      <c r="O24" s="19" t="s">
        <v>27</v>
      </c>
      <c r="P24" s="19" t="s">
        <v>22</v>
      </c>
      <c r="Q24" s="19" t="s">
        <v>48</v>
      </c>
      <c r="S24" s="10">
        <v>7</v>
      </c>
      <c r="T24" s="10">
        <v>8</v>
      </c>
      <c r="U24" s="10">
        <v>6</v>
      </c>
      <c r="V24" s="10">
        <v>4</v>
      </c>
      <c r="W24" s="10">
        <v>5</v>
      </c>
      <c r="X24" s="10">
        <v>1</v>
      </c>
      <c r="Z24" s="37">
        <v>1</v>
      </c>
      <c r="AA24" s="37">
        <v>1</v>
      </c>
      <c r="AB24" s="37">
        <v>1</v>
      </c>
      <c r="AC24" s="37">
        <v>1</v>
      </c>
      <c r="AD24" s="37">
        <v>1</v>
      </c>
      <c r="AE24" s="37">
        <v>1</v>
      </c>
    </row>
    <row r="25" spans="1:32" ht="16.5" customHeight="1">
      <c r="A25" s="10" t="s">
        <v>23</v>
      </c>
      <c r="B25" s="9" t="s">
        <v>23</v>
      </c>
      <c r="C25" s="36">
        <f t="shared" ref="C25:H25" si="8">C10/C$16</f>
        <v>0.16</v>
      </c>
      <c r="D25" s="36">
        <f t="shared" si="8"/>
        <v>0.02</v>
      </c>
      <c r="E25" s="36">
        <f t="shared" si="8"/>
        <v>0.13</v>
      </c>
      <c r="F25" s="36">
        <f t="shared" si="8"/>
        <v>0.02</v>
      </c>
      <c r="G25" s="36">
        <f t="shared" si="8"/>
        <v>0.04</v>
      </c>
      <c r="H25" s="36">
        <f t="shared" si="8"/>
        <v>0.15</v>
      </c>
      <c r="I25" s="12"/>
      <c r="J25" s="88"/>
      <c r="K25" s="10">
        <v>21</v>
      </c>
      <c r="L25" s="19" t="s">
        <v>22</v>
      </c>
      <c r="M25" s="19" t="s">
        <v>64</v>
      </c>
      <c r="N25" s="19" t="s">
        <v>20</v>
      </c>
      <c r="O25" s="19" t="s">
        <v>27</v>
      </c>
      <c r="P25" s="19" t="s">
        <v>48</v>
      </c>
      <c r="Q25" s="19" t="s">
        <v>23</v>
      </c>
      <c r="S25" s="10">
        <v>5</v>
      </c>
      <c r="T25" s="10">
        <v>8</v>
      </c>
      <c r="U25" s="10">
        <v>0</v>
      </c>
      <c r="V25" s="10">
        <v>4</v>
      </c>
      <c r="W25" s="10">
        <v>1</v>
      </c>
      <c r="X25" s="10">
        <v>6</v>
      </c>
      <c r="Z25" s="37">
        <v>1</v>
      </c>
      <c r="AA25" s="37">
        <v>1</v>
      </c>
      <c r="AB25" s="37">
        <v>1</v>
      </c>
      <c r="AC25" s="37">
        <v>1</v>
      </c>
      <c r="AD25" s="37">
        <v>1</v>
      </c>
      <c r="AE25" s="37">
        <v>1</v>
      </c>
      <c r="AF25" s="5"/>
    </row>
    <row r="26" spans="1:32" ht="16.5" customHeight="1">
      <c r="A26" s="10" t="s">
        <v>30</v>
      </c>
      <c r="B26" s="10" t="s">
        <v>30</v>
      </c>
      <c r="C26" s="36">
        <f t="shared" ref="C26:H26" si="9">C11/C$16</f>
        <v>0.14000000000000001</v>
      </c>
      <c r="D26" s="36">
        <f t="shared" si="9"/>
        <v>0.02</v>
      </c>
      <c r="E26" s="36">
        <f t="shared" si="9"/>
        <v>0.2</v>
      </c>
      <c r="F26" s="36">
        <f t="shared" si="9"/>
        <v>0.17</v>
      </c>
      <c r="G26" s="36">
        <f t="shared" si="9"/>
        <v>0.02</v>
      </c>
      <c r="H26" s="36">
        <f t="shared" si="9"/>
        <v>0.04</v>
      </c>
      <c r="I26" s="12"/>
      <c r="J26" s="88"/>
      <c r="K26" s="10">
        <v>22</v>
      </c>
      <c r="L26" s="19" t="s">
        <v>22</v>
      </c>
      <c r="M26" s="19" t="s">
        <v>22</v>
      </c>
      <c r="N26" s="19" t="s">
        <v>20</v>
      </c>
      <c r="O26" s="19" t="s">
        <v>67</v>
      </c>
      <c r="P26" s="19" t="s">
        <v>64</v>
      </c>
      <c r="Q26" s="19" t="s">
        <v>67</v>
      </c>
      <c r="S26" s="10">
        <v>5</v>
      </c>
      <c r="T26" s="10">
        <v>5</v>
      </c>
      <c r="U26" s="10">
        <v>0</v>
      </c>
      <c r="V26" s="10">
        <v>11</v>
      </c>
      <c r="W26" s="10">
        <v>8</v>
      </c>
      <c r="X26" s="10">
        <v>11</v>
      </c>
      <c r="Z26" s="37">
        <v>1</v>
      </c>
      <c r="AA26" s="37">
        <v>1</v>
      </c>
      <c r="AB26" s="37">
        <v>1</v>
      </c>
      <c r="AC26" s="37">
        <v>1</v>
      </c>
      <c r="AD26" s="37">
        <v>1</v>
      </c>
      <c r="AE26" s="37">
        <v>1</v>
      </c>
      <c r="AF26" s="5"/>
    </row>
    <row r="27" spans="1:32" ht="16.5" customHeight="1">
      <c r="A27" s="10" t="s">
        <v>31</v>
      </c>
      <c r="B27" s="10" t="s">
        <v>31</v>
      </c>
      <c r="C27" s="36">
        <f t="shared" ref="C27:H27" si="10">C12/C$16</f>
        <v>0.14000000000000001</v>
      </c>
      <c r="D27" s="36">
        <f t="shared" si="10"/>
        <v>0.17</v>
      </c>
      <c r="E27" s="36">
        <f t="shared" si="10"/>
        <v>0.02</v>
      </c>
      <c r="F27" s="36">
        <f t="shared" si="10"/>
        <v>0.02</v>
      </c>
      <c r="G27" s="36">
        <f t="shared" si="10"/>
        <v>0.2</v>
      </c>
      <c r="H27" s="36">
        <f t="shared" si="10"/>
        <v>0.04</v>
      </c>
      <c r="I27" s="12"/>
      <c r="J27" s="88"/>
      <c r="K27" s="10">
        <v>23</v>
      </c>
      <c r="L27" s="19" t="s">
        <v>23</v>
      </c>
      <c r="M27" s="19" t="s">
        <v>22</v>
      </c>
      <c r="N27" s="19" t="s">
        <v>23</v>
      </c>
      <c r="O27" s="19" t="s">
        <v>67</v>
      </c>
      <c r="P27" s="19" t="s">
        <v>64</v>
      </c>
      <c r="Q27" s="19" t="s">
        <v>67</v>
      </c>
      <c r="S27" s="10">
        <v>6</v>
      </c>
      <c r="T27" s="10">
        <v>5</v>
      </c>
      <c r="U27" s="10">
        <v>6</v>
      </c>
      <c r="V27" s="10">
        <v>11</v>
      </c>
      <c r="W27" s="10">
        <v>8</v>
      </c>
      <c r="X27" s="10">
        <v>11</v>
      </c>
      <c r="Z27" s="37">
        <v>1</v>
      </c>
      <c r="AA27" s="37">
        <v>1</v>
      </c>
      <c r="AB27" s="37">
        <v>1</v>
      </c>
      <c r="AC27" s="37">
        <v>1</v>
      </c>
      <c r="AD27" s="37">
        <v>1</v>
      </c>
      <c r="AE27" s="37">
        <v>1</v>
      </c>
      <c r="AF27" s="5"/>
    </row>
    <row r="28" spans="1:32" ht="16.5" customHeight="1">
      <c r="A28" s="10" t="s">
        <v>32</v>
      </c>
      <c r="B28" s="10" t="s">
        <v>32</v>
      </c>
      <c r="C28" s="36">
        <f t="shared" ref="C28:H28" si="11">C13/C$16</f>
        <v>0.04</v>
      </c>
      <c r="D28" s="36">
        <f t="shared" si="11"/>
        <v>0.19</v>
      </c>
      <c r="E28" s="36">
        <f t="shared" si="11"/>
        <v>0.11</v>
      </c>
      <c r="F28" s="36">
        <f t="shared" si="11"/>
        <v>0.18</v>
      </c>
      <c r="G28" s="36">
        <f t="shared" si="11"/>
        <v>0.02</v>
      </c>
      <c r="H28" s="36">
        <f t="shared" si="11"/>
        <v>0.23</v>
      </c>
      <c r="I28" s="12"/>
      <c r="J28" s="88"/>
      <c r="K28" s="10">
        <v>24</v>
      </c>
      <c r="L28" s="19" t="s">
        <v>23</v>
      </c>
      <c r="M28" s="19" t="s">
        <v>26</v>
      </c>
      <c r="N28" s="19" t="s">
        <v>23</v>
      </c>
      <c r="O28" s="19" t="s">
        <v>68</v>
      </c>
      <c r="P28" s="19" t="s">
        <v>65</v>
      </c>
      <c r="Q28" s="19" t="s">
        <v>44</v>
      </c>
      <c r="S28" s="10">
        <v>6</v>
      </c>
      <c r="T28" s="10">
        <v>3</v>
      </c>
      <c r="U28" s="10">
        <v>6</v>
      </c>
      <c r="V28" s="10">
        <v>2</v>
      </c>
      <c r="W28" s="10">
        <v>10</v>
      </c>
      <c r="X28" s="10">
        <v>3</v>
      </c>
      <c r="Z28" s="37">
        <v>1</v>
      </c>
      <c r="AA28" s="37">
        <v>1</v>
      </c>
      <c r="AB28" s="37">
        <v>1</v>
      </c>
      <c r="AC28" s="37">
        <v>1</v>
      </c>
      <c r="AD28" s="37">
        <v>1</v>
      </c>
      <c r="AE28" s="37">
        <v>1</v>
      </c>
      <c r="AF28" s="5"/>
    </row>
    <row r="29" spans="1:32" ht="16.5" customHeight="1">
      <c r="A29" s="10" t="s">
        <v>33</v>
      </c>
      <c r="B29" s="10" t="s">
        <v>33</v>
      </c>
      <c r="C29" s="36">
        <f t="shared" ref="C29:H29" si="12">C14/C$16</f>
        <v>0.2</v>
      </c>
      <c r="D29" s="36">
        <f t="shared" si="12"/>
        <v>0.02</v>
      </c>
      <c r="E29" s="36">
        <f t="shared" si="12"/>
        <v>0.16</v>
      </c>
      <c r="F29" s="36">
        <f t="shared" si="12"/>
        <v>0.02</v>
      </c>
      <c r="G29" s="36">
        <f t="shared" si="12"/>
        <v>0.22</v>
      </c>
      <c r="H29" s="36">
        <f t="shared" si="12"/>
        <v>0.02</v>
      </c>
      <c r="I29" s="12"/>
      <c r="J29" s="88"/>
      <c r="K29" s="10">
        <v>25</v>
      </c>
      <c r="L29" s="19" t="s">
        <v>67</v>
      </c>
      <c r="M29" s="19" t="s">
        <v>26</v>
      </c>
      <c r="N29" s="19" t="s">
        <v>65</v>
      </c>
      <c r="O29" s="19" t="s">
        <v>66</v>
      </c>
      <c r="P29" s="19" t="s">
        <v>65</v>
      </c>
      <c r="Q29" s="19" t="s">
        <v>63</v>
      </c>
      <c r="S29" s="10">
        <v>11</v>
      </c>
      <c r="T29" s="10">
        <v>3</v>
      </c>
      <c r="U29" s="10">
        <v>10</v>
      </c>
      <c r="V29" s="10">
        <v>7</v>
      </c>
      <c r="W29" s="10">
        <v>10</v>
      </c>
      <c r="X29" s="10">
        <v>9</v>
      </c>
      <c r="Z29" s="37">
        <v>1</v>
      </c>
      <c r="AA29" s="37">
        <v>1</v>
      </c>
      <c r="AB29" s="37">
        <v>1</v>
      </c>
      <c r="AC29" s="37">
        <v>1</v>
      </c>
      <c r="AD29" s="37">
        <v>1</v>
      </c>
      <c r="AE29" s="37">
        <v>1</v>
      </c>
      <c r="AF29" s="5"/>
    </row>
    <row r="30" spans="1:32" ht="16.5" customHeight="1">
      <c r="A30" s="10" t="s">
        <v>34</v>
      </c>
      <c r="B30" s="10" t="s">
        <v>34</v>
      </c>
      <c r="C30" s="36">
        <f t="shared" ref="C30:H30" si="13">C15/C$16</f>
        <v>0.04</v>
      </c>
      <c r="D30" s="36">
        <f t="shared" si="13"/>
        <v>0.21</v>
      </c>
      <c r="E30" s="36">
        <f t="shared" si="13"/>
        <v>0.1</v>
      </c>
      <c r="F30" s="36">
        <f t="shared" si="13"/>
        <v>0.26</v>
      </c>
      <c r="G30" s="36">
        <f t="shared" si="13"/>
        <v>0.2</v>
      </c>
      <c r="H30" s="36">
        <f t="shared" si="13"/>
        <v>0.24</v>
      </c>
      <c r="I30" s="12"/>
      <c r="J30" s="88"/>
      <c r="K30" s="10">
        <v>26</v>
      </c>
      <c r="L30" s="19" t="s">
        <v>67</v>
      </c>
      <c r="M30" s="19" t="s">
        <v>45</v>
      </c>
      <c r="N30" s="19" t="s">
        <v>65</v>
      </c>
      <c r="O30" s="19" t="s">
        <v>48</v>
      </c>
      <c r="P30" s="19" t="s">
        <v>67</v>
      </c>
      <c r="Q30" s="19" t="s">
        <v>63</v>
      </c>
      <c r="S30" s="10">
        <v>11</v>
      </c>
      <c r="T30" s="10">
        <v>4</v>
      </c>
      <c r="U30" s="10">
        <v>10</v>
      </c>
      <c r="V30" s="10">
        <v>1</v>
      </c>
      <c r="W30" s="10">
        <v>11</v>
      </c>
      <c r="X30" s="10">
        <v>9</v>
      </c>
      <c r="Z30" s="37">
        <v>1</v>
      </c>
      <c r="AA30" s="37">
        <v>1</v>
      </c>
      <c r="AB30" s="37">
        <v>1</v>
      </c>
      <c r="AC30" s="37">
        <v>1</v>
      </c>
      <c r="AD30" s="37">
        <v>1</v>
      </c>
      <c r="AE30" s="37">
        <v>1</v>
      </c>
      <c r="AF30" s="5"/>
    </row>
    <row r="31" spans="1:32" ht="16.5" customHeight="1">
      <c r="I31" s="14"/>
      <c r="J31" s="88"/>
      <c r="K31" s="10">
        <v>27</v>
      </c>
      <c r="L31" s="19" t="s">
        <v>65</v>
      </c>
      <c r="M31" s="19" t="s">
        <v>45</v>
      </c>
      <c r="N31" s="19" t="s">
        <v>66</v>
      </c>
      <c r="O31" s="19" t="s">
        <v>67</v>
      </c>
      <c r="P31" s="19" t="s">
        <v>67</v>
      </c>
      <c r="Q31" s="19" t="s">
        <v>67</v>
      </c>
      <c r="S31" s="10">
        <v>10</v>
      </c>
      <c r="T31" s="10">
        <v>4</v>
      </c>
      <c r="U31" s="10">
        <v>7</v>
      </c>
      <c r="V31" s="10">
        <v>11</v>
      </c>
      <c r="W31" s="10">
        <v>11</v>
      </c>
      <c r="X31" s="10">
        <v>11</v>
      </c>
      <c r="Z31" s="37">
        <v>1</v>
      </c>
      <c r="AA31" s="37">
        <v>1</v>
      </c>
      <c r="AB31" s="37">
        <v>1</v>
      </c>
      <c r="AC31" s="37">
        <v>1</v>
      </c>
      <c r="AD31" s="37">
        <v>1</v>
      </c>
      <c r="AE31" s="37">
        <v>1</v>
      </c>
      <c r="AF31" s="5"/>
    </row>
    <row r="32" spans="1:32" ht="16.5" customHeight="1">
      <c r="K32" s="10">
        <v>28</v>
      </c>
      <c r="L32" s="19" t="s">
        <v>65</v>
      </c>
      <c r="M32" s="19" t="s">
        <v>67</v>
      </c>
      <c r="N32" s="19" t="s">
        <v>66</v>
      </c>
      <c r="O32" s="19" t="s">
        <v>67</v>
      </c>
      <c r="P32" s="19" t="s">
        <v>65</v>
      </c>
      <c r="Q32" s="19" t="s">
        <v>67</v>
      </c>
      <c r="S32" s="10">
        <v>10</v>
      </c>
      <c r="T32" s="10">
        <v>11</v>
      </c>
      <c r="U32" s="10">
        <v>7</v>
      </c>
      <c r="V32" s="10">
        <v>11</v>
      </c>
      <c r="W32" s="10">
        <v>10</v>
      </c>
      <c r="X32" s="10">
        <v>11</v>
      </c>
      <c r="Z32" s="37">
        <v>1</v>
      </c>
      <c r="AA32" s="37">
        <v>1</v>
      </c>
      <c r="AB32" s="37">
        <v>1</v>
      </c>
      <c r="AC32" s="37">
        <v>1</v>
      </c>
      <c r="AD32" s="37">
        <v>1</v>
      </c>
      <c r="AE32" s="37">
        <v>1</v>
      </c>
      <c r="AF32" s="5"/>
    </row>
    <row r="33" spans="2:32" ht="16.5" customHeight="1">
      <c r="C33" s="17"/>
      <c r="D33" s="17"/>
      <c r="E33" s="17"/>
      <c r="F33" s="17"/>
      <c r="G33" s="17"/>
      <c r="H33" s="17"/>
      <c r="K33" s="10">
        <v>29</v>
      </c>
      <c r="L33" s="19" t="s">
        <v>23</v>
      </c>
      <c r="M33" s="19" t="s">
        <v>67</v>
      </c>
      <c r="N33" s="19" t="s">
        <v>63</v>
      </c>
      <c r="O33" s="19" t="s">
        <v>66</v>
      </c>
      <c r="P33" s="19" t="s">
        <v>65</v>
      </c>
      <c r="Q33" s="19" t="s">
        <v>23</v>
      </c>
      <c r="S33" s="10">
        <v>6</v>
      </c>
      <c r="T33" s="10">
        <v>11</v>
      </c>
      <c r="U33" s="10">
        <v>9</v>
      </c>
      <c r="V33" s="10">
        <v>7</v>
      </c>
      <c r="W33" s="10">
        <v>10</v>
      </c>
      <c r="X33" s="10">
        <v>6</v>
      </c>
      <c r="Z33" s="37">
        <v>1</v>
      </c>
      <c r="AA33" s="37">
        <v>1</v>
      </c>
      <c r="AB33" s="37">
        <v>1</v>
      </c>
      <c r="AC33" s="37">
        <v>1</v>
      </c>
      <c r="AD33" s="37">
        <v>1</v>
      </c>
      <c r="AE33" s="37">
        <v>1</v>
      </c>
      <c r="AF33" s="5"/>
    </row>
    <row r="34" spans="2:32" ht="16.5" customHeight="1">
      <c r="K34" s="10">
        <v>30</v>
      </c>
      <c r="L34" s="19" t="s">
        <v>23</v>
      </c>
      <c r="M34" s="19" t="s">
        <v>22</v>
      </c>
      <c r="N34" s="19" t="s">
        <v>63</v>
      </c>
      <c r="O34" s="19" t="s">
        <v>66</v>
      </c>
      <c r="P34" s="19" t="s">
        <v>26</v>
      </c>
      <c r="Q34" s="19" t="s">
        <v>23</v>
      </c>
      <c r="S34" s="10">
        <v>6</v>
      </c>
      <c r="T34" s="10">
        <v>5</v>
      </c>
      <c r="U34" s="10">
        <v>9</v>
      </c>
      <c r="V34" s="10">
        <v>7</v>
      </c>
      <c r="W34" s="10">
        <v>3</v>
      </c>
      <c r="X34" s="10">
        <v>6</v>
      </c>
      <c r="Z34" s="37">
        <v>1</v>
      </c>
      <c r="AA34" s="37">
        <v>1</v>
      </c>
      <c r="AB34" s="37">
        <v>1</v>
      </c>
      <c r="AC34" s="37">
        <v>1</v>
      </c>
      <c r="AD34" s="37">
        <v>1</v>
      </c>
      <c r="AE34" s="37">
        <v>1</v>
      </c>
      <c r="AF34" s="5"/>
    </row>
    <row r="35" spans="2:32" ht="16.5" customHeight="1">
      <c r="K35" s="10">
        <v>31</v>
      </c>
      <c r="L35" s="19" t="s">
        <v>65</v>
      </c>
      <c r="M35" s="19" t="s">
        <v>22</v>
      </c>
      <c r="N35" s="19" t="s">
        <v>48</v>
      </c>
      <c r="O35" s="19" t="s">
        <v>26</v>
      </c>
      <c r="P35" s="19" t="s">
        <v>26</v>
      </c>
      <c r="Q35" s="19" t="s">
        <v>63</v>
      </c>
      <c r="S35" s="10">
        <v>10</v>
      </c>
      <c r="T35" s="10">
        <v>5</v>
      </c>
      <c r="U35" s="10">
        <v>1</v>
      </c>
      <c r="V35" s="10">
        <v>3</v>
      </c>
      <c r="W35" s="10">
        <v>3</v>
      </c>
      <c r="X35" s="10">
        <v>9</v>
      </c>
      <c r="Z35" s="37">
        <v>1</v>
      </c>
      <c r="AA35" s="37">
        <v>1</v>
      </c>
      <c r="AB35" s="37">
        <v>1</v>
      </c>
      <c r="AC35" s="37">
        <v>1</v>
      </c>
      <c r="AD35" s="37">
        <v>1</v>
      </c>
      <c r="AE35" s="37">
        <v>1</v>
      </c>
      <c r="AF35" s="5"/>
    </row>
    <row r="36" spans="2:32" ht="16.5" customHeight="1">
      <c r="K36" s="10">
        <v>32</v>
      </c>
      <c r="L36" s="19" t="s">
        <v>65</v>
      </c>
      <c r="M36" s="19" t="s">
        <v>67</v>
      </c>
      <c r="N36" s="19" t="s">
        <v>66</v>
      </c>
      <c r="O36" s="19" t="s">
        <v>26</v>
      </c>
      <c r="P36" s="19" t="s">
        <v>48</v>
      </c>
      <c r="Q36" s="19" t="s">
        <v>63</v>
      </c>
      <c r="S36" s="10">
        <v>10</v>
      </c>
      <c r="T36" s="10">
        <v>11</v>
      </c>
      <c r="U36" s="10">
        <v>7</v>
      </c>
      <c r="V36" s="10">
        <v>3</v>
      </c>
      <c r="W36" s="10">
        <v>1</v>
      </c>
      <c r="X36" s="10">
        <v>9</v>
      </c>
      <c r="Z36" s="37">
        <v>1</v>
      </c>
      <c r="AA36" s="37">
        <v>1</v>
      </c>
      <c r="AB36" s="37">
        <v>1</v>
      </c>
      <c r="AC36" s="37">
        <v>1</v>
      </c>
      <c r="AD36" s="37">
        <v>1</v>
      </c>
      <c r="AE36" s="37">
        <v>1</v>
      </c>
      <c r="AF36" s="5"/>
    </row>
    <row r="37" spans="2:32" ht="16.5" customHeight="1">
      <c r="B37" s="5" t="s">
        <v>20</v>
      </c>
      <c r="C37" s="5">
        <f>SUM(C4:H4)</f>
        <v>18</v>
      </c>
      <c r="D37" s="18">
        <f>C37/SUM($C$37:$C$48)</f>
        <v>0.03</v>
      </c>
      <c r="K37" s="10">
        <v>33</v>
      </c>
      <c r="L37" s="19" t="s">
        <v>63</v>
      </c>
      <c r="M37" s="19" t="s">
        <v>67</v>
      </c>
      <c r="N37" s="19" t="s">
        <v>22</v>
      </c>
      <c r="O37" s="19" t="s">
        <v>27</v>
      </c>
      <c r="P37" s="19" t="s">
        <v>65</v>
      </c>
      <c r="Q37" s="19" t="s">
        <v>23</v>
      </c>
      <c r="S37" s="10">
        <v>9</v>
      </c>
      <c r="T37" s="10">
        <v>11</v>
      </c>
      <c r="U37" s="10">
        <v>5</v>
      </c>
      <c r="V37" s="10">
        <v>4</v>
      </c>
      <c r="W37" s="10">
        <v>10</v>
      </c>
      <c r="X37" s="10">
        <v>6</v>
      </c>
      <c r="Z37" s="37">
        <v>1</v>
      </c>
      <c r="AA37" s="37">
        <v>1</v>
      </c>
      <c r="AB37" s="37">
        <v>1</v>
      </c>
      <c r="AC37" s="37">
        <v>1</v>
      </c>
      <c r="AD37" s="37">
        <v>1</v>
      </c>
      <c r="AE37" s="37">
        <v>1</v>
      </c>
      <c r="AF37" s="5"/>
    </row>
    <row r="38" spans="2:32" ht="16.5" customHeight="1">
      <c r="B38" s="5" t="s">
        <v>24</v>
      </c>
      <c r="C38" s="5">
        <f t="shared" ref="C38:C48" si="14">SUM(C5:H5)</f>
        <v>14</v>
      </c>
      <c r="D38" s="18">
        <f t="shared" ref="D38:D48" si="15">C38/SUM($C$37:$C$48)</f>
        <v>2.3333333333333334E-2</v>
      </c>
      <c r="K38" s="10">
        <v>34</v>
      </c>
      <c r="L38" s="19" t="s">
        <v>63</v>
      </c>
      <c r="M38" s="19" t="s">
        <v>22</v>
      </c>
      <c r="N38" s="19" t="s">
        <v>22</v>
      </c>
      <c r="O38" s="19" t="s">
        <v>27</v>
      </c>
      <c r="P38" s="19" t="s">
        <v>65</v>
      </c>
      <c r="Q38" s="19" t="s">
        <v>23</v>
      </c>
      <c r="S38" s="10">
        <v>9</v>
      </c>
      <c r="T38" s="10">
        <v>5</v>
      </c>
      <c r="U38" s="10">
        <v>5</v>
      </c>
      <c r="V38" s="10">
        <v>4</v>
      </c>
      <c r="W38" s="10">
        <v>10</v>
      </c>
      <c r="X38" s="10">
        <v>6</v>
      </c>
      <c r="Z38" s="37">
        <v>1</v>
      </c>
      <c r="AA38" s="37">
        <v>1</v>
      </c>
      <c r="AB38" s="37">
        <v>1</v>
      </c>
      <c r="AC38" s="37">
        <v>1</v>
      </c>
      <c r="AD38" s="37">
        <v>1</v>
      </c>
      <c r="AE38" s="37">
        <v>1</v>
      </c>
      <c r="AF38" s="5"/>
    </row>
    <row r="39" spans="2:32" ht="16.5" customHeight="1">
      <c r="B39" s="5" t="s">
        <v>68</v>
      </c>
      <c r="C39" s="5">
        <f t="shared" si="14"/>
        <v>18</v>
      </c>
      <c r="D39" s="18">
        <f t="shared" si="15"/>
        <v>0.03</v>
      </c>
      <c r="K39" s="10">
        <v>35</v>
      </c>
      <c r="L39" s="19" t="s">
        <v>65</v>
      </c>
      <c r="M39" s="19" t="s">
        <v>22</v>
      </c>
      <c r="N39" s="19" t="s">
        <v>67</v>
      </c>
      <c r="O39" s="19" t="s">
        <v>68</v>
      </c>
      <c r="P39" s="19" t="s">
        <v>67</v>
      </c>
      <c r="Q39" s="19" t="s">
        <v>63</v>
      </c>
      <c r="S39" s="10">
        <v>10</v>
      </c>
      <c r="T39" s="10">
        <v>5</v>
      </c>
      <c r="U39" s="10">
        <v>11</v>
      </c>
      <c r="V39" s="10">
        <v>2</v>
      </c>
      <c r="W39" s="10">
        <v>11</v>
      </c>
      <c r="X39" s="10">
        <v>9</v>
      </c>
      <c r="Z39" s="37">
        <v>1</v>
      </c>
      <c r="AA39" s="37">
        <v>1</v>
      </c>
      <c r="AB39" s="37">
        <v>1</v>
      </c>
      <c r="AC39" s="37">
        <v>1</v>
      </c>
      <c r="AD39" s="37">
        <v>1</v>
      </c>
      <c r="AE39" s="37">
        <v>1</v>
      </c>
      <c r="AF39" s="5"/>
    </row>
    <row r="40" spans="2:32" ht="16.5" customHeight="1">
      <c r="B40" s="5" t="s">
        <v>26</v>
      </c>
      <c r="C40" s="5">
        <f t="shared" si="14"/>
        <v>47</v>
      </c>
      <c r="D40" s="18">
        <f t="shared" si="15"/>
        <v>7.8333333333333338E-2</v>
      </c>
      <c r="E40" s="18">
        <v>4.5933531477978925E-3</v>
      </c>
      <c r="K40" s="10">
        <v>36</v>
      </c>
      <c r="L40" s="19" t="s">
        <v>65</v>
      </c>
      <c r="M40" s="19" t="s">
        <v>68</v>
      </c>
      <c r="N40" s="19" t="s">
        <v>67</v>
      </c>
      <c r="O40" s="19" t="s">
        <v>68</v>
      </c>
      <c r="P40" s="19" t="s">
        <v>67</v>
      </c>
      <c r="Q40" s="19" t="s">
        <v>63</v>
      </c>
      <c r="S40" s="10">
        <v>10</v>
      </c>
      <c r="T40" s="10">
        <v>2</v>
      </c>
      <c r="U40" s="10">
        <v>11</v>
      </c>
      <c r="V40" s="10">
        <v>2</v>
      </c>
      <c r="W40" s="10">
        <v>11</v>
      </c>
      <c r="X40" s="10">
        <v>9</v>
      </c>
      <c r="Z40" s="37">
        <v>1</v>
      </c>
      <c r="AA40" s="37">
        <v>1</v>
      </c>
      <c r="AB40" s="37">
        <v>1</v>
      </c>
      <c r="AC40" s="37">
        <v>1</v>
      </c>
      <c r="AD40" s="37">
        <v>1</v>
      </c>
      <c r="AE40" s="37">
        <v>1</v>
      </c>
      <c r="AF40" s="5"/>
    </row>
    <row r="41" spans="2:32" ht="16.5" customHeight="1">
      <c r="B41" s="5" t="s">
        <v>27</v>
      </c>
      <c r="C41" s="5">
        <f t="shared" si="14"/>
        <v>46</v>
      </c>
      <c r="D41" s="18">
        <f t="shared" si="15"/>
        <v>7.6666666666666661E-2</v>
      </c>
      <c r="E41" s="18">
        <v>2.8100513374763578E-2</v>
      </c>
      <c r="K41" s="10">
        <v>37</v>
      </c>
      <c r="L41" s="19" t="s">
        <v>48</v>
      </c>
      <c r="M41" s="19" t="s">
        <v>68</v>
      </c>
      <c r="N41" s="19" t="s">
        <v>23</v>
      </c>
      <c r="O41" s="19" t="s">
        <v>65</v>
      </c>
      <c r="P41" s="19" t="s">
        <v>23</v>
      </c>
      <c r="Q41" s="19" t="s">
        <v>26</v>
      </c>
      <c r="S41" s="10">
        <v>1</v>
      </c>
      <c r="T41" s="10">
        <v>2</v>
      </c>
      <c r="U41" s="10">
        <v>6</v>
      </c>
      <c r="V41" s="10">
        <v>10</v>
      </c>
      <c r="W41" s="10">
        <v>6</v>
      </c>
      <c r="X41" s="10">
        <v>3</v>
      </c>
      <c r="Z41" s="37">
        <v>1</v>
      </c>
      <c r="AA41" s="37">
        <v>1</v>
      </c>
      <c r="AB41" s="37">
        <v>1</v>
      </c>
      <c r="AC41" s="37">
        <v>1</v>
      </c>
      <c r="AD41" s="37">
        <v>1</v>
      </c>
      <c r="AE41" s="37">
        <v>1</v>
      </c>
      <c r="AF41" s="5"/>
    </row>
    <row r="42" spans="2:32" ht="16.5" customHeight="1">
      <c r="B42" s="5" t="s">
        <v>22</v>
      </c>
      <c r="C42" s="5">
        <f t="shared" si="14"/>
        <v>41</v>
      </c>
      <c r="D42" s="18">
        <f t="shared" si="15"/>
        <v>6.8333333333333329E-2</v>
      </c>
      <c r="E42" s="18">
        <v>3.2693866522561468E-2</v>
      </c>
      <c r="K42" s="10">
        <v>38</v>
      </c>
      <c r="L42" s="19" t="s">
        <v>64</v>
      </c>
      <c r="M42" s="19" t="s">
        <v>63</v>
      </c>
      <c r="N42" s="19" t="s">
        <v>23</v>
      </c>
      <c r="O42" s="19" t="s">
        <v>65</v>
      </c>
      <c r="P42" s="19" t="s">
        <v>23</v>
      </c>
      <c r="Q42" s="19" t="s">
        <v>26</v>
      </c>
      <c r="S42" s="10">
        <v>8</v>
      </c>
      <c r="T42" s="10">
        <v>9</v>
      </c>
      <c r="U42" s="10">
        <v>6</v>
      </c>
      <c r="V42" s="10">
        <v>10</v>
      </c>
      <c r="W42" s="10">
        <v>6</v>
      </c>
      <c r="X42" s="10">
        <v>3</v>
      </c>
      <c r="Z42" s="37">
        <v>1</v>
      </c>
      <c r="AA42" s="37">
        <v>1</v>
      </c>
      <c r="AB42" s="37">
        <v>1</v>
      </c>
      <c r="AC42" s="37">
        <v>1</v>
      </c>
      <c r="AD42" s="37">
        <v>1</v>
      </c>
      <c r="AE42" s="37">
        <v>1</v>
      </c>
      <c r="AF42" s="5"/>
    </row>
    <row r="43" spans="2:32" ht="16.5" customHeight="1">
      <c r="B43" s="5" t="s">
        <v>23</v>
      </c>
      <c r="C43" s="5">
        <f t="shared" si="14"/>
        <v>52</v>
      </c>
      <c r="D43" s="18">
        <f t="shared" si="15"/>
        <v>8.666666666666667E-2</v>
      </c>
      <c r="E43" s="18">
        <v>4.1069981086192919E-2</v>
      </c>
      <c r="K43" s="10">
        <v>39</v>
      </c>
      <c r="L43" s="19" t="s">
        <v>64</v>
      </c>
      <c r="M43" s="19" t="s">
        <v>63</v>
      </c>
      <c r="N43" s="19" t="s">
        <v>27</v>
      </c>
      <c r="O43" s="19" t="s">
        <v>67</v>
      </c>
      <c r="P43" s="19" t="s">
        <v>51</v>
      </c>
      <c r="Q43" s="19" t="s">
        <v>23</v>
      </c>
      <c r="S43" s="10">
        <v>8</v>
      </c>
      <c r="T43" s="10">
        <v>9</v>
      </c>
      <c r="U43" s="10">
        <v>4</v>
      </c>
      <c r="V43" s="10">
        <v>11</v>
      </c>
      <c r="W43" s="10">
        <v>10</v>
      </c>
      <c r="X43" s="10">
        <v>6</v>
      </c>
      <c r="Z43" s="37">
        <v>1</v>
      </c>
      <c r="AA43" s="37">
        <v>1</v>
      </c>
      <c r="AB43" s="37">
        <v>1</v>
      </c>
      <c r="AC43" s="37">
        <v>1</v>
      </c>
      <c r="AD43" s="37">
        <v>1</v>
      </c>
      <c r="AE43" s="37">
        <v>1</v>
      </c>
      <c r="AF43" s="5"/>
    </row>
    <row r="44" spans="2:32" ht="16.5" customHeight="1">
      <c r="B44" s="5" t="s">
        <v>66</v>
      </c>
      <c r="C44" s="5">
        <f t="shared" si="14"/>
        <v>59</v>
      </c>
      <c r="D44" s="18">
        <f t="shared" si="15"/>
        <v>9.8333333333333328E-2</v>
      </c>
      <c r="E44" s="18">
        <v>5.8362604701432043E-2</v>
      </c>
      <c r="K44" s="10">
        <v>40</v>
      </c>
      <c r="L44" s="19" t="s">
        <v>65</v>
      </c>
      <c r="M44" s="19" t="s">
        <v>67</v>
      </c>
      <c r="N44" s="19" t="s">
        <v>27</v>
      </c>
      <c r="O44" s="19" t="s">
        <v>67</v>
      </c>
      <c r="P44" s="19" t="s">
        <v>51</v>
      </c>
      <c r="Q44" s="19" t="s">
        <v>23</v>
      </c>
      <c r="S44" s="10">
        <v>10</v>
      </c>
      <c r="T44" s="10">
        <v>11</v>
      </c>
      <c r="U44" s="10">
        <v>4</v>
      </c>
      <c r="V44" s="10">
        <v>11</v>
      </c>
      <c r="W44" s="10">
        <v>10</v>
      </c>
      <c r="X44" s="10">
        <v>6</v>
      </c>
      <c r="Z44" s="37">
        <v>1</v>
      </c>
      <c r="AA44" s="37">
        <v>1</v>
      </c>
      <c r="AB44" s="37">
        <v>1</v>
      </c>
      <c r="AC44" s="37">
        <v>1</v>
      </c>
      <c r="AD44" s="37">
        <v>1</v>
      </c>
      <c r="AE44" s="37">
        <v>1</v>
      </c>
      <c r="AF44" s="5"/>
    </row>
    <row r="45" spans="2:32" ht="16.5" customHeight="1">
      <c r="B45" s="5" t="s">
        <v>64</v>
      </c>
      <c r="C45" s="5">
        <f t="shared" si="14"/>
        <v>59</v>
      </c>
      <c r="D45" s="18">
        <f t="shared" si="15"/>
        <v>9.8333333333333328E-2</v>
      </c>
      <c r="E45" s="18">
        <v>0.11537422318292354</v>
      </c>
      <c r="K45" s="10">
        <v>41</v>
      </c>
      <c r="L45" s="19" t="s">
        <v>65</v>
      </c>
      <c r="M45" s="19" t="s">
        <v>67</v>
      </c>
      <c r="N45" s="19" t="s">
        <v>65</v>
      </c>
      <c r="O45" s="19" t="s">
        <v>22</v>
      </c>
      <c r="P45" s="19" t="s">
        <v>67</v>
      </c>
      <c r="Q45" s="19" t="s">
        <v>26</v>
      </c>
      <c r="S45" s="10">
        <v>10</v>
      </c>
      <c r="T45" s="10">
        <v>11</v>
      </c>
      <c r="U45" s="10">
        <v>10</v>
      </c>
      <c r="V45" s="10">
        <v>5</v>
      </c>
      <c r="W45" s="10">
        <v>11</v>
      </c>
      <c r="X45" s="10">
        <v>3</v>
      </c>
      <c r="Z45" s="37">
        <v>1</v>
      </c>
      <c r="AA45" s="37">
        <v>1</v>
      </c>
      <c r="AB45" s="37">
        <v>1</v>
      </c>
      <c r="AC45" s="37">
        <v>1</v>
      </c>
      <c r="AD45" s="37">
        <v>1</v>
      </c>
      <c r="AE45" s="37">
        <v>1</v>
      </c>
      <c r="AF45" s="5"/>
    </row>
    <row r="46" spans="2:32" ht="16.5" customHeight="1">
      <c r="B46" s="5" t="s">
        <v>63</v>
      </c>
      <c r="C46" s="5">
        <f t="shared" si="14"/>
        <v>77</v>
      </c>
      <c r="D46" s="18">
        <f t="shared" si="15"/>
        <v>0.12833333333333333</v>
      </c>
      <c r="E46" s="18">
        <v>0.18670629559578492</v>
      </c>
      <c r="K46" s="10">
        <v>42</v>
      </c>
      <c r="L46" s="19" t="s">
        <v>64</v>
      </c>
      <c r="M46" s="19" t="s">
        <v>23</v>
      </c>
      <c r="N46" s="19" t="s">
        <v>65</v>
      </c>
      <c r="O46" s="19" t="s">
        <v>22</v>
      </c>
      <c r="P46" s="19" t="s">
        <v>67</v>
      </c>
      <c r="Q46" s="19" t="s">
        <v>26</v>
      </c>
      <c r="S46" s="10">
        <v>8</v>
      </c>
      <c r="T46" s="10">
        <v>6</v>
      </c>
      <c r="U46" s="10">
        <v>10</v>
      </c>
      <c r="V46" s="10">
        <v>5</v>
      </c>
      <c r="W46" s="10">
        <v>11</v>
      </c>
      <c r="X46" s="10">
        <v>3</v>
      </c>
      <c r="Z46" s="37">
        <v>1</v>
      </c>
      <c r="AA46" s="37">
        <v>1</v>
      </c>
      <c r="AB46" s="37">
        <v>1</v>
      </c>
      <c r="AC46" s="37">
        <v>1</v>
      </c>
      <c r="AD46" s="37">
        <v>1</v>
      </c>
      <c r="AE46" s="37">
        <v>1</v>
      </c>
      <c r="AF46" s="5"/>
    </row>
    <row r="47" spans="2:32" ht="16.5" customHeight="1">
      <c r="B47" s="5" t="s">
        <v>65</v>
      </c>
      <c r="C47" s="5">
        <f t="shared" si="14"/>
        <v>64</v>
      </c>
      <c r="D47" s="18">
        <f t="shared" si="15"/>
        <v>0.10666666666666667</v>
      </c>
      <c r="E47" s="18">
        <v>0.20237773574709539</v>
      </c>
      <c r="K47" s="10">
        <v>43</v>
      </c>
      <c r="L47" s="19" t="s">
        <v>64</v>
      </c>
      <c r="M47" s="19" t="s">
        <v>23</v>
      </c>
      <c r="N47" s="19" t="s">
        <v>68</v>
      </c>
      <c r="O47" s="19" t="s">
        <v>27</v>
      </c>
      <c r="P47" s="19" t="s">
        <v>65</v>
      </c>
      <c r="Q47" s="19" t="s">
        <v>23</v>
      </c>
      <c r="S47" s="10">
        <v>8</v>
      </c>
      <c r="T47" s="10">
        <v>6</v>
      </c>
      <c r="U47" s="10">
        <v>2</v>
      </c>
      <c r="V47" s="10">
        <v>4</v>
      </c>
      <c r="W47" s="10">
        <v>10</v>
      </c>
      <c r="X47" s="10">
        <v>6</v>
      </c>
      <c r="Z47" s="37">
        <v>1</v>
      </c>
      <c r="AA47" s="37">
        <v>1</v>
      </c>
      <c r="AB47" s="37">
        <v>1</v>
      </c>
      <c r="AC47" s="37">
        <v>1</v>
      </c>
      <c r="AD47" s="37">
        <v>1</v>
      </c>
      <c r="AE47" s="37">
        <v>1</v>
      </c>
      <c r="AF47" s="5"/>
    </row>
    <row r="48" spans="2:32" ht="16.5" customHeight="1">
      <c r="B48" s="5" t="s">
        <v>67</v>
      </c>
      <c r="C48" s="5">
        <f t="shared" si="14"/>
        <v>105</v>
      </c>
      <c r="D48" s="18">
        <f t="shared" si="15"/>
        <v>0.17499999999999999</v>
      </c>
      <c r="E48" s="18">
        <v>0.33072142664144827</v>
      </c>
      <c r="K48" s="10">
        <v>44</v>
      </c>
      <c r="L48" s="19" t="s">
        <v>27</v>
      </c>
      <c r="M48" s="19" t="s">
        <v>64</v>
      </c>
      <c r="N48" s="19" t="s">
        <v>65</v>
      </c>
      <c r="O48" s="19" t="s">
        <v>27</v>
      </c>
      <c r="P48" s="19" t="s">
        <v>65</v>
      </c>
      <c r="Q48" s="19" t="s">
        <v>23</v>
      </c>
      <c r="S48" s="10">
        <v>4</v>
      </c>
      <c r="T48" s="10">
        <v>8</v>
      </c>
      <c r="U48" s="10">
        <v>10</v>
      </c>
      <c r="V48" s="10">
        <v>4</v>
      </c>
      <c r="W48" s="10">
        <v>10</v>
      </c>
      <c r="X48" s="10">
        <v>6</v>
      </c>
      <c r="Z48" s="37">
        <v>1</v>
      </c>
      <c r="AA48" s="37">
        <v>1</v>
      </c>
      <c r="AB48" s="37">
        <v>1</v>
      </c>
      <c r="AC48" s="37">
        <v>1</v>
      </c>
      <c r="AD48" s="37">
        <v>1</v>
      </c>
      <c r="AE48" s="37">
        <v>1</v>
      </c>
      <c r="AF48" s="5"/>
    </row>
    <row r="49" spans="11:32" ht="16.5" customHeight="1">
      <c r="K49" s="10">
        <v>45</v>
      </c>
      <c r="L49" s="19" t="s">
        <v>27</v>
      </c>
      <c r="M49" s="19" t="s">
        <v>64</v>
      </c>
      <c r="N49" s="19" t="s">
        <v>65</v>
      </c>
      <c r="O49" s="19" t="s">
        <v>20</v>
      </c>
      <c r="P49" s="19" t="s">
        <v>68</v>
      </c>
      <c r="Q49" s="19" t="s">
        <v>26</v>
      </c>
      <c r="S49" s="10">
        <v>4</v>
      </c>
      <c r="T49" s="10">
        <v>8</v>
      </c>
      <c r="U49" s="10">
        <v>10</v>
      </c>
      <c r="V49" s="10">
        <v>0</v>
      </c>
      <c r="W49" s="10">
        <v>2</v>
      </c>
      <c r="X49" s="10">
        <v>3</v>
      </c>
      <c r="Z49" s="37">
        <v>1</v>
      </c>
      <c r="AA49" s="37">
        <v>1</v>
      </c>
      <c r="AB49" s="37">
        <v>1</v>
      </c>
      <c r="AC49" s="37">
        <v>1</v>
      </c>
      <c r="AD49" s="37">
        <v>1</v>
      </c>
      <c r="AE49" s="37">
        <v>1</v>
      </c>
      <c r="AF49" s="5"/>
    </row>
    <row r="50" spans="11:32" ht="16.5" customHeight="1">
      <c r="K50" s="10">
        <v>46</v>
      </c>
      <c r="L50" s="19" t="s">
        <v>66</v>
      </c>
      <c r="M50" s="19" t="s">
        <v>67</v>
      </c>
      <c r="N50" s="19" t="s">
        <v>67</v>
      </c>
      <c r="O50" s="19" t="s">
        <v>20</v>
      </c>
      <c r="P50" s="19" t="s">
        <v>68</v>
      </c>
      <c r="Q50" s="19" t="s">
        <v>26</v>
      </c>
      <c r="S50" s="10">
        <v>7</v>
      </c>
      <c r="T50" s="10">
        <v>11</v>
      </c>
      <c r="U50" s="10">
        <v>11</v>
      </c>
      <c r="V50" s="10">
        <v>0</v>
      </c>
      <c r="W50" s="10">
        <v>2</v>
      </c>
      <c r="X50" s="10">
        <v>3</v>
      </c>
      <c r="Z50" s="37">
        <v>1</v>
      </c>
      <c r="AA50" s="37">
        <v>1</v>
      </c>
      <c r="AB50" s="37">
        <v>1</v>
      </c>
      <c r="AC50" s="37">
        <v>1</v>
      </c>
      <c r="AD50" s="37">
        <v>1</v>
      </c>
      <c r="AE50" s="37">
        <v>1</v>
      </c>
      <c r="AF50" s="5"/>
    </row>
    <row r="51" spans="11:32" ht="16.5" customHeight="1">
      <c r="K51" s="10">
        <v>47</v>
      </c>
      <c r="L51" s="19" t="s">
        <v>66</v>
      </c>
      <c r="M51" s="19" t="s">
        <v>67</v>
      </c>
      <c r="N51" s="19" t="s">
        <v>67</v>
      </c>
      <c r="O51" s="19" t="s">
        <v>67</v>
      </c>
      <c r="P51" s="19" t="s">
        <v>64</v>
      </c>
      <c r="Q51" s="19" t="s">
        <v>20</v>
      </c>
      <c r="S51" s="10">
        <v>7</v>
      </c>
      <c r="T51" s="10">
        <v>11</v>
      </c>
      <c r="U51" s="10">
        <v>11</v>
      </c>
      <c r="V51" s="10">
        <v>11</v>
      </c>
      <c r="W51" s="10">
        <v>8</v>
      </c>
      <c r="X51" s="10">
        <v>0</v>
      </c>
      <c r="Z51" s="37">
        <v>1</v>
      </c>
      <c r="AA51" s="37">
        <v>1</v>
      </c>
      <c r="AB51" s="37">
        <v>1</v>
      </c>
      <c r="AC51" s="37">
        <v>1</v>
      </c>
      <c r="AD51" s="37">
        <v>1</v>
      </c>
      <c r="AE51" s="37">
        <v>1</v>
      </c>
      <c r="AF51" s="5"/>
    </row>
    <row r="52" spans="11:32" ht="16.5" customHeight="1">
      <c r="K52" s="10">
        <v>48</v>
      </c>
      <c r="L52" s="19" t="s">
        <v>27</v>
      </c>
      <c r="M52" s="19" t="s">
        <v>64</v>
      </c>
      <c r="N52" s="19" t="s">
        <v>65</v>
      </c>
      <c r="O52" s="19" t="s">
        <v>67</v>
      </c>
      <c r="P52" s="19" t="s">
        <v>64</v>
      </c>
      <c r="Q52" s="19" t="s">
        <v>66</v>
      </c>
      <c r="S52" s="10">
        <v>4</v>
      </c>
      <c r="T52" s="10">
        <v>8</v>
      </c>
      <c r="U52" s="10">
        <v>10</v>
      </c>
      <c r="V52" s="10">
        <v>11</v>
      </c>
      <c r="W52" s="10">
        <v>8</v>
      </c>
      <c r="X52" s="10">
        <v>7</v>
      </c>
      <c r="Z52" s="37">
        <v>1</v>
      </c>
      <c r="AA52" s="37">
        <v>1</v>
      </c>
      <c r="AB52" s="37">
        <v>1</v>
      </c>
      <c r="AC52" s="37">
        <v>1</v>
      </c>
      <c r="AD52" s="37">
        <v>1</v>
      </c>
      <c r="AE52" s="37">
        <v>1</v>
      </c>
      <c r="AF52" s="5"/>
    </row>
    <row r="53" spans="11:32" ht="16.5" customHeight="1">
      <c r="K53" s="10">
        <v>49</v>
      </c>
      <c r="L53" s="19" t="s">
        <v>27</v>
      </c>
      <c r="M53" s="19" t="s">
        <v>64</v>
      </c>
      <c r="N53" s="19" t="s">
        <v>65</v>
      </c>
      <c r="O53" s="19" t="s">
        <v>63</v>
      </c>
      <c r="P53" s="19" t="s">
        <v>27</v>
      </c>
      <c r="Q53" s="19" t="s">
        <v>66</v>
      </c>
      <c r="S53" s="10">
        <v>4</v>
      </c>
      <c r="T53" s="10">
        <v>8</v>
      </c>
      <c r="U53" s="10">
        <v>10</v>
      </c>
      <c r="V53" s="10">
        <v>9</v>
      </c>
      <c r="W53" s="10">
        <v>4</v>
      </c>
      <c r="X53" s="10">
        <v>7</v>
      </c>
      <c r="Z53" s="37">
        <v>1</v>
      </c>
      <c r="AA53" s="37">
        <v>1</v>
      </c>
      <c r="AB53" s="37">
        <v>1</v>
      </c>
      <c r="AC53" s="37">
        <v>1</v>
      </c>
      <c r="AD53" s="37">
        <v>1</v>
      </c>
      <c r="AE53" s="37">
        <v>1</v>
      </c>
      <c r="AF53" s="5"/>
    </row>
    <row r="54" spans="11:32" ht="16.5" customHeight="1">
      <c r="K54" s="10">
        <v>50</v>
      </c>
      <c r="L54" s="19" t="s">
        <v>23</v>
      </c>
      <c r="M54" s="19" t="s">
        <v>26</v>
      </c>
      <c r="N54" s="19" t="s">
        <v>63</v>
      </c>
      <c r="O54" s="19" t="s">
        <v>63</v>
      </c>
      <c r="P54" s="19" t="s">
        <v>27</v>
      </c>
      <c r="Q54" s="19" t="s">
        <v>63</v>
      </c>
      <c r="S54" s="10">
        <v>6</v>
      </c>
      <c r="T54" s="10">
        <v>3</v>
      </c>
      <c r="U54" s="10">
        <v>9</v>
      </c>
      <c r="V54" s="10">
        <v>9</v>
      </c>
      <c r="W54" s="10">
        <v>4</v>
      </c>
      <c r="X54" s="10">
        <v>9</v>
      </c>
      <c r="Z54" s="37">
        <v>1</v>
      </c>
      <c r="AA54" s="37">
        <v>1</v>
      </c>
      <c r="AB54" s="37">
        <v>1</v>
      </c>
      <c r="AC54" s="37">
        <v>1</v>
      </c>
      <c r="AD54" s="37">
        <v>1</v>
      </c>
      <c r="AE54" s="37">
        <v>1</v>
      </c>
      <c r="AF54" s="5"/>
    </row>
    <row r="55" spans="11:32" ht="16.5" customHeight="1">
      <c r="K55" s="10">
        <v>51</v>
      </c>
      <c r="L55" s="19" t="s">
        <v>23</v>
      </c>
      <c r="M55" s="19" t="s">
        <v>26</v>
      </c>
      <c r="N55" s="19" t="s">
        <v>63</v>
      </c>
      <c r="O55" s="19" t="s">
        <v>67</v>
      </c>
      <c r="P55" s="19" t="s">
        <v>65</v>
      </c>
      <c r="Q55" s="19" t="s">
        <v>63</v>
      </c>
      <c r="S55" s="10">
        <v>6</v>
      </c>
      <c r="T55" s="10">
        <v>3</v>
      </c>
      <c r="U55" s="10">
        <v>9</v>
      </c>
      <c r="V55" s="10">
        <v>11</v>
      </c>
      <c r="W55" s="10">
        <v>10</v>
      </c>
      <c r="X55" s="10">
        <v>9</v>
      </c>
      <c r="Z55" s="37">
        <v>1</v>
      </c>
      <c r="AA55" s="37">
        <v>1</v>
      </c>
      <c r="AB55" s="37">
        <v>1</v>
      </c>
      <c r="AC55" s="37">
        <v>1</v>
      </c>
      <c r="AD55" s="37">
        <v>1</v>
      </c>
      <c r="AE55" s="37">
        <v>1</v>
      </c>
      <c r="AF55" s="5"/>
    </row>
    <row r="56" spans="11:32" ht="16.5" customHeight="1">
      <c r="K56" s="10">
        <v>52</v>
      </c>
      <c r="L56" s="19" t="s">
        <v>66</v>
      </c>
      <c r="M56" s="19" t="s">
        <v>64</v>
      </c>
      <c r="N56" s="19" t="s">
        <v>23</v>
      </c>
      <c r="O56" s="19" t="s">
        <v>67</v>
      </c>
      <c r="P56" s="19" t="s">
        <v>65</v>
      </c>
      <c r="Q56" s="19" t="s">
        <v>26</v>
      </c>
      <c r="S56" s="10">
        <v>7</v>
      </c>
      <c r="T56" s="10">
        <v>8</v>
      </c>
      <c r="U56" s="10">
        <v>6</v>
      </c>
      <c r="V56" s="10">
        <v>11</v>
      </c>
      <c r="W56" s="10">
        <v>10</v>
      </c>
      <c r="X56" s="10">
        <v>3</v>
      </c>
      <c r="Z56" s="37">
        <v>1</v>
      </c>
      <c r="AA56" s="37">
        <v>1</v>
      </c>
      <c r="AB56" s="37">
        <v>1</v>
      </c>
      <c r="AC56" s="37">
        <v>1</v>
      </c>
      <c r="AD56" s="37">
        <v>1</v>
      </c>
      <c r="AE56" s="37">
        <v>1</v>
      </c>
      <c r="AF56" s="5"/>
    </row>
    <row r="57" spans="11:32" ht="16.5" customHeight="1">
      <c r="K57" s="10">
        <v>53</v>
      </c>
      <c r="L57" s="19" t="s">
        <v>66</v>
      </c>
      <c r="M57" s="19" t="s">
        <v>64</v>
      </c>
      <c r="N57" s="19" t="s">
        <v>23</v>
      </c>
      <c r="O57" s="19" t="s">
        <v>27</v>
      </c>
      <c r="P57" s="19" t="s">
        <v>64</v>
      </c>
      <c r="Q57" s="19" t="s">
        <v>26</v>
      </c>
      <c r="S57" s="10">
        <v>7</v>
      </c>
      <c r="T57" s="10">
        <v>8</v>
      </c>
      <c r="U57" s="10">
        <v>6</v>
      </c>
      <c r="V57" s="10">
        <v>4</v>
      </c>
      <c r="W57" s="10">
        <v>8</v>
      </c>
      <c r="X57" s="10">
        <v>3</v>
      </c>
      <c r="Z57" s="37">
        <v>1</v>
      </c>
      <c r="AA57" s="37">
        <v>1</v>
      </c>
      <c r="AB57" s="37">
        <v>1</v>
      </c>
      <c r="AC57" s="37">
        <v>1</v>
      </c>
      <c r="AD57" s="37">
        <v>1</v>
      </c>
      <c r="AE57" s="37">
        <v>1</v>
      </c>
      <c r="AF57" s="5"/>
    </row>
    <row r="58" spans="11:32" ht="16.5" customHeight="1">
      <c r="K58" s="10">
        <v>54</v>
      </c>
      <c r="L58" s="19" t="s">
        <v>20</v>
      </c>
      <c r="M58" s="19" t="s">
        <v>22</v>
      </c>
      <c r="N58" s="19" t="s">
        <v>50</v>
      </c>
      <c r="O58" s="19" t="s">
        <v>27</v>
      </c>
      <c r="P58" s="19" t="s">
        <v>64</v>
      </c>
      <c r="Q58" s="19" t="s">
        <v>63</v>
      </c>
      <c r="S58" s="10">
        <v>0</v>
      </c>
      <c r="T58" s="10">
        <v>5</v>
      </c>
      <c r="U58" s="10">
        <v>9</v>
      </c>
      <c r="V58" s="10">
        <v>4</v>
      </c>
      <c r="W58" s="10">
        <v>8</v>
      </c>
      <c r="X58" s="10">
        <v>9</v>
      </c>
      <c r="Z58" s="37">
        <v>1</v>
      </c>
      <c r="AA58" s="37">
        <v>1</v>
      </c>
      <c r="AB58" s="37">
        <v>1</v>
      </c>
      <c r="AC58" s="37">
        <v>1</v>
      </c>
      <c r="AD58" s="37">
        <v>1</v>
      </c>
      <c r="AE58" s="37">
        <v>1</v>
      </c>
      <c r="AF58" s="5"/>
    </row>
    <row r="59" spans="11:32" ht="16.5" customHeight="1">
      <c r="K59" s="10">
        <v>55</v>
      </c>
      <c r="L59" s="19" t="s">
        <v>20</v>
      </c>
      <c r="M59" s="19" t="s">
        <v>22</v>
      </c>
      <c r="N59" s="19" t="s">
        <v>66</v>
      </c>
      <c r="O59" s="19" t="s">
        <v>26</v>
      </c>
      <c r="P59" s="19" t="s">
        <v>22</v>
      </c>
      <c r="Q59" s="19" t="s">
        <v>63</v>
      </c>
      <c r="S59" s="10">
        <v>0</v>
      </c>
      <c r="T59" s="10">
        <v>5</v>
      </c>
      <c r="U59" s="10">
        <v>7</v>
      </c>
      <c r="V59" s="10">
        <v>3</v>
      </c>
      <c r="W59" s="10">
        <v>5</v>
      </c>
      <c r="X59" s="10">
        <v>9</v>
      </c>
      <c r="Z59" s="37">
        <v>1</v>
      </c>
      <c r="AA59" s="37">
        <v>1</v>
      </c>
      <c r="AB59" s="37">
        <v>1</v>
      </c>
      <c r="AC59" s="37">
        <v>1</v>
      </c>
      <c r="AD59" s="37">
        <v>1</v>
      </c>
      <c r="AE59" s="37">
        <v>1</v>
      </c>
      <c r="AF59" s="5"/>
    </row>
    <row r="60" spans="11:32" ht="16.5" customHeight="1">
      <c r="K60" s="10">
        <v>56</v>
      </c>
      <c r="L60" s="19" t="s">
        <v>63</v>
      </c>
      <c r="M60" s="19" t="s">
        <v>67</v>
      </c>
      <c r="N60" s="19" t="s">
        <v>66</v>
      </c>
      <c r="O60" s="19" t="s">
        <v>26</v>
      </c>
      <c r="P60" s="19" t="s">
        <v>22</v>
      </c>
      <c r="Q60" s="19" t="s">
        <v>20</v>
      </c>
      <c r="S60" s="10">
        <v>9</v>
      </c>
      <c r="T60" s="10">
        <v>11</v>
      </c>
      <c r="U60" s="10">
        <v>7</v>
      </c>
      <c r="V60" s="10">
        <v>3</v>
      </c>
      <c r="W60" s="10">
        <v>5</v>
      </c>
      <c r="X60" s="10">
        <v>0</v>
      </c>
      <c r="Z60" s="37">
        <v>1</v>
      </c>
      <c r="AA60" s="37">
        <v>1</v>
      </c>
      <c r="AB60" s="37">
        <v>1</v>
      </c>
      <c r="AC60" s="37">
        <v>1</v>
      </c>
      <c r="AD60" s="37">
        <v>1</v>
      </c>
      <c r="AE60" s="37">
        <v>1</v>
      </c>
      <c r="AF60" s="5"/>
    </row>
    <row r="61" spans="11:32">
      <c r="K61" s="10">
        <v>57</v>
      </c>
      <c r="L61" s="19" t="s">
        <v>63</v>
      </c>
      <c r="M61" s="19" t="s">
        <v>67</v>
      </c>
      <c r="N61" s="19" t="s">
        <v>27</v>
      </c>
      <c r="O61" s="19" t="s">
        <v>23</v>
      </c>
      <c r="P61" s="19" t="s">
        <v>64</v>
      </c>
      <c r="Q61" s="19" t="s">
        <v>20</v>
      </c>
      <c r="S61" s="10">
        <v>9</v>
      </c>
      <c r="T61" s="10">
        <v>11</v>
      </c>
      <c r="U61" s="10">
        <v>4</v>
      </c>
      <c r="V61" s="10">
        <v>6</v>
      </c>
      <c r="W61" s="10">
        <v>8</v>
      </c>
      <c r="X61" s="10">
        <v>0</v>
      </c>
      <c r="Z61" s="37">
        <v>1</v>
      </c>
      <c r="AA61" s="37">
        <v>1</v>
      </c>
      <c r="AB61" s="37">
        <v>1</v>
      </c>
      <c r="AC61" s="37">
        <v>1</v>
      </c>
      <c r="AD61" s="37">
        <v>1</v>
      </c>
      <c r="AE61" s="37">
        <v>1</v>
      </c>
      <c r="AF61" s="5"/>
    </row>
    <row r="62" spans="11:32">
      <c r="K62" s="10">
        <v>58</v>
      </c>
      <c r="L62" s="19" t="s">
        <v>23</v>
      </c>
      <c r="M62" s="19" t="s">
        <v>26</v>
      </c>
      <c r="N62" s="19" t="s">
        <v>27</v>
      </c>
      <c r="O62" s="19" t="s">
        <v>23</v>
      </c>
      <c r="P62" s="19" t="s">
        <v>64</v>
      </c>
      <c r="Q62" s="19" t="s">
        <v>67</v>
      </c>
      <c r="S62" s="10">
        <v>6</v>
      </c>
      <c r="T62" s="10">
        <v>3</v>
      </c>
      <c r="U62" s="10">
        <v>4</v>
      </c>
      <c r="V62" s="10">
        <v>6</v>
      </c>
      <c r="W62" s="10">
        <v>8</v>
      </c>
      <c r="X62" s="10">
        <v>11</v>
      </c>
      <c r="Z62" s="37">
        <v>1</v>
      </c>
      <c r="AA62" s="37">
        <v>1</v>
      </c>
      <c r="AB62" s="37">
        <v>1</v>
      </c>
      <c r="AC62" s="37">
        <v>1</v>
      </c>
      <c r="AD62" s="37">
        <v>1</v>
      </c>
      <c r="AE62" s="37">
        <v>1</v>
      </c>
      <c r="AF62" s="5"/>
    </row>
    <row r="63" spans="11:32" ht="16.5" customHeight="1">
      <c r="K63" s="10">
        <v>59</v>
      </c>
      <c r="L63" s="19" t="s">
        <v>23</v>
      </c>
      <c r="M63" s="19" t="s">
        <v>26</v>
      </c>
      <c r="N63" s="19" t="s">
        <v>67</v>
      </c>
      <c r="O63" s="19" t="s">
        <v>26</v>
      </c>
      <c r="P63" s="19" t="s">
        <v>65</v>
      </c>
      <c r="Q63" s="19" t="s">
        <v>67</v>
      </c>
      <c r="S63" s="10">
        <v>6</v>
      </c>
      <c r="T63" s="10">
        <v>3</v>
      </c>
      <c r="U63" s="10">
        <v>11</v>
      </c>
      <c r="V63" s="10">
        <v>3</v>
      </c>
      <c r="W63" s="10">
        <v>10</v>
      </c>
      <c r="X63" s="10">
        <v>11</v>
      </c>
      <c r="Z63" s="37">
        <v>1</v>
      </c>
      <c r="AA63" s="37">
        <v>1</v>
      </c>
      <c r="AB63" s="37">
        <v>1</v>
      </c>
      <c r="AC63" s="37">
        <v>1</v>
      </c>
      <c r="AD63" s="37">
        <v>1</v>
      </c>
      <c r="AE63" s="37">
        <v>1</v>
      </c>
      <c r="AF63" s="5"/>
    </row>
    <row r="64" spans="11:32" ht="16.5" customHeight="1">
      <c r="K64" s="10">
        <v>60</v>
      </c>
      <c r="L64" s="19" t="s">
        <v>64</v>
      </c>
      <c r="M64" s="19" t="s">
        <v>64</v>
      </c>
      <c r="N64" s="19" t="s">
        <v>67</v>
      </c>
      <c r="O64" s="19" t="s">
        <v>26</v>
      </c>
      <c r="P64" s="19" t="s">
        <v>65</v>
      </c>
      <c r="Q64" s="19" t="s">
        <v>63</v>
      </c>
      <c r="S64" s="10">
        <v>8</v>
      </c>
      <c r="T64" s="10">
        <v>8</v>
      </c>
      <c r="U64" s="10">
        <v>11</v>
      </c>
      <c r="V64" s="10">
        <v>3</v>
      </c>
      <c r="W64" s="10">
        <v>10</v>
      </c>
      <c r="X64" s="10">
        <v>9</v>
      </c>
      <c r="Z64" s="37">
        <v>1</v>
      </c>
      <c r="AA64" s="37">
        <v>1</v>
      </c>
      <c r="AB64" s="37">
        <v>1</v>
      </c>
      <c r="AC64" s="37">
        <v>1</v>
      </c>
      <c r="AD64" s="37">
        <v>1</v>
      </c>
      <c r="AE64" s="37">
        <v>1</v>
      </c>
      <c r="AF64" s="5"/>
    </row>
    <row r="65" spans="11:32" ht="16.5" customHeight="1">
      <c r="K65" s="10">
        <v>61</v>
      </c>
      <c r="L65" s="19" t="s">
        <v>64</v>
      </c>
      <c r="M65" s="19" t="s">
        <v>64</v>
      </c>
      <c r="N65" s="19" t="s">
        <v>27</v>
      </c>
      <c r="O65" s="19" t="s">
        <v>66</v>
      </c>
      <c r="P65" s="19" t="s">
        <v>67</v>
      </c>
      <c r="Q65" s="19" t="s">
        <v>63</v>
      </c>
      <c r="S65" s="10">
        <v>8</v>
      </c>
      <c r="T65" s="10">
        <v>8</v>
      </c>
      <c r="U65" s="10">
        <v>4</v>
      </c>
      <c r="V65" s="10">
        <v>7</v>
      </c>
      <c r="W65" s="10">
        <v>11</v>
      </c>
      <c r="X65" s="10">
        <v>9</v>
      </c>
      <c r="Z65" s="37">
        <v>1</v>
      </c>
      <c r="AA65" s="37">
        <v>1</v>
      </c>
      <c r="AB65" s="37">
        <v>1</v>
      </c>
      <c r="AC65" s="37">
        <v>1</v>
      </c>
      <c r="AD65" s="37">
        <v>1</v>
      </c>
      <c r="AE65" s="37">
        <v>1</v>
      </c>
      <c r="AF65" s="5"/>
    </row>
    <row r="66" spans="11:32" ht="16.5" customHeight="1">
      <c r="K66" s="10">
        <v>62</v>
      </c>
      <c r="L66" s="19" t="s">
        <v>65</v>
      </c>
      <c r="M66" s="19" t="s">
        <v>67</v>
      </c>
      <c r="N66" s="19" t="s">
        <v>27</v>
      </c>
      <c r="O66" s="19" t="s">
        <v>66</v>
      </c>
      <c r="P66" s="19" t="s">
        <v>67</v>
      </c>
      <c r="Q66" s="19" t="s">
        <v>67</v>
      </c>
      <c r="S66" s="10">
        <v>10</v>
      </c>
      <c r="T66" s="10">
        <v>11</v>
      </c>
      <c r="U66" s="10">
        <v>4</v>
      </c>
      <c r="V66" s="10">
        <v>7</v>
      </c>
      <c r="W66" s="10">
        <v>11</v>
      </c>
      <c r="X66" s="10">
        <v>11</v>
      </c>
      <c r="Z66" s="37">
        <v>1</v>
      </c>
      <c r="AA66" s="37">
        <v>1</v>
      </c>
      <c r="AB66" s="37">
        <v>1</v>
      </c>
      <c r="AC66" s="37">
        <v>1</v>
      </c>
      <c r="AD66" s="37">
        <v>1</v>
      </c>
      <c r="AE66" s="37">
        <v>1</v>
      </c>
      <c r="AF66" s="5"/>
    </row>
    <row r="67" spans="11:32" ht="16.5" customHeight="1">
      <c r="K67" s="10">
        <v>63</v>
      </c>
      <c r="L67" s="19" t="s">
        <v>65</v>
      </c>
      <c r="M67" s="19" t="s">
        <v>67</v>
      </c>
      <c r="N67" s="19" t="s">
        <v>63</v>
      </c>
      <c r="O67" s="19" t="s">
        <v>67</v>
      </c>
      <c r="P67" s="19" t="s">
        <v>64</v>
      </c>
      <c r="Q67" s="19" t="s">
        <v>67</v>
      </c>
      <c r="S67" s="10">
        <v>10</v>
      </c>
      <c r="T67" s="10">
        <v>11</v>
      </c>
      <c r="U67" s="10">
        <v>9</v>
      </c>
      <c r="V67" s="10">
        <v>11</v>
      </c>
      <c r="W67" s="10">
        <v>8</v>
      </c>
      <c r="X67" s="10">
        <v>11</v>
      </c>
      <c r="Z67" s="37">
        <v>1</v>
      </c>
      <c r="AA67" s="37">
        <v>1</v>
      </c>
      <c r="AB67" s="37">
        <v>1</v>
      </c>
      <c r="AC67" s="37">
        <v>1</v>
      </c>
      <c r="AD67" s="37">
        <v>1</v>
      </c>
      <c r="AE67" s="37">
        <v>1</v>
      </c>
      <c r="AF67" s="5"/>
    </row>
    <row r="68" spans="11:32" ht="16.5" customHeight="1">
      <c r="K68" s="10">
        <v>64</v>
      </c>
      <c r="L68" s="19" t="s">
        <v>23</v>
      </c>
      <c r="M68" s="19" t="s">
        <v>38</v>
      </c>
      <c r="N68" s="19" t="s">
        <v>63</v>
      </c>
      <c r="O68" s="19" t="s">
        <v>67</v>
      </c>
      <c r="P68" s="19" t="s">
        <v>64</v>
      </c>
      <c r="Q68" s="19" t="s">
        <v>26</v>
      </c>
      <c r="S68" s="10">
        <v>6</v>
      </c>
      <c r="T68" s="10">
        <v>2</v>
      </c>
      <c r="U68" s="10">
        <v>9</v>
      </c>
      <c r="V68" s="10">
        <v>11</v>
      </c>
      <c r="W68" s="10">
        <v>8</v>
      </c>
      <c r="X68" s="10">
        <v>3</v>
      </c>
      <c r="Z68" s="37">
        <v>1</v>
      </c>
      <c r="AA68" s="37">
        <v>1</v>
      </c>
      <c r="AB68" s="37">
        <v>1</v>
      </c>
      <c r="AC68" s="37">
        <v>1</v>
      </c>
      <c r="AD68" s="37">
        <v>1</v>
      </c>
      <c r="AE68" s="37">
        <v>1</v>
      </c>
      <c r="AF68" s="5"/>
    </row>
    <row r="69" spans="11:32" ht="16.5" customHeight="1">
      <c r="K69" s="10">
        <v>65</v>
      </c>
      <c r="L69" s="19" t="s">
        <v>23</v>
      </c>
      <c r="M69" s="19" t="s">
        <v>64</v>
      </c>
      <c r="N69" s="19" t="s">
        <v>66</v>
      </c>
      <c r="O69" s="19" t="s">
        <v>66</v>
      </c>
      <c r="P69" s="19" t="s">
        <v>63</v>
      </c>
      <c r="Q69" s="19" t="s">
        <v>26</v>
      </c>
      <c r="S69" s="10">
        <v>6</v>
      </c>
      <c r="T69" s="10">
        <v>8</v>
      </c>
      <c r="U69" s="10">
        <v>7</v>
      </c>
      <c r="V69" s="10">
        <v>7</v>
      </c>
      <c r="W69" s="10">
        <v>9</v>
      </c>
      <c r="X69" s="10">
        <v>3</v>
      </c>
      <c r="Z69" s="37">
        <v>1</v>
      </c>
      <c r="AA69" s="37">
        <v>1</v>
      </c>
      <c r="AB69" s="37">
        <v>1</v>
      </c>
      <c r="AC69" s="37">
        <v>1</v>
      </c>
      <c r="AD69" s="37">
        <v>1</v>
      </c>
      <c r="AE69" s="37">
        <v>1</v>
      </c>
      <c r="AF69" s="5"/>
    </row>
    <row r="70" spans="11:32" ht="16.5" customHeight="1">
      <c r="K70" s="10">
        <v>66</v>
      </c>
      <c r="L70" s="19" t="s">
        <v>20</v>
      </c>
      <c r="M70" s="19" t="s">
        <v>64</v>
      </c>
      <c r="N70" s="19" t="s">
        <v>66</v>
      </c>
      <c r="O70" s="19" t="s">
        <v>66</v>
      </c>
      <c r="P70" s="19" t="s">
        <v>63</v>
      </c>
      <c r="Q70" s="19" t="s">
        <v>68</v>
      </c>
      <c r="S70" s="10">
        <v>0</v>
      </c>
      <c r="T70" s="10">
        <v>8</v>
      </c>
      <c r="U70" s="10">
        <v>7</v>
      </c>
      <c r="V70" s="10">
        <v>7</v>
      </c>
      <c r="W70" s="10">
        <v>9</v>
      </c>
      <c r="X70" s="10">
        <v>2</v>
      </c>
      <c r="Z70" s="37">
        <v>1</v>
      </c>
      <c r="AA70" s="37">
        <v>1</v>
      </c>
      <c r="AB70" s="37">
        <v>1</v>
      </c>
      <c r="AC70" s="37">
        <v>1</v>
      </c>
      <c r="AD70" s="37">
        <v>1</v>
      </c>
      <c r="AE70" s="37">
        <v>1</v>
      </c>
      <c r="AF70" s="5"/>
    </row>
    <row r="71" spans="11:32" ht="16.5" customHeight="1">
      <c r="K71" s="10">
        <v>67</v>
      </c>
      <c r="L71" s="19" t="s">
        <v>45</v>
      </c>
      <c r="M71" s="19" t="s">
        <v>67</v>
      </c>
      <c r="N71" s="19" t="s">
        <v>65</v>
      </c>
      <c r="O71" s="19" t="s">
        <v>24</v>
      </c>
      <c r="P71" s="19" t="s">
        <v>22</v>
      </c>
      <c r="Q71" s="19" t="s">
        <v>68</v>
      </c>
      <c r="S71" s="10">
        <v>4</v>
      </c>
      <c r="T71" s="10">
        <v>11</v>
      </c>
      <c r="U71" s="10">
        <v>10</v>
      </c>
      <c r="V71" s="10">
        <v>1</v>
      </c>
      <c r="W71" s="10">
        <v>5</v>
      </c>
      <c r="X71" s="10">
        <v>2</v>
      </c>
      <c r="Z71" s="37">
        <v>1</v>
      </c>
      <c r="AA71" s="37">
        <v>1</v>
      </c>
      <c r="AB71" s="37">
        <v>1</v>
      </c>
      <c r="AC71" s="37">
        <v>1</v>
      </c>
      <c r="AD71" s="37">
        <v>1</v>
      </c>
      <c r="AE71" s="37">
        <v>1</v>
      </c>
      <c r="AF71" s="5"/>
    </row>
    <row r="72" spans="11:32" ht="16.5" customHeight="1">
      <c r="K72" s="10">
        <v>68</v>
      </c>
      <c r="L72" s="19" t="s">
        <v>45</v>
      </c>
      <c r="M72" s="19" t="s">
        <v>67</v>
      </c>
      <c r="N72" s="19" t="s">
        <v>65</v>
      </c>
      <c r="O72" s="19" t="s">
        <v>66</v>
      </c>
      <c r="P72" s="19" t="s">
        <v>22</v>
      </c>
      <c r="Q72" s="19" t="s">
        <v>50</v>
      </c>
      <c r="S72" s="10">
        <v>4</v>
      </c>
      <c r="T72" s="10">
        <v>11</v>
      </c>
      <c r="U72" s="10">
        <v>10</v>
      </c>
      <c r="V72" s="10">
        <v>7</v>
      </c>
      <c r="W72" s="10">
        <v>5</v>
      </c>
      <c r="X72" s="10">
        <v>9</v>
      </c>
      <c r="Z72" s="37">
        <v>1</v>
      </c>
      <c r="AA72" s="37">
        <v>1</v>
      </c>
      <c r="AB72" s="37">
        <v>1</v>
      </c>
      <c r="AC72" s="37">
        <v>1</v>
      </c>
      <c r="AD72" s="37">
        <v>1</v>
      </c>
      <c r="AE72" s="37">
        <v>1</v>
      </c>
      <c r="AF72" s="5"/>
    </row>
    <row r="73" spans="11:32" ht="16.5" customHeight="1">
      <c r="K73" s="10">
        <v>69</v>
      </c>
      <c r="L73" s="19" t="s">
        <v>66</v>
      </c>
      <c r="M73" s="19" t="s">
        <v>63</v>
      </c>
      <c r="N73" s="19" t="s">
        <v>26</v>
      </c>
      <c r="O73" s="19" t="s">
        <v>66</v>
      </c>
      <c r="P73" s="19" t="s">
        <v>67</v>
      </c>
      <c r="Q73" s="19" t="s">
        <v>50</v>
      </c>
      <c r="S73" s="10">
        <v>7</v>
      </c>
      <c r="T73" s="10">
        <v>9</v>
      </c>
      <c r="U73" s="10">
        <v>3</v>
      </c>
      <c r="V73" s="10">
        <v>7</v>
      </c>
      <c r="W73" s="10">
        <v>11</v>
      </c>
      <c r="X73" s="10">
        <v>9</v>
      </c>
      <c r="Z73" s="37">
        <v>1</v>
      </c>
      <c r="AA73" s="37">
        <v>1</v>
      </c>
      <c r="AB73" s="37">
        <v>1</v>
      </c>
      <c r="AC73" s="37">
        <v>1</v>
      </c>
      <c r="AD73" s="37">
        <v>1</v>
      </c>
      <c r="AE73" s="37">
        <v>1</v>
      </c>
      <c r="AF73" s="5"/>
    </row>
    <row r="74" spans="11:32" ht="16.5" customHeight="1">
      <c r="K74" s="10">
        <v>70</v>
      </c>
      <c r="L74" s="19" t="s">
        <v>66</v>
      </c>
      <c r="M74" s="19" t="s">
        <v>63</v>
      </c>
      <c r="N74" s="19" t="s">
        <v>26</v>
      </c>
      <c r="O74" s="19" t="s">
        <v>63</v>
      </c>
      <c r="P74" s="19" t="s">
        <v>67</v>
      </c>
      <c r="Q74" s="19" t="s">
        <v>66</v>
      </c>
      <c r="S74" s="10">
        <v>7</v>
      </c>
      <c r="T74" s="10">
        <v>9</v>
      </c>
      <c r="U74" s="10">
        <v>3</v>
      </c>
      <c r="V74" s="10">
        <v>9</v>
      </c>
      <c r="W74" s="10">
        <v>11</v>
      </c>
      <c r="X74" s="10">
        <v>7</v>
      </c>
      <c r="Z74" s="37">
        <v>1</v>
      </c>
      <c r="AA74" s="37">
        <v>1</v>
      </c>
      <c r="AB74" s="37">
        <v>1</v>
      </c>
      <c r="AC74" s="37">
        <v>1</v>
      </c>
      <c r="AD74" s="37">
        <v>1</v>
      </c>
      <c r="AE74" s="37">
        <v>1</v>
      </c>
      <c r="AF74" s="5"/>
    </row>
    <row r="75" spans="11:32" ht="16.5" customHeight="1">
      <c r="K75" s="10">
        <v>71</v>
      </c>
      <c r="L75" s="19" t="s">
        <v>65</v>
      </c>
      <c r="M75" s="19" t="s">
        <v>67</v>
      </c>
      <c r="N75" s="19" t="s">
        <v>67</v>
      </c>
      <c r="O75" s="19" t="s">
        <v>63</v>
      </c>
      <c r="P75" s="19" t="s">
        <v>65</v>
      </c>
      <c r="Q75" s="19" t="s">
        <v>66</v>
      </c>
      <c r="S75" s="10">
        <v>10</v>
      </c>
      <c r="T75" s="10">
        <v>11</v>
      </c>
      <c r="U75" s="10">
        <v>11</v>
      </c>
      <c r="V75" s="10">
        <v>9</v>
      </c>
      <c r="W75" s="10">
        <v>10</v>
      </c>
      <c r="X75" s="10">
        <v>7</v>
      </c>
      <c r="Z75" s="37">
        <v>1</v>
      </c>
      <c r="AA75" s="37">
        <v>1</v>
      </c>
      <c r="AB75" s="37">
        <v>1</v>
      </c>
      <c r="AC75" s="37">
        <v>1</v>
      </c>
      <c r="AD75" s="37">
        <v>1</v>
      </c>
      <c r="AE75" s="37">
        <v>1</v>
      </c>
      <c r="AF75" s="5"/>
    </row>
    <row r="76" spans="11:32" ht="16.5" customHeight="1">
      <c r="K76" s="10">
        <v>72</v>
      </c>
      <c r="L76" s="19" t="s">
        <v>65</v>
      </c>
      <c r="M76" s="19" t="s">
        <v>67</v>
      </c>
      <c r="N76" s="19" t="s">
        <v>67</v>
      </c>
      <c r="O76" s="19" t="s">
        <v>66</v>
      </c>
      <c r="P76" s="19" t="s">
        <v>65</v>
      </c>
      <c r="Q76" s="19" t="s">
        <v>64</v>
      </c>
      <c r="S76" s="10">
        <v>10</v>
      </c>
      <c r="T76" s="10">
        <v>11</v>
      </c>
      <c r="U76" s="10">
        <v>11</v>
      </c>
      <c r="V76" s="10">
        <v>7</v>
      </c>
      <c r="W76" s="10">
        <v>10</v>
      </c>
      <c r="X76" s="10">
        <v>8</v>
      </c>
      <c r="Z76" s="37">
        <v>1</v>
      </c>
      <c r="AA76" s="37">
        <v>1</v>
      </c>
      <c r="AB76" s="37">
        <v>1</v>
      </c>
      <c r="AC76" s="37">
        <v>1</v>
      </c>
      <c r="AD76" s="37">
        <v>1</v>
      </c>
      <c r="AE76" s="37">
        <v>1</v>
      </c>
      <c r="AF76" s="5"/>
    </row>
    <row r="77" spans="11:32" ht="16.5" customHeight="1">
      <c r="K77" s="10">
        <v>73</v>
      </c>
      <c r="L77" s="19" t="s">
        <v>47</v>
      </c>
      <c r="M77" s="19" t="s">
        <v>63</v>
      </c>
      <c r="N77" s="19" t="s">
        <v>66</v>
      </c>
      <c r="O77" s="19" t="s">
        <v>66</v>
      </c>
      <c r="P77" s="19" t="s">
        <v>64</v>
      </c>
      <c r="Q77" s="19" t="s">
        <v>64</v>
      </c>
      <c r="S77" s="10">
        <v>6</v>
      </c>
      <c r="T77" s="10">
        <v>9</v>
      </c>
      <c r="U77" s="10">
        <v>7</v>
      </c>
      <c r="V77" s="10">
        <v>7</v>
      </c>
      <c r="W77" s="10">
        <v>8</v>
      </c>
      <c r="X77" s="10">
        <v>8</v>
      </c>
      <c r="Z77" s="37">
        <v>1</v>
      </c>
      <c r="AA77" s="37">
        <v>1</v>
      </c>
      <c r="AB77" s="37">
        <v>1</v>
      </c>
      <c r="AC77" s="37">
        <v>1</v>
      </c>
      <c r="AD77" s="37">
        <v>1</v>
      </c>
      <c r="AE77" s="37">
        <v>1</v>
      </c>
      <c r="AF77" s="5"/>
    </row>
    <row r="78" spans="11:32" ht="16.5" customHeight="1">
      <c r="K78" s="10">
        <v>74</v>
      </c>
      <c r="L78" s="19" t="s">
        <v>47</v>
      </c>
      <c r="M78" s="19" t="s">
        <v>63</v>
      </c>
      <c r="N78" s="19" t="s">
        <v>66</v>
      </c>
      <c r="O78" s="19" t="s">
        <v>63</v>
      </c>
      <c r="P78" s="19" t="s">
        <v>64</v>
      </c>
      <c r="Q78" s="19" t="s">
        <v>63</v>
      </c>
      <c r="S78" s="10">
        <v>6</v>
      </c>
      <c r="T78" s="10">
        <v>9</v>
      </c>
      <c r="U78" s="10">
        <v>7</v>
      </c>
      <c r="V78" s="10">
        <v>9</v>
      </c>
      <c r="W78" s="10">
        <v>8</v>
      </c>
      <c r="X78" s="10">
        <v>9</v>
      </c>
      <c r="Z78" s="37">
        <v>1</v>
      </c>
      <c r="AA78" s="37">
        <v>1</v>
      </c>
      <c r="AB78" s="37">
        <v>1</v>
      </c>
      <c r="AC78" s="37">
        <v>1</v>
      </c>
      <c r="AD78" s="37">
        <v>1</v>
      </c>
      <c r="AE78" s="37">
        <v>1</v>
      </c>
      <c r="AF78" s="5"/>
    </row>
    <row r="79" spans="11:32" ht="16.5" customHeight="1">
      <c r="K79" s="10">
        <v>75</v>
      </c>
      <c r="L79" s="19" t="s">
        <v>64</v>
      </c>
      <c r="M79" s="19" t="s">
        <v>22</v>
      </c>
      <c r="N79" s="19" t="s">
        <v>27</v>
      </c>
      <c r="O79" s="19" t="s">
        <v>63</v>
      </c>
      <c r="P79" s="19" t="s">
        <v>22</v>
      </c>
      <c r="Q79" s="19" t="s">
        <v>63</v>
      </c>
      <c r="S79" s="10">
        <v>8</v>
      </c>
      <c r="T79" s="10">
        <v>5</v>
      </c>
      <c r="U79" s="10">
        <v>4</v>
      </c>
      <c r="V79" s="10">
        <v>9</v>
      </c>
      <c r="W79" s="10">
        <v>5</v>
      </c>
      <c r="X79" s="10">
        <v>9</v>
      </c>
      <c r="Z79" s="37">
        <v>1</v>
      </c>
      <c r="AA79" s="37">
        <v>1</v>
      </c>
      <c r="AB79" s="37">
        <v>1</v>
      </c>
      <c r="AC79" s="37">
        <v>1</v>
      </c>
      <c r="AD79" s="37">
        <v>1</v>
      </c>
      <c r="AE79" s="37">
        <v>1</v>
      </c>
      <c r="AF79" s="5"/>
    </row>
    <row r="80" spans="11:32">
      <c r="K80" s="10">
        <v>76</v>
      </c>
      <c r="L80" s="19" t="s">
        <v>64</v>
      </c>
      <c r="M80" s="19" t="s">
        <v>22</v>
      </c>
      <c r="N80" s="19" t="s">
        <v>27</v>
      </c>
      <c r="O80" s="19" t="s">
        <v>64</v>
      </c>
      <c r="P80" s="19" t="s">
        <v>22</v>
      </c>
      <c r="Q80" s="19" t="s">
        <v>23</v>
      </c>
      <c r="S80" s="10">
        <v>8</v>
      </c>
      <c r="T80" s="10">
        <v>5</v>
      </c>
      <c r="U80" s="10">
        <v>4</v>
      </c>
      <c r="V80" s="10">
        <v>8</v>
      </c>
      <c r="W80" s="10">
        <v>5</v>
      </c>
      <c r="X80" s="10">
        <v>6</v>
      </c>
      <c r="Z80" s="37">
        <v>1</v>
      </c>
      <c r="AA80" s="37">
        <v>1</v>
      </c>
      <c r="AB80" s="37">
        <v>1</v>
      </c>
      <c r="AC80" s="37">
        <v>1</v>
      </c>
      <c r="AD80" s="37">
        <v>1</v>
      </c>
      <c r="AE80" s="37">
        <v>1</v>
      </c>
      <c r="AF80" s="5"/>
    </row>
    <row r="81" spans="11:32">
      <c r="K81" s="10">
        <v>77</v>
      </c>
      <c r="L81" s="19" t="s">
        <v>27</v>
      </c>
      <c r="M81" s="19" t="s">
        <v>63</v>
      </c>
      <c r="N81" s="19" t="s">
        <v>20</v>
      </c>
      <c r="O81" s="19" t="s">
        <v>64</v>
      </c>
      <c r="P81" s="19" t="s">
        <v>65</v>
      </c>
      <c r="Q81" s="19" t="s">
        <v>23</v>
      </c>
      <c r="S81" s="10">
        <v>4</v>
      </c>
      <c r="T81" s="10">
        <v>9</v>
      </c>
      <c r="U81" s="10">
        <v>0</v>
      </c>
      <c r="V81" s="10">
        <v>8</v>
      </c>
      <c r="W81" s="10">
        <v>10</v>
      </c>
      <c r="X81" s="10">
        <v>6</v>
      </c>
      <c r="Z81" s="37">
        <v>1</v>
      </c>
      <c r="AA81" s="37">
        <v>1</v>
      </c>
      <c r="AB81" s="37">
        <v>1</v>
      </c>
      <c r="AC81" s="37">
        <v>1</v>
      </c>
      <c r="AD81" s="37">
        <v>1</v>
      </c>
      <c r="AE81" s="37">
        <v>1</v>
      </c>
      <c r="AF81" s="5"/>
    </row>
    <row r="82" spans="11:32">
      <c r="K82" s="10">
        <v>78</v>
      </c>
      <c r="L82" s="19" t="s">
        <v>27</v>
      </c>
      <c r="M82" s="19" t="s">
        <v>63</v>
      </c>
      <c r="N82" s="19" t="s">
        <v>23</v>
      </c>
      <c r="O82" s="19" t="s">
        <v>63</v>
      </c>
      <c r="P82" s="19" t="s">
        <v>65</v>
      </c>
      <c r="Q82" s="19" t="s">
        <v>64</v>
      </c>
      <c r="S82" s="10">
        <v>4</v>
      </c>
      <c r="T82" s="10">
        <v>9</v>
      </c>
      <c r="U82" s="10">
        <v>6</v>
      </c>
      <c r="V82" s="10">
        <v>9</v>
      </c>
      <c r="W82" s="10">
        <v>10</v>
      </c>
      <c r="X82" s="10">
        <v>8</v>
      </c>
      <c r="Z82" s="37">
        <v>1</v>
      </c>
      <c r="AA82" s="37">
        <v>1</v>
      </c>
      <c r="AB82" s="37">
        <v>1</v>
      </c>
      <c r="AC82" s="37">
        <v>1</v>
      </c>
      <c r="AD82" s="37">
        <v>1</v>
      </c>
      <c r="AE82" s="37">
        <v>1</v>
      </c>
      <c r="AF82" s="5"/>
    </row>
    <row r="83" spans="11:32">
      <c r="K83" s="10">
        <v>79</v>
      </c>
      <c r="L83" s="19" t="s">
        <v>48</v>
      </c>
      <c r="M83" s="19" t="s">
        <v>20</v>
      </c>
      <c r="N83" s="19" t="s">
        <v>23</v>
      </c>
      <c r="O83" s="19" t="s">
        <v>63</v>
      </c>
      <c r="P83" s="19" t="s">
        <v>64</v>
      </c>
      <c r="Q83" s="19" t="s">
        <v>64</v>
      </c>
      <c r="S83" s="10">
        <v>1</v>
      </c>
      <c r="T83" s="10">
        <v>0</v>
      </c>
      <c r="U83" s="10">
        <v>6</v>
      </c>
      <c r="V83" s="10">
        <v>9</v>
      </c>
      <c r="W83" s="10">
        <v>8</v>
      </c>
      <c r="X83" s="10">
        <v>8</v>
      </c>
      <c r="Z83" s="37">
        <v>1</v>
      </c>
      <c r="AA83" s="37">
        <v>1</v>
      </c>
      <c r="AB83" s="37">
        <v>1</v>
      </c>
      <c r="AC83" s="37">
        <v>1</v>
      </c>
      <c r="AD83" s="37">
        <v>1</v>
      </c>
      <c r="AE83" s="37">
        <v>1</v>
      </c>
      <c r="AF83" s="5"/>
    </row>
    <row r="84" spans="11:32">
      <c r="K84" s="10">
        <v>80</v>
      </c>
      <c r="L84" s="19" t="s">
        <v>65</v>
      </c>
      <c r="M84" s="19" t="s">
        <v>63</v>
      </c>
      <c r="N84" s="19" t="s">
        <v>66</v>
      </c>
      <c r="O84" s="19" t="s">
        <v>66</v>
      </c>
      <c r="P84" s="19" t="s">
        <v>64</v>
      </c>
      <c r="Q84" s="19" t="s">
        <v>52</v>
      </c>
      <c r="S84" s="10">
        <v>10</v>
      </c>
      <c r="T84" s="10">
        <v>9</v>
      </c>
      <c r="U84" s="10">
        <v>7</v>
      </c>
      <c r="V84" s="10">
        <v>7</v>
      </c>
      <c r="W84" s="10">
        <v>8</v>
      </c>
      <c r="X84" s="10">
        <v>11</v>
      </c>
      <c r="Z84" s="37">
        <v>1</v>
      </c>
      <c r="AA84" s="37">
        <v>1</v>
      </c>
      <c r="AB84" s="37">
        <v>1</v>
      </c>
      <c r="AC84" s="37">
        <v>1</v>
      </c>
      <c r="AD84" s="37">
        <v>1</v>
      </c>
      <c r="AE84" s="37">
        <v>1</v>
      </c>
      <c r="AF84" s="5"/>
    </row>
    <row r="85" spans="11:32">
      <c r="K85" s="10">
        <v>81</v>
      </c>
      <c r="L85" s="19" t="s">
        <v>65</v>
      </c>
      <c r="M85" s="19" t="s">
        <v>63</v>
      </c>
      <c r="N85" s="19" t="s">
        <v>66</v>
      </c>
      <c r="O85" s="19" t="s">
        <v>66</v>
      </c>
      <c r="P85" s="19" t="s">
        <v>66</v>
      </c>
      <c r="Q85" s="19" t="s">
        <v>23</v>
      </c>
      <c r="S85" s="10">
        <v>10</v>
      </c>
      <c r="T85" s="10">
        <v>9</v>
      </c>
      <c r="U85" s="10">
        <v>7</v>
      </c>
      <c r="V85" s="10">
        <v>7</v>
      </c>
      <c r="W85" s="10">
        <v>7</v>
      </c>
      <c r="X85" s="10">
        <v>6</v>
      </c>
      <c r="Z85" s="37">
        <v>1</v>
      </c>
      <c r="AA85" s="37">
        <v>1</v>
      </c>
      <c r="AB85" s="37">
        <v>1</v>
      </c>
      <c r="AC85" s="37">
        <v>1</v>
      </c>
      <c r="AD85" s="37">
        <v>1</v>
      </c>
      <c r="AE85" s="37">
        <v>1</v>
      </c>
      <c r="AF85" s="5"/>
    </row>
    <row r="86" spans="11:32">
      <c r="K86" s="10">
        <v>82</v>
      </c>
      <c r="L86" s="19" t="s">
        <v>27</v>
      </c>
      <c r="M86" s="19" t="s">
        <v>67</v>
      </c>
      <c r="N86" s="19" t="s">
        <v>65</v>
      </c>
      <c r="O86" s="19" t="s">
        <v>63</v>
      </c>
      <c r="P86" s="19" t="s">
        <v>66</v>
      </c>
      <c r="Q86" s="19" t="s">
        <v>23</v>
      </c>
      <c r="S86" s="10">
        <v>4</v>
      </c>
      <c r="T86" s="10">
        <v>11</v>
      </c>
      <c r="U86" s="10">
        <v>10</v>
      </c>
      <c r="V86" s="10">
        <v>9</v>
      </c>
      <c r="W86" s="10">
        <v>7</v>
      </c>
      <c r="X86" s="10">
        <v>6</v>
      </c>
      <c r="Z86" s="37">
        <v>1</v>
      </c>
      <c r="AA86" s="37">
        <v>1</v>
      </c>
      <c r="AB86" s="37">
        <v>1</v>
      </c>
      <c r="AC86" s="37">
        <v>1</v>
      </c>
      <c r="AD86" s="37">
        <v>1</v>
      </c>
      <c r="AE86" s="37">
        <v>1</v>
      </c>
      <c r="AF86" s="5"/>
    </row>
    <row r="87" spans="11:32">
      <c r="K87" s="10">
        <v>83</v>
      </c>
      <c r="L87" s="19" t="s">
        <v>27</v>
      </c>
      <c r="M87" s="19" t="s">
        <v>67</v>
      </c>
      <c r="N87" s="19" t="s">
        <v>65</v>
      </c>
      <c r="O87" s="19" t="s">
        <v>63</v>
      </c>
      <c r="P87" s="19" t="s">
        <v>22</v>
      </c>
      <c r="Q87" s="19" t="s">
        <v>52</v>
      </c>
      <c r="S87" s="10">
        <v>4</v>
      </c>
      <c r="T87" s="10">
        <v>11</v>
      </c>
      <c r="U87" s="10">
        <v>10</v>
      </c>
      <c r="V87" s="10">
        <v>9</v>
      </c>
      <c r="W87" s="10">
        <v>5</v>
      </c>
      <c r="X87" s="10">
        <v>11</v>
      </c>
      <c r="Z87" s="37">
        <v>1</v>
      </c>
      <c r="AA87" s="37">
        <v>1</v>
      </c>
      <c r="AB87" s="37">
        <v>1</v>
      </c>
      <c r="AC87" s="37">
        <v>1</v>
      </c>
      <c r="AD87" s="37">
        <v>1</v>
      </c>
      <c r="AE87" s="37">
        <v>1</v>
      </c>
      <c r="AF87" s="5"/>
    </row>
    <row r="88" spans="11:32">
      <c r="K88" s="10">
        <v>84</v>
      </c>
      <c r="L88" s="19" t="s">
        <v>66</v>
      </c>
      <c r="M88" s="19" t="s">
        <v>63</v>
      </c>
      <c r="N88" s="19" t="s">
        <v>66</v>
      </c>
      <c r="O88" s="19" t="s">
        <v>43</v>
      </c>
      <c r="P88" s="19" t="s">
        <v>22</v>
      </c>
      <c r="Q88" s="19" t="s">
        <v>22</v>
      </c>
      <c r="S88" s="10">
        <v>7</v>
      </c>
      <c r="T88" s="10">
        <v>9</v>
      </c>
      <c r="U88" s="10">
        <v>7</v>
      </c>
      <c r="V88" s="10">
        <v>0</v>
      </c>
      <c r="W88" s="10">
        <v>5</v>
      </c>
      <c r="X88" s="10">
        <v>5</v>
      </c>
      <c r="Z88" s="37">
        <v>1</v>
      </c>
      <c r="AA88" s="37">
        <v>1</v>
      </c>
      <c r="AB88" s="37">
        <v>1</v>
      </c>
      <c r="AC88" s="37">
        <v>1</v>
      </c>
      <c r="AD88" s="37">
        <v>1</v>
      </c>
      <c r="AE88" s="37">
        <v>1</v>
      </c>
      <c r="AF88" s="5"/>
    </row>
    <row r="89" spans="11:32">
      <c r="K89" s="10">
        <v>85</v>
      </c>
      <c r="L89" s="19" t="s">
        <v>66</v>
      </c>
      <c r="M89" s="19" t="s">
        <v>63</v>
      </c>
      <c r="N89" s="19" t="s">
        <v>66</v>
      </c>
      <c r="O89" s="19" t="s">
        <v>66</v>
      </c>
      <c r="P89" s="19" t="s">
        <v>27</v>
      </c>
      <c r="Q89" s="19" t="s">
        <v>22</v>
      </c>
      <c r="S89" s="10">
        <v>7</v>
      </c>
      <c r="T89" s="10">
        <v>9</v>
      </c>
      <c r="U89" s="10">
        <v>7</v>
      </c>
      <c r="V89" s="10">
        <v>7</v>
      </c>
      <c r="W89" s="10">
        <v>4</v>
      </c>
      <c r="X89" s="10">
        <v>5</v>
      </c>
      <c r="Z89" s="37">
        <v>1</v>
      </c>
      <c r="AA89" s="37">
        <v>1</v>
      </c>
      <c r="AB89" s="37">
        <v>1</v>
      </c>
      <c r="AC89" s="37">
        <v>1</v>
      </c>
      <c r="AD89" s="37">
        <v>1</v>
      </c>
      <c r="AE89" s="37">
        <v>1</v>
      </c>
      <c r="AF89" s="5"/>
    </row>
    <row r="90" spans="11:32">
      <c r="K90" s="10">
        <v>86</v>
      </c>
      <c r="L90" s="19" t="s">
        <v>65</v>
      </c>
      <c r="M90" s="19" t="s">
        <v>26</v>
      </c>
      <c r="N90" s="19" t="s">
        <v>27</v>
      </c>
      <c r="O90" s="19" t="s">
        <v>66</v>
      </c>
      <c r="P90" s="19" t="s">
        <v>27</v>
      </c>
      <c r="Q90" s="19" t="s">
        <v>63</v>
      </c>
      <c r="S90" s="10">
        <v>10</v>
      </c>
      <c r="T90" s="10">
        <v>3</v>
      </c>
      <c r="U90" s="10">
        <v>4</v>
      </c>
      <c r="V90" s="10">
        <v>7</v>
      </c>
      <c r="W90" s="10">
        <v>4</v>
      </c>
      <c r="X90" s="10">
        <v>9</v>
      </c>
      <c r="Z90" s="37">
        <v>1</v>
      </c>
      <c r="AA90" s="37">
        <v>1</v>
      </c>
      <c r="AB90" s="37">
        <v>1</v>
      </c>
      <c r="AC90" s="37">
        <v>1</v>
      </c>
      <c r="AD90" s="37">
        <v>1</v>
      </c>
      <c r="AE90" s="37">
        <v>1</v>
      </c>
      <c r="AF90" s="5"/>
    </row>
    <row r="91" spans="11:32">
      <c r="K91" s="10">
        <v>87</v>
      </c>
      <c r="L91" s="19" t="s">
        <v>65</v>
      </c>
      <c r="M91" s="19" t="s">
        <v>26</v>
      </c>
      <c r="N91" s="19" t="s">
        <v>27</v>
      </c>
      <c r="O91" s="19" t="s">
        <v>63</v>
      </c>
      <c r="P91" s="19" t="s">
        <v>67</v>
      </c>
      <c r="Q91" s="19" t="s">
        <v>63</v>
      </c>
      <c r="S91" s="10">
        <v>10</v>
      </c>
      <c r="T91" s="10">
        <v>3</v>
      </c>
      <c r="U91" s="10">
        <v>4</v>
      </c>
      <c r="V91" s="10">
        <v>9</v>
      </c>
      <c r="W91" s="10">
        <v>11</v>
      </c>
      <c r="X91" s="10">
        <v>9</v>
      </c>
      <c r="Z91" s="37">
        <v>1</v>
      </c>
      <c r="AA91" s="37">
        <v>1</v>
      </c>
      <c r="AB91" s="37">
        <v>1</v>
      </c>
      <c r="AC91" s="37">
        <v>1</v>
      </c>
      <c r="AD91" s="37">
        <v>1</v>
      </c>
      <c r="AE91" s="37">
        <v>1</v>
      </c>
      <c r="AF91" s="5"/>
    </row>
    <row r="92" spans="11:32">
      <c r="K92" s="10">
        <v>88</v>
      </c>
      <c r="L92" s="19" t="s">
        <v>68</v>
      </c>
      <c r="M92" s="19" t="s">
        <v>63</v>
      </c>
      <c r="N92" s="19" t="s">
        <v>63</v>
      </c>
      <c r="O92" s="19" t="s">
        <v>63</v>
      </c>
      <c r="P92" s="19" t="s">
        <v>67</v>
      </c>
      <c r="Q92" s="19" t="s">
        <v>67</v>
      </c>
      <c r="S92" s="10">
        <v>2</v>
      </c>
      <c r="T92" s="10">
        <v>9</v>
      </c>
      <c r="U92" s="10">
        <v>9</v>
      </c>
      <c r="V92" s="10">
        <v>9</v>
      </c>
      <c r="W92" s="10">
        <v>11</v>
      </c>
      <c r="X92" s="10">
        <v>11</v>
      </c>
      <c r="Z92" s="37">
        <v>1</v>
      </c>
      <c r="AA92" s="37">
        <v>1</v>
      </c>
      <c r="AB92" s="37">
        <v>1</v>
      </c>
      <c r="AC92" s="37">
        <v>1</v>
      </c>
      <c r="AD92" s="37">
        <v>1</v>
      </c>
      <c r="AE92" s="37">
        <v>1</v>
      </c>
      <c r="AF92" s="5"/>
    </row>
    <row r="93" spans="11:32">
      <c r="K93" s="10">
        <v>89</v>
      </c>
      <c r="L93" s="19" t="s">
        <v>68</v>
      </c>
      <c r="M93" s="19" t="s">
        <v>63</v>
      </c>
      <c r="N93" s="19" t="s">
        <v>63</v>
      </c>
      <c r="O93" s="19" t="s">
        <v>67</v>
      </c>
      <c r="P93" s="19" t="s">
        <v>64</v>
      </c>
      <c r="Q93" s="19" t="s">
        <v>67</v>
      </c>
      <c r="S93" s="10">
        <v>2</v>
      </c>
      <c r="T93" s="10">
        <v>9</v>
      </c>
      <c r="U93" s="10">
        <v>9</v>
      </c>
      <c r="V93" s="10">
        <v>11</v>
      </c>
      <c r="W93" s="10">
        <v>8</v>
      </c>
      <c r="X93" s="10">
        <v>11</v>
      </c>
      <c r="Z93" s="37">
        <v>1</v>
      </c>
      <c r="AA93" s="37">
        <v>1</v>
      </c>
      <c r="AB93" s="37">
        <v>1</v>
      </c>
      <c r="AC93" s="37">
        <v>1</v>
      </c>
      <c r="AD93" s="37">
        <v>1</v>
      </c>
      <c r="AE93" s="37">
        <v>1</v>
      </c>
      <c r="AF93" s="5"/>
    </row>
    <row r="94" spans="11:32">
      <c r="K94" s="10">
        <v>90</v>
      </c>
      <c r="L94" s="19" t="s">
        <v>64</v>
      </c>
      <c r="M94" s="19" t="s">
        <v>65</v>
      </c>
      <c r="N94" s="19" t="s">
        <v>27</v>
      </c>
      <c r="O94" s="19" t="s">
        <v>67</v>
      </c>
      <c r="P94" s="19" t="s">
        <v>64</v>
      </c>
      <c r="Q94" s="19" t="s">
        <v>23</v>
      </c>
      <c r="S94" s="10">
        <v>8</v>
      </c>
      <c r="T94" s="10">
        <v>10</v>
      </c>
      <c r="U94" s="10">
        <v>4</v>
      </c>
      <c r="V94" s="10">
        <v>11</v>
      </c>
      <c r="W94" s="10">
        <v>8</v>
      </c>
      <c r="X94" s="10">
        <v>6</v>
      </c>
      <c r="Z94" s="37">
        <v>1</v>
      </c>
      <c r="AA94" s="37">
        <v>1</v>
      </c>
      <c r="AB94" s="37">
        <v>1</v>
      </c>
      <c r="AC94" s="37">
        <v>1</v>
      </c>
      <c r="AD94" s="37">
        <v>1</v>
      </c>
      <c r="AE94" s="37">
        <v>1</v>
      </c>
      <c r="AF94" s="5"/>
    </row>
    <row r="95" spans="11:32">
      <c r="K95" s="10">
        <v>91</v>
      </c>
      <c r="L95" s="19" t="s">
        <v>64</v>
      </c>
      <c r="M95" s="19" t="s">
        <v>65</v>
      </c>
      <c r="N95" s="19" t="s">
        <v>27</v>
      </c>
      <c r="O95" s="19" t="s">
        <v>67</v>
      </c>
      <c r="P95" s="19" t="s">
        <v>20</v>
      </c>
      <c r="Q95" s="19" t="s">
        <v>23</v>
      </c>
      <c r="S95" s="10">
        <v>8</v>
      </c>
      <c r="T95" s="10">
        <v>10</v>
      </c>
      <c r="U95" s="10">
        <v>4</v>
      </c>
      <c r="V95" s="10">
        <v>11</v>
      </c>
      <c r="W95" s="10">
        <v>0</v>
      </c>
      <c r="X95" s="10">
        <v>6</v>
      </c>
      <c r="Z95" s="37">
        <v>1</v>
      </c>
      <c r="AA95" s="37">
        <v>1</v>
      </c>
      <c r="AB95" s="37">
        <v>1</v>
      </c>
      <c r="AC95" s="37">
        <v>1</v>
      </c>
      <c r="AD95" s="37">
        <v>1</v>
      </c>
      <c r="AE95" s="37">
        <v>1</v>
      </c>
      <c r="AF95" s="5"/>
    </row>
    <row r="96" spans="11:32">
      <c r="K96" s="10">
        <v>92</v>
      </c>
      <c r="L96" s="19" t="s">
        <v>26</v>
      </c>
      <c r="M96" s="19" t="s">
        <v>20</v>
      </c>
      <c r="N96" s="19" t="s">
        <v>30</v>
      </c>
      <c r="O96" s="19" t="s">
        <v>67</v>
      </c>
      <c r="P96" s="19" t="s">
        <v>64</v>
      </c>
      <c r="Q96" s="19" t="s">
        <v>67</v>
      </c>
      <c r="S96" s="10">
        <v>3</v>
      </c>
      <c r="T96" s="10">
        <v>0</v>
      </c>
      <c r="U96" s="10">
        <v>7</v>
      </c>
      <c r="V96" s="10">
        <v>11</v>
      </c>
      <c r="W96" s="10">
        <v>8</v>
      </c>
      <c r="X96" s="10">
        <v>11</v>
      </c>
      <c r="Z96" s="37">
        <v>1</v>
      </c>
      <c r="AA96" s="37">
        <v>1</v>
      </c>
      <c r="AB96" s="37">
        <v>1</v>
      </c>
      <c r="AC96" s="37">
        <v>1</v>
      </c>
      <c r="AD96" s="37">
        <v>1</v>
      </c>
      <c r="AE96" s="37">
        <v>1</v>
      </c>
      <c r="AF96" s="5"/>
    </row>
    <row r="97" spans="11:32">
      <c r="K97" s="10">
        <v>93</v>
      </c>
      <c r="L97" s="19" t="s">
        <v>26</v>
      </c>
      <c r="M97" s="19" t="s">
        <v>20</v>
      </c>
      <c r="N97" s="19" t="s">
        <v>30</v>
      </c>
      <c r="O97" s="19" t="s">
        <v>48</v>
      </c>
      <c r="P97" s="19" t="s">
        <v>64</v>
      </c>
      <c r="Q97" s="19" t="s">
        <v>67</v>
      </c>
      <c r="S97" s="10">
        <v>3</v>
      </c>
      <c r="T97" s="10">
        <v>0</v>
      </c>
      <c r="U97" s="10">
        <v>7</v>
      </c>
      <c r="V97" s="10">
        <v>1</v>
      </c>
      <c r="W97" s="10">
        <v>8</v>
      </c>
      <c r="X97" s="10">
        <v>11</v>
      </c>
      <c r="Z97" s="37">
        <v>1</v>
      </c>
      <c r="AA97" s="37">
        <v>1</v>
      </c>
      <c r="AB97" s="37">
        <v>1</v>
      </c>
      <c r="AC97" s="37">
        <v>1</v>
      </c>
      <c r="AD97" s="37">
        <v>1</v>
      </c>
      <c r="AE97" s="37">
        <v>1</v>
      </c>
      <c r="AF97" s="5"/>
    </row>
    <row r="98" spans="11:32">
      <c r="K98" s="10">
        <v>94</v>
      </c>
      <c r="L98" s="19" t="s">
        <v>27</v>
      </c>
      <c r="M98" s="19" t="s">
        <v>26</v>
      </c>
      <c r="N98" s="19" t="s">
        <v>65</v>
      </c>
      <c r="O98" s="19" t="s">
        <v>26</v>
      </c>
      <c r="P98" s="19" t="s">
        <v>67</v>
      </c>
      <c r="Q98" s="19" t="s">
        <v>27</v>
      </c>
      <c r="S98" s="10">
        <v>4</v>
      </c>
      <c r="T98" s="10">
        <v>3</v>
      </c>
      <c r="U98" s="10">
        <v>10</v>
      </c>
      <c r="V98" s="10">
        <v>3</v>
      </c>
      <c r="W98" s="10">
        <v>11</v>
      </c>
      <c r="X98" s="10">
        <v>4</v>
      </c>
      <c r="Z98" s="37">
        <v>1</v>
      </c>
      <c r="AA98" s="37">
        <v>1</v>
      </c>
      <c r="AB98" s="37">
        <v>1</v>
      </c>
      <c r="AC98" s="37">
        <v>1</v>
      </c>
      <c r="AD98" s="37">
        <v>1</v>
      </c>
      <c r="AE98" s="37">
        <v>1</v>
      </c>
      <c r="AF98" s="5"/>
    </row>
    <row r="99" spans="11:32">
      <c r="K99" s="10">
        <v>95</v>
      </c>
      <c r="L99" s="19" t="s">
        <v>27</v>
      </c>
      <c r="M99" s="19" t="s">
        <v>26</v>
      </c>
      <c r="N99" s="19" t="s">
        <v>65</v>
      </c>
      <c r="O99" s="19" t="s">
        <v>26</v>
      </c>
      <c r="P99" s="19" t="s">
        <v>67</v>
      </c>
      <c r="Q99" s="19" t="s">
        <v>27</v>
      </c>
      <c r="S99" s="10">
        <v>4</v>
      </c>
      <c r="T99" s="10">
        <v>3</v>
      </c>
      <c r="U99" s="10">
        <v>10</v>
      </c>
      <c r="V99" s="10">
        <v>3</v>
      </c>
      <c r="W99" s="10">
        <v>11</v>
      </c>
      <c r="X99" s="10">
        <v>4</v>
      </c>
      <c r="Z99" s="37">
        <v>1</v>
      </c>
      <c r="AA99" s="37">
        <v>1</v>
      </c>
      <c r="AB99" s="37">
        <v>1</v>
      </c>
      <c r="AC99" s="37">
        <v>1</v>
      </c>
      <c r="AD99" s="37">
        <v>1</v>
      </c>
      <c r="AE99" s="37">
        <v>1</v>
      </c>
      <c r="AF99" s="5"/>
    </row>
    <row r="100" spans="11:32">
      <c r="K100" s="10">
        <v>96</v>
      </c>
      <c r="L100" s="19" t="s">
        <v>66</v>
      </c>
      <c r="M100" s="19" t="s">
        <v>64</v>
      </c>
      <c r="N100" s="19" t="s">
        <v>66</v>
      </c>
      <c r="O100" s="19" t="s">
        <v>63</v>
      </c>
      <c r="P100" s="19" t="s">
        <v>22</v>
      </c>
      <c r="Q100" s="19" t="s">
        <v>67</v>
      </c>
      <c r="S100" s="10">
        <v>7</v>
      </c>
      <c r="T100" s="10">
        <v>8</v>
      </c>
      <c r="U100" s="10">
        <v>7</v>
      </c>
      <c r="V100" s="10">
        <v>9</v>
      </c>
      <c r="W100" s="10">
        <v>5</v>
      </c>
      <c r="X100" s="10">
        <v>11</v>
      </c>
      <c r="Z100" s="37">
        <v>1</v>
      </c>
      <c r="AA100" s="37">
        <v>1</v>
      </c>
      <c r="AB100" s="37">
        <v>1</v>
      </c>
      <c r="AC100" s="37">
        <v>1</v>
      </c>
      <c r="AD100" s="37">
        <v>1</v>
      </c>
      <c r="AE100" s="37">
        <v>1</v>
      </c>
      <c r="AF100" s="5"/>
    </row>
    <row r="101" spans="11:32">
      <c r="K101" s="10">
        <v>97</v>
      </c>
      <c r="L101" s="19" t="s">
        <v>66</v>
      </c>
      <c r="M101" s="19" t="s">
        <v>64</v>
      </c>
      <c r="N101" s="19" t="s">
        <v>66</v>
      </c>
      <c r="O101" s="19" t="s">
        <v>63</v>
      </c>
      <c r="P101" s="19" t="s">
        <v>22</v>
      </c>
      <c r="Q101" s="19" t="s">
        <v>67</v>
      </c>
      <c r="S101" s="10">
        <v>7</v>
      </c>
      <c r="T101" s="10">
        <v>8</v>
      </c>
      <c r="U101" s="10">
        <v>7</v>
      </c>
      <c r="V101" s="10">
        <v>9</v>
      </c>
      <c r="W101" s="10">
        <v>5</v>
      </c>
      <c r="X101" s="10">
        <v>11</v>
      </c>
      <c r="Z101" s="37">
        <v>1</v>
      </c>
      <c r="AA101" s="37">
        <v>1</v>
      </c>
      <c r="AB101" s="37">
        <v>1</v>
      </c>
      <c r="AC101" s="37">
        <v>1</v>
      </c>
      <c r="AD101" s="37">
        <v>1</v>
      </c>
      <c r="AE101" s="37">
        <v>1</v>
      </c>
      <c r="AF101" s="5"/>
    </row>
    <row r="102" spans="11:32">
      <c r="K102" s="10">
        <v>98</v>
      </c>
      <c r="L102" s="19" t="s">
        <v>27</v>
      </c>
      <c r="M102" s="19" t="s">
        <v>63</v>
      </c>
      <c r="N102" s="19" t="s">
        <v>64</v>
      </c>
      <c r="O102" s="19" t="s">
        <v>67</v>
      </c>
      <c r="P102" s="19" t="s">
        <v>64</v>
      </c>
      <c r="Q102" s="19" t="s">
        <v>65</v>
      </c>
      <c r="S102" s="10">
        <v>4</v>
      </c>
      <c r="T102" s="10">
        <v>9</v>
      </c>
      <c r="U102" s="10">
        <v>8</v>
      </c>
      <c r="V102" s="10">
        <v>11</v>
      </c>
      <c r="W102" s="10">
        <v>8</v>
      </c>
      <c r="X102" s="10">
        <v>10</v>
      </c>
      <c r="Z102" s="37">
        <v>1</v>
      </c>
      <c r="AA102" s="37">
        <v>1</v>
      </c>
      <c r="AB102" s="37">
        <v>1</v>
      </c>
      <c r="AC102" s="37">
        <v>1</v>
      </c>
      <c r="AD102" s="37">
        <v>1</v>
      </c>
      <c r="AE102" s="37">
        <v>1</v>
      </c>
      <c r="AF102" s="5"/>
    </row>
    <row r="103" spans="11:32">
      <c r="K103" s="10">
        <v>99</v>
      </c>
      <c r="L103" s="19" t="s">
        <v>27</v>
      </c>
      <c r="M103" s="19" t="s">
        <v>63</v>
      </c>
      <c r="N103" s="19" t="s">
        <v>64</v>
      </c>
      <c r="O103" s="19" t="s">
        <v>67</v>
      </c>
      <c r="P103" s="19" t="s">
        <v>64</v>
      </c>
      <c r="Q103" s="19" t="s">
        <v>65</v>
      </c>
      <c r="S103" s="10">
        <v>4</v>
      </c>
      <c r="T103" s="10">
        <v>9</v>
      </c>
      <c r="U103" s="10">
        <v>8</v>
      </c>
      <c r="V103" s="10">
        <v>11</v>
      </c>
      <c r="W103" s="10">
        <v>8</v>
      </c>
      <c r="X103" s="10">
        <v>10</v>
      </c>
      <c r="Z103" s="37">
        <v>1</v>
      </c>
      <c r="AA103" s="37">
        <v>1</v>
      </c>
      <c r="AB103" s="37">
        <v>1</v>
      </c>
      <c r="AC103" s="37">
        <v>1</v>
      </c>
      <c r="AD103" s="37">
        <v>1</v>
      </c>
      <c r="AE103" s="37">
        <v>1</v>
      </c>
      <c r="AF103" s="5"/>
    </row>
    <row r="104" spans="11:32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37"/>
      <c r="AA104" s="37"/>
      <c r="AB104" s="37"/>
      <c r="AC104" s="37"/>
      <c r="AD104" s="37"/>
      <c r="AE104" s="37"/>
      <c r="AF104" s="5"/>
    </row>
    <row r="105" spans="11:32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37"/>
      <c r="AA105" s="37"/>
      <c r="AB105" s="37"/>
      <c r="AC105" s="37"/>
      <c r="AD105" s="37"/>
      <c r="AE105" s="37"/>
      <c r="AF105" s="5"/>
    </row>
    <row r="106" spans="11:32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37"/>
      <c r="AA106" s="37"/>
      <c r="AB106" s="37"/>
      <c r="AC106" s="37"/>
      <c r="AD106" s="37"/>
      <c r="AE106" s="37"/>
      <c r="AF106" s="5"/>
    </row>
    <row r="107" spans="11:32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37"/>
      <c r="AA107" s="37"/>
      <c r="AB107" s="37"/>
      <c r="AC107" s="37"/>
      <c r="AD107" s="37"/>
      <c r="AE107" s="37"/>
      <c r="AF107" s="5"/>
    </row>
    <row r="108" spans="11:32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37"/>
      <c r="AA108" s="37"/>
      <c r="AB108" s="37"/>
      <c r="AC108" s="37"/>
      <c r="AD108" s="37"/>
      <c r="AE108" s="37"/>
      <c r="AF108" s="5"/>
    </row>
    <row r="109" spans="11:32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37"/>
      <c r="AA109" s="37"/>
      <c r="AB109" s="37"/>
      <c r="AC109" s="37"/>
      <c r="AD109" s="37"/>
      <c r="AE109" s="37"/>
      <c r="AF109" s="5"/>
    </row>
    <row r="110" spans="11:32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37"/>
      <c r="AA110" s="37"/>
      <c r="AB110" s="37"/>
      <c r="AC110" s="37"/>
      <c r="AD110" s="37"/>
      <c r="AE110" s="37"/>
      <c r="AF110" s="5"/>
    </row>
    <row r="111" spans="11:32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37"/>
      <c r="AA111" s="37"/>
      <c r="AB111" s="37"/>
      <c r="AC111" s="37"/>
      <c r="AD111" s="37"/>
      <c r="AE111" s="37"/>
      <c r="AF111" s="5"/>
    </row>
    <row r="112" spans="11:32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37"/>
      <c r="AA112" s="37"/>
      <c r="AB112" s="37"/>
      <c r="AC112" s="37"/>
      <c r="AD112" s="37"/>
      <c r="AE112" s="37"/>
      <c r="AF112" s="5"/>
    </row>
    <row r="113" spans="11:32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37"/>
      <c r="AA113" s="37"/>
      <c r="AB113" s="37"/>
      <c r="AC113" s="37"/>
      <c r="AD113" s="37"/>
      <c r="AE113" s="37"/>
      <c r="AF113" s="5"/>
    </row>
    <row r="114" spans="11:32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37"/>
      <c r="AA114" s="37"/>
      <c r="AB114" s="37"/>
      <c r="AC114" s="37"/>
      <c r="AD114" s="37"/>
      <c r="AE114" s="37"/>
      <c r="AF114" s="5"/>
    </row>
    <row r="115" spans="11:32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37"/>
      <c r="AA115" s="37"/>
      <c r="AB115" s="37"/>
      <c r="AC115" s="37"/>
      <c r="AD115" s="37"/>
      <c r="AE115" s="37"/>
      <c r="AF115" s="5"/>
    </row>
    <row r="116" spans="11:32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37"/>
      <c r="AA116" s="37"/>
      <c r="AB116" s="37"/>
      <c r="AC116" s="37"/>
      <c r="AD116" s="37"/>
      <c r="AE116" s="37"/>
      <c r="AF116" s="5"/>
    </row>
    <row r="117" spans="11:32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37"/>
      <c r="AA117" s="37"/>
      <c r="AB117" s="37"/>
      <c r="AC117" s="37"/>
      <c r="AD117" s="37"/>
      <c r="AE117" s="37"/>
      <c r="AF117" s="5"/>
    </row>
    <row r="118" spans="11:32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37"/>
      <c r="AA118" s="37"/>
      <c r="AB118" s="37"/>
      <c r="AC118" s="37"/>
      <c r="AD118" s="37"/>
      <c r="AE118" s="37"/>
      <c r="AF118" s="5"/>
    </row>
    <row r="119" spans="11:32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37"/>
      <c r="AA119" s="37"/>
      <c r="AB119" s="37"/>
      <c r="AC119" s="37"/>
      <c r="AD119" s="37"/>
      <c r="AE119" s="37"/>
      <c r="AF119" s="5"/>
    </row>
    <row r="120" spans="11:32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37"/>
      <c r="AA120" s="37"/>
      <c r="AB120" s="37"/>
      <c r="AC120" s="37"/>
      <c r="AD120" s="37"/>
      <c r="AE120" s="37"/>
      <c r="AF120" s="5"/>
    </row>
    <row r="121" spans="11:32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37"/>
      <c r="AA121" s="37"/>
      <c r="AB121" s="37"/>
      <c r="AC121" s="37"/>
      <c r="AD121" s="37"/>
      <c r="AE121" s="37"/>
      <c r="AF121" s="5"/>
    </row>
    <row r="122" spans="11:32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37"/>
      <c r="AA122" s="37"/>
      <c r="AB122" s="37"/>
      <c r="AC122" s="37"/>
      <c r="AD122" s="37"/>
      <c r="AE122" s="37"/>
      <c r="AF122" s="5"/>
    </row>
    <row r="123" spans="11:32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37"/>
      <c r="AA123" s="37"/>
      <c r="AB123" s="37"/>
      <c r="AC123" s="37"/>
      <c r="AD123" s="37"/>
      <c r="AE123" s="37"/>
      <c r="AF123" s="5"/>
    </row>
    <row r="124" spans="11:32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37"/>
      <c r="AA124" s="37"/>
      <c r="AB124" s="37"/>
      <c r="AC124" s="37"/>
      <c r="AD124" s="37"/>
      <c r="AE124" s="37"/>
      <c r="AF124" s="5"/>
    </row>
    <row r="125" spans="11:32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37"/>
      <c r="AA125" s="37"/>
      <c r="AB125" s="37"/>
      <c r="AC125" s="37"/>
      <c r="AD125" s="37"/>
      <c r="AE125" s="37"/>
      <c r="AF125" s="5"/>
    </row>
    <row r="126" spans="11:32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37"/>
      <c r="AA126" s="37"/>
      <c r="AB126" s="37"/>
      <c r="AC126" s="37"/>
      <c r="AD126" s="37"/>
      <c r="AE126" s="37"/>
      <c r="AF126" s="5"/>
    </row>
    <row r="127" spans="11:32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37"/>
      <c r="AA127" s="37"/>
      <c r="AB127" s="37"/>
      <c r="AC127" s="37"/>
      <c r="AD127" s="37"/>
      <c r="AE127" s="37"/>
      <c r="AF127" s="5"/>
    </row>
    <row r="128" spans="11:32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37"/>
      <c r="AA128" s="37"/>
      <c r="AB128" s="37"/>
      <c r="AC128" s="37"/>
      <c r="AD128" s="37"/>
      <c r="AE128" s="37"/>
      <c r="AF128" s="5"/>
    </row>
    <row r="129" spans="11:32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37"/>
      <c r="AA129" s="37"/>
      <c r="AB129" s="37"/>
      <c r="AC129" s="37"/>
      <c r="AD129" s="37"/>
      <c r="AE129" s="37"/>
      <c r="AF129" s="5"/>
    </row>
    <row r="130" spans="11:32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37"/>
      <c r="AA130" s="37"/>
      <c r="AB130" s="37"/>
      <c r="AC130" s="37"/>
      <c r="AD130" s="37"/>
      <c r="AE130" s="37"/>
      <c r="AF130" s="5"/>
    </row>
    <row r="131" spans="11:32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37"/>
      <c r="AA131" s="37"/>
      <c r="AB131" s="37"/>
      <c r="AC131" s="37"/>
      <c r="AD131" s="37"/>
      <c r="AE131" s="37"/>
      <c r="AF131" s="5"/>
    </row>
    <row r="132" spans="11:32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37"/>
      <c r="AA132" s="37"/>
      <c r="AB132" s="37"/>
      <c r="AC132" s="37"/>
      <c r="AD132" s="37"/>
      <c r="AE132" s="37"/>
      <c r="AF132" s="5"/>
    </row>
    <row r="133" spans="11:32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37"/>
      <c r="AA133" s="37"/>
      <c r="AB133" s="37"/>
      <c r="AC133" s="37"/>
      <c r="AD133" s="37"/>
      <c r="AE133" s="37"/>
      <c r="AF133" s="5"/>
    </row>
    <row r="134" spans="11:32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37"/>
      <c r="AA134" s="37"/>
      <c r="AB134" s="37"/>
      <c r="AC134" s="37"/>
      <c r="AD134" s="37"/>
      <c r="AE134" s="37"/>
      <c r="AF134" s="5"/>
    </row>
    <row r="135" spans="11:32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37"/>
      <c r="AA135" s="37"/>
      <c r="AB135" s="37"/>
      <c r="AC135" s="37"/>
      <c r="AD135" s="37"/>
      <c r="AE135" s="37"/>
      <c r="AF135" s="5"/>
    </row>
    <row r="136" spans="11:32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37"/>
      <c r="AA136" s="37"/>
      <c r="AB136" s="37"/>
      <c r="AC136" s="37"/>
      <c r="AD136" s="37"/>
      <c r="AE136" s="37"/>
      <c r="AF136" s="5"/>
    </row>
    <row r="137" spans="11:32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37"/>
      <c r="AA137" s="37"/>
      <c r="AB137" s="37"/>
      <c r="AC137" s="37"/>
      <c r="AD137" s="37"/>
      <c r="AE137" s="37"/>
      <c r="AF137" s="5"/>
    </row>
    <row r="138" spans="11:32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37"/>
      <c r="AA138" s="37"/>
      <c r="AB138" s="37"/>
      <c r="AC138" s="37"/>
      <c r="AD138" s="37"/>
      <c r="AE138" s="37"/>
      <c r="AF138" s="5"/>
    </row>
    <row r="139" spans="11:32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37"/>
      <c r="AA139" s="37"/>
      <c r="AB139" s="37"/>
      <c r="AC139" s="37"/>
      <c r="AD139" s="37"/>
      <c r="AE139" s="37"/>
      <c r="AF139" s="5"/>
    </row>
    <row r="140" spans="11:32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37"/>
      <c r="AA140" s="37"/>
      <c r="AB140" s="37"/>
      <c r="AC140" s="37"/>
      <c r="AD140" s="37"/>
      <c r="AE140" s="37"/>
      <c r="AF140" s="5"/>
    </row>
    <row r="141" spans="11:32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37"/>
      <c r="AA141" s="37"/>
      <c r="AB141" s="37"/>
      <c r="AC141" s="37"/>
      <c r="AD141" s="37"/>
      <c r="AE141" s="37"/>
      <c r="AF141" s="5"/>
    </row>
    <row r="142" spans="11:32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37"/>
      <c r="AA142" s="37"/>
      <c r="AB142" s="37"/>
      <c r="AC142" s="37"/>
      <c r="AD142" s="37"/>
      <c r="AE142" s="37"/>
      <c r="AF142" s="5"/>
    </row>
    <row r="143" spans="11:32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37"/>
      <c r="AA143" s="37"/>
      <c r="AB143" s="37"/>
      <c r="AC143" s="37"/>
      <c r="AD143" s="37"/>
      <c r="AE143" s="37"/>
      <c r="AF143" s="5"/>
    </row>
    <row r="144" spans="11:32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37"/>
      <c r="AA144" s="37"/>
      <c r="AB144" s="37"/>
      <c r="AC144" s="37"/>
      <c r="AD144" s="37"/>
      <c r="AE144" s="37"/>
      <c r="AF144" s="5"/>
    </row>
    <row r="145" spans="11:32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37"/>
      <c r="AA145" s="37"/>
      <c r="AB145" s="37"/>
      <c r="AC145" s="37"/>
      <c r="AD145" s="37"/>
      <c r="AE145" s="37"/>
      <c r="AF145" s="5"/>
    </row>
    <row r="146" spans="11:32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37"/>
      <c r="AA146" s="37"/>
      <c r="AB146" s="37"/>
      <c r="AC146" s="37"/>
      <c r="AD146" s="37"/>
      <c r="AE146" s="37"/>
      <c r="AF146" s="5"/>
    </row>
    <row r="147" spans="11:32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37"/>
      <c r="AA147" s="37"/>
      <c r="AB147" s="37"/>
      <c r="AC147" s="37"/>
      <c r="AD147" s="37"/>
      <c r="AE147" s="37"/>
      <c r="AF147" s="5"/>
    </row>
    <row r="148" spans="11:32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37"/>
      <c r="AA148" s="37"/>
      <c r="AB148" s="37"/>
      <c r="AC148" s="37"/>
      <c r="AD148" s="37"/>
      <c r="AE148" s="37"/>
      <c r="AF148" s="5"/>
    </row>
    <row r="149" spans="11:32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37"/>
      <c r="AA149" s="37"/>
      <c r="AB149" s="37"/>
      <c r="AC149" s="37"/>
      <c r="AD149" s="37"/>
      <c r="AE149" s="37"/>
      <c r="AF149" s="5"/>
    </row>
    <row r="150" spans="11:32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37"/>
      <c r="AA150" s="37"/>
      <c r="AB150" s="37"/>
      <c r="AC150" s="37"/>
      <c r="AD150" s="37"/>
      <c r="AE150" s="37"/>
      <c r="AF150" s="5"/>
    </row>
    <row r="151" spans="11:32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37"/>
      <c r="AA151" s="37"/>
      <c r="AB151" s="37"/>
      <c r="AC151" s="37"/>
      <c r="AD151" s="37"/>
      <c r="AE151" s="37"/>
      <c r="AF151" s="5"/>
    </row>
    <row r="152" spans="11:32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37"/>
      <c r="AA152" s="37"/>
      <c r="AB152" s="37"/>
      <c r="AC152" s="37"/>
      <c r="AD152" s="37"/>
      <c r="AE152" s="37"/>
      <c r="AF152" s="5"/>
    </row>
    <row r="153" spans="11:32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37"/>
      <c r="AA153" s="37"/>
      <c r="AB153" s="37"/>
      <c r="AC153" s="37"/>
      <c r="AD153" s="37"/>
      <c r="AE153" s="37"/>
      <c r="AF153" s="5"/>
    </row>
    <row r="154" spans="11:32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37"/>
      <c r="AA154" s="37"/>
      <c r="AB154" s="37"/>
      <c r="AC154" s="37"/>
      <c r="AD154" s="37"/>
      <c r="AE154" s="37"/>
      <c r="AF154" s="5"/>
    </row>
    <row r="155" spans="11:32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37"/>
      <c r="AA155" s="37"/>
      <c r="AB155" s="37"/>
      <c r="AC155" s="37"/>
      <c r="AD155" s="37"/>
      <c r="AE155" s="37"/>
      <c r="AF155" s="5"/>
    </row>
    <row r="156" spans="11:32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37"/>
      <c r="AA156" s="37"/>
      <c r="AB156" s="37"/>
      <c r="AC156" s="37"/>
      <c r="AD156" s="37"/>
      <c r="AE156" s="37"/>
      <c r="AF156" s="5"/>
    </row>
    <row r="157" spans="11:32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37"/>
      <c r="AA157" s="37"/>
      <c r="AB157" s="37"/>
      <c r="AC157" s="37"/>
      <c r="AD157" s="37"/>
      <c r="AE157" s="37"/>
      <c r="AF157" s="5"/>
    </row>
    <row r="158" spans="11:32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37"/>
      <c r="AA158" s="37"/>
      <c r="AB158" s="37"/>
      <c r="AC158" s="37"/>
      <c r="AD158" s="37"/>
      <c r="AE158" s="37"/>
      <c r="AF158" s="5"/>
    </row>
    <row r="159" spans="11:32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37"/>
      <c r="AA159" s="37"/>
      <c r="AB159" s="37"/>
      <c r="AC159" s="37"/>
      <c r="AD159" s="37"/>
      <c r="AE159" s="37"/>
      <c r="AF159" s="5"/>
    </row>
    <row r="160" spans="11:32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37"/>
      <c r="AA160" s="37"/>
      <c r="AB160" s="37"/>
      <c r="AC160" s="37"/>
      <c r="AD160" s="37"/>
      <c r="AE160" s="37"/>
      <c r="AF160" s="5"/>
    </row>
    <row r="161" spans="11:32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37"/>
      <c r="AA161" s="37"/>
      <c r="AB161" s="37"/>
      <c r="AC161" s="37"/>
      <c r="AD161" s="37"/>
      <c r="AE161" s="37"/>
      <c r="AF161" s="5"/>
    </row>
    <row r="162" spans="11:32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37"/>
      <c r="AA162" s="37"/>
      <c r="AB162" s="37"/>
      <c r="AC162" s="37"/>
      <c r="AD162" s="37"/>
      <c r="AE162" s="37"/>
      <c r="AF162" s="5"/>
    </row>
    <row r="163" spans="11:32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37"/>
      <c r="AA163" s="37"/>
      <c r="AB163" s="37"/>
      <c r="AC163" s="37"/>
      <c r="AD163" s="37"/>
      <c r="AE163" s="37"/>
      <c r="AF163" s="5"/>
    </row>
    <row r="164" spans="11:32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37"/>
      <c r="AA164" s="37"/>
      <c r="AB164" s="37"/>
      <c r="AC164" s="37"/>
      <c r="AD164" s="37"/>
      <c r="AE164" s="37"/>
      <c r="AF164" s="5"/>
    </row>
    <row r="165" spans="11:32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37"/>
      <c r="AA165" s="37"/>
      <c r="AB165" s="37"/>
      <c r="AC165" s="37"/>
      <c r="AD165" s="37"/>
      <c r="AE165" s="37"/>
      <c r="AF165" s="5"/>
    </row>
    <row r="166" spans="11:32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37"/>
      <c r="AA166" s="37"/>
      <c r="AB166" s="37"/>
      <c r="AC166" s="37"/>
      <c r="AD166" s="37"/>
      <c r="AE166" s="37"/>
      <c r="AF166" s="5"/>
    </row>
    <row r="167" spans="11:32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37"/>
      <c r="AA167" s="37"/>
      <c r="AB167" s="37"/>
      <c r="AC167" s="37"/>
      <c r="AD167" s="37"/>
      <c r="AE167" s="37"/>
      <c r="AF167" s="5"/>
    </row>
    <row r="168" spans="11:32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37"/>
      <c r="AA168" s="37"/>
      <c r="AB168" s="37"/>
      <c r="AC168" s="37"/>
      <c r="AD168" s="37"/>
      <c r="AE168" s="37"/>
      <c r="AF168" s="5"/>
    </row>
    <row r="169" spans="11:32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37"/>
      <c r="AA169" s="37"/>
      <c r="AB169" s="37"/>
      <c r="AC169" s="37"/>
      <c r="AD169" s="37"/>
      <c r="AE169" s="37"/>
      <c r="AF169" s="5"/>
    </row>
    <row r="170" spans="11:32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37"/>
      <c r="AA170" s="37"/>
      <c r="AB170" s="37"/>
      <c r="AC170" s="37"/>
      <c r="AD170" s="37"/>
      <c r="AE170" s="37"/>
      <c r="AF170" s="5"/>
    </row>
    <row r="171" spans="11:32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37"/>
      <c r="AA171" s="37"/>
      <c r="AB171" s="37"/>
      <c r="AC171" s="37"/>
      <c r="AD171" s="37"/>
      <c r="AE171" s="37"/>
      <c r="AF171" s="5"/>
    </row>
    <row r="172" spans="11:32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37"/>
      <c r="AA172" s="37"/>
      <c r="AB172" s="37"/>
      <c r="AC172" s="37"/>
      <c r="AD172" s="37"/>
      <c r="AE172" s="37"/>
      <c r="AF172" s="5"/>
    </row>
    <row r="173" spans="11:32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37"/>
      <c r="AA173" s="37"/>
      <c r="AB173" s="37"/>
      <c r="AC173" s="37"/>
      <c r="AD173" s="37"/>
      <c r="AE173" s="37"/>
      <c r="AF173" s="5"/>
    </row>
    <row r="174" spans="11:32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37"/>
      <c r="AA174" s="37"/>
      <c r="AB174" s="37"/>
      <c r="AC174" s="37"/>
      <c r="AD174" s="37"/>
      <c r="AE174" s="37"/>
      <c r="AF174" s="5"/>
    </row>
    <row r="175" spans="11:32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37"/>
      <c r="AA175" s="37"/>
      <c r="AB175" s="37"/>
      <c r="AC175" s="37"/>
      <c r="AD175" s="37"/>
      <c r="AE175" s="37"/>
      <c r="AF175" s="5"/>
    </row>
    <row r="176" spans="11:32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37"/>
      <c r="AA176" s="37"/>
      <c r="AB176" s="37"/>
      <c r="AC176" s="37"/>
      <c r="AD176" s="37"/>
      <c r="AE176" s="37"/>
      <c r="AF176" s="5"/>
    </row>
    <row r="177" spans="11:32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37"/>
      <c r="AA177" s="37"/>
      <c r="AB177" s="37"/>
      <c r="AC177" s="37"/>
      <c r="AD177" s="37"/>
      <c r="AE177" s="37"/>
      <c r="AF177" s="5"/>
    </row>
    <row r="178" spans="11:32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37"/>
      <c r="AA178" s="37"/>
      <c r="AB178" s="37"/>
      <c r="AC178" s="37"/>
      <c r="AD178" s="37"/>
      <c r="AE178" s="37"/>
      <c r="AF178" s="5"/>
    </row>
    <row r="179" spans="11:32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37"/>
      <c r="AA179" s="37"/>
      <c r="AB179" s="37"/>
      <c r="AC179" s="37"/>
      <c r="AD179" s="37"/>
      <c r="AE179" s="37"/>
      <c r="AF179" s="5"/>
    </row>
    <row r="180" spans="11:32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37"/>
      <c r="AA180" s="37"/>
      <c r="AB180" s="37"/>
      <c r="AC180" s="37"/>
      <c r="AD180" s="37"/>
      <c r="AE180" s="37"/>
      <c r="AF180" s="5"/>
    </row>
    <row r="181" spans="11:32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37"/>
      <c r="AA181" s="37"/>
      <c r="AB181" s="37"/>
      <c r="AC181" s="37"/>
      <c r="AD181" s="37"/>
      <c r="AE181" s="37"/>
      <c r="AF181" s="5"/>
    </row>
    <row r="182" spans="11:32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37"/>
      <c r="AA182" s="37"/>
      <c r="AB182" s="37"/>
      <c r="AC182" s="37"/>
      <c r="AD182" s="37"/>
      <c r="AE182" s="37"/>
      <c r="AF182" s="5"/>
    </row>
    <row r="183" spans="11:32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37"/>
      <c r="AA183" s="37"/>
      <c r="AB183" s="37"/>
      <c r="AC183" s="37"/>
      <c r="AD183" s="37"/>
      <c r="AE183" s="37"/>
      <c r="AF183" s="5"/>
    </row>
    <row r="184" spans="11:32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37"/>
      <c r="AA184" s="37"/>
      <c r="AB184" s="37"/>
      <c r="AC184" s="37"/>
      <c r="AD184" s="37"/>
      <c r="AE184" s="37"/>
      <c r="AF184" s="5"/>
    </row>
    <row r="185" spans="11:32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37"/>
      <c r="AA185" s="37"/>
      <c r="AB185" s="37"/>
      <c r="AC185" s="37"/>
      <c r="AD185" s="37"/>
      <c r="AE185" s="37"/>
      <c r="AF185" s="5"/>
    </row>
    <row r="186" spans="11:32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37"/>
      <c r="AA186" s="37"/>
      <c r="AB186" s="37"/>
      <c r="AC186" s="37"/>
      <c r="AD186" s="37"/>
      <c r="AE186" s="37"/>
      <c r="AF186" s="5"/>
    </row>
    <row r="187" spans="11:32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37"/>
      <c r="AA187" s="37"/>
      <c r="AB187" s="37"/>
      <c r="AC187" s="37"/>
      <c r="AD187" s="37"/>
      <c r="AE187" s="37"/>
      <c r="AF187" s="5"/>
    </row>
    <row r="188" spans="11:32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37"/>
      <c r="AA188" s="37"/>
      <c r="AB188" s="37"/>
      <c r="AC188" s="37"/>
      <c r="AD188" s="37"/>
      <c r="AE188" s="37"/>
      <c r="AF188" s="5"/>
    </row>
    <row r="189" spans="11:32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37"/>
      <c r="AA189" s="37"/>
      <c r="AB189" s="37"/>
      <c r="AC189" s="37"/>
      <c r="AD189" s="37"/>
      <c r="AE189" s="37"/>
      <c r="AF189" s="5"/>
    </row>
    <row r="190" spans="11:32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37"/>
      <c r="AA190" s="37"/>
      <c r="AB190" s="37"/>
      <c r="AC190" s="37"/>
      <c r="AD190" s="37"/>
      <c r="AE190" s="37"/>
      <c r="AF190" s="5"/>
    </row>
    <row r="191" spans="11:32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37"/>
      <c r="AA191" s="37"/>
      <c r="AB191" s="37"/>
      <c r="AC191" s="37"/>
      <c r="AD191" s="37"/>
      <c r="AE191" s="37"/>
      <c r="AF191" s="5"/>
    </row>
    <row r="192" spans="11:32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37"/>
      <c r="AA192" s="37"/>
      <c r="AB192" s="37"/>
      <c r="AC192" s="37"/>
      <c r="AD192" s="37"/>
      <c r="AE192" s="37"/>
      <c r="AF192" s="5"/>
    </row>
    <row r="193" spans="11:32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37"/>
      <c r="AA193" s="37"/>
      <c r="AB193" s="37"/>
      <c r="AC193" s="37"/>
      <c r="AD193" s="37"/>
      <c r="AE193" s="37"/>
      <c r="AF193" s="5"/>
    </row>
    <row r="194" spans="11:32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37"/>
      <c r="AA194" s="37"/>
      <c r="AB194" s="37"/>
      <c r="AC194" s="37"/>
      <c r="AD194" s="37"/>
      <c r="AE194" s="37"/>
      <c r="AF194" s="5"/>
    </row>
    <row r="195" spans="11:32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37"/>
      <c r="AA195" s="37"/>
      <c r="AB195" s="37"/>
      <c r="AC195" s="37"/>
      <c r="AD195" s="37"/>
      <c r="AE195" s="37"/>
      <c r="AF195" s="5"/>
    </row>
    <row r="196" spans="11:32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37"/>
      <c r="AA196" s="37"/>
      <c r="AB196" s="37"/>
      <c r="AC196" s="37"/>
      <c r="AD196" s="37"/>
      <c r="AE196" s="37"/>
      <c r="AF196" s="5"/>
    </row>
    <row r="197" spans="11:32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37"/>
      <c r="AA197" s="37"/>
      <c r="AB197" s="37"/>
      <c r="AC197" s="37"/>
      <c r="AD197" s="37"/>
      <c r="AE197" s="37"/>
      <c r="AF197" s="5"/>
    </row>
    <row r="198" spans="11:32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  <c r="AF198" s="5"/>
    </row>
    <row r="199" spans="11:32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  <c r="AF199" s="5"/>
    </row>
    <row r="200" spans="11:32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  <c r="AF200" s="5"/>
    </row>
    <row r="201" spans="11:32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  <c r="AF201" s="5"/>
    </row>
    <row r="202" spans="11:32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  <c r="AF202" s="5"/>
    </row>
    <row r="203" spans="11:32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  <c r="AF203" s="5"/>
    </row>
    <row r="204" spans="11:32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  <c r="AF204" s="5"/>
    </row>
    <row r="205" spans="11:32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  <c r="AF205" s="5"/>
    </row>
    <row r="206" spans="11:32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  <c r="AF206" s="5"/>
    </row>
    <row r="207" spans="11:32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  <c r="AF207" s="5"/>
    </row>
    <row r="208" spans="11:32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  <c r="AF208" s="5"/>
    </row>
    <row r="209" spans="11:32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  <c r="AF209" s="5"/>
    </row>
    <row r="210" spans="11:32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  <c r="AF210" s="5"/>
    </row>
    <row r="211" spans="11:32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  <c r="AF211" s="5"/>
    </row>
    <row r="212" spans="11:32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  <c r="AF212" s="5"/>
    </row>
    <row r="213" spans="11:32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  <c r="AF213" s="5"/>
    </row>
    <row r="214" spans="11:32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  <c r="AF214" s="5"/>
    </row>
    <row r="215" spans="11:32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  <c r="AF215" s="5"/>
    </row>
    <row r="216" spans="11:32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  <c r="AF216" s="5"/>
    </row>
    <row r="217" spans="11:32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  <c r="AF217" s="5"/>
    </row>
    <row r="218" spans="11:32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  <c r="AF218" s="5"/>
    </row>
    <row r="219" spans="11:32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  <c r="AF219" s="5"/>
    </row>
    <row r="220" spans="11:32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  <c r="AF220" s="5"/>
    </row>
    <row r="221" spans="11:32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  <c r="AF221" s="5"/>
    </row>
    <row r="222" spans="11:32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  <c r="AF222" s="5"/>
    </row>
    <row r="223" spans="11:32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  <c r="AF223" s="5"/>
    </row>
    <row r="224" spans="11:32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  <c r="AF224" s="5"/>
    </row>
    <row r="225" spans="11:32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  <c r="AF225" s="5"/>
    </row>
    <row r="226" spans="11:32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  <c r="AF226" s="5"/>
    </row>
    <row r="227" spans="11:32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  <c r="AF227" s="5"/>
    </row>
    <row r="228" spans="11:32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  <c r="AF228" s="5"/>
    </row>
    <row r="229" spans="11:32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  <c r="AF229" s="5"/>
    </row>
    <row r="230" spans="11:32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  <c r="AF230" s="5"/>
    </row>
    <row r="231" spans="11:32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  <c r="AF231" s="5"/>
    </row>
    <row r="232" spans="11:32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  <c r="AF232" s="5"/>
    </row>
    <row r="233" spans="11:32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  <c r="AF233" s="5"/>
    </row>
    <row r="234" spans="11:32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  <c r="AF234" s="5"/>
    </row>
    <row r="235" spans="11:32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  <c r="AF235" s="5"/>
    </row>
    <row r="236" spans="11:32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  <c r="AF236" s="5"/>
    </row>
    <row r="237" spans="11:32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  <c r="AF237" s="5"/>
    </row>
    <row r="238" spans="11:32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  <c r="AF238" s="5"/>
    </row>
    <row r="239" spans="11:32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  <c r="AF239" s="5"/>
    </row>
    <row r="240" spans="11:32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  <c r="AF240" s="5"/>
    </row>
    <row r="241" spans="11:32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  <c r="AF241" s="5"/>
    </row>
    <row r="242" spans="11:32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  <c r="AF242" s="5"/>
    </row>
    <row r="243" spans="11:32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  <c r="AF243" s="5"/>
    </row>
    <row r="244" spans="11:32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  <c r="AF244" s="5"/>
    </row>
    <row r="245" spans="11:32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  <c r="AF245" s="5"/>
    </row>
    <row r="246" spans="11:32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  <c r="AF246" s="5"/>
    </row>
    <row r="247" spans="11:32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  <c r="AF247" s="5"/>
    </row>
    <row r="248" spans="11:32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  <c r="AF248" s="5"/>
    </row>
    <row r="249" spans="11:32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  <c r="AF249" s="5"/>
    </row>
    <row r="250" spans="11:32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  <c r="AF250" s="5"/>
    </row>
    <row r="251" spans="11:32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  <c r="AF251" s="5"/>
    </row>
    <row r="252" spans="11:32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  <c r="AF252" s="5"/>
    </row>
    <row r="253" spans="11:32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  <c r="AF253" s="5"/>
    </row>
    <row r="254" spans="11:32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  <c r="AF254" s="5"/>
    </row>
    <row r="255" spans="11:32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  <c r="AF255" s="5"/>
    </row>
    <row r="256" spans="11:32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  <c r="AF256" s="5"/>
    </row>
    <row r="257" spans="11:32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  <c r="AF257" s="5"/>
    </row>
    <row r="258" spans="11:32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  <c r="AF258" s="5"/>
    </row>
    <row r="259" spans="11:32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  <c r="AF259" s="5"/>
    </row>
    <row r="260" spans="11:32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  <c r="AF260" s="5"/>
    </row>
    <row r="261" spans="11:32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  <c r="AF261" s="5"/>
    </row>
    <row r="262" spans="11:32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  <c r="AF262" s="5"/>
    </row>
    <row r="263" spans="11:32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  <c r="AF263" s="5"/>
    </row>
    <row r="264" spans="11:32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  <c r="AF264" s="5"/>
    </row>
    <row r="265" spans="11:32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  <c r="AF265" s="5"/>
    </row>
    <row r="266" spans="11:32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  <c r="AF266" s="5"/>
    </row>
    <row r="267" spans="11:32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  <c r="AF267" s="5"/>
    </row>
    <row r="268" spans="11:32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  <c r="AF268" s="5"/>
    </row>
    <row r="269" spans="11:32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  <c r="AF269" s="5"/>
    </row>
    <row r="270" spans="11:32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  <c r="AF270" s="5"/>
    </row>
    <row r="271" spans="11:32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  <c r="AF271" s="5"/>
    </row>
    <row r="272" spans="11:32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  <c r="AF272" s="5"/>
    </row>
    <row r="273" spans="11:32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  <c r="AF273" s="5"/>
    </row>
    <row r="274" spans="11:32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  <c r="AF274" s="5"/>
    </row>
    <row r="275" spans="11:32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  <c r="AF275" s="5"/>
    </row>
    <row r="276" spans="11:32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  <c r="AF276" s="5"/>
    </row>
    <row r="277" spans="11:32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  <c r="AF277" s="5"/>
    </row>
    <row r="278" spans="11:32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  <c r="AF278" s="5"/>
    </row>
    <row r="279" spans="11:32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  <c r="AF279" s="5"/>
    </row>
    <row r="280" spans="11:32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  <c r="AF280" s="5"/>
    </row>
    <row r="281" spans="11:32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  <c r="AF281" s="5"/>
    </row>
    <row r="282" spans="11:32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  <c r="AF282" s="5"/>
    </row>
    <row r="283" spans="11:32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  <c r="AF283" s="5"/>
    </row>
    <row r="284" spans="11:32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  <c r="AF284" s="5"/>
    </row>
    <row r="285" spans="11:32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  <c r="AF285" s="5"/>
    </row>
    <row r="286" spans="11:32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  <c r="AF286" s="5"/>
    </row>
    <row r="287" spans="11:32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  <c r="AF287" s="5"/>
    </row>
    <row r="288" spans="11:32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  <c r="AF288" s="5"/>
    </row>
    <row r="289" spans="11:32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/>
      <c r="AA289" s="10"/>
      <c r="AB289" s="10"/>
      <c r="AC289" s="10"/>
      <c r="AD289" s="10"/>
      <c r="AE289" s="10"/>
      <c r="AF289" s="5"/>
    </row>
    <row r="290" spans="11:32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/>
      <c r="AA290" s="10"/>
      <c r="AB290" s="10"/>
      <c r="AC290" s="10"/>
      <c r="AD290" s="10"/>
      <c r="AE290" s="10"/>
      <c r="AF290" s="5"/>
    </row>
    <row r="291" spans="11:32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/>
      <c r="AA291" s="10"/>
      <c r="AB291" s="10"/>
      <c r="AC291" s="10"/>
      <c r="AD291" s="10"/>
      <c r="AE291" s="10"/>
      <c r="AF291" s="5"/>
    </row>
    <row r="292" spans="11:32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/>
      <c r="AA292" s="10"/>
      <c r="AB292" s="10"/>
      <c r="AC292" s="10"/>
      <c r="AD292" s="10"/>
      <c r="AE292" s="10"/>
      <c r="AF292" s="5"/>
    </row>
    <row r="293" spans="11:32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/>
      <c r="AA293" s="10"/>
      <c r="AB293" s="10"/>
      <c r="AC293" s="10"/>
      <c r="AD293" s="10"/>
      <c r="AE293" s="10"/>
      <c r="AF293" s="5"/>
    </row>
    <row r="294" spans="11:32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/>
      <c r="AA294" s="10"/>
      <c r="AB294" s="10"/>
      <c r="AC294" s="10"/>
      <c r="AD294" s="10"/>
      <c r="AE294" s="10"/>
      <c r="AF294" s="5"/>
    </row>
    <row r="295" spans="11:32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/>
      <c r="AA295" s="10"/>
      <c r="AB295" s="10"/>
      <c r="AC295" s="10"/>
      <c r="AD295" s="10"/>
      <c r="AE295" s="10"/>
      <c r="AF295" s="5"/>
    </row>
    <row r="296" spans="11:32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/>
      <c r="AA296" s="10"/>
      <c r="AB296" s="10"/>
      <c r="AC296" s="10"/>
      <c r="AD296" s="10"/>
      <c r="AE296" s="10"/>
      <c r="AF296" s="5"/>
    </row>
    <row r="297" spans="11:32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/>
      <c r="AA297" s="10"/>
      <c r="AB297" s="10"/>
      <c r="AC297" s="10"/>
      <c r="AD297" s="10"/>
      <c r="AE297" s="10"/>
      <c r="AF297" s="5"/>
    </row>
    <row r="298" spans="11:32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/>
      <c r="AA298" s="10"/>
      <c r="AB298" s="10"/>
      <c r="AC298" s="10"/>
      <c r="AD298" s="10"/>
      <c r="AE298" s="10"/>
      <c r="AF298" s="5"/>
    </row>
    <row r="299" spans="11:32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/>
      <c r="AA299" s="10"/>
      <c r="AB299" s="10"/>
      <c r="AC299" s="10"/>
      <c r="AD299" s="10"/>
      <c r="AE299" s="10"/>
      <c r="AF299" s="5"/>
    </row>
    <row r="300" spans="11:32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/>
      <c r="AA300" s="10"/>
      <c r="AB300" s="10"/>
      <c r="AC300" s="10"/>
      <c r="AD300" s="10"/>
      <c r="AE300" s="10"/>
      <c r="AF300" s="5"/>
    </row>
    <row r="301" spans="11:32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/>
      <c r="AA301" s="10"/>
      <c r="AB301" s="10"/>
      <c r="AC301" s="10"/>
      <c r="AD301" s="10"/>
      <c r="AE301" s="10"/>
      <c r="AF301" s="5"/>
    </row>
    <row r="302" spans="11:32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/>
      <c r="AA302" s="10"/>
      <c r="AB302" s="10"/>
      <c r="AC302" s="10"/>
      <c r="AD302" s="10"/>
      <c r="AE302" s="10"/>
      <c r="AF302" s="5"/>
    </row>
    <row r="303" spans="11:32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/>
      <c r="AA303" s="10"/>
      <c r="AB303" s="10"/>
      <c r="AC303" s="10"/>
      <c r="AD303" s="10"/>
      <c r="AE303" s="10"/>
      <c r="AF303" s="5"/>
    </row>
    <row r="304" spans="11:32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/>
      <c r="AA304" s="10"/>
      <c r="AB304" s="10"/>
      <c r="AC304" s="10"/>
      <c r="AD304" s="10"/>
      <c r="AE304" s="10"/>
      <c r="AF304" s="5"/>
    </row>
  </sheetData>
  <phoneticPr fontId="20" type="noConversion"/>
  <conditionalFormatting sqref="L1:Q3 L198:Q1048576">
    <cfRule type="cellIs" dxfId="79" priority="26" operator="equal">
      <formula>$A$10</formula>
    </cfRule>
    <cfRule type="cellIs" dxfId="78" priority="27" operator="equal">
      <formula>$A$9</formula>
    </cfRule>
    <cfRule type="cellIs" dxfId="77" priority="28" operator="equal">
      <formula>$A$8</formula>
    </cfRule>
    <cfRule type="cellIs" dxfId="76" priority="29" operator="equal">
      <formula>$A$7</formula>
    </cfRule>
    <cfRule type="cellIs" dxfId="75" priority="30" operator="equal">
      <formula>$A$6</formula>
    </cfRule>
    <cfRule type="cellIs" dxfId="74" priority="31" operator="equal">
      <formula>$A$5</formula>
    </cfRule>
    <cfRule type="cellIs" dxfId="73" priority="32" operator="equal">
      <formula>$A$4</formula>
    </cfRule>
  </conditionalFormatting>
  <conditionalFormatting sqref="L4:Q197">
    <cfRule type="cellIs" dxfId="72" priority="12" operator="equal">
      <formula>$A$10</formula>
    </cfRule>
    <cfRule type="cellIs" dxfId="71" priority="13" operator="equal">
      <formula>$A$9</formula>
    </cfRule>
    <cfRule type="cellIs" dxfId="70" priority="14" operator="equal">
      <formula>$A$8</formula>
    </cfRule>
    <cfRule type="cellIs" dxfId="69" priority="15" operator="equal">
      <formula>$A$7</formula>
    </cfRule>
    <cfRule type="cellIs" dxfId="68" priority="16" operator="equal">
      <formula>$A$6</formula>
    </cfRule>
    <cfRule type="cellIs" dxfId="67" priority="17" operator="equal">
      <formula>$A$5</formula>
    </cfRule>
    <cfRule type="cellIs" dxfId="66" priority="18" operator="equal">
      <formula>$A$4</formula>
    </cfRule>
  </conditionalFormatting>
  <conditionalFormatting sqref="AD1">
    <cfRule type="cellIs" dxfId="65" priority="5" operator="equal">
      <formula>$A$10</formula>
    </cfRule>
    <cfRule type="cellIs" dxfId="64" priority="6" operator="equal">
      <formula>$A$9</formula>
    </cfRule>
    <cfRule type="cellIs" dxfId="63" priority="7" operator="equal">
      <formula>$A$8</formula>
    </cfRule>
    <cfRule type="cellIs" dxfId="62" priority="8" operator="equal">
      <formula>$A$7</formula>
    </cfRule>
    <cfRule type="cellIs" dxfId="61" priority="9" operator="equal">
      <formula>$A$6</formula>
    </cfRule>
    <cfRule type="cellIs" dxfId="60" priority="10" operator="equal">
      <formula>$A$5</formula>
    </cfRule>
    <cfRule type="cellIs" dxfId="59" priority="11" operator="equal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{673A2E02-9C47-43A2-9F19-183A123959AC}</x14:id>
        </ext>
      </extLst>
    </cfRule>
  </conditionalFormatting>
  <conditionalFormatting sqref="Z4:AE103">
    <cfRule type="expression" dxfId="58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3A2E02-9C47-43A2-9F19-183A123959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B562-4159-4A11-9194-7D0B7548608A}">
  <sheetPr codeName="工作表11">
    <tabColor theme="3" tint="0.59999389629810485"/>
  </sheetPr>
  <dimension ref="A1:AF304"/>
  <sheetViews>
    <sheetView workbookViewId="0">
      <selection activeCell="Z4" sqref="Z4:AE103"/>
    </sheetView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16384" width="9" style="5"/>
  </cols>
  <sheetData>
    <row r="1" spans="1:32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2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57</v>
      </c>
      <c r="AA2" s="5"/>
      <c r="AB2" s="5"/>
      <c r="AC2" s="5"/>
      <c r="AD2" s="5"/>
      <c r="AE2" s="5"/>
      <c r="AF2" s="5"/>
    </row>
    <row r="3" spans="1:32" ht="15.9" customHeight="1">
      <c r="A3" s="86" t="s">
        <v>5</v>
      </c>
      <c r="B3" s="86" t="s">
        <v>13</v>
      </c>
      <c r="C3" s="86" t="s">
        <v>7</v>
      </c>
      <c r="D3" s="86" t="s">
        <v>8</v>
      </c>
      <c r="E3" s="86" t="s">
        <v>9</v>
      </c>
      <c r="F3" s="86" t="s">
        <v>10</v>
      </c>
      <c r="G3" s="86" t="s">
        <v>11</v>
      </c>
      <c r="H3" s="86" t="s">
        <v>41</v>
      </c>
      <c r="I3" s="86" t="s">
        <v>12</v>
      </c>
      <c r="J3" s="17"/>
      <c r="K3" s="29" t="s">
        <v>14</v>
      </c>
      <c r="L3" s="86" t="s">
        <v>15</v>
      </c>
      <c r="M3" s="86" t="s">
        <v>16</v>
      </c>
      <c r="N3" s="86" t="s">
        <v>17</v>
      </c>
      <c r="O3" s="86" t="s">
        <v>18</v>
      </c>
      <c r="P3" s="86" t="s">
        <v>19</v>
      </c>
      <c r="Q3" s="86" t="s">
        <v>29</v>
      </c>
      <c r="S3" s="29" t="s">
        <v>15</v>
      </c>
      <c r="T3" s="29" t="s">
        <v>16</v>
      </c>
      <c r="U3" s="29" t="s">
        <v>17</v>
      </c>
      <c r="V3" s="29" t="s">
        <v>18</v>
      </c>
      <c r="W3" s="29" t="s">
        <v>19</v>
      </c>
      <c r="X3" s="29" t="s">
        <v>29</v>
      </c>
      <c r="Z3" s="29" t="s">
        <v>7</v>
      </c>
      <c r="AA3" s="29" t="s">
        <v>16</v>
      </c>
      <c r="AB3" s="29" t="s">
        <v>17</v>
      </c>
      <c r="AC3" s="29" t="s">
        <v>18</v>
      </c>
      <c r="AD3" s="29" t="s">
        <v>19</v>
      </c>
      <c r="AE3" s="29" t="s">
        <v>29</v>
      </c>
    </row>
    <row r="4" spans="1:32" ht="15.9" customHeight="1">
      <c r="A4" s="48" t="s">
        <v>20</v>
      </c>
      <c r="B4" s="9" t="s">
        <v>21</v>
      </c>
      <c r="C4" s="48">
        <f t="shared" ref="C4:H15" si="0">COUNTIF(L$4:L$304,$A4)</f>
        <v>3</v>
      </c>
      <c r="D4" s="48">
        <f t="shared" si="0"/>
        <v>3</v>
      </c>
      <c r="E4" s="48">
        <f t="shared" si="0"/>
        <v>3</v>
      </c>
      <c r="F4" s="48">
        <f t="shared" si="0"/>
        <v>3</v>
      </c>
      <c r="G4" s="48">
        <f t="shared" si="0"/>
        <v>3</v>
      </c>
      <c r="H4" s="48">
        <f t="shared" si="0"/>
        <v>3</v>
      </c>
      <c r="I4" s="9">
        <v>0</v>
      </c>
      <c r="J4" s="88"/>
      <c r="K4" s="37">
        <v>0</v>
      </c>
      <c r="L4" s="38" t="s">
        <v>46</v>
      </c>
      <c r="M4" s="38" t="s">
        <v>63</v>
      </c>
      <c r="N4" s="38" t="s">
        <v>65</v>
      </c>
      <c r="O4" s="38" t="s">
        <v>67</v>
      </c>
      <c r="P4" s="38" t="s">
        <v>26</v>
      </c>
      <c r="Q4" s="38" t="s">
        <v>67</v>
      </c>
      <c r="S4" s="37" cm="1">
        <f t="array" ref="S4:X304">_xlfn.LET(_xlpm.x, L4:Q304, IF(_xlpm.x="", "", _xlfn.XLOOKUP(_xlpm.x, $A$4:$A$15, $I$4:$I$15)))</f>
        <v>5</v>
      </c>
      <c r="T4" s="37">
        <v>9</v>
      </c>
      <c r="U4" s="37">
        <v>10</v>
      </c>
      <c r="V4" s="37">
        <v>11</v>
      </c>
      <c r="W4" s="37">
        <v>3</v>
      </c>
      <c r="X4" s="37">
        <v>11</v>
      </c>
      <c r="Z4" s="37">
        <v>1</v>
      </c>
      <c r="AA4" s="37">
        <v>1</v>
      </c>
      <c r="AB4" s="37">
        <v>1</v>
      </c>
      <c r="AC4" s="37">
        <v>1</v>
      </c>
      <c r="AD4" s="37">
        <v>1</v>
      </c>
      <c r="AE4" s="37">
        <v>1</v>
      </c>
    </row>
    <row r="5" spans="1:32" ht="15.9" customHeight="1">
      <c r="A5" s="10" t="s">
        <v>24</v>
      </c>
      <c r="B5" s="9" t="s">
        <v>25</v>
      </c>
      <c r="C5" s="48">
        <f t="shared" si="0"/>
        <v>2</v>
      </c>
      <c r="D5" s="48">
        <f t="shared" si="0"/>
        <v>2</v>
      </c>
      <c r="E5" s="48">
        <f t="shared" si="0"/>
        <v>2</v>
      </c>
      <c r="F5" s="48">
        <f t="shared" si="0"/>
        <v>0</v>
      </c>
      <c r="G5" s="48">
        <f t="shared" si="0"/>
        <v>0</v>
      </c>
      <c r="H5" s="48">
        <f t="shared" si="0"/>
        <v>0</v>
      </c>
      <c r="I5" s="9">
        <v>1</v>
      </c>
      <c r="J5" s="88"/>
      <c r="K5" s="10">
        <v>1</v>
      </c>
      <c r="L5" s="19" t="s">
        <v>46</v>
      </c>
      <c r="M5" s="19" t="s">
        <v>63</v>
      </c>
      <c r="N5" s="19" t="s">
        <v>65</v>
      </c>
      <c r="O5" s="19" t="s">
        <v>67</v>
      </c>
      <c r="P5" s="19" t="s">
        <v>26</v>
      </c>
      <c r="Q5" s="19" t="s">
        <v>67</v>
      </c>
      <c r="S5" s="10">
        <v>5</v>
      </c>
      <c r="T5" s="10">
        <v>9</v>
      </c>
      <c r="U5" s="10">
        <v>10</v>
      </c>
      <c r="V5" s="10">
        <v>11</v>
      </c>
      <c r="W5" s="10">
        <v>3</v>
      </c>
      <c r="X5" s="10">
        <v>11</v>
      </c>
      <c r="Z5" s="37">
        <v>1</v>
      </c>
      <c r="AA5" s="37">
        <v>1</v>
      </c>
      <c r="AB5" s="37">
        <v>1</v>
      </c>
      <c r="AC5" s="37">
        <v>1</v>
      </c>
      <c r="AD5" s="37">
        <v>1</v>
      </c>
      <c r="AE5" s="37">
        <v>1</v>
      </c>
    </row>
    <row r="6" spans="1:32" ht="15.9" customHeight="1">
      <c r="A6" s="10" t="s">
        <v>38</v>
      </c>
      <c r="B6" s="9" t="s">
        <v>39</v>
      </c>
      <c r="C6" s="48">
        <f t="shared" si="0"/>
        <v>3</v>
      </c>
      <c r="D6" s="48">
        <f t="shared" si="0"/>
        <v>3</v>
      </c>
      <c r="E6" s="48">
        <f t="shared" si="0"/>
        <v>3</v>
      </c>
      <c r="F6" s="48">
        <f t="shared" si="0"/>
        <v>3</v>
      </c>
      <c r="G6" s="48">
        <f t="shared" si="0"/>
        <v>3</v>
      </c>
      <c r="H6" s="48">
        <f t="shared" si="0"/>
        <v>3</v>
      </c>
      <c r="I6" s="9">
        <v>2</v>
      </c>
      <c r="J6" s="88"/>
      <c r="K6" s="10">
        <v>2</v>
      </c>
      <c r="L6" s="19" t="s">
        <v>24</v>
      </c>
      <c r="M6" s="19" t="s">
        <v>22</v>
      </c>
      <c r="N6" s="19" t="s">
        <v>64</v>
      </c>
      <c r="O6" s="19" t="s">
        <v>66</v>
      </c>
      <c r="P6" s="19" t="s">
        <v>65</v>
      </c>
      <c r="Q6" s="19" t="s">
        <v>64</v>
      </c>
      <c r="S6" s="10">
        <v>1</v>
      </c>
      <c r="T6" s="10">
        <v>5</v>
      </c>
      <c r="U6" s="10">
        <v>8</v>
      </c>
      <c r="V6" s="10">
        <v>7</v>
      </c>
      <c r="W6" s="10">
        <v>10</v>
      </c>
      <c r="X6" s="10">
        <v>8</v>
      </c>
      <c r="Z6" s="37">
        <v>1</v>
      </c>
      <c r="AA6" s="37">
        <v>1</v>
      </c>
      <c r="AB6" s="37">
        <v>1</v>
      </c>
      <c r="AC6" s="37">
        <v>1</v>
      </c>
      <c r="AD6" s="37">
        <v>1</v>
      </c>
      <c r="AE6" s="37">
        <v>1</v>
      </c>
    </row>
    <row r="7" spans="1:32" ht="15.9" customHeight="1">
      <c r="A7" s="10" t="s">
        <v>26</v>
      </c>
      <c r="B7" s="9" t="s">
        <v>26</v>
      </c>
      <c r="C7" s="48">
        <f t="shared" si="0"/>
        <v>8</v>
      </c>
      <c r="D7" s="48">
        <f t="shared" si="0"/>
        <v>2</v>
      </c>
      <c r="E7" s="48">
        <f t="shared" si="0"/>
        <v>8</v>
      </c>
      <c r="F7" s="48">
        <f t="shared" si="0"/>
        <v>2</v>
      </c>
      <c r="G7" s="48">
        <f t="shared" si="0"/>
        <v>10</v>
      </c>
      <c r="H7" s="48">
        <f t="shared" si="0"/>
        <v>2</v>
      </c>
      <c r="I7" s="9">
        <v>3</v>
      </c>
      <c r="J7" s="88"/>
      <c r="K7" s="10">
        <v>3</v>
      </c>
      <c r="L7" s="19" t="s">
        <v>65</v>
      </c>
      <c r="M7" s="38" t="s">
        <v>22</v>
      </c>
      <c r="N7" s="19" t="s">
        <v>64</v>
      </c>
      <c r="O7" s="19" t="s">
        <v>66</v>
      </c>
      <c r="P7" s="19" t="s">
        <v>65</v>
      </c>
      <c r="Q7" s="19" t="s">
        <v>64</v>
      </c>
      <c r="S7" s="10">
        <v>10</v>
      </c>
      <c r="T7" s="10">
        <v>5</v>
      </c>
      <c r="U7" s="10">
        <v>8</v>
      </c>
      <c r="V7" s="10">
        <v>7</v>
      </c>
      <c r="W7" s="10">
        <v>10</v>
      </c>
      <c r="X7" s="10">
        <v>8</v>
      </c>
      <c r="Z7" s="37">
        <v>1</v>
      </c>
      <c r="AA7" s="37">
        <v>1</v>
      </c>
      <c r="AB7" s="37">
        <v>1</v>
      </c>
      <c r="AC7" s="37">
        <v>1</v>
      </c>
      <c r="AD7" s="37">
        <v>1</v>
      </c>
      <c r="AE7" s="37">
        <v>1</v>
      </c>
    </row>
    <row r="8" spans="1:32" ht="15.9" customHeight="1">
      <c r="A8" s="10" t="s">
        <v>27</v>
      </c>
      <c r="B8" s="9" t="s">
        <v>27</v>
      </c>
      <c r="C8" s="48">
        <f t="shared" si="0"/>
        <v>2</v>
      </c>
      <c r="D8" s="48">
        <f t="shared" si="0"/>
        <v>2</v>
      </c>
      <c r="E8" s="48">
        <f t="shared" si="0"/>
        <v>10</v>
      </c>
      <c r="F8" s="48">
        <f t="shared" si="0"/>
        <v>2</v>
      </c>
      <c r="G8" s="48">
        <f t="shared" si="0"/>
        <v>8</v>
      </c>
      <c r="H8" s="48">
        <f t="shared" si="0"/>
        <v>8</v>
      </c>
      <c r="I8" s="9">
        <v>4</v>
      </c>
      <c r="J8" s="88"/>
      <c r="K8" s="10">
        <v>4</v>
      </c>
      <c r="L8" s="19" t="s">
        <v>65</v>
      </c>
      <c r="M8" s="19" t="s">
        <v>63</v>
      </c>
      <c r="N8" s="19" t="s">
        <v>27</v>
      </c>
      <c r="O8" s="19" t="s">
        <v>65</v>
      </c>
      <c r="P8" s="19" t="s">
        <v>66</v>
      </c>
      <c r="Q8" s="19" t="s">
        <v>67</v>
      </c>
      <c r="S8" s="10">
        <v>10</v>
      </c>
      <c r="T8" s="10">
        <v>9</v>
      </c>
      <c r="U8" s="10">
        <v>4</v>
      </c>
      <c r="V8" s="10">
        <v>10</v>
      </c>
      <c r="W8" s="10">
        <v>7</v>
      </c>
      <c r="X8" s="10">
        <v>11</v>
      </c>
      <c r="Z8" s="37">
        <v>1</v>
      </c>
      <c r="AA8" s="37">
        <v>1</v>
      </c>
      <c r="AB8" s="37">
        <v>1</v>
      </c>
      <c r="AC8" s="37">
        <v>1</v>
      </c>
      <c r="AD8" s="37">
        <v>1</v>
      </c>
      <c r="AE8" s="37">
        <v>1</v>
      </c>
    </row>
    <row r="9" spans="1:32" ht="15.9" customHeight="1">
      <c r="A9" s="10" t="s">
        <v>22</v>
      </c>
      <c r="B9" s="9" t="s">
        <v>22</v>
      </c>
      <c r="C9" s="48">
        <f t="shared" si="0"/>
        <v>10</v>
      </c>
      <c r="D9" s="48">
        <f t="shared" si="0"/>
        <v>8</v>
      </c>
      <c r="E9" s="48">
        <f t="shared" si="0"/>
        <v>2</v>
      </c>
      <c r="F9" s="48">
        <f t="shared" si="0"/>
        <v>10</v>
      </c>
      <c r="G9" s="48">
        <f t="shared" si="0"/>
        <v>2</v>
      </c>
      <c r="H9" s="48">
        <f t="shared" si="0"/>
        <v>2</v>
      </c>
      <c r="I9" s="9">
        <v>5</v>
      </c>
      <c r="J9" s="88"/>
      <c r="K9" s="10">
        <v>5</v>
      </c>
      <c r="L9" s="19" t="s">
        <v>67</v>
      </c>
      <c r="M9" s="19" t="s">
        <v>63</v>
      </c>
      <c r="N9" s="19" t="s">
        <v>27</v>
      </c>
      <c r="O9" s="19" t="s">
        <v>65</v>
      </c>
      <c r="P9" s="19" t="s">
        <v>66</v>
      </c>
      <c r="Q9" s="19" t="s">
        <v>67</v>
      </c>
      <c r="S9" s="10">
        <v>11</v>
      </c>
      <c r="T9" s="10">
        <v>9</v>
      </c>
      <c r="U9" s="10">
        <v>4</v>
      </c>
      <c r="V9" s="10">
        <v>10</v>
      </c>
      <c r="W9" s="10">
        <v>7</v>
      </c>
      <c r="X9" s="10">
        <v>11</v>
      </c>
      <c r="Z9" s="37">
        <v>1</v>
      </c>
      <c r="AA9" s="37">
        <v>1</v>
      </c>
      <c r="AB9" s="37">
        <v>1</v>
      </c>
      <c r="AC9" s="37">
        <v>1</v>
      </c>
      <c r="AD9" s="37">
        <v>1</v>
      </c>
      <c r="AE9" s="37">
        <v>1</v>
      </c>
    </row>
    <row r="10" spans="1:32" ht="15.9" customHeight="1">
      <c r="A10" s="10" t="s">
        <v>23</v>
      </c>
      <c r="B10" s="9" t="s">
        <v>23</v>
      </c>
      <c r="C10" s="48">
        <f t="shared" si="0"/>
        <v>2</v>
      </c>
      <c r="D10" s="48">
        <f t="shared" si="0"/>
        <v>10</v>
      </c>
      <c r="E10" s="48">
        <f t="shared" si="0"/>
        <v>2</v>
      </c>
      <c r="F10" s="48">
        <f t="shared" si="0"/>
        <v>8</v>
      </c>
      <c r="G10" s="48">
        <f t="shared" si="0"/>
        <v>2</v>
      </c>
      <c r="H10" s="48">
        <f t="shared" si="0"/>
        <v>10</v>
      </c>
      <c r="I10" s="9">
        <v>6</v>
      </c>
      <c r="J10" s="88"/>
      <c r="K10" s="10">
        <v>6</v>
      </c>
      <c r="L10" s="19" t="s">
        <v>67</v>
      </c>
      <c r="M10" s="19" t="s">
        <v>68</v>
      </c>
      <c r="N10" s="19" t="s">
        <v>64</v>
      </c>
      <c r="O10" s="19" t="s">
        <v>64</v>
      </c>
      <c r="P10" s="19" t="s">
        <v>27</v>
      </c>
      <c r="Q10" s="19" t="s">
        <v>66</v>
      </c>
      <c r="S10" s="10">
        <v>11</v>
      </c>
      <c r="T10" s="10">
        <v>2</v>
      </c>
      <c r="U10" s="10">
        <v>8</v>
      </c>
      <c r="V10" s="10">
        <v>8</v>
      </c>
      <c r="W10" s="10">
        <v>4</v>
      </c>
      <c r="X10" s="10">
        <v>7</v>
      </c>
      <c r="Z10" s="37">
        <v>1</v>
      </c>
      <c r="AA10" s="37">
        <v>1</v>
      </c>
      <c r="AB10" s="37">
        <v>1</v>
      </c>
      <c r="AC10" s="37">
        <v>1</v>
      </c>
      <c r="AD10" s="37">
        <v>1</v>
      </c>
      <c r="AE10" s="37">
        <v>1</v>
      </c>
    </row>
    <row r="11" spans="1:32" ht="15.9" customHeight="1">
      <c r="A11" s="10" t="s">
        <v>30</v>
      </c>
      <c r="B11" s="10" t="s">
        <v>30</v>
      </c>
      <c r="C11" s="48">
        <f t="shared" si="0"/>
        <v>4</v>
      </c>
      <c r="D11" s="48">
        <f t="shared" si="0"/>
        <v>4</v>
      </c>
      <c r="E11" s="48">
        <f t="shared" si="0"/>
        <v>20</v>
      </c>
      <c r="F11" s="48">
        <f t="shared" si="0"/>
        <v>10</v>
      </c>
      <c r="G11" s="48">
        <f t="shared" si="0"/>
        <v>22</v>
      </c>
      <c r="H11" s="48">
        <f t="shared" si="0"/>
        <v>4</v>
      </c>
      <c r="I11" s="9">
        <v>7</v>
      </c>
      <c r="J11" s="88"/>
      <c r="K11" s="10">
        <v>7</v>
      </c>
      <c r="L11" s="19" t="s">
        <v>65</v>
      </c>
      <c r="M11" s="19" t="s">
        <v>68</v>
      </c>
      <c r="N11" s="19" t="s">
        <v>64</v>
      </c>
      <c r="O11" s="19" t="s">
        <v>64</v>
      </c>
      <c r="P11" s="19" t="s">
        <v>27</v>
      </c>
      <c r="Q11" s="19" t="s">
        <v>66</v>
      </c>
      <c r="S11" s="10">
        <v>10</v>
      </c>
      <c r="T11" s="10">
        <v>2</v>
      </c>
      <c r="U11" s="10">
        <v>8</v>
      </c>
      <c r="V11" s="10">
        <v>8</v>
      </c>
      <c r="W11" s="10">
        <v>4</v>
      </c>
      <c r="X11" s="10">
        <v>7</v>
      </c>
      <c r="Z11" s="37">
        <v>1</v>
      </c>
      <c r="AA11" s="37">
        <v>1</v>
      </c>
      <c r="AB11" s="37">
        <v>1</v>
      </c>
      <c r="AC11" s="37">
        <v>1</v>
      </c>
      <c r="AD11" s="37">
        <v>1</v>
      </c>
      <c r="AE11" s="37">
        <v>1</v>
      </c>
    </row>
    <row r="12" spans="1:32" ht="15.9" customHeight="1">
      <c r="A12" s="10" t="s">
        <v>31</v>
      </c>
      <c r="B12" s="10" t="s">
        <v>31</v>
      </c>
      <c r="C12" s="48">
        <f t="shared" si="0"/>
        <v>4</v>
      </c>
      <c r="D12" s="48">
        <f t="shared" si="0"/>
        <v>22</v>
      </c>
      <c r="E12" s="48">
        <f t="shared" si="0"/>
        <v>20</v>
      </c>
      <c r="F12" s="48">
        <f t="shared" si="0"/>
        <v>4</v>
      </c>
      <c r="G12" s="48">
        <f t="shared" si="0"/>
        <v>4</v>
      </c>
      <c r="H12" s="48">
        <f t="shared" si="0"/>
        <v>24</v>
      </c>
      <c r="I12" s="9">
        <v>8</v>
      </c>
      <c r="J12" s="88"/>
      <c r="K12" s="10">
        <v>8</v>
      </c>
      <c r="L12" s="19" t="s">
        <v>65</v>
      </c>
      <c r="M12" s="19" t="s">
        <v>65</v>
      </c>
      <c r="N12" s="19" t="s">
        <v>66</v>
      </c>
      <c r="O12" s="19" t="s">
        <v>52</v>
      </c>
      <c r="P12" s="19" t="s">
        <v>23</v>
      </c>
      <c r="Q12" s="19" t="s">
        <v>64</v>
      </c>
      <c r="S12" s="10">
        <v>10</v>
      </c>
      <c r="T12" s="10">
        <v>10</v>
      </c>
      <c r="U12" s="10">
        <v>7</v>
      </c>
      <c r="V12" s="10">
        <v>11</v>
      </c>
      <c r="W12" s="10">
        <v>6</v>
      </c>
      <c r="X12" s="10">
        <v>8</v>
      </c>
      <c r="Z12" s="37">
        <v>1</v>
      </c>
      <c r="AA12" s="37">
        <v>1</v>
      </c>
      <c r="AB12" s="37">
        <v>1</v>
      </c>
      <c r="AC12" s="37">
        <v>1</v>
      </c>
      <c r="AD12" s="37">
        <v>1</v>
      </c>
      <c r="AE12" s="37">
        <v>1</v>
      </c>
    </row>
    <row r="13" spans="1:32" ht="15.9" customHeight="1">
      <c r="A13" s="10" t="s">
        <v>32</v>
      </c>
      <c r="B13" s="10" t="s">
        <v>32</v>
      </c>
      <c r="C13" s="48">
        <f t="shared" si="0"/>
        <v>4</v>
      </c>
      <c r="D13" s="48">
        <f t="shared" si="0"/>
        <v>24</v>
      </c>
      <c r="E13" s="48">
        <f t="shared" si="0"/>
        <v>4</v>
      </c>
      <c r="F13" s="48">
        <f t="shared" si="0"/>
        <v>4</v>
      </c>
      <c r="G13" s="48">
        <f t="shared" si="0"/>
        <v>28</v>
      </c>
      <c r="H13" s="48">
        <f t="shared" si="0"/>
        <v>18</v>
      </c>
      <c r="I13" s="9">
        <v>9</v>
      </c>
      <c r="J13" s="88"/>
      <c r="K13" s="10">
        <v>9</v>
      </c>
      <c r="L13" s="19" t="s">
        <v>67</v>
      </c>
      <c r="M13" s="19" t="s">
        <v>65</v>
      </c>
      <c r="N13" s="19" t="s">
        <v>66</v>
      </c>
      <c r="O13" s="19" t="s">
        <v>52</v>
      </c>
      <c r="P13" s="19" t="s">
        <v>23</v>
      </c>
      <c r="Q13" s="19" t="s">
        <v>64</v>
      </c>
      <c r="S13" s="10">
        <v>11</v>
      </c>
      <c r="T13" s="10">
        <v>10</v>
      </c>
      <c r="U13" s="10">
        <v>7</v>
      </c>
      <c r="V13" s="10">
        <v>11</v>
      </c>
      <c r="W13" s="10">
        <v>6</v>
      </c>
      <c r="X13" s="10">
        <v>8</v>
      </c>
      <c r="Z13" s="37">
        <v>1</v>
      </c>
      <c r="AA13" s="37">
        <v>1</v>
      </c>
      <c r="AB13" s="37">
        <v>1</v>
      </c>
      <c r="AC13" s="37">
        <v>1</v>
      </c>
      <c r="AD13" s="37">
        <v>1</v>
      </c>
      <c r="AE13" s="37">
        <v>1</v>
      </c>
    </row>
    <row r="14" spans="1:32" ht="15.9" customHeight="1">
      <c r="A14" s="10" t="s">
        <v>33</v>
      </c>
      <c r="B14" s="10" t="s">
        <v>33</v>
      </c>
      <c r="C14" s="48">
        <f t="shared" si="0"/>
        <v>30</v>
      </c>
      <c r="D14" s="48">
        <f t="shared" si="0"/>
        <v>4</v>
      </c>
      <c r="E14" s="48">
        <f t="shared" si="0"/>
        <v>22</v>
      </c>
      <c r="F14" s="48">
        <f t="shared" si="0"/>
        <v>28</v>
      </c>
      <c r="G14" s="48">
        <f t="shared" si="0"/>
        <v>14</v>
      </c>
      <c r="H14" s="48">
        <f t="shared" si="0"/>
        <v>4</v>
      </c>
      <c r="I14" s="9">
        <v>10</v>
      </c>
      <c r="J14" s="88"/>
      <c r="K14" s="10">
        <v>10</v>
      </c>
      <c r="L14" s="19" t="s">
        <v>67</v>
      </c>
      <c r="M14" s="19" t="s">
        <v>67</v>
      </c>
      <c r="N14" s="19" t="s">
        <v>64</v>
      </c>
      <c r="O14" s="19" t="s">
        <v>63</v>
      </c>
      <c r="P14" s="19" t="s">
        <v>63</v>
      </c>
      <c r="Q14" s="19" t="s">
        <v>65</v>
      </c>
      <c r="S14" s="10">
        <v>11</v>
      </c>
      <c r="T14" s="10">
        <v>11</v>
      </c>
      <c r="U14" s="10">
        <v>8</v>
      </c>
      <c r="V14" s="10">
        <v>9</v>
      </c>
      <c r="W14" s="10">
        <v>9</v>
      </c>
      <c r="X14" s="10">
        <v>10</v>
      </c>
      <c r="Z14" s="37">
        <v>1</v>
      </c>
      <c r="AA14" s="37">
        <v>1</v>
      </c>
      <c r="AB14" s="37">
        <v>1</v>
      </c>
      <c r="AC14" s="37">
        <v>1</v>
      </c>
      <c r="AD14" s="37">
        <v>1</v>
      </c>
      <c r="AE14" s="37">
        <v>1</v>
      </c>
    </row>
    <row r="15" spans="1:32" ht="15.9" customHeight="1">
      <c r="A15" s="10" t="s">
        <v>34</v>
      </c>
      <c r="B15" s="10" t="s">
        <v>34</v>
      </c>
      <c r="C15" s="48">
        <f>COUNTIF(L$4:L$304,$A15)</f>
        <v>28</v>
      </c>
      <c r="D15" s="48">
        <f t="shared" si="0"/>
        <v>16</v>
      </c>
      <c r="E15" s="48">
        <f t="shared" si="0"/>
        <v>4</v>
      </c>
      <c r="F15" s="48">
        <f t="shared" si="0"/>
        <v>26</v>
      </c>
      <c r="G15" s="48">
        <f t="shared" si="0"/>
        <v>4</v>
      </c>
      <c r="H15" s="48">
        <f t="shared" si="0"/>
        <v>22</v>
      </c>
      <c r="I15" s="9">
        <v>11</v>
      </c>
      <c r="J15" s="88"/>
      <c r="K15" s="10">
        <v>11</v>
      </c>
      <c r="L15" s="19" t="s">
        <v>65</v>
      </c>
      <c r="M15" s="19" t="s">
        <v>67</v>
      </c>
      <c r="N15" s="19" t="s">
        <v>64</v>
      </c>
      <c r="O15" s="19" t="s">
        <v>63</v>
      </c>
      <c r="P15" s="19" t="s">
        <v>63</v>
      </c>
      <c r="Q15" s="19" t="s">
        <v>65</v>
      </c>
      <c r="S15" s="10">
        <v>10</v>
      </c>
      <c r="T15" s="10">
        <v>11</v>
      </c>
      <c r="U15" s="10">
        <v>8</v>
      </c>
      <c r="V15" s="10">
        <v>9</v>
      </c>
      <c r="W15" s="10">
        <v>9</v>
      </c>
      <c r="X15" s="10">
        <v>10</v>
      </c>
      <c r="Z15" s="37">
        <v>1</v>
      </c>
      <c r="AA15" s="37">
        <v>1</v>
      </c>
      <c r="AB15" s="37">
        <v>1</v>
      </c>
      <c r="AC15" s="37">
        <v>1</v>
      </c>
      <c r="AD15" s="37">
        <v>1</v>
      </c>
      <c r="AE15" s="37">
        <v>1</v>
      </c>
    </row>
    <row r="16" spans="1:32" ht="15.9" customHeight="1">
      <c r="B16" s="15"/>
      <c r="C16" s="14">
        <f t="shared" ref="C16:H16" si="1">SUM(C4:C15)</f>
        <v>100</v>
      </c>
      <c r="D16" s="14">
        <f t="shared" si="1"/>
        <v>100</v>
      </c>
      <c r="E16" s="14">
        <f t="shared" si="1"/>
        <v>100</v>
      </c>
      <c r="F16" s="14">
        <f t="shared" si="1"/>
        <v>100</v>
      </c>
      <c r="G16" s="14">
        <f t="shared" si="1"/>
        <v>100</v>
      </c>
      <c r="H16" s="14">
        <f t="shared" si="1"/>
        <v>100</v>
      </c>
      <c r="I16" s="14"/>
      <c r="J16" s="88"/>
      <c r="K16" s="10">
        <v>12</v>
      </c>
      <c r="L16" s="19" t="s">
        <v>65</v>
      </c>
      <c r="M16" s="19" t="s">
        <v>22</v>
      </c>
      <c r="N16" s="19" t="s">
        <v>27</v>
      </c>
      <c r="O16" s="19" t="s">
        <v>65</v>
      </c>
      <c r="P16" s="19" t="s">
        <v>68</v>
      </c>
      <c r="Q16" s="19" t="s">
        <v>67</v>
      </c>
      <c r="S16" s="10">
        <v>10</v>
      </c>
      <c r="T16" s="10">
        <v>5</v>
      </c>
      <c r="U16" s="10">
        <v>4</v>
      </c>
      <c r="V16" s="10">
        <v>10</v>
      </c>
      <c r="W16" s="10">
        <v>2</v>
      </c>
      <c r="X16" s="10">
        <v>11</v>
      </c>
      <c r="Z16" s="37">
        <v>1</v>
      </c>
      <c r="AA16" s="37">
        <v>1</v>
      </c>
      <c r="AB16" s="37">
        <v>1</v>
      </c>
      <c r="AC16" s="37">
        <v>1</v>
      </c>
      <c r="AD16" s="37">
        <v>1</v>
      </c>
      <c r="AE16" s="37">
        <v>1</v>
      </c>
    </row>
    <row r="17" spans="1:31" ht="15.9" customHeight="1">
      <c r="B17" s="15"/>
      <c r="C17" s="15"/>
      <c r="D17" s="15"/>
      <c r="E17" s="15"/>
      <c r="F17" s="15"/>
      <c r="G17" s="15"/>
      <c r="H17" s="15"/>
      <c r="I17" s="14"/>
      <c r="J17" s="88"/>
      <c r="K17" s="10">
        <v>13</v>
      </c>
      <c r="L17" s="19" t="s">
        <v>20</v>
      </c>
      <c r="M17" s="19" t="s">
        <v>22</v>
      </c>
      <c r="N17" s="19" t="s">
        <v>27</v>
      </c>
      <c r="O17" s="19" t="s">
        <v>65</v>
      </c>
      <c r="P17" s="19" t="s">
        <v>63</v>
      </c>
      <c r="Q17" s="19" t="s">
        <v>67</v>
      </c>
      <c r="S17" s="10">
        <v>0</v>
      </c>
      <c r="T17" s="10">
        <v>5</v>
      </c>
      <c r="U17" s="10">
        <v>4</v>
      </c>
      <c r="V17" s="10">
        <v>10</v>
      </c>
      <c r="W17" s="10">
        <v>9</v>
      </c>
      <c r="X17" s="10">
        <v>11</v>
      </c>
      <c r="Z17" s="37">
        <v>1</v>
      </c>
      <c r="AA17" s="37">
        <v>1</v>
      </c>
      <c r="AB17" s="37">
        <v>1</v>
      </c>
      <c r="AC17" s="37">
        <v>1</v>
      </c>
      <c r="AD17" s="37">
        <v>1</v>
      </c>
      <c r="AE17" s="37">
        <v>1</v>
      </c>
    </row>
    <row r="18" spans="1:31" ht="15.9" customHeight="1">
      <c r="A18" s="86" t="s">
        <v>5</v>
      </c>
      <c r="B18" s="86" t="s">
        <v>13</v>
      </c>
      <c r="C18" s="86" t="s">
        <v>7</v>
      </c>
      <c r="D18" s="86" t="s">
        <v>8</v>
      </c>
      <c r="E18" s="86" t="s">
        <v>9</v>
      </c>
      <c r="F18" s="86" t="s">
        <v>10</v>
      </c>
      <c r="G18" s="86" t="s">
        <v>11</v>
      </c>
      <c r="H18" s="86" t="s">
        <v>41</v>
      </c>
      <c r="I18" s="14"/>
      <c r="J18" s="88"/>
      <c r="K18" s="48">
        <v>14</v>
      </c>
      <c r="L18" s="19" t="s">
        <v>20</v>
      </c>
      <c r="M18" s="19" t="s">
        <v>63</v>
      </c>
      <c r="N18" s="19" t="s">
        <v>65</v>
      </c>
      <c r="O18" s="19" t="s">
        <v>67</v>
      </c>
      <c r="P18" s="19" t="s">
        <v>63</v>
      </c>
      <c r="Q18" s="19" t="s">
        <v>63</v>
      </c>
      <c r="S18" s="10">
        <v>0</v>
      </c>
      <c r="T18" s="10">
        <v>9</v>
      </c>
      <c r="U18" s="10">
        <v>10</v>
      </c>
      <c r="V18" s="10">
        <v>11</v>
      </c>
      <c r="W18" s="10">
        <v>9</v>
      </c>
      <c r="X18" s="10">
        <v>9</v>
      </c>
      <c r="Z18" s="37">
        <v>1</v>
      </c>
      <c r="AA18" s="37">
        <v>1</v>
      </c>
      <c r="AB18" s="37">
        <v>1</v>
      </c>
      <c r="AC18" s="37">
        <v>1</v>
      </c>
      <c r="AD18" s="37">
        <v>1</v>
      </c>
      <c r="AE18" s="37">
        <v>1</v>
      </c>
    </row>
    <row r="19" spans="1:31" ht="15.9" customHeight="1">
      <c r="A19" s="33" t="s">
        <v>20</v>
      </c>
      <c r="B19" s="31" t="s">
        <v>21</v>
      </c>
      <c r="C19" s="35">
        <f t="shared" ref="C19:H19" si="2">C4/C$16</f>
        <v>0.03</v>
      </c>
      <c r="D19" s="35">
        <f t="shared" si="2"/>
        <v>0.03</v>
      </c>
      <c r="E19" s="35">
        <f t="shared" si="2"/>
        <v>0.03</v>
      </c>
      <c r="F19" s="35">
        <f t="shared" si="2"/>
        <v>0.03</v>
      </c>
      <c r="G19" s="35">
        <f t="shared" si="2"/>
        <v>0.03</v>
      </c>
      <c r="H19" s="35">
        <f t="shared" si="2"/>
        <v>0.03</v>
      </c>
      <c r="I19" s="14"/>
      <c r="J19" s="88"/>
      <c r="K19" s="10">
        <v>15</v>
      </c>
      <c r="L19" s="19" t="s">
        <v>66</v>
      </c>
      <c r="M19" s="19" t="s">
        <v>63</v>
      </c>
      <c r="N19" s="19" t="s">
        <v>65</v>
      </c>
      <c r="O19" s="19" t="s">
        <v>67</v>
      </c>
      <c r="P19" s="19" t="s">
        <v>65</v>
      </c>
      <c r="Q19" s="19" t="s">
        <v>63</v>
      </c>
      <c r="S19" s="10">
        <v>7</v>
      </c>
      <c r="T19" s="10">
        <v>9</v>
      </c>
      <c r="U19" s="10">
        <v>10</v>
      </c>
      <c r="V19" s="10">
        <v>11</v>
      </c>
      <c r="W19" s="10">
        <v>10</v>
      </c>
      <c r="X19" s="10">
        <v>9</v>
      </c>
      <c r="Z19" s="37">
        <v>1</v>
      </c>
      <c r="AA19" s="37">
        <v>1</v>
      </c>
      <c r="AB19" s="37">
        <v>1</v>
      </c>
      <c r="AC19" s="37">
        <v>1</v>
      </c>
      <c r="AD19" s="37">
        <v>1</v>
      </c>
      <c r="AE19" s="37">
        <v>1</v>
      </c>
    </row>
    <row r="20" spans="1:31" ht="15.9" customHeight="1">
      <c r="A20" s="43" t="s">
        <v>24</v>
      </c>
      <c r="B20" s="44" t="s">
        <v>25</v>
      </c>
      <c r="C20" s="45">
        <f t="shared" ref="C20:H30" si="3">C5/C$16</f>
        <v>0.02</v>
      </c>
      <c r="D20" s="45">
        <f t="shared" si="3"/>
        <v>0.02</v>
      </c>
      <c r="E20" s="45">
        <f t="shared" si="3"/>
        <v>0.02</v>
      </c>
      <c r="F20" s="45">
        <f t="shared" si="3"/>
        <v>0</v>
      </c>
      <c r="G20" s="45">
        <f t="shared" si="3"/>
        <v>0</v>
      </c>
      <c r="H20" s="45">
        <f t="shared" si="3"/>
        <v>0</v>
      </c>
      <c r="I20" s="20"/>
      <c r="J20" s="88"/>
      <c r="K20" s="10">
        <v>16</v>
      </c>
      <c r="L20" s="19" t="s">
        <v>66</v>
      </c>
      <c r="M20" s="19" t="s">
        <v>64</v>
      </c>
      <c r="N20" s="19" t="s">
        <v>27</v>
      </c>
      <c r="O20" s="19" t="s">
        <v>65</v>
      </c>
      <c r="P20" s="19" t="s">
        <v>65</v>
      </c>
      <c r="Q20" s="19" t="s">
        <v>23</v>
      </c>
      <c r="S20" s="10">
        <v>7</v>
      </c>
      <c r="T20" s="10">
        <v>8</v>
      </c>
      <c r="U20" s="10">
        <v>4</v>
      </c>
      <c r="V20" s="10">
        <v>10</v>
      </c>
      <c r="W20" s="10">
        <v>10</v>
      </c>
      <c r="X20" s="10">
        <v>6</v>
      </c>
      <c r="Z20" s="37">
        <v>1</v>
      </c>
      <c r="AA20" s="37">
        <v>1</v>
      </c>
      <c r="AB20" s="37">
        <v>1</v>
      </c>
      <c r="AC20" s="37">
        <v>1</v>
      </c>
      <c r="AD20" s="37">
        <v>1</v>
      </c>
      <c r="AE20" s="37">
        <v>1</v>
      </c>
    </row>
    <row r="21" spans="1:31" ht="15.9" customHeight="1">
      <c r="A21" s="40" t="s">
        <v>38</v>
      </c>
      <c r="B21" s="41" t="s">
        <v>39</v>
      </c>
      <c r="C21" s="42">
        <f t="shared" si="3"/>
        <v>0.03</v>
      </c>
      <c r="D21" s="42">
        <f t="shared" si="3"/>
        <v>0.03</v>
      </c>
      <c r="E21" s="42">
        <f t="shared" si="3"/>
        <v>0.03</v>
      </c>
      <c r="F21" s="42">
        <f t="shared" si="3"/>
        <v>0.03</v>
      </c>
      <c r="G21" s="42">
        <f t="shared" si="3"/>
        <v>0.03</v>
      </c>
      <c r="H21" s="42">
        <f t="shared" si="3"/>
        <v>0.03</v>
      </c>
      <c r="I21" s="20"/>
      <c r="J21" s="88"/>
      <c r="K21" s="10">
        <v>17</v>
      </c>
      <c r="L21" s="19" t="s">
        <v>22</v>
      </c>
      <c r="M21" s="19" t="s">
        <v>64</v>
      </c>
      <c r="N21" s="19" t="s">
        <v>27</v>
      </c>
      <c r="O21" s="19" t="s">
        <v>65</v>
      </c>
      <c r="P21" s="19" t="s">
        <v>63</v>
      </c>
      <c r="Q21" s="19" t="s">
        <v>23</v>
      </c>
      <c r="S21" s="10">
        <v>5</v>
      </c>
      <c r="T21" s="10">
        <v>8</v>
      </c>
      <c r="U21" s="10">
        <v>4</v>
      </c>
      <c r="V21" s="10">
        <v>10</v>
      </c>
      <c r="W21" s="10">
        <v>9</v>
      </c>
      <c r="X21" s="10">
        <v>6</v>
      </c>
      <c r="Z21" s="37">
        <v>1</v>
      </c>
      <c r="AA21" s="37">
        <v>1</v>
      </c>
      <c r="AB21" s="37">
        <v>1</v>
      </c>
      <c r="AC21" s="37">
        <v>1</v>
      </c>
      <c r="AD21" s="37">
        <v>1</v>
      </c>
      <c r="AE21" s="37">
        <v>1</v>
      </c>
    </row>
    <row r="22" spans="1:31" ht="15.9" customHeight="1">
      <c r="A22" s="10" t="s">
        <v>26</v>
      </c>
      <c r="B22" s="9" t="s">
        <v>26</v>
      </c>
      <c r="C22" s="36">
        <f t="shared" si="3"/>
        <v>0.08</v>
      </c>
      <c r="D22" s="36">
        <f t="shared" si="3"/>
        <v>0.02</v>
      </c>
      <c r="E22" s="36">
        <f t="shared" si="3"/>
        <v>0.08</v>
      </c>
      <c r="F22" s="36">
        <f t="shared" si="3"/>
        <v>0.02</v>
      </c>
      <c r="G22" s="36">
        <f t="shared" si="3"/>
        <v>0.1</v>
      </c>
      <c r="H22" s="36">
        <f t="shared" si="3"/>
        <v>0.02</v>
      </c>
      <c r="I22" s="12"/>
      <c r="J22" s="88"/>
      <c r="K22" s="10">
        <v>18</v>
      </c>
      <c r="L22" s="19" t="s">
        <v>22</v>
      </c>
      <c r="M22" s="19" t="s">
        <v>63</v>
      </c>
      <c r="N22" s="19" t="s">
        <v>67</v>
      </c>
      <c r="O22" s="19" t="s">
        <v>23</v>
      </c>
      <c r="P22" s="19" t="s">
        <v>63</v>
      </c>
      <c r="Q22" s="19" t="s">
        <v>63</v>
      </c>
      <c r="S22" s="10">
        <v>5</v>
      </c>
      <c r="T22" s="10">
        <v>9</v>
      </c>
      <c r="U22" s="10">
        <v>11</v>
      </c>
      <c r="V22" s="10">
        <v>6</v>
      </c>
      <c r="W22" s="10">
        <v>9</v>
      </c>
      <c r="X22" s="10">
        <v>9</v>
      </c>
      <c r="Z22" s="37">
        <v>1</v>
      </c>
      <c r="AA22" s="37">
        <v>1</v>
      </c>
      <c r="AB22" s="37">
        <v>1</v>
      </c>
      <c r="AC22" s="37">
        <v>1</v>
      </c>
      <c r="AD22" s="37">
        <v>1</v>
      </c>
      <c r="AE22" s="37">
        <v>1</v>
      </c>
    </row>
    <row r="23" spans="1:31" ht="15.9" customHeight="1">
      <c r="A23" s="10" t="s">
        <v>27</v>
      </c>
      <c r="B23" s="9" t="s">
        <v>27</v>
      </c>
      <c r="C23" s="36">
        <f t="shared" si="3"/>
        <v>0.02</v>
      </c>
      <c r="D23" s="36">
        <f t="shared" si="3"/>
        <v>0.02</v>
      </c>
      <c r="E23" s="36">
        <f t="shared" si="3"/>
        <v>0.1</v>
      </c>
      <c r="F23" s="36">
        <f t="shared" si="3"/>
        <v>0.02</v>
      </c>
      <c r="G23" s="36">
        <f t="shared" si="3"/>
        <v>0.08</v>
      </c>
      <c r="H23" s="36">
        <f t="shared" si="3"/>
        <v>0.08</v>
      </c>
      <c r="I23" s="12"/>
      <c r="J23" s="88"/>
      <c r="K23" s="10">
        <v>19</v>
      </c>
      <c r="L23" s="19" t="s">
        <v>67</v>
      </c>
      <c r="M23" s="19" t="s">
        <v>63</v>
      </c>
      <c r="N23" s="19" t="s">
        <v>67</v>
      </c>
      <c r="O23" s="19" t="s">
        <v>23</v>
      </c>
      <c r="P23" s="19" t="s">
        <v>64</v>
      </c>
      <c r="Q23" s="19" t="s">
        <v>63</v>
      </c>
      <c r="S23" s="10">
        <v>11</v>
      </c>
      <c r="T23" s="10">
        <v>9</v>
      </c>
      <c r="U23" s="10">
        <v>11</v>
      </c>
      <c r="V23" s="10">
        <v>6</v>
      </c>
      <c r="W23" s="10">
        <v>8</v>
      </c>
      <c r="X23" s="10">
        <v>9</v>
      </c>
      <c r="Z23" s="37">
        <v>1</v>
      </c>
      <c r="AA23" s="37">
        <v>1</v>
      </c>
      <c r="AB23" s="37">
        <v>1</v>
      </c>
      <c r="AC23" s="37">
        <v>1</v>
      </c>
      <c r="AD23" s="37">
        <v>1</v>
      </c>
      <c r="AE23" s="37">
        <v>1</v>
      </c>
    </row>
    <row r="24" spans="1:31" ht="15.9" customHeight="1">
      <c r="A24" s="10" t="s">
        <v>22</v>
      </c>
      <c r="B24" s="9" t="s">
        <v>22</v>
      </c>
      <c r="C24" s="36">
        <f t="shared" si="3"/>
        <v>0.1</v>
      </c>
      <c r="D24" s="36">
        <f t="shared" si="3"/>
        <v>0.08</v>
      </c>
      <c r="E24" s="36">
        <f t="shared" si="3"/>
        <v>0.02</v>
      </c>
      <c r="F24" s="36">
        <f t="shared" si="3"/>
        <v>0.1</v>
      </c>
      <c r="G24" s="36">
        <f t="shared" si="3"/>
        <v>0.02</v>
      </c>
      <c r="H24" s="36">
        <f t="shared" si="3"/>
        <v>0.02</v>
      </c>
      <c r="I24" s="12"/>
      <c r="J24" s="88"/>
      <c r="K24" s="10">
        <v>20</v>
      </c>
      <c r="L24" s="19" t="s">
        <v>67</v>
      </c>
      <c r="M24" s="19" t="s">
        <v>27</v>
      </c>
      <c r="N24" s="19" t="s">
        <v>68</v>
      </c>
      <c r="O24" s="19" t="s">
        <v>66</v>
      </c>
      <c r="P24" s="19" t="s">
        <v>64</v>
      </c>
      <c r="Q24" s="19" t="s">
        <v>64</v>
      </c>
      <c r="S24" s="10">
        <v>11</v>
      </c>
      <c r="T24" s="10">
        <v>4</v>
      </c>
      <c r="U24" s="10">
        <v>2</v>
      </c>
      <c r="V24" s="10">
        <v>7</v>
      </c>
      <c r="W24" s="10">
        <v>8</v>
      </c>
      <c r="X24" s="10">
        <v>8</v>
      </c>
      <c r="Z24" s="37">
        <v>1</v>
      </c>
      <c r="AA24" s="37">
        <v>1</v>
      </c>
      <c r="AB24" s="37">
        <v>1</v>
      </c>
      <c r="AC24" s="37">
        <v>1</v>
      </c>
      <c r="AD24" s="37">
        <v>1</v>
      </c>
      <c r="AE24" s="37">
        <v>1</v>
      </c>
    </row>
    <row r="25" spans="1:31" ht="16.5" customHeight="1">
      <c r="A25" s="10" t="s">
        <v>23</v>
      </c>
      <c r="B25" s="9" t="s">
        <v>23</v>
      </c>
      <c r="C25" s="36">
        <f t="shared" si="3"/>
        <v>0.02</v>
      </c>
      <c r="D25" s="36">
        <f t="shared" si="3"/>
        <v>0.1</v>
      </c>
      <c r="E25" s="36">
        <f t="shared" si="3"/>
        <v>0.02</v>
      </c>
      <c r="F25" s="36">
        <f t="shared" si="3"/>
        <v>0.08</v>
      </c>
      <c r="G25" s="36">
        <f t="shared" si="3"/>
        <v>0.02</v>
      </c>
      <c r="H25" s="36">
        <f t="shared" si="3"/>
        <v>0.1</v>
      </c>
      <c r="I25" s="12"/>
      <c r="J25" s="88"/>
      <c r="K25" s="10">
        <v>21</v>
      </c>
      <c r="L25" s="19" t="s">
        <v>66</v>
      </c>
      <c r="M25" s="19" t="s">
        <v>27</v>
      </c>
      <c r="N25" s="19" t="s">
        <v>63</v>
      </c>
      <c r="O25" s="19" t="s">
        <v>66</v>
      </c>
      <c r="P25" s="19" t="s">
        <v>20</v>
      </c>
      <c r="Q25" s="19" t="s">
        <v>64</v>
      </c>
      <c r="S25" s="10">
        <v>7</v>
      </c>
      <c r="T25" s="10">
        <v>4</v>
      </c>
      <c r="U25" s="10">
        <v>9</v>
      </c>
      <c r="V25" s="10">
        <v>7</v>
      </c>
      <c r="W25" s="10">
        <v>0</v>
      </c>
      <c r="X25" s="10">
        <v>8</v>
      </c>
      <c r="Z25" s="37">
        <v>1</v>
      </c>
      <c r="AA25" s="37">
        <v>1</v>
      </c>
      <c r="AB25" s="37">
        <v>1</v>
      </c>
      <c r="AC25" s="37">
        <v>1</v>
      </c>
      <c r="AD25" s="37">
        <v>1</v>
      </c>
      <c r="AE25" s="37">
        <v>1</v>
      </c>
    </row>
    <row r="26" spans="1:31" ht="16.5" customHeight="1">
      <c r="A26" s="10" t="s">
        <v>30</v>
      </c>
      <c r="B26" s="10" t="s">
        <v>30</v>
      </c>
      <c r="C26" s="36">
        <f t="shared" si="3"/>
        <v>0.04</v>
      </c>
      <c r="D26" s="36">
        <f t="shared" si="3"/>
        <v>0.04</v>
      </c>
      <c r="E26" s="36">
        <f t="shared" si="3"/>
        <v>0.2</v>
      </c>
      <c r="F26" s="36">
        <f t="shared" si="3"/>
        <v>0.1</v>
      </c>
      <c r="G26" s="36">
        <f t="shared" si="3"/>
        <v>0.22</v>
      </c>
      <c r="H26" s="36">
        <f t="shared" si="3"/>
        <v>0.04</v>
      </c>
      <c r="I26" s="12"/>
      <c r="J26" s="88"/>
      <c r="K26" s="10">
        <v>22</v>
      </c>
      <c r="L26" s="19" t="s">
        <v>66</v>
      </c>
      <c r="M26" s="19" t="s">
        <v>63</v>
      </c>
      <c r="N26" s="19" t="s">
        <v>63</v>
      </c>
      <c r="O26" s="19" t="s">
        <v>23</v>
      </c>
      <c r="P26" s="19" t="s">
        <v>20</v>
      </c>
      <c r="Q26" s="19" t="s">
        <v>67</v>
      </c>
      <c r="S26" s="10">
        <v>7</v>
      </c>
      <c r="T26" s="10">
        <v>9</v>
      </c>
      <c r="U26" s="10">
        <v>9</v>
      </c>
      <c r="V26" s="10">
        <v>6</v>
      </c>
      <c r="W26" s="10">
        <v>0</v>
      </c>
      <c r="X26" s="10">
        <v>11</v>
      </c>
      <c r="Z26" s="37">
        <v>1</v>
      </c>
      <c r="AA26" s="37">
        <v>1</v>
      </c>
      <c r="AB26" s="37">
        <v>1</v>
      </c>
      <c r="AC26" s="37">
        <v>1</v>
      </c>
      <c r="AD26" s="37">
        <v>1</v>
      </c>
      <c r="AE26" s="37">
        <v>1</v>
      </c>
    </row>
    <row r="27" spans="1:31" ht="16.5" customHeight="1">
      <c r="A27" s="10" t="s">
        <v>31</v>
      </c>
      <c r="B27" s="10" t="s">
        <v>31</v>
      </c>
      <c r="C27" s="36">
        <f t="shared" si="3"/>
        <v>0.04</v>
      </c>
      <c r="D27" s="36">
        <f t="shared" si="3"/>
        <v>0.22</v>
      </c>
      <c r="E27" s="36">
        <f t="shared" si="3"/>
        <v>0.2</v>
      </c>
      <c r="F27" s="36">
        <f t="shared" si="3"/>
        <v>0.04</v>
      </c>
      <c r="G27" s="36">
        <f t="shared" si="3"/>
        <v>0.04</v>
      </c>
      <c r="H27" s="36">
        <f t="shared" si="3"/>
        <v>0.24</v>
      </c>
      <c r="I27" s="12"/>
      <c r="J27" s="88"/>
      <c r="K27" s="10">
        <v>23</v>
      </c>
      <c r="L27" s="19" t="s">
        <v>27</v>
      </c>
      <c r="M27" s="19" t="s">
        <v>63</v>
      </c>
      <c r="N27" s="19" t="s">
        <v>66</v>
      </c>
      <c r="O27" s="19" t="s">
        <v>23</v>
      </c>
      <c r="P27" s="19" t="s">
        <v>66</v>
      </c>
      <c r="Q27" s="19" t="s">
        <v>67</v>
      </c>
      <c r="S27" s="10">
        <v>4</v>
      </c>
      <c r="T27" s="10">
        <v>9</v>
      </c>
      <c r="U27" s="10">
        <v>7</v>
      </c>
      <c r="V27" s="10">
        <v>6</v>
      </c>
      <c r="W27" s="10">
        <v>7</v>
      </c>
      <c r="X27" s="10">
        <v>11</v>
      </c>
      <c r="Z27" s="37">
        <v>1</v>
      </c>
      <c r="AA27" s="37">
        <v>1</v>
      </c>
      <c r="AB27" s="37">
        <v>1</v>
      </c>
      <c r="AC27" s="37">
        <v>1</v>
      </c>
      <c r="AD27" s="37">
        <v>1</v>
      </c>
      <c r="AE27" s="37">
        <v>1</v>
      </c>
    </row>
    <row r="28" spans="1:31" ht="16.5" customHeight="1">
      <c r="A28" s="10" t="s">
        <v>32</v>
      </c>
      <c r="B28" s="10" t="s">
        <v>32</v>
      </c>
      <c r="C28" s="36">
        <f t="shared" si="3"/>
        <v>0.04</v>
      </c>
      <c r="D28" s="36">
        <f t="shared" si="3"/>
        <v>0.24</v>
      </c>
      <c r="E28" s="36">
        <f t="shared" si="3"/>
        <v>0.04</v>
      </c>
      <c r="F28" s="36">
        <f t="shared" si="3"/>
        <v>0.04</v>
      </c>
      <c r="G28" s="36">
        <f t="shared" si="3"/>
        <v>0.28000000000000003</v>
      </c>
      <c r="H28" s="36">
        <f t="shared" si="3"/>
        <v>0.18</v>
      </c>
      <c r="I28" s="12"/>
      <c r="J28" s="88"/>
      <c r="K28" s="10">
        <v>24</v>
      </c>
      <c r="L28" s="19" t="s">
        <v>27</v>
      </c>
      <c r="M28" s="19" t="s">
        <v>67</v>
      </c>
      <c r="N28" s="19" t="s">
        <v>66</v>
      </c>
      <c r="O28" s="19" t="s">
        <v>51</v>
      </c>
      <c r="P28" s="19" t="s">
        <v>66</v>
      </c>
      <c r="Q28" s="19" t="s">
        <v>27</v>
      </c>
      <c r="S28" s="10">
        <v>4</v>
      </c>
      <c r="T28" s="10">
        <v>11</v>
      </c>
      <c r="U28" s="10">
        <v>7</v>
      </c>
      <c r="V28" s="10">
        <v>10</v>
      </c>
      <c r="W28" s="10">
        <v>7</v>
      </c>
      <c r="X28" s="10">
        <v>4</v>
      </c>
      <c r="Z28" s="37">
        <v>1</v>
      </c>
      <c r="AA28" s="37">
        <v>1</v>
      </c>
      <c r="AB28" s="37">
        <v>1</v>
      </c>
      <c r="AC28" s="37">
        <v>1</v>
      </c>
      <c r="AD28" s="37">
        <v>1</v>
      </c>
      <c r="AE28" s="37">
        <v>1</v>
      </c>
    </row>
    <row r="29" spans="1:31" ht="16.5" customHeight="1">
      <c r="A29" s="10" t="s">
        <v>33</v>
      </c>
      <c r="B29" s="10" t="s">
        <v>33</v>
      </c>
      <c r="C29" s="36">
        <f t="shared" si="3"/>
        <v>0.3</v>
      </c>
      <c r="D29" s="36">
        <f t="shared" si="3"/>
        <v>0.04</v>
      </c>
      <c r="E29" s="36">
        <f t="shared" si="3"/>
        <v>0.22</v>
      </c>
      <c r="F29" s="36">
        <f t="shared" si="3"/>
        <v>0.28000000000000003</v>
      </c>
      <c r="G29" s="36">
        <f t="shared" si="3"/>
        <v>0.14000000000000001</v>
      </c>
      <c r="H29" s="36">
        <f t="shared" si="3"/>
        <v>0.04</v>
      </c>
      <c r="I29" s="12"/>
      <c r="J29" s="88"/>
      <c r="K29" s="10">
        <v>25</v>
      </c>
      <c r="L29" s="19" t="s">
        <v>51</v>
      </c>
      <c r="M29" s="19" t="s">
        <v>67</v>
      </c>
      <c r="N29" s="19" t="s">
        <v>64</v>
      </c>
      <c r="O29" s="19" t="s">
        <v>51</v>
      </c>
      <c r="P29" s="19" t="s">
        <v>26</v>
      </c>
      <c r="Q29" s="19" t="s">
        <v>27</v>
      </c>
      <c r="S29" s="10">
        <v>10</v>
      </c>
      <c r="T29" s="10">
        <v>11</v>
      </c>
      <c r="U29" s="10">
        <v>8</v>
      </c>
      <c r="V29" s="10">
        <v>10</v>
      </c>
      <c r="W29" s="10">
        <v>3</v>
      </c>
      <c r="X29" s="10">
        <v>4</v>
      </c>
      <c r="Z29" s="37">
        <v>1</v>
      </c>
      <c r="AA29" s="37">
        <v>1</v>
      </c>
      <c r="AB29" s="37">
        <v>1</v>
      </c>
      <c r="AC29" s="37">
        <v>1</v>
      </c>
      <c r="AD29" s="37">
        <v>1</v>
      </c>
      <c r="AE29" s="37">
        <v>1</v>
      </c>
    </row>
    <row r="30" spans="1:31" ht="16.5" customHeight="1">
      <c r="A30" s="10" t="s">
        <v>34</v>
      </c>
      <c r="B30" s="10" t="s">
        <v>34</v>
      </c>
      <c r="C30" s="36">
        <f t="shared" si="3"/>
        <v>0.28000000000000003</v>
      </c>
      <c r="D30" s="36">
        <f t="shared" si="3"/>
        <v>0.16</v>
      </c>
      <c r="E30" s="36">
        <f t="shared" si="3"/>
        <v>0.04</v>
      </c>
      <c r="F30" s="36">
        <f t="shared" si="3"/>
        <v>0.26</v>
      </c>
      <c r="G30" s="36">
        <f t="shared" si="3"/>
        <v>0.04</v>
      </c>
      <c r="H30" s="36">
        <f t="shared" si="3"/>
        <v>0.22</v>
      </c>
      <c r="I30" s="12"/>
      <c r="J30" s="88"/>
      <c r="K30" s="10">
        <v>26</v>
      </c>
      <c r="L30" s="19" t="s">
        <v>51</v>
      </c>
      <c r="M30" s="19" t="s">
        <v>24</v>
      </c>
      <c r="N30" s="19" t="s">
        <v>64</v>
      </c>
      <c r="O30" s="19" t="s">
        <v>20</v>
      </c>
      <c r="P30" s="19" t="s">
        <v>26</v>
      </c>
      <c r="Q30" s="19" t="s">
        <v>67</v>
      </c>
      <c r="S30" s="10">
        <v>10</v>
      </c>
      <c r="T30" s="10">
        <v>1</v>
      </c>
      <c r="U30" s="10">
        <v>8</v>
      </c>
      <c r="V30" s="10">
        <v>0</v>
      </c>
      <c r="W30" s="10">
        <v>3</v>
      </c>
      <c r="X30" s="10">
        <v>11</v>
      </c>
      <c r="Z30" s="37">
        <v>1</v>
      </c>
      <c r="AA30" s="37">
        <v>1</v>
      </c>
      <c r="AB30" s="37">
        <v>1</v>
      </c>
      <c r="AC30" s="37">
        <v>1</v>
      </c>
      <c r="AD30" s="37">
        <v>1</v>
      </c>
      <c r="AE30" s="37">
        <v>1</v>
      </c>
    </row>
    <row r="31" spans="1:31" ht="16.5" customHeight="1">
      <c r="I31" s="14"/>
      <c r="J31" s="88"/>
      <c r="K31" s="10">
        <v>27</v>
      </c>
      <c r="L31" s="19" t="s">
        <v>52</v>
      </c>
      <c r="M31" s="19" t="s">
        <v>66</v>
      </c>
      <c r="N31" s="19" t="s">
        <v>63</v>
      </c>
      <c r="O31" s="19" t="s">
        <v>20</v>
      </c>
      <c r="P31" s="19" t="s">
        <v>65</v>
      </c>
      <c r="Q31" s="19" t="s">
        <v>67</v>
      </c>
      <c r="S31" s="10">
        <v>11</v>
      </c>
      <c r="T31" s="10">
        <v>7</v>
      </c>
      <c r="U31" s="10">
        <v>9</v>
      </c>
      <c r="V31" s="10">
        <v>0</v>
      </c>
      <c r="W31" s="10">
        <v>10</v>
      </c>
      <c r="X31" s="10">
        <v>11</v>
      </c>
      <c r="Z31" s="37">
        <v>1</v>
      </c>
      <c r="AA31" s="37">
        <v>1</v>
      </c>
      <c r="AB31" s="37">
        <v>1</v>
      </c>
      <c r="AC31" s="37">
        <v>1</v>
      </c>
      <c r="AD31" s="37">
        <v>1</v>
      </c>
      <c r="AE31" s="37">
        <v>1</v>
      </c>
    </row>
    <row r="32" spans="1:31" ht="16.5" customHeight="1">
      <c r="K32" s="10">
        <v>28</v>
      </c>
      <c r="L32" s="19" t="s">
        <v>52</v>
      </c>
      <c r="M32" s="19" t="s">
        <v>66</v>
      </c>
      <c r="N32" s="19" t="s">
        <v>63</v>
      </c>
      <c r="O32" s="19" t="s">
        <v>67</v>
      </c>
      <c r="P32" s="19" t="s">
        <v>65</v>
      </c>
      <c r="Q32" s="19" t="s">
        <v>64</v>
      </c>
      <c r="S32" s="10">
        <v>11</v>
      </c>
      <c r="T32" s="10">
        <v>7</v>
      </c>
      <c r="U32" s="10">
        <v>9</v>
      </c>
      <c r="V32" s="10">
        <v>11</v>
      </c>
      <c r="W32" s="10">
        <v>10</v>
      </c>
      <c r="X32" s="10">
        <v>8</v>
      </c>
      <c r="Z32" s="37">
        <v>1</v>
      </c>
      <c r="AA32" s="37">
        <v>1</v>
      </c>
      <c r="AB32" s="37">
        <v>1</v>
      </c>
      <c r="AC32" s="37">
        <v>1</v>
      </c>
      <c r="AD32" s="37">
        <v>1</v>
      </c>
      <c r="AE32" s="37">
        <v>1</v>
      </c>
    </row>
    <row r="33" spans="11:31" ht="16.5" customHeight="1">
      <c r="K33" s="10">
        <v>29</v>
      </c>
      <c r="L33" s="19" t="s">
        <v>24</v>
      </c>
      <c r="M33" s="19" t="s">
        <v>64</v>
      </c>
      <c r="N33" s="19" t="s">
        <v>20</v>
      </c>
      <c r="O33" s="19" t="s">
        <v>67</v>
      </c>
      <c r="P33" s="19" t="s">
        <v>63</v>
      </c>
      <c r="Q33" s="19" t="s">
        <v>64</v>
      </c>
      <c r="S33" s="10">
        <v>1</v>
      </c>
      <c r="T33" s="10">
        <v>8</v>
      </c>
      <c r="U33" s="10">
        <v>0</v>
      </c>
      <c r="V33" s="10">
        <v>11</v>
      </c>
      <c r="W33" s="10">
        <v>9</v>
      </c>
      <c r="X33" s="10">
        <v>8</v>
      </c>
      <c r="Z33" s="37">
        <v>1</v>
      </c>
      <c r="AA33" s="37">
        <v>1</v>
      </c>
      <c r="AB33" s="37">
        <v>1</v>
      </c>
      <c r="AC33" s="37">
        <v>1</v>
      </c>
      <c r="AD33" s="37">
        <v>1</v>
      </c>
      <c r="AE33" s="37">
        <v>1</v>
      </c>
    </row>
    <row r="34" spans="11:31" ht="16.5" customHeight="1">
      <c r="K34" s="10">
        <v>30</v>
      </c>
      <c r="L34" s="19" t="s">
        <v>22</v>
      </c>
      <c r="M34" s="19" t="s">
        <v>64</v>
      </c>
      <c r="N34" s="19" t="s">
        <v>64</v>
      </c>
      <c r="O34" s="19" t="s">
        <v>46</v>
      </c>
      <c r="P34" s="19" t="s">
        <v>63</v>
      </c>
      <c r="Q34" s="19" t="s">
        <v>23</v>
      </c>
      <c r="S34" s="10">
        <v>5</v>
      </c>
      <c r="T34" s="10">
        <v>8</v>
      </c>
      <c r="U34" s="10">
        <v>8</v>
      </c>
      <c r="V34" s="10">
        <v>5</v>
      </c>
      <c r="W34" s="10">
        <v>9</v>
      </c>
      <c r="X34" s="10">
        <v>6</v>
      </c>
      <c r="Z34" s="37">
        <v>1</v>
      </c>
      <c r="AA34" s="37">
        <v>1</v>
      </c>
      <c r="AB34" s="37">
        <v>1</v>
      </c>
      <c r="AC34" s="37">
        <v>1</v>
      </c>
      <c r="AD34" s="37">
        <v>1</v>
      </c>
      <c r="AE34" s="37">
        <v>1</v>
      </c>
    </row>
    <row r="35" spans="11:31" ht="16.5" customHeight="1">
      <c r="K35" s="10">
        <v>31</v>
      </c>
      <c r="L35" s="19" t="s">
        <v>22</v>
      </c>
      <c r="M35" s="19" t="s">
        <v>63</v>
      </c>
      <c r="N35" s="19" t="s">
        <v>64</v>
      </c>
      <c r="O35" s="19" t="s">
        <v>46</v>
      </c>
      <c r="P35" s="19" t="s">
        <v>65</v>
      </c>
      <c r="Q35" s="19" t="s">
        <v>23</v>
      </c>
      <c r="S35" s="10">
        <v>5</v>
      </c>
      <c r="T35" s="10">
        <v>9</v>
      </c>
      <c r="U35" s="10">
        <v>8</v>
      </c>
      <c r="V35" s="10">
        <v>5</v>
      </c>
      <c r="W35" s="10">
        <v>10</v>
      </c>
      <c r="X35" s="10">
        <v>6</v>
      </c>
      <c r="Z35" s="37">
        <v>1</v>
      </c>
      <c r="AA35" s="37">
        <v>1</v>
      </c>
      <c r="AB35" s="37">
        <v>1</v>
      </c>
      <c r="AC35" s="37">
        <v>1</v>
      </c>
      <c r="AD35" s="37">
        <v>1</v>
      </c>
      <c r="AE35" s="37">
        <v>1</v>
      </c>
    </row>
    <row r="36" spans="11:31" ht="16.5" customHeight="1">
      <c r="K36" s="10">
        <v>32</v>
      </c>
      <c r="L36" s="19" t="s">
        <v>65</v>
      </c>
      <c r="M36" s="19" t="s">
        <v>63</v>
      </c>
      <c r="N36" s="19" t="s">
        <v>66</v>
      </c>
      <c r="O36" s="19" t="s">
        <v>67</v>
      </c>
      <c r="P36" s="19" t="s">
        <v>65</v>
      </c>
      <c r="Q36" s="19" t="s">
        <v>64</v>
      </c>
      <c r="S36" s="10">
        <v>10</v>
      </c>
      <c r="T36" s="10">
        <v>9</v>
      </c>
      <c r="U36" s="10">
        <v>7</v>
      </c>
      <c r="V36" s="10">
        <v>11</v>
      </c>
      <c r="W36" s="10">
        <v>10</v>
      </c>
      <c r="X36" s="10">
        <v>8</v>
      </c>
      <c r="Z36" s="37">
        <v>1</v>
      </c>
      <c r="AA36" s="37">
        <v>1</v>
      </c>
      <c r="AB36" s="37">
        <v>1</v>
      </c>
      <c r="AC36" s="37">
        <v>1</v>
      </c>
      <c r="AD36" s="37">
        <v>1</v>
      </c>
      <c r="AE36" s="37">
        <v>1</v>
      </c>
    </row>
    <row r="37" spans="11:31" ht="16.5" customHeight="1">
      <c r="K37" s="10">
        <v>33</v>
      </c>
      <c r="L37" s="19" t="s">
        <v>65</v>
      </c>
      <c r="M37" s="19" t="s">
        <v>66</v>
      </c>
      <c r="N37" s="19" t="s">
        <v>66</v>
      </c>
      <c r="O37" s="19" t="s">
        <v>67</v>
      </c>
      <c r="P37" s="19" t="s">
        <v>66</v>
      </c>
      <c r="Q37" s="19" t="s">
        <v>64</v>
      </c>
      <c r="S37" s="10">
        <v>10</v>
      </c>
      <c r="T37" s="10">
        <v>7</v>
      </c>
      <c r="U37" s="10">
        <v>7</v>
      </c>
      <c r="V37" s="10">
        <v>11</v>
      </c>
      <c r="W37" s="10">
        <v>7</v>
      </c>
      <c r="X37" s="10">
        <v>8</v>
      </c>
      <c r="Z37" s="37">
        <v>1</v>
      </c>
      <c r="AA37" s="37">
        <v>1</v>
      </c>
      <c r="AB37" s="37">
        <v>1</v>
      </c>
      <c r="AC37" s="37">
        <v>1</v>
      </c>
      <c r="AD37" s="37">
        <v>1</v>
      </c>
      <c r="AE37" s="37">
        <v>1</v>
      </c>
    </row>
    <row r="38" spans="11:31" ht="16.5" customHeight="1">
      <c r="K38" s="10">
        <v>34</v>
      </c>
      <c r="L38" s="19" t="s">
        <v>67</v>
      </c>
      <c r="M38" s="19" t="s">
        <v>66</v>
      </c>
      <c r="N38" s="19" t="s">
        <v>64</v>
      </c>
      <c r="O38" s="19" t="s">
        <v>65</v>
      </c>
      <c r="P38" s="19" t="s">
        <v>66</v>
      </c>
      <c r="Q38" s="19" t="s">
        <v>23</v>
      </c>
      <c r="S38" s="10">
        <v>11</v>
      </c>
      <c r="T38" s="10">
        <v>7</v>
      </c>
      <c r="U38" s="10">
        <v>8</v>
      </c>
      <c r="V38" s="10">
        <v>10</v>
      </c>
      <c r="W38" s="10">
        <v>7</v>
      </c>
      <c r="X38" s="10">
        <v>6</v>
      </c>
      <c r="Z38" s="37">
        <v>1</v>
      </c>
      <c r="AA38" s="37">
        <v>1</v>
      </c>
      <c r="AB38" s="37">
        <v>1</v>
      </c>
      <c r="AC38" s="37">
        <v>1</v>
      </c>
      <c r="AD38" s="37">
        <v>1</v>
      </c>
      <c r="AE38" s="37">
        <v>1</v>
      </c>
    </row>
    <row r="39" spans="11:31" ht="16.5" customHeight="1">
      <c r="K39" s="10">
        <v>35</v>
      </c>
      <c r="L39" s="19" t="s">
        <v>67</v>
      </c>
      <c r="M39" s="19" t="s">
        <v>64</v>
      </c>
      <c r="N39" s="19" t="s">
        <v>64</v>
      </c>
      <c r="O39" s="19" t="s">
        <v>65</v>
      </c>
      <c r="P39" s="19" t="s">
        <v>63</v>
      </c>
      <c r="Q39" s="19" t="s">
        <v>23</v>
      </c>
      <c r="S39" s="10">
        <v>11</v>
      </c>
      <c r="T39" s="10">
        <v>8</v>
      </c>
      <c r="U39" s="10">
        <v>8</v>
      </c>
      <c r="V39" s="10">
        <v>10</v>
      </c>
      <c r="W39" s="10">
        <v>9</v>
      </c>
      <c r="X39" s="10">
        <v>6</v>
      </c>
      <c r="Z39" s="37">
        <v>1</v>
      </c>
      <c r="AA39" s="37">
        <v>1</v>
      </c>
      <c r="AB39" s="37">
        <v>1</v>
      </c>
      <c r="AC39" s="37">
        <v>1</v>
      </c>
      <c r="AD39" s="37">
        <v>1</v>
      </c>
      <c r="AE39" s="37">
        <v>1</v>
      </c>
    </row>
    <row r="40" spans="11:31" ht="16.5" customHeight="1">
      <c r="K40" s="10">
        <v>36</v>
      </c>
      <c r="L40" s="19" t="s">
        <v>26</v>
      </c>
      <c r="M40" s="19" t="s">
        <v>64</v>
      </c>
      <c r="N40" s="19" t="s">
        <v>26</v>
      </c>
      <c r="O40" s="19" t="s">
        <v>23</v>
      </c>
      <c r="P40" s="19" t="s">
        <v>63</v>
      </c>
      <c r="Q40" s="19" t="s">
        <v>27</v>
      </c>
      <c r="S40" s="10">
        <v>3</v>
      </c>
      <c r="T40" s="10">
        <v>8</v>
      </c>
      <c r="U40" s="10">
        <v>3</v>
      </c>
      <c r="V40" s="10">
        <v>6</v>
      </c>
      <c r="W40" s="10">
        <v>9</v>
      </c>
      <c r="X40" s="10">
        <v>4</v>
      </c>
      <c r="Z40" s="37">
        <v>1</v>
      </c>
      <c r="AA40" s="37">
        <v>1</v>
      </c>
      <c r="AB40" s="37">
        <v>1</v>
      </c>
      <c r="AC40" s="37">
        <v>1</v>
      </c>
      <c r="AD40" s="37">
        <v>1</v>
      </c>
      <c r="AE40" s="37">
        <v>1</v>
      </c>
    </row>
    <row r="41" spans="11:31" ht="16.5" customHeight="1">
      <c r="K41" s="10">
        <v>37</v>
      </c>
      <c r="L41" s="19" t="s">
        <v>26</v>
      </c>
      <c r="M41" s="19" t="s">
        <v>63</v>
      </c>
      <c r="N41" s="19" t="s">
        <v>26</v>
      </c>
      <c r="O41" s="19" t="s">
        <v>23</v>
      </c>
      <c r="P41" s="19" t="s">
        <v>66</v>
      </c>
      <c r="Q41" s="19" t="s">
        <v>27</v>
      </c>
      <c r="S41" s="10">
        <v>3</v>
      </c>
      <c r="T41" s="10">
        <v>9</v>
      </c>
      <c r="U41" s="10">
        <v>3</v>
      </c>
      <c r="V41" s="10">
        <v>6</v>
      </c>
      <c r="W41" s="10">
        <v>7</v>
      </c>
      <c r="X41" s="10">
        <v>4</v>
      </c>
      <c r="Z41" s="37">
        <v>1</v>
      </c>
      <c r="AA41" s="37">
        <v>1</v>
      </c>
      <c r="AB41" s="37">
        <v>1</v>
      </c>
      <c r="AC41" s="37">
        <v>1</v>
      </c>
      <c r="AD41" s="37">
        <v>1</v>
      </c>
      <c r="AE41" s="37">
        <v>1</v>
      </c>
    </row>
    <row r="42" spans="11:31" ht="16.5" customHeight="1">
      <c r="K42" s="10">
        <v>38</v>
      </c>
      <c r="L42" s="19" t="s">
        <v>65</v>
      </c>
      <c r="M42" s="19" t="s">
        <v>63</v>
      </c>
      <c r="N42" s="19" t="s">
        <v>68</v>
      </c>
      <c r="O42" s="19" t="s">
        <v>22</v>
      </c>
      <c r="P42" s="19" t="s">
        <v>66</v>
      </c>
      <c r="Q42" s="19" t="s">
        <v>64</v>
      </c>
      <c r="S42" s="10">
        <v>10</v>
      </c>
      <c r="T42" s="10">
        <v>9</v>
      </c>
      <c r="U42" s="10">
        <v>2</v>
      </c>
      <c r="V42" s="10">
        <v>5</v>
      </c>
      <c r="W42" s="10">
        <v>7</v>
      </c>
      <c r="X42" s="10">
        <v>8</v>
      </c>
      <c r="Z42" s="37">
        <v>1</v>
      </c>
      <c r="AA42" s="37">
        <v>1</v>
      </c>
      <c r="AB42" s="37">
        <v>1</v>
      </c>
      <c r="AC42" s="37">
        <v>1</v>
      </c>
      <c r="AD42" s="37">
        <v>1</v>
      </c>
      <c r="AE42" s="37">
        <v>1</v>
      </c>
    </row>
    <row r="43" spans="11:31" ht="16.5" customHeight="1">
      <c r="K43" s="10">
        <v>39</v>
      </c>
      <c r="L43" s="19" t="s">
        <v>65</v>
      </c>
      <c r="M43" s="19" t="s">
        <v>23</v>
      </c>
      <c r="N43" s="19" t="s">
        <v>68</v>
      </c>
      <c r="O43" s="19" t="s">
        <v>22</v>
      </c>
      <c r="P43" s="19" t="s">
        <v>43</v>
      </c>
      <c r="Q43" s="19" t="s">
        <v>64</v>
      </c>
      <c r="S43" s="10">
        <v>10</v>
      </c>
      <c r="T43" s="10">
        <v>6</v>
      </c>
      <c r="U43" s="10">
        <v>2</v>
      </c>
      <c r="V43" s="10">
        <v>5</v>
      </c>
      <c r="W43" s="10">
        <v>0</v>
      </c>
      <c r="X43" s="10">
        <v>8</v>
      </c>
      <c r="Z43" s="37">
        <v>1</v>
      </c>
      <c r="AA43" s="37">
        <v>1</v>
      </c>
      <c r="AB43" s="37">
        <v>1</v>
      </c>
      <c r="AC43" s="37">
        <v>1</v>
      </c>
      <c r="AD43" s="37">
        <v>1</v>
      </c>
      <c r="AE43" s="37">
        <v>1</v>
      </c>
    </row>
    <row r="44" spans="11:31" ht="16.5" customHeight="1">
      <c r="K44" s="10">
        <v>40</v>
      </c>
      <c r="L44" s="19" t="s">
        <v>26</v>
      </c>
      <c r="M44" s="19" t="s">
        <v>23</v>
      </c>
      <c r="N44" s="19" t="s">
        <v>65</v>
      </c>
      <c r="O44" s="19" t="s">
        <v>67</v>
      </c>
      <c r="P44" s="19" t="s">
        <v>63</v>
      </c>
      <c r="Q44" s="19" t="s">
        <v>67</v>
      </c>
      <c r="S44" s="10">
        <v>3</v>
      </c>
      <c r="T44" s="10">
        <v>6</v>
      </c>
      <c r="U44" s="10">
        <v>10</v>
      </c>
      <c r="V44" s="10">
        <v>11</v>
      </c>
      <c r="W44" s="10">
        <v>9</v>
      </c>
      <c r="X44" s="10">
        <v>11</v>
      </c>
      <c r="Z44" s="37">
        <v>1</v>
      </c>
      <c r="AA44" s="37">
        <v>1</v>
      </c>
      <c r="AB44" s="37">
        <v>1</v>
      </c>
      <c r="AC44" s="37">
        <v>1</v>
      </c>
      <c r="AD44" s="37">
        <v>1</v>
      </c>
      <c r="AE44" s="37">
        <v>1</v>
      </c>
    </row>
    <row r="45" spans="11:31" ht="16.5" customHeight="1">
      <c r="K45" s="10">
        <v>41</v>
      </c>
      <c r="L45" s="19" t="s">
        <v>26</v>
      </c>
      <c r="M45" s="19" t="s">
        <v>48</v>
      </c>
      <c r="N45" s="19" t="s">
        <v>65</v>
      </c>
      <c r="O45" s="19" t="s">
        <v>67</v>
      </c>
      <c r="P45" s="19" t="s">
        <v>63</v>
      </c>
      <c r="Q45" s="19" t="s">
        <v>67</v>
      </c>
      <c r="S45" s="10">
        <v>3</v>
      </c>
      <c r="T45" s="10">
        <v>1</v>
      </c>
      <c r="U45" s="10">
        <v>10</v>
      </c>
      <c r="V45" s="10">
        <v>11</v>
      </c>
      <c r="W45" s="10">
        <v>9</v>
      </c>
      <c r="X45" s="10">
        <v>11</v>
      </c>
      <c r="Z45" s="37">
        <v>1</v>
      </c>
      <c r="AA45" s="37">
        <v>1</v>
      </c>
      <c r="AB45" s="37">
        <v>1</v>
      </c>
      <c r="AC45" s="37">
        <v>1</v>
      </c>
      <c r="AD45" s="37">
        <v>1</v>
      </c>
      <c r="AE45" s="37">
        <v>1</v>
      </c>
    </row>
    <row r="46" spans="11:31" ht="16.5" customHeight="1">
      <c r="K46" s="10">
        <v>42</v>
      </c>
      <c r="L46" s="19" t="s">
        <v>67</v>
      </c>
      <c r="M46" s="19" t="s">
        <v>63</v>
      </c>
      <c r="N46" s="19" t="s">
        <v>26</v>
      </c>
      <c r="O46" s="19" t="s">
        <v>45</v>
      </c>
      <c r="P46" s="19" t="s">
        <v>66</v>
      </c>
      <c r="Q46" s="19" t="s">
        <v>20</v>
      </c>
      <c r="S46" s="10">
        <v>11</v>
      </c>
      <c r="T46" s="10">
        <v>9</v>
      </c>
      <c r="U46" s="10">
        <v>3</v>
      </c>
      <c r="V46" s="10">
        <v>4</v>
      </c>
      <c r="W46" s="10">
        <v>7</v>
      </c>
      <c r="X46" s="10">
        <v>0</v>
      </c>
      <c r="Z46" s="37">
        <v>1</v>
      </c>
      <c r="AA46" s="37">
        <v>1</v>
      </c>
      <c r="AB46" s="37">
        <v>1</v>
      </c>
      <c r="AC46" s="37">
        <v>1</v>
      </c>
      <c r="AD46" s="37">
        <v>1</v>
      </c>
      <c r="AE46" s="37">
        <v>1</v>
      </c>
    </row>
    <row r="47" spans="11:31" ht="16.5" customHeight="1">
      <c r="K47" s="10">
        <v>43</v>
      </c>
      <c r="L47" s="19" t="s">
        <v>67</v>
      </c>
      <c r="M47" s="19" t="s">
        <v>63</v>
      </c>
      <c r="N47" s="19" t="s">
        <v>26</v>
      </c>
      <c r="O47" s="19" t="s">
        <v>45</v>
      </c>
      <c r="P47" s="19" t="s">
        <v>66</v>
      </c>
      <c r="Q47" s="19" t="s">
        <v>63</v>
      </c>
      <c r="S47" s="10">
        <v>11</v>
      </c>
      <c r="T47" s="10">
        <v>9</v>
      </c>
      <c r="U47" s="10">
        <v>3</v>
      </c>
      <c r="V47" s="10">
        <v>4</v>
      </c>
      <c r="W47" s="10">
        <v>7</v>
      </c>
      <c r="X47" s="10">
        <v>9</v>
      </c>
      <c r="Z47" s="37">
        <v>1</v>
      </c>
      <c r="AA47" s="37">
        <v>1</v>
      </c>
      <c r="AB47" s="37">
        <v>1</v>
      </c>
      <c r="AC47" s="37">
        <v>1</v>
      </c>
      <c r="AD47" s="37">
        <v>1</v>
      </c>
      <c r="AE47" s="37">
        <v>1</v>
      </c>
    </row>
    <row r="48" spans="11:31" ht="16.5" customHeight="1">
      <c r="K48" s="10">
        <v>44</v>
      </c>
      <c r="L48" s="19" t="s">
        <v>68</v>
      </c>
      <c r="M48" s="19" t="s">
        <v>23</v>
      </c>
      <c r="N48" s="19" t="s">
        <v>66</v>
      </c>
      <c r="O48" s="19" t="s">
        <v>67</v>
      </c>
      <c r="P48" s="19" t="s">
        <v>63</v>
      </c>
      <c r="Q48" s="19" t="s">
        <v>63</v>
      </c>
      <c r="S48" s="10">
        <v>2</v>
      </c>
      <c r="T48" s="10">
        <v>6</v>
      </c>
      <c r="U48" s="10">
        <v>7</v>
      </c>
      <c r="V48" s="10">
        <v>11</v>
      </c>
      <c r="W48" s="10">
        <v>9</v>
      </c>
      <c r="X48" s="10">
        <v>9</v>
      </c>
      <c r="Z48" s="37">
        <v>1</v>
      </c>
      <c r="AA48" s="37">
        <v>1</v>
      </c>
      <c r="AB48" s="37">
        <v>1</v>
      </c>
      <c r="AC48" s="37">
        <v>1</v>
      </c>
      <c r="AD48" s="37">
        <v>1</v>
      </c>
      <c r="AE48" s="37">
        <v>1</v>
      </c>
    </row>
    <row r="49" spans="11:31" ht="16.5" customHeight="1">
      <c r="K49" s="10">
        <v>45</v>
      </c>
      <c r="L49" s="19" t="s">
        <v>68</v>
      </c>
      <c r="M49" s="19" t="s">
        <v>23</v>
      </c>
      <c r="N49" s="19" t="s">
        <v>66</v>
      </c>
      <c r="O49" s="19" t="s">
        <v>67</v>
      </c>
      <c r="P49" s="19" t="s">
        <v>63</v>
      </c>
      <c r="Q49" s="19" t="s">
        <v>67</v>
      </c>
      <c r="S49" s="10">
        <v>2</v>
      </c>
      <c r="T49" s="10">
        <v>6</v>
      </c>
      <c r="U49" s="10">
        <v>7</v>
      </c>
      <c r="V49" s="10">
        <v>11</v>
      </c>
      <c r="W49" s="10">
        <v>9</v>
      </c>
      <c r="X49" s="10">
        <v>11</v>
      </c>
      <c r="Z49" s="37">
        <v>1</v>
      </c>
      <c r="AA49" s="37">
        <v>1</v>
      </c>
      <c r="AB49" s="37">
        <v>1</v>
      </c>
      <c r="AC49" s="37">
        <v>1</v>
      </c>
      <c r="AD49" s="37">
        <v>1</v>
      </c>
      <c r="AE49" s="37">
        <v>1</v>
      </c>
    </row>
    <row r="50" spans="11:31" ht="16.5" customHeight="1">
      <c r="K50" s="10">
        <v>46</v>
      </c>
      <c r="L50" s="19" t="s">
        <v>63</v>
      </c>
      <c r="M50" s="19" t="s">
        <v>64</v>
      </c>
      <c r="N50" s="19" t="s">
        <v>20</v>
      </c>
      <c r="O50" s="19" t="s">
        <v>22</v>
      </c>
      <c r="P50" s="19" t="s">
        <v>27</v>
      </c>
      <c r="Q50" s="19" t="s">
        <v>67</v>
      </c>
      <c r="S50" s="10">
        <v>9</v>
      </c>
      <c r="T50" s="10">
        <v>8</v>
      </c>
      <c r="U50" s="10">
        <v>0</v>
      </c>
      <c r="V50" s="10">
        <v>5</v>
      </c>
      <c r="W50" s="10">
        <v>4</v>
      </c>
      <c r="X50" s="10">
        <v>11</v>
      </c>
      <c r="Z50" s="37">
        <v>1</v>
      </c>
      <c r="AA50" s="37">
        <v>1</v>
      </c>
      <c r="AB50" s="37">
        <v>1</v>
      </c>
      <c r="AC50" s="37">
        <v>1</v>
      </c>
      <c r="AD50" s="37">
        <v>1</v>
      </c>
      <c r="AE50" s="37">
        <v>1</v>
      </c>
    </row>
    <row r="51" spans="11:31" ht="16.5" customHeight="1">
      <c r="K51" s="10">
        <v>47</v>
      </c>
      <c r="L51" s="19" t="s">
        <v>63</v>
      </c>
      <c r="M51" s="19" t="s">
        <v>64</v>
      </c>
      <c r="N51" s="19" t="s">
        <v>20</v>
      </c>
      <c r="O51" s="19" t="s">
        <v>22</v>
      </c>
      <c r="P51" s="19" t="s">
        <v>27</v>
      </c>
      <c r="Q51" s="19" t="s">
        <v>63</v>
      </c>
      <c r="S51" s="10">
        <v>9</v>
      </c>
      <c r="T51" s="10">
        <v>8</v>
      </c>
      <c r="U51" s="10">
        <v>0</v>
      </c>
      <c r="V51" s="10">
        <v>5</v>
      </c>
      <c r="W51" s="10">
        <v>4</v>
      </c>
      <c r="X51" s="10">
        <v>9</v>
      </c>
      <c r="Z51" s="37">
        <v>1</v>
      </c>
      <c r="AA51" s="37">
        <v>1</v>
      </c>
      <c r="AB51" s="37">
        <v>1</v>
      </c>
      <c r="AC51" s="37">
        <v>1</v>
      </c>
      <c r="AD51" s="37">
        <v>1</v>
      </c>
      <c r="AE51" s="37">
        <v>1</v>
      </c>
    </row>
    <row r="52" spans="11:31" ht="16.5" customHeight="1">
      <c r="K52" s="10">
        <v>48</v>
      </c>
      <c r="L52" s="19" t="s">
        <v>67</v>
      </c>
      <c r="M52" s="19" t="s">
        <v>67</v>
      </c>
      <c r="N52" s="19" t="s">
        <v>65</v>
      </c>
      <c r="O52" s="19" t="s">
        <v>66</v>
      </c>
      <c r="P52" s="19" t="s">
        <v>65</v>
      </c>
      <c r="Q52" s="19" t="s">
        <v>63</v>
      </c>
      <c r="S52" s="10">
        <v>11</v>
      </c>
      <c r="T52" s="10">
        <v>11</v>
      </c>
      <c r="U52" s="10">
        <v>10</v>
      </c>
      <c r="V52" s="10">
        <v>7</v>
      </c>
      <c r="W52" s="10">
        <v>10</v>
      </c>
      <c r="X52" s="10">
        <v>9</v>
      </c>
      <c r="Z52" s="37">
        <v>1</v>
      </c>
      <c r="AA52" s="37">
        <v>1</v>
      </c>
      <c r="AB52" s="37">
        <v>1</v>
      </c>
      <c r="AC52" s="37">
        <v>1</v>
      </c>
      <c r="AD52" s="37">
        <v>1</v>
      </c>
      <c r="AE52" s="37">
        <v>1</v>
      </c>
    </row>
    <row r="53" spans="11:31" ht="16.5" customHeight="1">
      <c r="K53" s="10">
        <v>49</v>
      </c>
      <c r="L53" s="19" t="s">
        <v>67</v>
      </c>
      <c r="M53" s="19" t="s">
        <v>67</v>
      </c>
      <c r="N53" s="19" t="s">
        <v>65</v>
      </c>
      <c r="O53" s="19" t="s">
        <v>66</v>
      </c>
      <c r="P53" s="19" t="s">
        <v>65</v>
      </c>
      <c r="Q53" s="19" t="s">
        <v>26</v>
      </c>
      <c r="S53" s="10">
        <v>11</v>
      </c>
      <c r="T53" s="10">
        <v>11</v>
      </c>
      <c r="U53" s="10">
        <v>10</v>
      </c>
      <c r="V53" s="10">
        <v>7</v>
      </c>
      <c r="W53" s="10">
        <v>10</v>
      </c>
      <c r="X53" s="10">
        <v>3</v>
      </c>
      <c r="Z53" s="37">
        <v>1</v>
      </c>
      <c r="AA53" s="37">
        <v>1</v>
      </c>
      <c r="AB53" s="37">
        <v>1</v>
      </c>
      <c r="AC53" s="37">
        <v>1</v>
      </c>
      <c r="AD53" s="37">
        <v>1</v>
      </c>
      <c r="AE53" s="37">
        <v>1</v>
      </c>
    </row>
    <row r="54" spans="11:31" ht="16.5" customHeight="1">
      <c r="K54" s="10">
        <v>50</v>
      </c>
      <c r="L54" s="19" t="s">
        <v>23</v>
      </c>
      <c r="M54" s="19" t="s">
        <v>64</v>
      </c>
      <c r="N54" s="19" t="s">
        <v>66</v>
      </c>
      <c r="O54" s="19" t="s">
        <v>68</v>
      </c>
      <c r="P54" s="19" t="s">
        <v>52</v>
      </c>
      <c r="Q54" s="19" t="s">
        <v>26</v>
      </c>
      <c r="S54" s="10">
        <v>6</v>
      </c>
      <c r="T54" s="10">
        <v>8</v>
      </c>
      <c r="U54" s="10">
        <v>7</v>
      </c>
      <c r="V54" s="10">
        <v>2</v>
      </c>
      <c r="W54" s="10">
        <v>11</v>
      </c>
      <c r="X54" s="10">
        <v>3</v>
      </c>
      <c r="Z54" s="37">
        <v>1</v>
      </c>
      <c r="AA54" s="37">
        <v>1</v>
      </c>
      <c r="AB54" s="37">
        <v>1</v>
      </c>
      <c r="AC54" s="37">
        <v>1</v>
      </c>
      <c r="AD54" s="37">
        <v>1</v>
      </c>
      <c r="AE54" s="37">
        <v>1</v>
      </c>
    </row>
    <row r="55" spans="11:31" ht="16.5" customHeight="1">
      <c r="K55" s="10">
        <v>51</v>
      </c>
      <c r="L55" s="19" t="s">
        <v>23</v>
      </c>
      <c r="M55" s="19" t="s">
        <v>64</v>
      </c>
      <c r="N55" s="19" t="s">
        <v>66</v>
      </c>
      <c r="O55" s="19" t="s">
        <v>22</v>
      </c>
      <c r="P55" s="19" t="s">
        <v>52</v>
      </c>
      <c r="Q55" s="19" t="s">
        <v>64</v>
      </c>
      <c r="S55" s="10">
        <v>6</v>
      </c>
      <c r="T55" s="10">
        <v>8</v>
      </c>
      <c r="U55" s="10">
        <v>7</v>
      </c>
      <c r="V55" s="10">
        <v>5</v>
      </c>
      <c r="W55" s="10">
        <v>11</v>
      </c>
      <c r="X55" s="10">
        <v>8</v>
      </c>
      <c r="Z55" s="37">
        <v>1</v>
      </c>
      <c r="AA55" s="37">
        <v>1</v>
      </c>
      <c r="AB55" s="37">
        <v>1</v>
      </c>
      <c r="AC55" s="37">
        <v>1</v>
      </c>
      <c r="AD55" s="37">
        <v>1</v>
      </c>
      <c r="AE55" s="37">
        <v>1</v>
      </c>
    </row>
    <row r="56" spans="11:31" ht="16.5" customHeight="1">
      <c r="K56" s="10">
        <v>52</v>
      </c>
      <c r="L56" s="19" t="s">
        <v>26</v>
      </c>
      <c r="M56" s="19" t="s">
        <v>63</v>
      </c>
      <c r="N56" s="19" t="s">
        <v>65</v>
      </c>
      <c r="O56" s="19" t="s">
        <v>22</v>
      </c>
      <c r="P56" s="19" t="s">
        <v>63</v>
      </c>
      <c r="Q56" s="19" t="s">
        <v>64</v>
      </c>
      <c r="S56" s="10">
        <v>3</v>
      </c>
      <c r="T56" s="10">
        <v>9</v>
      </c>
      <c r="U56" s="10">
        <v>10</v>
      </c>
      <c r="V56" s="10">
        <v>5</v>
      </c>
      <c r="W56" s="10">
        <v>9</v>
      </c>
      <c r="X56" s="10">
        <v>8</v>
      </c>
      <c r="Z56" s="37">
        <v>1</v>
      </c>
      <c r="AA56" s="37">
        <v>1</v>
      </c>
      <c r="AB56" s="37">
        <v>1</v>
      </c>
      <c r="AC56" s="37">
        <v>1</v>
      </c>
      <c r="AD56" s="37">
        <v>1</v>
      </c>
      <c r="AE56" s="37">
        <v>1</v>
      </c>
    </row>
    <row r="57" spans="11:31" ht="16.5" customHeight="1">
      <c r="K57" s="10">
        <v>53</v>
      </c>
      <c r="L57" s="19" t="s">
        <v>26</v>
      </c>
      <c r="M57" s="19" t="s">
        <v>63</v>
      </c>
      <c r="N57" s="19" t="s">
        <v>65</v>
      </c>
      <c r="O57" s="19" t="s">
        <v>65</v>
      </c>
      <c r="P57" s="19" t="s">
        <v>63</v>
      </c>
      <c r="Q57" s="19" t="s">
        <v>67</v>
      </c>
      <c r="S57" s="10">
        <v>3</v>
      </c>
      <c r="T57" s="10">
        <v>9</v>
      </c>
      <c r="U57" s="10">
        <v>10</v>
      </c>
      <c r="V57" s="10">
        <v>10</v>
      </c>
      <c r="W57" s="10">
        <v>9</v>
      </c>
      <c r="X57" s="10">
        <v>11</v>
      </c>
      <c r="Z57" s="37">
        <v>1</v>
      </c>
      <c r="AA57" s="37">
        <v>1</v>
      </c>
      <c r="AB57" s="37">
        <v>1</v>
      </c>
      <c r="AC57" s="37">
        <v>1</v>
      </c>
      <c r="AD57" s="37">
        <v>1</v>
      </c>
      <c r="AE57" s="37">
        <v>1</v>
      </c>
    </row>
    <row r="58" spans="11:31" ht="16.5" customHeight="1">
      <c r="K58" s="10">
        <v>54</v>
      </c>
      <c r="L58" s="19" t="s">
        <v>65</v>
      </c>
      <c r="M58" s="19" t="s">
        <v>64</v>
      </c>
      <c r="N58" s="19" t="s">
        <v>27</v>
      </c>
      <c r="O58" s="19" t="s">
        <v>65</v>
      </c>
      <c r="P58" s="19" t="s">
        <v>27</v>
      </c>
      <c r="Q58" s="19" t="s">
        <v>67</v>
      </c>
      <c r="S58" s="10">
        <v>10</v>
      </c>
      <c r="T58" s="10">
        <v>8</v>
      </c>
      <c r="U58" s="10">
        <v>4</v>
      </c>
      <c r="V58" s="10">
        <v>10</v>
      </c>
      <c r="W58" s="10">
        <v>4</v>
      </c>
      <c r="X58" s="10">
        <v>11</v>
      </c>
      <c r="Z58" s="37">
        <v>1</v>
      </c>
      <c r="AA58" s="37">
        <v>1</v>
      </c>
      <c r="AB58" s="37">
        <v>1</v>
      </c>
      <c r="AC58" s="37">
        <v>1</v>
      </c>
      <c r="AD58" s="37">
        <v>1</v>
      </c>
      <c r="AE58" s="37">
        <v>1</v>
      </c>
    </row>
    <row r="59" spans="11:31" ht="16.5" customHeight="1">
      <c r="K59" s="10">
        <v>55</v>
      </c>
      <c r="L59" s="19" t="s">
        <v>65</v>
      </c>
      <c r="M59" s="19" t="s">
        <v>64</v>
      </c>
      <c r="N59" s="19" t="s">
        <v>27</v>
      </c>
      <c r="O59" s="19" t="s">
        <v>63</v>
      </c>
      <c r="P59" s="19" t="s">
        <v>27</v>
      </c>
      <c r="Q59" s="19" t="s">
        <v>23</v>
      </c>
      <c r="S59" s="10">
        <v>10</v>
      </c>
      <c r="T59" s="10">
        <v>8</v>
      </c>
      <c r="U59" s="10">
        <v>4</v>
      </c>
      <c r="V59" s="10">
        <v>9</v>
      </c>
      <c r="W59" s="10">
        <v>4</v>
      </c>
      <c r="X59" s="10">
        <v>6</v>
      </c>
      <c r="Z59" s="37">
        <v>1</v>
      </c>
      <c r="AA59" s="37">
        <v>1</v>
      </c>
      <c r="AB59" s="37">
        <v>1</v>
      </c>
      <c r="AC59" s="37">
        <v>1</v>
      </c>
      <c r="AD59" s="37">
        <v>1</v>
      </c>
      <c r="AE59" s="37">
        <v>1</v>
      </c>
    </row>
    <row r="60" spans="11:31" ht="16.5" customHeight="1">
      <c r="K60" s="10">
        <v>56</v>
      </c>
      <c r="L60" s="19" t="s">
        <v>67</v>
      </c>
      <c r="M60" s="19" t="s">
        <v>67</v>
      </c>
      <c r="N60" s="19" t="s">
        <v>64</v>
      </c>
      <c r="O60" s="19" t="s">
        <v>63</v>
      </c>
      <c r="P60" s="19" t="s">
        <v>63</v>
      </c>
      <c r="Q60" s="19" t="s">
        <v>23</v>
      </c>
      <c r="S60" s="10">
        <v>11</v>
      </c>
      <c r="T60" s="10">
        <v>11</v>
      </c>
      <c r="U60" s="10">
        <v>8</v>
      </c>
      <c r="V60" s="10">
        <v>9</v>
      </c>
      <c r="W60" s="10">
        <v>9</v>
      </c>
      <c r="X60" s="10">
        <v>6</v>
      </c>
      <c r="Z60" s="37">
        <v>1</v>
      </c>
      <c r="AA60" s="37">
        <v>1</v>
      </c>
      <c r="AB60" s="37">
        <v>1</v>
      </c>
      <c r="AC60" s="37">
        <v>1</v>
      </c>
      <c r="AD60" s="37">
        <v>1</v>
      </c>
      <c r="AE60" s="37">
        <v>1</v>
      </c>
    </row>
    <row r="61" spans="11:31">
      <c r="K61" s="10">
        <v>57</v>
      </c>
      <c r="L61" s="19" t="s">
        <v>67</v>
      </c>
      <c r="M61" s="19" t="s">
        <v>67</v>
      </c>
      <c r="N61" s="19" t="s">
        <v>64</v>
      </c>
      <c r="O61" s="19" t="s">
        <v>65</v>
      </c>
      <c r="P61" s="19" t="s">
        <v>63</v>
      </c>
      <c r="Q61" s="19" t="s">
        <v>63</v>
      </c>
      <c r="S61" s="10">
        <v>11</v>
      </c>
      <c r="T61" s="10">
        <v>11</v>
      </c>
      <c r="U61" s="10">
        <v>8</v>
      </c>
      <c r="V61" s="10">
        <v>10</v>
      </c>
      <c r="W61" s="10">
        <v>9</v>
      </c>
      <c r="X61" s="10">
        <v>9</v>
      </c>
      <c r="Z61" s="37">
        <v>1</v>
      </c>
      <c r="AA61" s="37">
        <v>1</v>
      </c>
      <c r="AB61" s="37">
        <v>1</v>
      </c>
      <c r="AC61" s="37">
        <v>1</v>
      </c>
      <c r="AD61" s="37">
        <v>1</v>
      </c>
      <c r="AE61" s="37">
        <v>1</v>
      </c>
    </row>
    <row r="62" spans="11:31">
      <c r="K62" s="10">
        <v>58</v>
      </c>
      <c r="L62" s="19" t="s">
        <v>65</v>
      </c>
      <c r="M62" s="19" t="s">
        <v>43</v>
      </c>
      <c r="N62" s="19" t="s">
        <v>66</v>
      </c>
      <c r="O62" s="19" t="s">
        <v>65</v>
      </c>
      <c r="P62" s="19" t="s">
        <v>66</v>
      </c>
      <c r="Q62" s="19" t="s">
        <v>63</v>
      </c>
      <c r="S62" s="10">
        <v>10</v>
      </c>
      <c r="T62" s="10">
        <v>0</v>
      </c>
      <c r="U62" s="10">
        <v>7</v>
      </c>
      <c r="V62" s="10">
        <v>10</v>
      </c>
      <c r="W62" s="10">
        <v>7</v>
      </c>
      <c r="X62" s="10">
        <v>9</v>
      </c>
      <c r="Z62" s="37">
        <v>1</v>
      </c>
      <c r="AA62" s="37">
        <v>1</v>
      </c>
      <c r="AB62" s="37">
        <v>1</v>
      </c>
      <c r="AC62" s="37">
        <v>1</v>
      </c>
      <c r="AD62" s="37">
        <v>1</v>
      </c>
      <c r="AE62" s="37">
        <v>1</v>
      </c>
    </row>
    <row r="63" spans="11:31" ht="16.5" customHeight="1">
      <c r="K63" s="10">
        <v>59</v>
      </c>
      <c r="L63" s="19" t="s">
        <v>65</v>
      </c>
      <c r="M63" s="19" t="s">
        <v>43</v>
      </c>
      <c r="N63" s="19" t="s">
        <v>66</v>
      </c>
      <c r="O63" s="19" t="s">
        <v>20</v>
      </c>
      <c r="P63" s="19" t="s">
        <v>66</v>
      </c>
      <c r="Q63" s="19" t="s">
        <v>64</v>
      </c>
      <c r="S63" s="10">
        <v>10</v>
      </c>
      <c r="T63" s="10">
        <v>0</v>
      </c>
      <c r="U63" s="10">
        <v>7</v>
      </c>
      <c r="V63" s="10">
        <v>0</v>
      </c>
      <c r="W63" s="10">
        <v>7</v>
      </c>
      <c r="X63" s="10">
        <v>8</v>
      </c>
      <c r="Z63" s="37">
        <v>1</v>
      </c>
      <c r="AA63" s="37">
        <v>1</v>
      </c>
      <c r="AB63" s="37">
        <v>1</v>
      </c>
      <c r="AC63" s="37">
        <v>1</v>
      </c>
      <c r="AD63" s="37">
        <v>1</v>
      </c>
      <c r="AE63" s="37">
        <v>1</v>
      </c>
    </row>
    <row r="64" spans="11:31" ht="16.5" customHeight="1">
      <c r="K64" s="10">
        <v>60</v>
      </c>
      <c r="L64" s="19" t="s">
        <v>67</v>
      </c>
      <c r="M64" s="19" t="s">
        <v>64</v>
      </c>
      <c r="N64" s="19" t="s">
        <v>22</v>
      </c>
      <c r="O64" s="19" t="s">
        <v>65</v>
      </c>
      <c r="P64" s="19" t="s">
        <v>63</v>
      </c>
      <c r="Q64" s="19" t="s">
        <v>64</v>
      </c>
      <c r="S64" s="10">
        <v>11</v>
      </c>
      <c r="T64" s="10">
        <v>8</v>
      </c>
      <c r="U64" s="10">
        <v>5</v>
      </c>
      <c r="V64" s="10">
        <v>10</v>
      </c>
      <c r="W64" s="10">
        <v>9</v>
      </c>
      <c r="X64" s="10">
        <v>8</v>
      </c>
      <c r="Z64" s="37">
        <v>1</v>
      </c>
      <c r="AA64" s="37">
        <v>1</v>
      </c>
      <c r="AB64" s="37">
        <v>1</v>
      </c>
      <c r="AC64" s="37">
        <v>1</v>
      </c>
      <c r="AD64" s="37">
        <v>1</v>
      </c>
      <c r="AE64" s="37">
        <v>1</v>
      </c>
    </row>
    <row r="65" spans="11:31" ht="16.5" customHeight="1">
      <c r="K65" s="10">
        <v>61</v>
      </c>
      <c r="L65" s="19" t="s">
        <v>67</v>
      </c>
      <c r="M65" s="19" t="s">
        <v>64</v>
      </c>
      <c r="N65" s="19" t="s">
        <v>22</v>
      </c>
      <c r="O65" s="19" t="s">
        <v>65</v>
      </c>
      <c r="P65" s="19" t="s">
        <v>63</v>
      </c>
      <c r="Q65" s="19" t="s">
        <v>63</v>
      </c>
      <c r="S65" s="10">
        <v>11</v>
      </c>
      <c r="T65" s="10">
        <v>8</v>
      </c>
      <c r="U65" s="10">
        <v>5</v>
      </c>
      <c r="V65" s="10">
        <v>10</v>
      </c>
      <c r="W65" s="10">
        <v>9</v>
      </c>
      <c r="X65" s="10">
        <v>9</v>
      </c>
      <c r="Z65" s="37">
        <v>1</v>
      </c>
      <c r="AA65" s="37">
        <v>1</v>
      </c>
      <c r="AB65" s="37">
        <v>1</v>
      </c>
      <c r="AC65" s="37">
        <v>1</v>
      </c>
      <c r="AD65" s="37">
        <v>1</v>
      </c>
      <c r="AE65" s="37">
        <v>1</v>
      </c>
    </row>
    <row r="66" spans="11:31" ht="16.5" customHeight="1">
      <c r="K66" s="10">
        <v>62</v>
      </c>
      <c r="L66" s="19" t="s">
        <v>65</v>
      </c>
      <c r="M66" s="19" t="s">
        <v>63</v>
      </c>
      <c r="N66" s="19" t="s">
        <v>24</v>
      </c>
      <c r="O66" s="19" t="s">
        <v>23</v>
      </c>
      <c r="P66" s="19" t="s">
        <v>27</v>
      </c>
      <c r="Q66" s="19" t="s">
        <v>63</v>
      </c>
      <c r="S66" s="10">
        <v>10</v>
      </c>
      <c r="T66" s="10">
        <v>9</v>
      </c>
      <c r="U66" s="10">
        <v>1</v>
      </c>
      <c r="V66" s="10">
        <v>6</v>
      </c>
      <c r="W66" s="10">
        <v>4</v>
      </c>
      <c r="X66" s="10">
        <v>9</v>
      </c>
      <c r="Z66" s="37">
        <v>1</v>
      </c>
      <c r="AA66" s="37">
        <v>1</v>
      </c>
      <c r="AB66" s="37">
        <v>1</v>
      </c>
      <c r="AC66" s="37">
        <v>1</v>
      </c>
      <c r="AD66" s="37">
        <v>1</v>
      </c>
      <c r="AE66" s="37">
        <v>1</v>
      </c>
    </row>
    <row r="67" spans="11:31" ht="16.5" customHeight="1">
      <c r="K67" s="10">
        <v>63</v>
      </c>
      <c r="L67" s="19" t="s">
        <v>65</v>
      </c>
      <c r="M67" s="19" t="s">
        <v>63</v>
      </c>
      <c r="N67" s="19" t="s">
        <v>65</v>
      </c>
      <c r="O67" s="19" t="s">
        <v>23</v>
      </c>
      <c r="P67" s="19" t="s">
        <v>27</v>
      </c>
      <c r="Q67" s="19" t="s">
        <v>64</v>
      </c>
      <c r="S67" s="10">
        <v>10</v>
      </c>
      <c r="T67" s="10">
        <v>9</v>
      </c>
      <c r="U67" s="10">
        <v>10</v>
      </c>
      <c r="V67" s="10">
        <v>6</v>
      </c>
      <c r="W67" s="10">
        <v>4</v>
      </c>
      <c r="X67" s="10">
        <v>8</v>
      </c>
      <c r="Z67" s="37">
        <v>1</v>
      </c>
      <c r="AA67" s="37">
        <v>1</v>
      </c>
      <c r="AB67" s="37">
        <v>1</v>
      </c>
      <c r="AC67" s="37">
        <v>1</v>
      </c>
      <c r="AD67" s="37">
        <v>1</v>
      </c>
      <c r="AE67" s="37">
        <v>1</v>
      </c>
    </row>
    <row r="68" spans="11:31" ht="16.5" customHeight="1">
      <c r="K68" s="10">
        <v>64</v>
      </c>
      <c r="L68" s="19" t="s">
        <v>68</v>
      </c>
      <c r="M68" s="19" t="s">
        <v>64</v>
      </c>
      <c r="N68" s="19" t="s">
        <v>65</v>
      </c>
      <c r="O68" s="19" t="s">
        <v>65</v>
      </c>
      <c r="P68" s="19" t="s">
        <v>66</v>
      </c>
      <c r="Q68" s="19" t="s">
        <v>64</v>
      </c>
      <c r="S68" s="10">
        <v>2</v>
      </c>
      <c r="T68" s="10">
        <v>8</v>
      </c>
      <c r="U68" s="10">
        <v>10</v>
      </c>
      <c r="V68" s="10">
        <v>10</v>
      </c>
      <c r="W68" s="10">
        <v>7</v>
      </c>
      <c r="X68" s="10">
        <v>8</v>
      </c>
      <c r="Z68" s="37">
        <v>1</v>
      </c>
      <c r="AA68" s="37">
        <v>1</v>
      </c>
      <c r="AB68" s="37">
        <v>1</v>
      </c>
      <c r="AC68" s="37">
        <v>1</v>
      </c>
      <c r="AD68" s="37">
        <v>1</v>
      </c>
      <c r="AE68" s="37">
        <v>1</v>
      </c>
    </row>
    <row r="69" spans="11:31" ht="16.5" customHeight="1">
      <c r="K69" s="10">
        <v>65</v>
      </c>
      <c r="L69" s="19" t="s">
        <v>67</v>
      </c>
      <c r="M69" s="19" t="s">
        <v>64</v>
      </c>
      <c r="N69" s="19" t="s">
        <v>64</v>
      </c>
      <c r="O69" s="19" t="s">
        <v>65</v>
      </c>
      <c r="P69" s="19" t="s">
        <v>66</v>
      </c>
      <c r="Q69" s="19" t="s">
        <v>68</v>
      </c>
      <c r="S69" s="10">
        <v>11</v>
      </c>
      <c r="T69" s="10">
        <v>8</v>
      </c>
      <c r="U69" s="10">
        <v>8</v>
      </c>
      <c r="V69" s="10">
        <v>10</v>
      </c>
      <c r="W69" s="10">
        <v>7</v>
      </c>
      <c r="X69" s="10">
        <v>2</v>
      </c>
      <c r="Z69" s="37">
        <v>1</v>
      </c>
      <c r="AA69" s="37">
        <v>1</v>
      </c>
      <c r="AB69" s="37">
        <v>1</v>
      </c>
      <c r="AC69" s="37">
        <v>1</v>
      </c>
      <c r="AD69" s="37">
        <v>1</v>
      </c>
      <c r="AE69" s="37">
        <v>1</v>
      </c>
    </row>
    <row r="70" spans="11:31" ht="16.5" customHeight="1">
      <c r="K70" s="10">
        <v>66</v>
      </c>
      <c r="L70" s="19" t="s">
        <v>67</v>
      </c>
      <c r="M70" s="19" t="s">
        <v>67</v>
      </c>
      <c r="N70" s="19" t="s">
        <v>64</v>
      </c>
      <c r="O70" s="19" t="s">
        <v>67</v>
      </c>
      <c r="P70" s="19" t="s">
        <v>64</v>
      </c>
      <c r="Q70" s="19" t="s">
        <v>66</v>
      </c>
      <c r="S70" s="10">
        <v>11</v>
      </c>
      <c r="T70" s="10">
        <v>11</v>
      </c>
      <c r="U70" s="10">
        <v>8</v>
      </c>
      <c r="V70" s="10">
        <v>11</v>
      </c>
      <c r="W70" s="10">
        <v>8</v>
      </c>
      <c r="X70" s="10">
        <v>7</v>
      </c>
      <c r="Z70" s="37">
        <v>1</v>
      </c>
      <c r="AA70" s="37">
        <v>1</v>
      </c>
      <c r="AB70" s="37">
        <v>1</v>
      </c>
      <c r="AC70" s="37">
        <v>1</v>
      </c>
      <c r="AD70" s="37">
        <v>1</v>
      </c>
      <c r="AE70" s="37">
        <v>1</v>
      </c>
    </row>
    <row r="71" spans="11:31" ht="16.5" customHeight="1">
      <c r="K71" s="10">
        <v>67</v>
      </c>
      <c r="L71" s="19" t="s">
        <v>65</v>
      </c>
      <c r="M71" s="19" t="s">
        <v>67</v>
      </c>
      <c r="N71" s="19" t="s">
        <v>27</v>
      </c>
      <c r="O71" s="19" t="s">
        <v>67</v>
      </c>
      <c r="P71" s="19" t="s">
        <v>64</v>
      </c>
      <c r="Q71" s="19" t="s">
        <v>66</v>
      </c>
      <c r="S71" s="10">
        <v>10</v>
      </c>
      <c r="T71" s="10">
        <v>11</v>
      </c>
      <c r="U71" s="10">
        <v>4</v>
      </c>
      <c r="V71" s="10">
        <v>11</v>
      </c>
      <c r="W71" s="10">
        <v>8</v>
      </c>
      <c r="X71" s="10">
        <v>7</v>
      </c>
      <c r="Z71" s="37">
        <v>1</v>
      </c>
      <c r="AA71" s="37">
        <v>1</v>
      </c>
      <c r="AB71" s="37">
        <v>1</v>
      </c>
      <c r="AC71" s="37">
        <v>1</v>
      </c>
      <c r="AD71" s="37">
        <v>1</v>
      </c>
      <c r="AE71" s="37">
        <v>1</v>
      </c>
    </row>
    <row r="72" spans="11:31" ht="16.5" customHeight="1">
      <c r="K72" s="10">
        <v>68</v>
      </c>
      <c r="L72" s="19" t="s">
        <v>65</v>
      </c>
      <c r="M72" s="19" t="s">
        <v>23</v>
      </c>
      <c r="N72" s="19" t="s">
        <v>27</v>
      </c>
      <c r="O72" s="19" t="s">
        <v>65</v>
      </c>
      <c r="P72" s="19" t="s">
        <v>26</v>
      </c>
      <c r="Q72" s="19" t="s">
        <v>67</v>
      </c>
      <c r="S72" s="10">
        <v>10</v>
      </c>
      <c r="T72" s="10">
        <v>6</v>
      </c>
      <c r="U72" s="10">
        <v>4</v>
      </c>
      <c r="V72" s="10">
        <v>10</v>
      </c>
      <c r="W72" s="10">
        <v>3</v>
      </c>
      <c r="X72" s="10">
        <v>11</v>
      </c>
      <c r="Z72" s="37">
        <v>1</v>
      </c>
      <c r="AA72" s="37">
        <v>1</v>
      </c>
      <c r="AB72" s="37">
        <v>1</v>
      </c>
      <c r="AC72" s="37">
        <v>1</v>
      </c>
      <c r="AD72" s="37">
        <v>1</v>
      </c>
      <c r="AE72" s="37">
        <v>1</v>
      </c>
    </row>
    <row r="73" spans="11:31" ht="16.5" customHeight="1">
      <c r="K73" s="10">
        <v>69</v>
      </c>
      <c r="L73" s="19" t="s">
        <v>67</v>
      </c>
      <c r="M73" s="19" t="s">
        <v>23</v>
      </c>
      <c r="N73" s="19" t="s">
        <v>26</v>
      </c>
      <c r="O73" s="19" t="s">
        <v>65</v>
      </c>
      <c r="P73" s="19" t="s">
        <v>26</v>
      </c>
      <c r="Q73" s="19" t="s">
        <v>67</v>
      </c>
      <c r="S73" s="10">
        <v>11</v>
      </c>
      <c r="T73" s="10">
        <v>6</v>
      </c>
      <c r="U73" s="10">
        <v>3</v>
      </c>
      <c r="V73" s="10">
        <v>10</v>
      </c>
      <c r="W73" s="10">
        <v>3</v>
      </c>
      <c r="X73" s="10">
        <v>11</v>
      </c>
      <c r="Z73" s="37">
        <v>1</v>
      </c>
      <c r="AA73" s="37">
        <v>1</v>
      </c>
      <c r="AB73" s="37">
        <v>1</v>
      </c>
      <c r="AC73" s="37">
        <v>1</v>
      </c>
      <c r="AD73" s="37">
        <v>1</v>
      </c>
      <c r="AE73" s="37">
        <v>1</v>
      </c>
    </row>
    <row r="74" spans="11:31" ht="16.5" customHeight="1">
      <c r="K74" s="10">
        <v>70</v>
      </c>
      <c r="L74" s="19" t="s">
        <v>67</v>
      </c>
      <c r="M74" s="19" t="s">
        <v>64</v>
      </c>
      <c r="N74" s="19" t="s">
        <v>26</v>
      </c>
      <c r="O74" s="19" t="s">
        <v>68</v>
      </c>
      <c r="P74" s="19" t="s">
        <v>63</v>
      </c>
      <c r="Q74" s="19" t="s">
        <v>63</v>
      </c>
      <c r="S74" s="10">
        <v>11</v>
      </c>
      <c r="T74" s="10">
        <v>8</v>
      </c>
      <c r="U74" s="10">
        <v>3</v>
      </c>
      <c r="V74" s="10">
        <v>2</v>
      </c>
      <c r="W74" s="10">
        <v>9</v>
      </c>
      <c r="X74" s="10">
        <v>9</v>
      </c>
      <c r="Z74" s="37">
        <v>1</v>
      </c>
      <c r="AA74" s="37">
        <v>1</v>
      </c>
      <c r="AB74" s="37">
        <v>1</v>
      </c>
      <c r="AC74" s="37">
        <v>1</v>
      </c>
      <c r="AD74" s="37">
        <v>1</v>
      </c>
      <c r="AE74" s="37">
        <v>1</v>
      </c>
    </row>
    <row r="75" spans="11:31" ht="16.5" customHeight="1">
      <c r="K75" s="10">
        <v>71</v>
      </c>
      <c r="L75" s="19" t="s">
        <v>20</v>
      </c>
      <c r="M75" s="19" t="s">
        <v>64</v>
      </c>
      <c r="N75" s="19" t="s">
        <v>24</v>
      </c>
      <c r="O75" s="19" t="s">
        <v>68</v>
      </c>
      <c r="P75" s="19" t="s">
        <v>63</v>
      </c>
      <c r="Q75" s="19" t="s">
        <v>63</v>
      </c>
      <c r="S75" s="10">
        <v>0</v>
      </c>
      <c r="T75" s="10">
        <v>8</v>
      </c>
      <c r="U75" s="10">
        <v>1</v>
      </c>
      <c r="V75" s="10">
        <v>2</v>
      </c>
      <c r="W75" s="10">
        <v>9</v>
      </c>
      <c r="X75" s="10">
        <v>9</v>
      </c>
      <c r="Z75" s="37">
        <v>1</v>
      </c>
      <c r="AA75" s="37">
        <v>1</v>
      </c>
      <c r="AB75" s="37">
        <v>1</v>
      </c>
      <c r="AC75" s="37">
        <v>1</v>
      </c>
      <c r="AD75" s="37">
        <v>1</v>
      </c>
      <c r="AE75" s="37">
        <v>1</v>
      </c>
    </row>
    <row r="76" spans="11:31" ht="16.5" customHeight="1">
      <c r="K76" s="10">
        <v>72</v>
      </c>
      <c r="L76" s="19" t="s">
        <v>51</v>
      </c>
      <c r="M76" s="19" t="s">
        <v>63</v>
      </c>
      <c r="N76" s="19" t="s">
        <v>66</v>
      </c>
      <c r="O76" s="19" t="s">
        <v>65</v>
      </c>
      <c r="P76" s="19" t="s">
        <v>66</v>
      </c>
      <c r="Q76" s="19" t="s">
        <v>68</v>
      </c>
      <c r="S76" s="10">
        <v>10</v>
      </c>
      <c r="T76" s="10">
        <v>9</v>
      </c>
      <c r="U76" s="10">
        <v>7</v>
      </c>
      <c r="V76" s="10">
        <v>10</v>
      </c>
      <c r="W76" s="10">
        <v>7</v>
      </c>
      <c r="X76" s="10">
        <v>2</v>
      </c>
      <c r="Z76" s="37">
        <v>1</v>
      </c>
      <c r="AA76" s="37">
        <v>1</v>
      </c>
      <c r="AB76" s="37">
        <v>1</v>
      </c>
      <c r="AC76" s="37">
        <v>1</v>
      </c>
      <c r="AD76" s="37">
        <v>1</v>
      </c>
      <c r="AE76" s="37">
        <v>1</v>
      </c>
    </row>
    <row r="77" spans="11:31" ht="16.5" customHeight="1">
      <c r="K77" s="10">
        <v>73</v>
      </c>
      <c r="L77" s="19" t="s">
        <v>51</v>
      </c>
      <c r="M77" s="19" t="s">
        <v>63</v>
      </c>
      <c r="N77" s="19" t="s">
        <v>66</v>
      </c>
      <c r="O77" s="19" t="s">
        <v>65</v>
      </c>
      <c r="P77" s="19" t="s">
        <v>66</v>
      </c>
      <c r="Q77" s="19" t="s">
        <v>68</v>
      </c>
      <c r="S77" s="10">
        <v>10</v>
      </c>
      <c r="T77" s="10">
        <v>9</v>
      </c>
      <c r="U77" s="10">
        <v>7</v>
      </c>
      <c r="V77" s="10">
        <v>10</v>
      </c>
      <c r="W77" s="10">
        <v>7</v>
      </c>
      <c r="X77" s="10">
        <v>2</v>
      </c>
      <c r="Z77" s="37">
        <v>1</v>
      </c>
      <c r="AA77" s="37">
        <v>1</v>
      </c>
      <c r="AB77" s="37">
        <v>1</v>
      </c>
      <c r="AC77" s="37">
        <v>1</v>
      </c>
      <c r="AD77" s="37">
        <v>1</v>
      </c>
      <c r="AE77" s="37">
        <v>1</v>
      </c>
    </row>
    <row r="78" spans="11:31" ht="16.5" customHeight="1">
      <c r="K78" s="10">
        <v>74</v>
      </c>
      <c r="L78" s="19" t="s">
        <v>22</v>
      </c>
      <c r="M78" s="19" t="s">
        <v>67</v>
      </c>
      <c r="N78" s="19" t="s">
        <v>65</v>
      </c>
      <c r="O78" s="19" t="s">
        <v>67</v>
      </c>
      <c r="P78" s="19" t="s">
        <v>63</v>
      </c>
      <c r="Q78" s="19" t="s">
        <v>64</v>
      </c>
      <c r="S78" s="10">
        <v>5</v>
      </c>
      <c r="T78" s="10">
        <v>11</v>
      </c>
      <c r="U78" s="10">
        <v>10</v>
      </c>
      <c r="V78" s="10">
        <v>11</v>
      </c>
      <c r="W78" s="10">
        <v>9</v>
      </c>
      <c r="X78" s="10">
        <v>8</v>
      </c>
      <c r="Z78" s="37">
        <v>1</v>
      </c>
      <c r="AA78" s="37">
        <v>1</v>
      </c>
      <c r="AB78" s="37">
        <v>1</v>
      </c>
      <c r="AC78" s="37">
        <v>1</v>
      </c>
      <c r="AD78" s="37">
        <v>1</v>
      </c>
      <c r="AE78" s="37">
        <v>1</v>
      </c>
    </row>
    <row r="79" spans="11:31" ht="16.5" customHeight="1">
      <c r="K79" s="10">
        <v>75</v>
      </c>
      <c r="L79" s="19" t="s">
        <v>22</v>
      </c>
      <c r="M79" s="19" t="s">
        <v>67</v>
      </c>
      <c r="N79" s="19" t="s">
        <v>65</v>
      </c>
      <c r="O79" s="19" t="s">
        <v>67</v>
      </c>
      <c r="P79" s="19" t="s">
        <v>63</v>
      </c>
      <c r="Q79" s="19" t="s">
        <v>64</v>
      </c>
      <c r="S79" s="10">
        <v>5</v>
      </c>
      <c r="T79" s="10">
        <v>11</v>
      </c>
      <c r="U79" s="10">
        <v>10</v>
      </c>
      <c r="V79" s="10">
        <v>11</v>
      </c>
      <c r="W79" s="10">
        <v>9</v>
      </c>
      <c r="X79" s="10">
        <v>8</v>
      </c>
      <c r="Z79" s="37">
        <v>1</v>
      </c>
      <c r="AA79" s="37">
        <v>1</v>
      </c>
      <c r="AB79" s="37">
        <v>1</v>
      </c>
      <c r="AC79" s="37">
        <v>1</v>
      </c>
      <c r="AD79" s="37">
        <v>1</v>
      </c>
      <c r="AE79" s="37">
        <v>1</v>
      </c>
    </row>
    <row r="80" spans="11:31">
      <c r="K80" s="10">
        <v>76</v>
      </c>
      <c r="L80" s="19" t="s">
        <v>65</v>
      </c>
      <c r="M80" s="19" t="s">
        <v>64</v>
      </c>
      <c r="N80" s="19" t="s">
        <v>64</v>
      </c>
      <c r="O80" s="19" t="s">
        <v>22</v>
      </c>
      <c r="P80" s="19" t="s">
        <v>66</v>
      </c>
      <c r="Q80" s="19" t="s">
        <v>27</v>
      </c>
      <c r="S80" s="10">
        <v>10</v>
      </c>
      <c r="T80" s="10">
        <v>8</v>
      </c>
      <c r="U80" s="10">
        <v>8</v>
      </c>
      <c r="V80" s="10">
        <v>5</v>
      </c>
      <c r="W80" s="10">
        <v>7</v>
      </c>
      <c r="X80" s="10">
        <v>4</v>
      </c>
      <c r="Z80" s="37">
        <v>1</v>
      </c>
      <c r="AA80" s="37">
        <v>1</v>
      </c>
      <c r="AB80" s="37">
        <v>1</v>
      </c>
      <c r="AC80" s="37">
        <v>1</v>
      </c>
      <c r="AD80" s="37">
        <v>1</v>
      </c>
      <c r="AE80" s="37">
        <v>1</v>
      </c>
    </row>
    <row r="81" spans="11:31">
      <c r="K81" s="10">
        <v>77</v>
      </c>
      <c r="L81" s="19" t="s">
        <v>65</v>
      </c>
      <c r="M81" s="19" t="s">
        <v>64</v>
      </c>
      <c r="N81" s="19" t="s">
        <v>64</v>
      </c>
      <c r="O81" s="19" t="s">
        <v>22</v>
      </c>
      <c r="P81" s="19" t="s">
        <v>66</v>
      </c>
      <c r="Q81" s="19" t="s">
        <v>27</v>
      </c>
      <c r="S81" s="10">
        <v>10</v>
      </c>
      <c r="T81" s="10">
        <v>8</v>
      </c>
      <c r="U81" s="10">
        <v>8</v>
      </c>
      <c r="V81" s="10">
        <v>5</v>
      </c>
      <c r="W81" s="10">
        <v>7</v>
      </c>
      <c r="X81" s="10">
        <v>4</v>
      </c>
      <c r="Z81" s="37">
        <v>1</v>
      </c>
      <c r="AA81" s="37">
        <v>1</v>
      </c>
      <c r="AB81" s="37">
        <v>1</v>
      </c>
      <c r="AC81" s="37">
        <v>1</v>
      </c>
      <c r="AD81" s="37">
        <v>1</v>
      </c>
      <c r="AE81" s="37">
        <v>1</v>
      </c>
    </row>
    <row r="82" spans="11:31">
      <c r="K82" s="10">
        <v>78</v>
      </c>
      <c r="L82" s="19" t="s">
        <v>49</v>
      </c>
      <c r="M82" s="19" t="s">
        <v>26</v>
      </c>
      <c r="N82" s="19" t="s">
        <v>66</v>
      </c>
      <c r="O82" s="19" t="s">
        <v>65</v>
      </c>
      <c r="P82" s="19" t="s">
        <v>26</v>
      </c>
      <c r="Q82" s="19" t="s">
        <v>64</v>
      </c>
      <c r="S82" s="10">
        <v>8</v>
      </c>
      <c r="T82" s="10">
        <v>3</v>
      </c>
      <c r="U82" s="10">
        <v>7</v>
      </c>
      <c r="V82" s="10">
        <v>10</v>
      </c>
      <c r="W82" s="10">
        <v>3</v>
      </c>
      <c r="X82" s="10">
        <v>8</v>
      </c>
      <c r="Z82" s="37">
        <v>1</v>
      </c>
      <c r="AA82" s="37">
        <v>1</v>
      </c>
      <c r="AB82" s="37">
        <v>1</v>
      </c>
      <c r="AC82" s="37">
        <v>1</v>
      </c>
      <c r="AD82" s="37">
        <v>1</v>
      </c>
      <c r="AE82" s="37">
        <v>1</v>
      </c>
    </row>
    <row r="83" spans="11:31">
      <c r="K83" s="10">
        <v>79</v>
      </c>
      <c r="L83" s="19" t="s">
        <v>49</v>
      </c>
      <c r="M83" s="19" t="s">
        <v>26</v>
      </c>
      <c r="N83" s="19" t="s">
        <v>66</v>
      </c>
      <c r="O83" s="19" t="s">
        <v>65</v>
      </c>
      <c r="P83" s="19" t="s">
        <v>26</v>
      </c>
      <c r="Q83" s="19" t="s">
        <v>64</v>
      </c>
      <c r="S83" s="10">
        <v>8</v>
      </c>
      <c r="T83" s="10">
        <v>3</v>
      </c>
      <c r="U83" s="10">
        <v>7</v>
      </c>
      <c r="V83" s="10">
        <v>10</v>
      </c>
      <c r="W83" s="10">
        <v>3</v>
      </c>
      <c r="X83" s="10">
        <v>8</v>
      </c>
      <c r="Z83" s="37">
        <v>1</v>
      </c>
      <c r="AA83" s="37">
        <v>1</v>
      </c>
      <c r="AB83" s="37">
        <v>1</v>
      </c>
      <c r="AC83" s="37">
        <v>1</v>
      </c>
      <c r="AD83" s="37">
        <v>1</v>
      </c>
      <c r="AE83" s="37">
        <v>1</v>
      </c>
    </row>
    <row r="84" spans="11:31">
      <c r="K84" s="10">
        <v>80</v>
      </c>
      <c r="L84" s="19" t="s">
        <v>67</v>
      </c>
      <c r="M84" s="19" t="s">
        <v>68</v>
      </c>
      <c r="N84" s="19" t="s">
        <v>64</v>
      </c>
      <c r="O84" s="19" t="s">
        <v>67</v>
      </c>
      <c r="P84" s="19" t="s">
        <v>63</v>
      </c>
      <c r="Q84" s="19" t="s">
        <v>63</v>
      </c>
      <c r="S84" s="10">
        <v>11</v>
      </c>
      <c r="T84" s="10">
        <v>2</v>
      </c>
      <c r="U84" s="10">
        <v>8</v>
      </c>
      <c r="V84" s="10">
        <v>11</v>
      </c>
      <c r="W84" s="10">
        <v>9</v>
      </c>
      <c r="X84" s="10">
        <v>9</v>
      </c>
      <c r="Z84" s="37">
        <v>1</v>
      </c>
      <c r="AA84" s="37">
        <v>1</v>
      </c>
      <c r="AB84" s="37">
        <v>1</v>
      </c>
      <c r="AC84" s="37">
        <v>1</v>
      </c>
      <c r="AD84" s="37">
        <v>1</v>
      </c>
      <c r="AE84" s="37">
        <v>1</v>
      </c>
    </row>
    <row r="85" spans="11:31">
      <c r="K85" s="10">
        <v>81</v>
      </c>
      <c r="L85" s="19" t="s">
        <v>67</v>
      </c>
      <c r="M85" s="19" t="s">
        <v>67</v>
      </c>
      <c r="N85" s="19" t="s">
        <v>64</v>
      </c>
      <c r="O85" s="19" t="s">
        <v>67</v>
      </c>
      <c r="P85" s="19" t="s">
        <v>63</v>
      </c>
      <c r="Q85" s="19" t="s">
        <v>63</v>
      </c>
      <c r="S85" s="10">
        <v>11</v>
      </c>
      <c r="T85" s="10">
        <v>11</v>
      </c>
      <c r="U85" s="10">
        <v>8</v>
      </c>
      <c r="V85" s="10">
        <v>11</v>
      </c>
      <c r="W85" s="10">
        <v>9</v>
      </c>
      <c r="X85" s="10">
        <v>9</v>
      </c>
      <c r="Z85" s="37">
        <v>1</v>
      </c>
      <c r="AA85" s="37">
        <v>1</v>
      </c>
      <c r="AB85" s="37">
        <v>1</v>
      </c>
      <c r="AC85" s="37">
        <v>1</v>
      </c>
      <c r="AD85" s="37">
        <v>1</v>
      </c>
      <c r="AE85" s="37">
        <v>1</v>
      </c>
    </row>
    <row r="86" spans="11:31">
      <c r="K86" s="10">
        <v>82</v>
      </c>
      <c r="L86" s="19" t="s">
        <v>63</v>
      </c>
      <c r="M86" s="19" t="s">
        <v>67</v>
      </c>
      <c r="N86" s="19" t="s">
        <v>65</v>
      </c>
      <c r="O86" s="19" t="s">
        <v>64</v>
      </c>
      <c r="P86" s="19" t="s">
        <v>65</v>
      </c>
      <c r="Q86" s="19" t="s">
        <v>22</v>
      </c>
      <c r="S86" s="10">
        <v>9</v>
      </c>
      <c r="T86" s="10">
        <v>11</v>
      </c>
      <c r="U86" s="10">
        <v>10</v>
      </c>
      <c r="V86" s="10">
        <v>8</v>
      </c>
      <c r="W86" s="10">
        <v>10</v>
      </c>
      <c r="X86" s="10">
        <v>5</v>
      </c>
      <c r="Z86" s="37">
        <v>1</v>
      </c>
      <c r="AA86" s="37">
        <v>1</v>
      </c>
      <c r="AB86" s="37">
        <v>1</v>
      </c>
      <c r="AC86" s="37">
        <v>1</v>
      </c>
      <c r="AD86" s="37">
        <v>1</v>
      </c>
      <c r="AE86" s="37">
        <v>1</v>
      </c>
    </row>
    <row r="87" spans="11:31">
      <c r="K87" s="10">
        <v>83</v>
      </c>
      <c r="L87" s="19" t="s">
        <v>63</v>
      </c>
      <c r="M87" s="19" t="s">
        <v>22</v>
      </c>
      <c r="N87" s="19" t="s">
        <v>65</v>
      </c>
      <c r="O87" s="19" t="s">
        <v>64</v>
      </c>
      <c r="P87" s="19" t="s">
        <v>65</v>
      </c>
      <c r="Q87" s="19" t="s">
        <v>22</v>
      </c>
      <c r="S87" s="10">
        <v>9</v>
      </c>
      <c r="T87" s="10">
        <v>5</v>
      </c>
      <c r="U87" s="10">
        <v>10</v>
      </c>
      <c r="V87" s="10">
        <v>8</v>
      </c>
      <c r="W87" s="10">
        <v>10</v>
      </c>
      <c r="X87" s="10">
        <v>5</v>
      </c>
      <c r="Z87" s="37">
        <v>1</v>
      </c>
      <c r="AA87" s="37">
        <v>1</v>
      </c>
      <c r="AB87" s="37">
        <v>1</v>
      </c>
      <c r="AC87" s="37">
        <v>1</v>
      </c>
      <c r="AD87" s="37">
        <v>1</v>
      </c>
      <c r="AE87" s="37">
        <v>1</v>
      </c>
    </row>
    <row r="88" spans="11:31">
      <c r="K88" s="10">
        <v>84</v>
      </c>
      <c r="L88" s="19" t="s">
        <v>65</v>
      </c>
      <c r="M88" s="19" t="s">
        <v>22</v>
      </c>
      <c r="N88" s="19" t="s">
        <v>66</v>
      </c>
      <c r="O88" s="19" t="s">
        <v>65</v>
      </c>
      <c r="P88" s="19" t="s">
        <v>63</v>
      </c>
      <c r="Q88" s="19" t="s">
        <v>27</v>
      </c>
      <c r="S88" s="10">
        <v>10</v>
      </c>
      <c r="T88" s="10">
        <v>5</v>
      </c>
      <c r="U88" s="10">
        <v>7</v>
      </c>
      <c r="V88" s="10">
        <v>10</v>
      </c>
      <c r="W88" s="10">
        <v>9</v>
      </c>
      <c r="X88" s="10">
        <v>4</v>
      </c>
      <c r="Z88" s="37">
        <v>1</v>
      </c>
      <c r="AA88" s="37">
        <v>1</v>
      </c>
      <c r="AB88" s="37">
        <v>1</v>
      </c>
      <c r="AC88" s="37">
        <v>1</v>
      </c>
      <c r="AD88" s="37">
        <v>1</v>
      </c>
      <c r="AE88" s="37">
        <v>1</v>
      </c>
    </row>
    <row r="89" spans="11:31">
      <c r="K89" s="10">
        <v>85</v>
      </c>
      <c r="L89" s="19" t="s">
        <v>65</v>
      </c>
      <c r="M89" s="19" t="s">
        <v>63</v>
      </c>
      <c r="N89" s="19" t="s">
        <v>66</v>
      </c>
      <c r="O89" s="19" t="s">
        <v>65</v>
      </c>
      <c r="P89" s="19" t="s">
        <v>63</v>
      </c>
      <c r="Q89" s="19" t="s">
        <v>27</v>
      </c>
      <c r="S89" s="10">
        <v>10</v>
      </c>
      <c r="T89" s="10">
        <v>9</v>
      </c>
      <c r="U89" s="10">
        <v>7</v>
      </c>
      <c r="V89" s="10">
        <v>10</v>
      </c>
      <c r="W89" s="10">
        <v>9</v>
      </c>
      <c r="X89" s="10">
        <v>4</v>
      </c>
      <c r="Z89" s="37">
        <v>1</v>
      </c>
      <c r="AA89" s="37">
        <v>1</v>
      </c>
      <c r="AB89" s="37">
        <v>1</v>
      </c>
      <c r="AC89" s="37">
        <v>1</v>
      </c>
      <c r="AD89" s="37">
        <v>1</v>
      </c>
      <c r="AE89" s="37">
        <v>1</v>
      </c>
    </row>
    <row r="90" spans="11:31">
      <c r="K90" s="10">
        <v>86</v>
      </c>
      <c r="L90" s="19" t="s">
        <v>22</v>
      </c>
      <c r="M90" s="19" t="s">
        <v>63</v>
      </c>
      <c r="N90" s="19" t="s">
        <v>65</v>
      </c>
      <c r="O90" s="19" t="s">
        <v>67</v>
      </c>
      <c r="P90" s="19" t="s">
        <v>66</v>
      </c>
      <c r="Q90" s="19" t="s">
        <v>67</v>
      </c>
      <c r="S90" s="10">
        <v>5</v>
      </c>
      <c r="T90" s="10">
        <v>9</v>
      </c>
      <c r="U90" s="10">
        <v>10</v>
      </c>
      <c r="V90" s="10">
        <v>11</v>
      </c>
      <c r="W90" s="10">
        <v>7</v>
      </c>
      <c r="X90" s="10">
        <v>11</v>
      </c>
      <c r="Z90" s="37">
        <v>1</v>
      </c>
      <c r="AA90" s="37">
        <v>1</v>
      </c>
      <c r="AB90" s="37">
        <v>1</v>
      </c>
      <c r="AC90" s="37">
        <v>1</v>
      </c>
      <c r="AD90" s="37">
        <v>1</v>
      </c>
      <c r="AE90" s="37">
        <v>1</v>
      </c>
    </row>
    <row r="91" spans="11:31">
      <c r="K91" s="10">
        <v>87</v>
      </c>
      <c r="L91" s="19" t="s">
        <v>22</v>
      </c>
      <c r="M91" s="19" t="s">
        <v>67</v>
      </c>
      <c r="N91" s="19" t="s">
        <v>65</v>
      </c>
      <c r="O91" s="19" t="s">
        <v>67</v>
      </c>
      <c r="P91" s="19" t="s">
        <v>66</v>
      </c>
      <c r="Q91" s="19" t="s">
        <v>67</v>
      </c>
      <c r="S91" s="10">
        <v>5</v>
      </c>
      <c r="T91" s="10">
        <v>11</v>
      </c>
      <c r="U91" s="10">
        <v>10</v>
      </c>
      <c r="V91" s="10">
        <v>11</v>
      </c>
      <c r="W91" s="10">
        <v>7</v>
      </c>
      <c r="X91" s="10">
        <v>11</v>
      </c>
      <c r="Z91" s="37">
        <v>1</v>
      </c>
      <c r="AA91" s="37">
        <v>1</v>
      </c>
      <c r="AB91" s="37">
        <v>1</v>
      </c>
      <c r="AC91" s="37">
        <v>1</v>
      </c>
      <c r="AD91" s="37">
        <v>1</v>
      </c>
      <c r="AE91" s="37">
        <v>1</v>
      </c>
    </row>
    <row r="92" spans="11:31">
      <c r="K92" s="10">
        <v>88</v>
      </c>
      <c r="L92" s="19" t="s">
        <v>65</v>
      </c>
      <c r="M92" s="19" t="s">
        <v>67</v>
      </c>
      <c r="N92" s="19" t="s">
        <v>26</v>
      </c>
      <c r="O92" s="19" t="s">
        <v>66</v>
      </c>
      <c r="P92" s="19" t="s">
        <v>26</v>
      </c>
      <c r="Q92" s="19" t="s">
        <v>64</v>
      </c>
      <c r="S92" s="10">
        <v>10</v>
      </c>
      <c r="T92" s="10">
        <v>11</v>
      </c>
      <c r="U92" s="10">
        <v>3</v>
      </c>
      <c r="V92" s="10">
        <v>7</v>
      </c>
      <c r="W92" s="10">
        <v>3</v>
      </c>
      <c r="X92" s="10">
        <v>8</v>
      </c>
      <c r="Z92" s="37">
        <v>1</v>
      </c>
      <c r="AA92" s="37">
        <v>1</v>
      </c>
      <c r="AB92" s="37">
        <v>1</v>
      </c>
      <c r="AC92" s="37">
        <v>1</v>
      </c>
      <c r="AD92" s="37">
        <v>1</v>
      </c>
      <c r="AE92" s="37">
        <v>1</v>
      </c>
    </row>
    <row r="93" spans="11:31">
      <c r="K93" s="10">
        <v>89</v>
      </c>
      <c r="L93" s="19" t="s">
        <v>65</v>
      </c>
      <c r="M93" s="19" t="s">
        <v>23</v>
      </c>
      <c r="N93" s="19" t="s">
        <v>26</v>
      </c>
      <c r="O93" s="19" t="s">
        <v>66</v>
      </c>
      <c r="P93" s="19" t="s">
        <v>26</v>
      </c>
      <c r="Q93" s="19" t="s">
        <v>64</v>
      </c>
      <c r="S93" s="10">
        <v>10</v>
      </c>
      <c r="T93" s="10">
        <v>6</v>
      </c>
      <c r="U93" s="10">
        <v>3</v>
      </c>
      <c r="V93" s="10">
        <v>7</v>
      </c>
      <c r="W93" s="10">
        <v>3</v>
      </c>
      <c r="X93" s="10">
        <v>8</v>
      </c>
      <c r="Z93" s="37">
        <v>1</v>
      </c>
      <c r="AA93" s="37">
        <v>1</v>
      </c>
      <c r="AB93" s="37">
        <v>1</v>
      </c>
      <c r="AC93" s="37">
        <v>1</v>
      </c>
      <c r="AD93" s="37">
        <v>1</v>
      </c>
      <c r="AE93" s="37">
        <v>1</v>
      </c>
    </row>
    <row r="94" spans="11:31">
      <c r="K94" s="10">
        <v>90</v>
      </c>
      <c r="L94" s="19" t="s">
        <v>67</v>
      </c>
      <c r="M94" s="19" t="s">
        <v>23</v>
      </c>
      <c r="N94" s="19" t="s">
        <v>65</v>
      </c>
      <c r="O94" s="19" t="s">
        <v>67</v>
      </c>
      <c r="P94" s="19" t="s">
        <v>68</v>
      </c>
      <c r="Q94" s="19" t="s">
        <v>23</v>
      </c>
      <c r="S94" s="10">
        <v>11</v>
      </c>
      <c r="T94" s="10">
        <v>6</v>
      </c>
      <c r="U94" s="10">
        <v>10</v>
      </c>
      <c r="V94" s="10">
        <v>11</v>
      </c>
      <c r="W94" s="10">
        <v>2</v>
      </c>
      <c r="X94" s="10">
        <v>6</v>
      </c>
      <c r="Z94" s="37">
        <v>1</v>
      </c>
      <c r="AA94" s="37">
        <v>1</v>
      </c>
      <c r="AB94" s="37">
        <v>1</v>
      </c>
      <c r="AC94" s="37">
        <v>1</v>
      </c>
      <c r="AD94" s="37">
        <v>1</v>
      </c>
      <c r="AE94" s="37">
        <v>1</v>
      </c>
    </row>
    <row r="95" spans="11:31">
      <c r="K95" s="10">
        <v>91</v>
      </c>
      <c r="L95" s="19" t="s">
        <v>67</v>
      </c>
      <c r="M95" s="19" t="s">
        <v>20</v>
      </c>
      <c r="N95" s="19" t="s">
        <v>65</v>
      </c>
      <c r="O95" s="19" t="s">
        <v>67</v>
      </c>
      <c r="P95" s="19" t="s">
        <v>68</v>
      </c>
      <c r="Q95" s="19" t="s">
        <v>23</v>
      </c>
      <c r="S95" s="10">
        <v>11</v>
      </c>
      <c r="T95" s="10">
        <v>0</v>
      </c>
      <c r="U95" s="10">
        <v>10</v>
      </c>
      <c r="V95" s="10">
        <v>11</v>
      </c>
      <c r="W95" s="10">
        <v>2</v>
      </c>
      <c r="X95" s="10">
        <v>6</v>
      </c>
      <c r="Z95" s="37">
        <v>1</v>
      </c>
      <c r="AA95" s="37">
        <v>1</v>
      </c>
      <c r="AB95" s="37">
        <v>1</v>
      </c>
      <c r="AC95" s="37">
        <v>1</v>
      </c>
      <c r="AD95" s="37">
        <v>1</v>
      </c>
      <c r="AE95" s="37">
        <v>1</v>
      </c>
    </row>
    <row r="96" spans="11:31">
      <c r="K96" s="10">
        <v>92</v>
      </c>
      <c r="L96" s="19" t="s">
        <v>64</v>
      </c>
      <c r="M96" s="19" t="s">
        <v>64</v>
      </c>
      <c r="N96" s="19" t="s">
        <v>23</v>
      </c>
      <c r="O96" s="19" t="s">
        <v>65</v>
      </c>
      <c r="P96" s="19" t="s">
        <v>65</v>
      </c>
      <c r="Q96" s="19" t="s">
        <v>65</v>
      </c>
      <c r="S96" s="10">
        <v>8</v>
      </c>
      <c r="T96" s="10">
        <v>8</v>
      </c>
      <c r="U96" s="10">
        <v>6</v>
      </c>
      <c r="V96" s="10">
        <v>10</v>
      </c>
      <c r="W96" s="10">
        <v>10</v>
      </c>
      <c r="X96" s="10">
        <v>10</v>
      </c>
      <c r="Z96" s="37">
        <v>1</v>
      </c>
      <c r="AA96" s="37">
        <v>1</v>
      </c>
      <c r="AB96" s="37">
        <v>1</v>
      </c>
      <c r="AC96" s="37">
        <v>1</v>
      </c>
      <c r="AD96" s="37">
        <v>1</v>
      </c>
      <c r="AE96" s="37">
        <v>1</v>
      </c>
    </row>
    <row r="97" spans="11:31">
      <c r="K97" s="10">
        <v>93</v>
      </c>
      <c r="L97" s="19" t="s">
        <v>64</v>
      </c>
      <c r="M97" s="19" t="s">
        <v>64</v>
      </c>
      <c r="N97" s="19" t="s">
        <v>23</v>
      </c>
      <c r="O97" s="19" t="s">
        <v>65</v>
      </c>
      <c r="P97" s="19" t="s">
        <v>65</v>
      </c>
      <c r="Q97" s="19" t="s">
        <v>65</v>
      </c>
      <c r="S97" s="10">
        <v>8</v>
      </c>
      <c r="T97" s="10">
        <v>8</v>
      </c>
      <c r="U97" s="10">
        <v>6</v>
      </c>
      <c r="V97" s="10">
        <v>10</v>
      </c>
      <c r="W97" s="10">
        <v>10</v>
      </c>
      <c r="X97" s="10">
        <v>10</v>
      </c>
      <c r="Z97" s="37">
        <v>1</v>
      </c>
      <c r="AA97" s="37">
        <v>1</v>
      </c>
      <c r="AB97" s="37">
        <v>1</v>
      </c>
      <c r="AC97" s="37">
        <v>1</v>
      </c>
      <c r="AD97" s="37">
        <v>1</v>
      </c>
      <c r="AE97" s="37">
        <v>1</v>
      </c>
    </row>
    <row r="98" spans="11:31">
      <c r="K98" s="10">
        <v>94</v>
      </c>
      <c r="L98" s="19" t="s">
        <v>26</v>
      </c>
      <c r="M98" s="19" t="s">
        <v>46</v>
      </c>
      <c r="N98" s="19" t="s">
        <v>65</v>
      </c>
      <c r="O98" s="19" t="s">
        <v>67</v>
      </c>
      <c r="P98" s="19" t="s">
        <v>67</v>
      </c>
      <c r="Q98" s="19" t="s">
        <v>63</v>
      </c>
      <c r="S98" s="10">
        <v>3</v>
      </c>
      <c r="T98" s="10">
        <v>5</v>
      </c>
      <c r="U98" s="10">
        <v>10</v>
      </c>
      <c r="V98" s="10">
        <v>11</v>
      </c>
      <c r="W98" s="10">
        <v>11</v>
      </c>
      <c r="X98" s="10">
        <v>9</v>
      </c>
      <c r="Z98" s="37">
        <v>1</v>
      </c>
      <c r="AA98" s="37">
        <v>1</v>
      </c>
      <c r="AB98" s="37">
        <v>1</v>
      </c>
      <c r="AC98" s="37">
        <v>1</v>
      </c>
      <c r="AD98" s="37">
        <v>1</v>
      </c>
      <c r="AE98" s="37">
        <v>1</v>
      </c>
    </row>
    <row r="99" spans="11:31">
      <c r="K99" s="10">
        <v>95</v>
      </c>
      <c r="L99" s="19" t="s">
        <v>26</v>
      </c>
      <c r="M99" s="19" t="s">
        <v>46</v>
      </c>
      <c r="N99" s="19" t="s">
        <v>65</v>
      </c>
      <c r="O99" s="19" t="s">
        <v>67</v>
      </c>
      <c r="P99" s="19" t="s">
        <v>67</v>
      </c>
      <c r="Q99" s="19" t="s">
        <v>63</v>
      </c>
      <c r="S99" s="10">
        <v>3</v>
      </c>
      <c r="T99" s="10">
        <v>5</v>
      </c>
      <c r="U99" s="10">
        <v>10</v>
      </c>
      <c r="V99" s="10">
        <v>11</v>
      </c>
      <c r="W99" s="10">
        <v>11</v>
      </c>
      <c r="X99" s="10">
        <v>9</v>
      </c>
      <c r="Z99" s="37">
        <v>1</v>
      </c>
      <c r="AA99" s="37">
        <v>1</v>
      </c>
      <c r="AB99" s="37">
        <v>1</v>
      </c>
      <c r="AC99" s="37">
        <v>1</v>
      </c>
      <c r="AD99" s="37">
        <v>1</v>
      </c>
      <c r="AE99" s="37">
        <v>1</v>
      </c>
    </row>
    <row r="100" spans="11:31">
      <c r="K100" s="10">
        <v>96</v>
      </c>
      <c r="L100" s="19" t="s">
        <v>65</v>
      </c>
      <c r="M100" s="19" t="s">
        <v>65</v>
      </c>
      <c r="N100" s="19" t="s">
        <v>66</v>
      </c>
      <c r="O100" s="19" t="s">
        <v>66</v>
      </c>
      <c r="P100" s="19" t="s">
        <v>22</v>
      </c>
      <c r="Q100" s="19" t="s">
        <v>67</v>
      </c>
      <c r="S100" s="10">
        <v>10</v>
      </c>
      <c r="T100" s="10">
        <v>10</v>
      </c>
      <c r="U100" s="10">
        <v>7</v>
      </c>
      <c r="V100" s="10">
        <v>7</v>
      </c>
      <c r="W100" s="10">
        <v>5</v>
      </c>
      <c r="X100" s="10">
        <v>11</v>
      </c>
      <c r="Z100" s="37">
        <v>1</v>
      </c>
      <c r="AA100" s="37">
        <v>1</v>
      </c>
      <c r="AB100" s="37">
        <v>1</v>
      </c>
      <c r="AC100" s="37">
        <v>1</v>
      </c>
      <c r="AD100" s="37">
        <v>1</v>
      </c>
      <c r="AE100" s="37">
        <v>1</v>
      </c>
    </row>
    <row r="101" spans="11:31">
      <c r="K101" s="10">
        <v>97</v>
      </c>
      <c r="L101" s="19" t="s">
        <v>65</v>
      </c>
      <c r="M101" s="19" t="s">
        <v>65</v>
      </c>
      <c r="N101" s="19" t="s">
        <v>66</v>
      </c>
      <c r="O101" s="19" t="s">
        <v>66</v>
      </c>
      <c r="P101" s="19" t="s">
        <v>22</v>
      </c>
      <c r="Q101" s="19" t="s">
        <v>67</v>
      </c>
      <c r="S101" s="10">
        <v>10</v>
      </c>
      <c r="T101" s="10">
        <v>10</v>
      </c>
      <c r="U101" s="10">
        <v>7</v>
      </c>
      <c r="V101" s="10">
        <v>7</v>
      </c>
      <c r="W101" s="10">
        <v>5</v>
      </c>
      <c r="X101" s="10">
        <v>11</v>
      </c>
      <c r="Z101" s="37">
        <v>1</v>
      </c>
      <c r="AA101" s="37">
        <v>1</v>
      </c>
      <c r="AB101" s="37">
        <v>1</v>
      </c>
      <c r="AC101" s="37">
        <v>1</v>
      </c>
      <c r="AD101" s="37">
        <v>1</v>
      </c>
      <c r="AE101" s="37">
        <v>1</v>
      </c>
    </row>
    <row r="102" spans="11:31">
      <c r="K102" s="10">
        <v>98</v>
      </c>
      <c r="L102" s="19" t="s">
        <v>67</v>
      </c>
      <c r="M102" s="19" t="s">
        <v>23</v>
      </c>
      <c r="N102" s="19" t="s">
        <v>67</v>
      </c>
      <c r="O102" s="19" t="s">
        <v>26</v>
      </c>
      <c r="P102" s="19" t="s">
        <v>66</v>
      </c>
      <c r="Q102" s="19" t="s">
        <v>20</v>
      </c>
      <c r="S102" s="10">
        <v>11</v>
      </c>
      <c r="T102" s="10">
        <v>6</v>
      </c>
      <c r="U102" s="10">
        <v>11</v>
      </c>
      <c r="V102" s="10">
        <v>3</v>
      </c>
      <c r="W102" s="10">
        <v>7</v>
      </c>
      <c r="X102" s="10">
        <v>0</v>
      </c>
      <c r="Z102" s="37">
        <v>1</v>
      </c>
      <c r="AA102" s="37">
        <v>1</v>
      </c>
      <c r="AB102" s="37">
        <v>1</v>
      </c>
      <c r="AC102" s="37">
        <v>1</v>
      </c>
      <c r="AD102" s="37">
        <v>1</v>
      </c>
      <c r="AE102" s="37">
        <v>1</v>
      </c>
    </row>
    <row r="103" spans="11:31">
      <c r="K103" s="10">
        <v>99</v>
      </c>
      <c r="L103" s="19" t="s">
        <v>67</v>
      </c>
      <c r="M103" s="19" t="s">
        <v>23</v>
      </c>
      <c r="N103" s="19" t="s">
        <v>67</v>
      </c>
      <c r="O103" s="19" t="s">
        <v>26</v>
      </c>
      <c r="P103" s="19" t="s">
        <v>66</v>
      </c>
      <c r="Q103" s="19" t="s">
        <v>20</v>
      </c>
      <c r="S103" s="10">
        <v>11</v>
      </c>
      <c r="T103" s="10">
        <v>6</v>
      </c>
      <c r="U103" s="10">
        <v>11</v>
      </c>
      <c r="V103" s="10">
        <v>3</v>
      </c>
      <c r="W103" s="10">
        <v>7</v>
      </c>
      <c r="X103" s="10">
        <v>0</v>
      </c>
      <c r="Z103" s="37">
        <v>1</v>
      </c>
      <c r="AA103" s="37">
        <v>1</v>
      </c>
      <c r="AB103" s="37">
        <v>1</v>
      </c>
      <c r="AC103" s="37">
        <v>1</v>
      </c>
      <c r="AD103" s="37">
        <v>1</v>
      </c>
      <c r="AE103" s="37">
        <v>1</v>
      </c>
    </row>
    <row r="104" spans="11:31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37"/>
      <c r="AA104" s="37"/>
      <c r="AB104" s="37"/>
      <c r="AC104" s="37"/>
      <c r="AD104" s="37"/>
      <c r="AE104" s="37"/>
    </row>
    <row r="105" spans="11:31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37"/>
      <c r="AA105" s="37"/>
      <c r="AB105" s="37"/>
      <c r="AC105" s="37"/>
      <c r="AD105" s="37"/>
      <c r="AE105" s="37"/>
    </row>
    <row r="106" spans="11:31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37"/>
      <c r="AA106" s="37"/>
      <c r="AB106" s="37"/>
      <c r="AC106" s="37"/>
      <c r="AD106" s="37"/>
      <c r="AE106" s="37"/>
    </row>
    <row r="107" spans="11:31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37"/>
      <c r="AA107" s="37"/>
      <c r="AB107" s="37"/>
      <c r="AC107" s="37"/>
      <c r="AD107" s="37"/>
      <c r="AE107" s="37"/>
    </row>
    <row r="108" spans="11:31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37"/>
      <c r="AA108" s="37"/>
      <c r="AB108" s="37"/>
      <c r="AC108" s="37"/>
      <c r="AD108" s="37"/>
      <c r="AE108" s="37"/>
    </row>
    <row r="109" spans="11:31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37"/>
      <c r="AA109" s="37"/>
      <c r="AB109" s="37"/>
      <c r="AC109" s="37"/>
      <c r="AD109" s="37"/>
      <c r="AE109" s="37"/>
    </row>
    <row r="110" spans="11:31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37"/>
      <c r="AA110" s="37"/>
      <c r="AB110" s="37"/>
      <c r="AC110" s="37"/>
      <c r="AD110" s="37"/>
      <c r="AE110" s="37"/>
    </row>
    <row r="111" spans="11:31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37"/>
      <c r="AA111" s="37"/>
      <c r="AB111" s="37"/>
      <c r="AC111" s="37"/>
      <c r="AD111" s="37"/>
      <c r="AE111" s="37"/>
    </row>
    <row r="112" spans="11:31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37"/>
      <c r="AA112" s="37"/>
      <c r="AB112" s="37"/>
      <c r="AC112" s="37"/>
      <c r="AD112" s="37"/>
      <c r="AE112" s="37"/>
    </row>
    <row r="113" spans="11:31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37"/>
      <c r="AA113" s="37"/>
      <c r="AB113" s="37"/>
      <c r="AC113" s="37"/>
      <c r="AD113" s="37"/>
      <c r="AE113" s="37"/>
    </row>
    <row r="114" spans="11:31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37"/>
      <c r="AA114" s="37"/>
      <c r="AB114" s="37"/>
      <c r="AC114" s="37"/>
      <c r="AD114" s="37"/>
      <c r="AE114" s="37"/>
    </row>
    <row r="115" spans="11:31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37"/>
      <c r="AA115" s="37"/>
      <c r="AB115" s="37"/>
      <c r="AC115" s="37"/>
      <c r="AD115" s="37"/>
      <c r="AE115" s="37"/>
    </row>
    <row r="116" spans="11:31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37"/>
      <c r="AA116" s="37"/>
      <c r="AB116" s="37"/>
      <c r="AC116" s="37"/>
      <c r="AD116" s="37"/>
      <c r="AE116" s="37"/>
    </row>
    <row r="117" spans="11:31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37"/>
      <c r="AA117" s="37"/>
      <c r="AB117" s="37"/>
      <c r="AC117" s="37"/>
      <c r="AD117" s="37"/>
      <c r="AE117" s="37"/>
    </row>
    <row r="118" spans="11:31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37"/>
      <c r="AA118" s="37"/>
      <c r="AB118" s="37"/>
      <c r="AC118" s="37"/>
      <c r="AD118" s="37"/>
      <c r="AE118" s="37"/>
    </row>
    <row r="119" spans="11:31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37"/>
      <c r="AA119" s="37"/>
      <c r="AB119" s="37"/>
      <c r="AC119" s="37"/>
      <c r="AD119" s="37"/>
      <c r="AE119" s="37"/>
    </row>
    <row r="120" spans="11:31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37"/>
      <c r="AA120" s="37"/>
      <c r="AB120" s="37"/>
      <c r="AC120" s="37"/>
      <c r="AD120" s="37"/>
      <c r="AE120" s="37"/>
    </row>
    <row r="121" spans="11:31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37"/>
      <c r="AA121" s="37"/>
      <c r="AB121" s="37"/>
      <c r="AC121" s="37"/>
      <c r="AD121" s="37"/>
      <c r="AE121" s="37"/>
    </row>
    <row r="122" spans="11:31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37"/>
      <c r="AA122" s="37"/>
      <c r="AB122" s="37"/>
      <c r="AC122" s="37"/>
      <c r="AD122" s="37"/>
      <c r="AE122" s="37"/>
    </row>
    <row r="123" spans="11:31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37"/>
      <c r="AA123" s="37"/>
      <c r="AB123" s="37"/>
      <c r="AC123" s="37"/>
      <c r="AD123" s="37"/>
      <c r="AE123" s="37"/>
    </row>
    <row r="124" spans="11:31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37"/>
      <c r="AA124" s="37"/>
      <c r="AB124" s="37"/>
      <c r="AC124" s="37"/>
      <c r="AD124" s="37"/>
      <c r="AE124" s="37"/>
    </row>
    <row r="125" spans="11:31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37"/>
      <c r="AA125" s="37"/>
      <c r="AB125" s="37"/>
      <c r="AC125" s="37"/>
      <c r="AD125" s="37"/>
      <c r="AE125" s="37"/>
    </row>
    <row r="126" spans="11:31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37"/>
      <c r="AA126" s="37"/>
      <c r="AB126" s="37"/>
      <c r="AC126" s="37"/>
      <c r="AD126" s="37"/>
      <c r="AE126" s="37"/>
    </row>
    <row r="127" spans="11:31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37"/>
      <c r="AA127" s="37"/>
      <c r="AB127" s="37"/>
      <c r="AC127" s="37"/>
      <c r="AD127" s="37"/>
      <c r="AE127" s="37"/>
    </row>
    <row r="128" spans="11:31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37"/>
      <c r="AA128" s="37"/>
      <c r="AB128" s="37"/>
      <c r="AC128" s="37"/>
      <c r="AD128" s="37"/>
      <c r="AE128" s="37"/>
    </row>
    <row r="129" spans="11:31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37"/>
      <c r="AA129" s="37"/>
      <c r="AB129" s="37"/>
      <c r="AC129" s="37"/>
      <c r="AD129" s="37"/>
      <c r="AE129" s="37"/>
    </row>
    <row r="130" spans="11:31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37"/>
      <c r="AA130" s="37"/>
      <c r="AB130" s="37"/>
      <c r="AC130" s="37"/>
      <c r="AD130" s="37"/>
      <c r="AE130" s="37"/>
    </row>
    <row r="131" spans="11:31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37"/>
      <c r="AA131" s="37"/>
      <c r="AB131" s="37"/>
      <c r="AC131" s="37"/>
      <c r="AD131" s="37"/>
      <c r="AE131" s="37"/>
    </row>
    <row r="132" spans="11:31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37"/>
      <c r="AA132" s="37"/>
      <c r="AB132" s="37"/>
      <c r="AC132" s="37"/>
      <c r="AD132" s="37"/>
      <c r="AE132" s="37"/>
    </row>
    <row r="133" spans="11:31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37"/>
      <c r="AA133" s="37"/>
      <c r="AB133" s="37"/>
      <c r="AC133" s="37"/>
      <c r="AD133" s="37"/>
      <c r="AE133" s="37"/>
    </row>
    <row r="134" spans="11:31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37"/>
      <c r="AA134" s="37"/>
      <c r="AB134" s="37"/>
      <c r="AC134" s="37"/>
      <c r="AD134" s="37"/>
      <c r="AE134" s="37"/>
    </row>
    <row r="135" spans="11:31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37"/>
      <c r="AA135" s="37"/>
      <c r="AB135" s="37"/>
      <c r="AC135" s="37"/>
      <c r="AD135" s="37"/>
      <c r="AE135" s="37"/>
    </row>
    <row r="136" spans="11:31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37"/>
      <c r="AA136" s="37"/>
      <c r="AB136" s="37"/>
      <c r="AC136" s="37"/>
      <c r="AD136" s="37"/>
      <c r="AE136" s="37"/>
    </row>
    <row r="137" spans="11:31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37"/>
      <c r="AA137" s="37"/>
      <c r="AB137" s="37"/>
      <c r="AC137" s="37"/>
      <c r="AD137" s="37"/>
      <c r="AE137" s="37"/>
    </row>
    <row r="138" spans="11:31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37"/>
      <c r="AA138" s="37"/>
      <c r="AB138" s="37"/>
      <c r="AC138" s="37"/>
      <c r="AD138" s="37"/>
      <c r="AE138" s="37"/>
    </row>
    <row r="139" spans="11:31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37"/>
      <c r="AA139" s="37"/>
      <c r="AB139" s="37"/>
      <c r="AC139" s="37"/>
      <c r="AD139" s="37"/>
      <c r="AE139" s="37"/>
    </row>
    <row r="140" spans="11:31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37"/>
      <c r="AA140" s="37"/>
      <c r="AB140" s="37"/>
      <c r="AC140" s="37"/>
      <c r="AD140" s="37"/>
      <c r="AE140" s="37"/>
    </row>
    <row r="141" spans="11:31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37"/>
      <c r="AA141" s="37"/>
      <c r="AB141" s="37"/>
      <c r="AC141" s="37"/>
      <c r="AD141" s="37"/>
      <c r="AE141" s="37"/>
    </row>
    <row r="142" spans="11:31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37"/>
      <c r="AA142" s="37"/>
      <c r="AB142" s="37"/>
      <c r="AC142" s="37"/>
      <c r="AD142" s="37"/>
      <c r="AE142" s="37"/>
    </row>
    <row r="143" spans="11:31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37"/>
      <c r="AA143" s="37"/>
      <c r="AB143" s="37"/>
      <c r="AC143" s="37"/>
      <c r="AD143" s="37"/>
      <c r="AE143" s="37"/>
    </row>
    <row r="144" spans="11:31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37"/>
      <c r="AA144" s="37"/>
      <c r="AB144" s="37"/>
      <c r="AC144" s="37"/>
      <c r="AD144" s="37"/>
      <c r="AE144" s="37"/>
    </row>
    <row r="145" spans="11:31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37"/>
      <c r="AA145" s="37"/>
      <c r="AB145" s="37"/>
      <c r="AC145" s="37"/>
      <c r="AD145" s="37"/>
      <c r="AE145" s="37"/>
    </row>
    <row r="146" spans="11:31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37"/>
      <c r="AA146" s="37"/>
      <c r="AB146" s="37"/>
      <c r="AC146" s="37"/>
      <c r="AD146" s="37"/>
      <c r="AE146" s="37"/>
    </row>
    <row r="147" spans="11:31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37"/>
      <c r="AA147" s="37"/>
      <c r="AB147" s="37"/>
      <c r="AC147" s="37"/>
      <c r="AD147" s="37"/>
      <c r="AE147" s="37"/>
    </row>
    <row r="148" spans="11:31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37"/>
      <c r="AA148" s="37"/>
      <c r="AB148" s="37"/>
      <c r="AC148" s="37"/>
      <c r="AD148" s="37"/>
      <c r="AE148" s="37"/>
    </row>
    <row r="149" spans="11:31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37"/>
      <c r="AA149" s="37"/>
      <c r="AB149" s="37"/>
      <c r="AC149" s="37"/>
      <c r="AD149" s="37"/>
      <c r="AE149" s="37"/>
    </row>
    <row r="150" spans="11:31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37"/>
      <c r="AA150" s="37"/>
      <c r="AB150" s="37"/>
      <c r="AC150" s="37"/>
      <c r="AD150" s="37"/>
      <c r="AE150" s="37"/>
    </row>
    <row r="151" spans="11:31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37"/>
      <c r="AA151" s="37"/>
      <c r="AB151" s="37"/>
      <c r="AC151" s="37"/>
      <c r="AD151" s="37"/>
      <c r="AE151" s="37"/>
    </row>
    <row r="152" spans="11:31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37"/>
      <c r="AA152" s="37"/>
      <c r="AB152" s="37"/>
      <c r="AC152" s="37"/>
      <c r="AD152" s="37"/>
      <c r="AE152" s="37"/>
    </row>
    <row r="153" spans="11:31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37"/>
      <c r="AA153" s="37"/>
      <c r="AB153" s="37"/>
      <c r="AC153" s="37"/>
      <c r="AD153" s="37"/>
      <c r="AE153" s="37"/>
    </row>
    <row r="154" spans="11:31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37"/>
      <c r="AA154" s="37"/>
      <c r="AB154" s="37"/>
      <c r="AC154" s="37"/>
      <c r="AD154" s="37"/>
      <c r="AE154" s="37"/>
    </row>
    <row r="155" spans="11:31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37"/>
      <c r="AA155" s="37"/>
      <c r="AB155" s="37"/>
      <c r="AC155" s="37"/>
      <c r="AD155" s="37"/>
      <c r="AE155" s="37"/>
    </row>
    <row r="156" spans="11:31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37"/>
      <c r="AA156" s="37"/>
      <c r="AB156" s="37"/>
      <c r="AC156" s="37"/>
      <c r="AD156" s="37"/>
      <c r="AE156" s="37"/>
    </row>
    <row r="157" spans="11:31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37"/>
      <c r="AA157" s="37"/>
      <c r="AB157" s="37"/>
      <c r="AC157" s="37"/>
      <c r="AD157" s="37"/>
      <c r="AE157" s="37"/>
    </row>
    <row r="158" spans="11:31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37"/>
      <c r="AA158" s="37"/>
      <c r="AB158" s="37"/>
      <c r="AC158" s="37"/>
      <c r="AD158" s="37"/>
      <c r="AE158" s="37"/>
    </row>
    <row r="159" spans="11:31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37"/>
      <c r="AA159" s="37"/>
      <c r="AB159" s="37"/>
      <c r="AC159" s="37"/>
      <c r="AD159" s="37"/>
      <c r="AE159" s="37"/>
    </row>
    <row r="160" spans="11:31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37"/>
      <c r="AA160" s="37"/>
      <c r="AB160" s="37"/>
      <c r="AC160" s="37"/>
      <c r="AD160" s="37"/>
      <c r="AE160" s="37"/>
    </row>
    <row r="161" spans="11:31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37"/>
      <c r="AA161" s="37"/>
      <c r="AB161" s="37"/>
      <c r="AC161" s="37"/>
      <c r="AD161" s="37"/>
      <c r="AE161" s="37"/>
    </row>
    <row r="162" spans="11:31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37"/>
      <c r="AA162" s="37"/>
      <c r="AB162" s="37"/>
      <c r="AC162" s="37"/>
      <c r="AD162" s="37"/>
      <c r="AE162" s="37"/>
    </row>
    <row r="163" spans="11:31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37"/>
      <c r="AA163" s="37"/>
      <c r="AB163" s="37"/>
      <c r="AC163" s="37"/>
      <c r="AD163" s="37"/>
      <c r="AE163" s="37"/>
    </row>
    <row r="164" spans="11:31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37"/>
      <c r="AA164" s="37"/>
      <c r="AB164" s="37"/>
      <c r="AC164" s="37"/>
      <c r="AD164" s="37"/>
      <c r="AE164" s="37"/>
    </row>
    <row r="165" spans="11:31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37"/>
      <c r="AA165" s="37"/>
      <c r="AB165" s="37"/>
      <c r="AC165" s="37"/>
      <c r="AD165" s="37"/>
      <c r="AE165" s="37"/>
    </row>
    <row r="166" spans="11:31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37"/>
      <c r="AA166" s="37"/>
      <c r="AB166" s="37"/>
      <c r="AC166" s="37"/>
      <c r="AD166" s="37"/>
      <c r="AE166" s="37"/>
    </row>
    <row r="167" spans="11:31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37"/>
      <c r="AA167" s="37"/>
      <c r="AB167" s="37"/>
      <c r="AC167" s="37"/>
      <c r="AD167" s="37"/>
      <c r="AE167" s="37"/>
    </row>
    <row r="168" spans="11:31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37"/>
      <c r="AA168" s="37"/>
      <c r="AB168" s="37"/>
      <c r="AC168" s="37"/>
      <c r="AD168" s="37"/>
      <c r="AE168" s="37"/>
    </row>
    <row r="169" spans="11:31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37"/>
      <c r="AA169" s="37"/>
      <c r="AB169" s="37"/>
      <c r="AC169" s="37"/>
      <c r="AD169" s="37"/>
      <c r="AE169" s="37"/>
    </row>
    <row r="170" spans="11:31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37"/>
      <c r="AA170" s="37"/>
      <c r="AB170" s="37"/>
      <c r="AC170" s="37"/>
      <c r="AD170" s="37"/>
      <c r="AE170" s="37"/>
    </row>
    <row r="171" spans="11:31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37"/>
      <c r="AA171" s="37"/>
      <c r="AB171" s="37"/>
      <c r="AC171" s="37"/>
      <c r="AD171" s="37"/>
      <c r="AE171" s="37"/>
    </row>
    <row r="172" spans="11:31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37"/>
      <c r="AA172" s="37"/>
      <c r="AB172" s="37"/>
      <c r="AC172" s="37"/>
      <c r="AD172" s="37"/>
      <c r="AE172" s="37"/>
    </row>
    <row r="173" spans="11:31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37"/>
      <c r="AA173" s="37"/>
      <c r="AB173" s="37"/>
      <c r="AC173" s="37"/>
      <c r="AD173" s="37"/>
      <c r="AE173" s="37"/>
    </row>
    <row r="174" spans="11:31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37"/>
      <c r="AA174" s="37"/>
      <c r="AB174" s="37"/>
      <c r="AC174" s="37"/>
      <c r="AD174" s="37"/>
      <c r="AE174" s="37"/>
    </row>
    <row r="175" spans="11:31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37"/>
      <c r="AA175" s="37"/>
      <c r="AB175" s="37"/>
      <c r="AC175" s="37"/>
      <c r="AD175" s="37"/>
      <c r="AE175" s="37"/>
    </row>
    <row r="176" spans="11:31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37"/>
      <c r="AA176" s="37"/>
      <c r="AB176" s="37"/>
      <c r="AC176" s="37"/>
      <c r="AD176" s="37"/>
      <c r="AE176" s="37"/>
    </row>
    <row r="177" spans="11:31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37"/>
      <c r="AA177" s="37"/>
      <c r="AB177" s="37"/>
      <c r="AC177" s="37"/>
      <c r="AD177" s="37"/>
      <c r="AE177" s="37"/>
    </row>
    <row r="178" spans="11:31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37"/>
      <c r="AA178" s="37"/>
      <c r="AB178" s="37"/>
      <c r="AC178" s="37"/>
      <c r="AD178" s="37"/>
      <c r="AE178" s="37"/>
    </row>
    <row r="179" spans="11:31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37"/>
      <c r="AA179" s="37"/>
      <c r="AB179" s="37"/>
      <c r="AC179" s="37"/>
      <c r="AD179" s="37"/>
      <c r="AE179" s="37"/>
    </row>
    <row r="180" spans="11:31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37"/>
      <c r="AA180" s="37"/>
      <c r="AB180" s="37"/>
      <c r="AC180" s="37"/>
      <c r="AD180" s="37"/>
      <c r="AE180" s="37"/>
    </row>
    <row r="181" spans="11:31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37"/>
      <c r="AA181" s="37"/>
      <c r="AB181" s="37"/>
      <c r="AC181" s="37"/>
      <c r="AD181" s="37"/>
      <c r="AE181" s="37"/>
    </row>
    <row r="182" spans="11:31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37"/>
      <c r="AA182" s="37"/>
      <c r="AB182" s="37"/>
      <c r="AC182" s="37"/>
      <c r="AD182" s="37"/>
      <c r="AE182" s="37"/>
    </row>
    <row r="183" spans="11:31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37"/>
      <c r="AA183" s="37"/>
      <c r="AB183" s="37"/>
      <c r="AC183" s="37"/>
      <c r="AD183" s="37"/>
      <c r="AE183" s="37"/>
    </row>
    <row r="184" spans="11:31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37"/>
      <c r="AA184" s="37"/>
      <c r="AB184" s="37"/>
      <c r="AC184" s="37"/>
      <c r="AD184" s="37"/>
      <c r="AE184" s="37"/>
    </row>
    <row r="185" spans="11:31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37"/>
      <c r="AA185" s="37"/>
      <c r="AB185" s="37"/>
      <c r="AC185" s="37"/>
      <c r="AD185" s="37"/>
      <c r="AE185" s="37"/>
    </row>
    <row r="186" spans="11:31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37"/>
      <c r="AA186" s="37"/>
      <c r="AB186" s="37"/>
      <c r="AC186" s="37"/>
      <c r="AD186" s="37"/>
      <c r="AE186" s="37"/>
    </row>
    <row r="187" spans="11:31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37"/>
      <c r="AA187" s="37"/>
      <c r="AB187" s="37"/>
      <c r="AC187" s="37"/>
      <c r="AD187" s="37"/>
      <c r="AE187" s="37"/>
    </row>
    <row r="188" spans="11:31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37"/>
      <c r="AA188" s="37"/>
      <c r="AB188" s="37"/>
      <c r="AC188" s="37"/>
      <c r="AD188" s="37"/>
      <c r="AE188" s="37"/>
    </row>
    <row r="189" spans="11:31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37"/>
      <c r="AA189" s="37"/>
      <c r="AB189" s="37"/>
      <c r="AC189" s="37"/>
      <c r="AD189" s="37"/>
      <c r="AE189" s="37"/>
    </row>
    <row r="190" spans="11:31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37"/>
      <c r="AA190" s="37"/>
      <c r="AB190" s="37"/>
      <c r="AC190" s="37"/>
      <c r="AD190" s="37"/>
      <c r="AE190" s="37"/>
    </row>
    <row r="191" spans="11:31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37"/>
      <c r="AA191" s="37"/>
      <c r="AB191" s="37"/>
      <c r="AC191" s="37"/>
      <c r="AD191" s="37"/>
      <c r="AE191" s="37"/>
    </row>
    <row r="192" spans="11:31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37"/>
      <c r="AA192" s="37"/>
      <c r="AB192" s="37"/>
      <c r="AC192" s="37"/>
      <c r="AD192" s="37"/>
      <c r="AE192" s="37"/>
    </row>
    <row r="193" spans="11:31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37"/>
      <c r="AA193" s="37"/>
      <c r="AB193" s="37"/>
      <c r="AC193" s="37"/>
      <c r="AD193" s="37"/>
      <c r="AE193" s="37"/>
    </row>
    <row r="194" spans="11:31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37"/>
      <c r="AA194" s="37"/>
      <c r="AB194" s="37"/>
      <c r="AC194" s="37"/>
      <c r="AD194" s="37"/>
      <c r="AE194" s="37"/>
    </row>
    <row r="195" spans="11:31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37"/>
      <c r="AA195" s="37"/>
      <c r="AB195" s="37"/>
      <c r="AC195" s="37"/>
      <c r="AD195" s="37"/>
      <c r="AE195" s="37"/>
    </row>
    <row r="196" spans="11:31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37"/>
      <c r="AA196" s="37"/>
      <c r="AB196" s="37"/>
      <c r="AC196" s="37"/>
      <c r="AD196" s="37"/>
      <c r="AE196" s="37"/>
    </row>
    <row r="197" spans="11:31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37"/>
      <c r="AA197" s="37"/>
      <c r="AB197" s="37"/>
      <c r="AC197" s="37"/>
      <c r="AD197" s="37"/>
      <c r="AE197" s="37"/>
    </row>
    <row r="198" spans="11:31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</row>
    <row r="199" spans="11:31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</row>
    <row r="200" spans="11:31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</row>
    <row r="201" spans="11:31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</row>
    <row r="202" spans="11:31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</row>
    <row r="203" spans="11:31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</row>
    <row r="204" spans="11:31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</row>
    <row r="205" spans="11:31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</row>
    <row r="206" spans="11:31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</row>
    <row r="207" spans="11:31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</row>
    <row r="208" spans="11:31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</row>
    <row r="209" spans="11:31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</row>
    <row r="210" spans="11:31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</row>
    <row r="211" spans="11:31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</row>
    <row r="212" spans="11:31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</row>
    <row r="213" spans="11:31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</row>
    <row r="214" spans="11:31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</row>
    <row r="215" spans="11:31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</row>
    <row r="216" spans="11:31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</row>
    <row r="217" spans="11:31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</row>
    <row r="218" spans="11:31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</row>
    <row r="219" spans="11:31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</row>
    <row r="220" spans="11:31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</row>
    <row r="221" spans="11:31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</row>
    <row r="222" spans="11:31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</row>
    <row r="223" spans="11:31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</row>
    <row r="224" spans="11:31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</row>
    <row r="225" spans="11:31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</row>
    <row r="226" spans="11:31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</row>
    <row r="227" spans="11:31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</row>
    <row r="228" spans="11:31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</row>
    <row r="229" spans="11:31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</row>
    <row r="230" spans="11:31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</row>
    <row r="231" spans="11:31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</row>
    <row r="232" spans="11:31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</row>
    <row r="233" spans="11:31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</row>
    <row r="234" spans="11:31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</row>
    <row r="235" spans="11:31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</row>
    <row r="236" spans="11:31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</row>
    <row r="237" spans="11:31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</row>
    <row r="238" spans="11:31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</row>
    <row r="239" spans="11:31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</row>
    <row r="240" spans="11:31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</row>
    <row r="241" spans="11:31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</row>
    <row r="242" spans="11:31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</row>
    <row r="243" spans="11:31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</row>
    <row r="244" spans="11:31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</row>
    <row r="245" spans="11:31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</row>
    <row r="246" spans="11:31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</row>
    <row r="247" spans="11:31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</row>
    <row r="248" spans="11:31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</row>
    <row r="249" spans="11:31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</row>
    <row r="250" spans="11:31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</row>
    <row r="251" spans="11:31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</row>
    <row r="252" spans="11:31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</row>
    <row r="253" spans="11:31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</row>
    <row r="254" spans="11:31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</row>
    <row r="255" spans="11:31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</row>
    <row r="256" spans="11:31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</row>
    <row r="257" spans="11:31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</row>
    <row r="258" spans="11:31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</row>
    <row r="259" spans="11:31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</row>
    <row r="260" spans="11:31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</row>
    <row r="261" spans="11:31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</row>
    <row r="262" spans="11:31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</row>
    <row r="263" spans="11:31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</row>
    <row r="264" spans="11:31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</row>
    <row r="265" spans="11:31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</row>
    <row r="266" spans="11:31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</row>
    <row r="267" spans="11:31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</row>
    <row r="268" spans="11:31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</row>
    <row r="269" spans="11:31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</row>
    <row r="270" spans="11:31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</row>
    <row r="271" spans="11:31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</row>
    <row r="272" spans="11:31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</row>
    <row r="273" spans="11:31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</row>
    <row r="274" spans="11:31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</row>
    <row r="275" spans="11:31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</row>
    <row r="276" spans="11:31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</row>
    <row r="277" spans="11:31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</row>
    <row r="278" spans="11:31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</row>
    <row r="279" spans="11:31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</row>
    <row r="280" spans="11:31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</row>
    <row r="281" spans="11:31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</row>
    <row r="282" spans="11:31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</row>
    <row r="283" spans="11:31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</row>
    <row r="284" spans="11:31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</row>
    <row r="285" spans="11:31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</row>
    <row r="286" spans="11:31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</row>
    <row r="287" spans="11:31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</row>
    <row r="288" spans="11:31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</row>
    <row r="289" spans="11:31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</row>
    <row r="290" spans="11:31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</row>
    <row r="291" spans="11:31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</row>
    <row r="292" spans="11:31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</row>
    <row r="293" spans="11:31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</row>
    <row r="294" spans="11:31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</row>
    <row r="295" spans="11:31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</row>
    <row r="296" spans="11:31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</row>
    <row r="297" spans="11:31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</row>
    <row r="298" spans="11:31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</row>
    <row r="299" spans="11:31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</row>
    <row r="300" spans="11:31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</row>
    <row r="301" spans="11:31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</row>
    <row r="302" spans="11:31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</row>
    <row r="303" spans="11:31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</row>
    <row r="304" spans="11:31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</row>
  </sheetData>
  <phoneticPr fontId="20" type="noConversion"/>
  <conditionalFormatting sqref="C19:H3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{FD50A846-283B-4601-84C0-34D61C8C0553}</x14:id>
        </ext>
      </extLst>
    </cfRule>
  </conditionalFormatting>
  <conditionalFormatting sqref="L1:M3 L198:M1048576 O198:Q1048576 O1:Q3">
    <cfRule type="cellIs" dxfId="57" priority="31" operator="equal">
      <formula>$A$10</formula>
    </cfRule>
    <cfRule type="cellIs" dxfId="56" priority="32" operator="equal">
      <formula>$A$9</formula>
    </cfRule>
    <cfRule type="cellIs" dxfId="55" priority="33" operator="equal">
      <formula>$A$8</formula>
    </cfRule>
    <cfRule type="cellIs" dxfId="54" priority="34" operator="equal">
      <formula>$A$7</formula>
    </cfRule>
    <cfRule type="cellIs" dxfId="53" priority="35" operator="equal">
      <formula>$A$6</formula>
    </cfRule>
    <cfRule type="cellIs" dxfId="52" priority="36" operator="equal">
      <formula>$A$5</formula>
    </cfRule>
    <cfRule type="cellIs" dxfId="51" priority="37" operator="equal">
      <formula>$A$4</formula>
    </cfRule>
  </conditionalFormatting>
  <conditionalFormatting sqref="L4:M197 O4:Q197">
    <cfRule type="cellIs" dxfId="50" priority="24" operator="equal">
      <formula>$A$10</formula>
    </cfRule>
    <cfRule type="cellIs" dxfId="49" priority="25" operator="equal">
      <formula>$A$9</formula>
    </cfRule>
    <cfRule type="cellIs" dxfId="48" priority="26" operator="equal">
      <formula>$A$8</formula>
    </cfRule>
    <cfRule type="cellIs" dxfId="47" priority="27" operator="equal">
      <formula>$A$7</formula>
    </cfRule>
    <cfRule type="cellIs" dxfId="46" priority="28" operator="equal">
      <formula>$A$6</formula>
    </cfRule>
    <cfRule type="cellIs" dxfId="45" priority="29" operator="equal">
      <formula>$A$5</formula>
    </cfRule>
    <cfRule type="cellIs" dxfId="44" priority="30" operator="equal">
      <formula>$A$4</formula>
    </cfRule>
  </conditionalFormatting>
  <conditionalFormatting sqref="AD1">
    <cfRule type="cellIs" dxfId="43" priority="17" operator="equal">
      <formula>$A$10</formula>
    </cfRule>
    <cfRule type="cellIs" dxfId="42" priority="18" operator="equal">
      <formula>$A$9</formula>
    </cfRule>
    <cfRule type="cellIs" dxfId="41" priority="19" operator="equal">
      <formula>$A$8</formula>
    </cfRule>
    <cfRule type="cellIs" dxfId="40" priority="20" operator="equal">
      <formula>$A$7</formula>
    </cfRule>
    <cfRule type="cellIs" dxfId="39" priority="21" operator="equal">
      <formula>$A$6</formula>
    </cfRule>
    <cfRule type="cellIs" dxfId="38" priority="22" operator="equal">
      <formula>$A$5</formula>
    </cfRule>
    <cfRule type="cellIs" dxfId="37" priority="23" operator="equal">
      <formula>$A$4</formula>
    </cfRule>
  </conditionalFormatting>
  <conditionalFormatting sqref="N1:N3 N198:N1048576">
    <cfRule type="cellIs" dxfId="36" priority="9" operator="equal">
      <formula>$A$10</formula>
    </cfRule>
    <cfRule type="cellIs" dxfId="35" priority="10" operator="equal">
      <formula>$A$9</formula>
    </cfRule>
    <cfRule type="cellIs" dxfId="34" priority="11" operator="equal">
      <formula>$A$8</formula>
    </cfRule>
    <cfRule type="cellIs" dxfId="33" priority="12" operator="equal">
      <formula>$A$7</formula>
    </cfRule>
    <cfRule type="cellIs" dxfId="32" priority="13" operator="equal">
      <formula>$A$6</formula>
    </cfRule>
    <cfRule type="cellIs" dxfId="31" priority="14" operator="equal">
      <formula>$A$5</formula>
    </cfRule>
    <cfRule type="cellIs" dxfId="30" priority="15" operator="equal">
      <formula>$A$4</formula>
    </cfRule>
  </conditionalFormatting>
  <conditionalFormatting sqref="N4:N197">
    <cfRule type="cellIs" dxfId="29" priority="2" operator="equal">
      <formula>$A$10</formula>
    </cfRule>
    <cfRule type="cellIs" dxfId="28" priority="3" operator="equal">
      <formula>$A$9</formula>
    </cfRule>
    <cfRule type="cellIs" dxfId="27" priority="4" operator="equal">
      <formula>$A$8</formula>
    </cfRule>
    <cfRule type="cellIs" dxfId="26" priority="5" operator="equal">
      <formula>$A$7</formula>
    </cfRule>
    <cfRule type="cellIs" dxfId="25" priority="6" operator="equal">
      <formula>$A$6</formula>
    </cfRule>
    <cfRule type="cellIs" dxfId="24" priority="7" operator="equal">
      <formula>$A$5</formula>
    </cfRule>
    <cfRule type="cellIs" dxfId="23" priority="8" operator="equal">
      <formula>$A$4</formula>
    </cfRule>
  </conditionalFormatting>
  <conditionalFormatting sqref="Z4:AE103">
    <cfRule type="expression" dxfId="22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50A846-283B-4601-84C0-34D61C8C05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C51D-71E0-4531-A867-2759B40699D4}">
  <sheetPr codeName="工作表18">
    <tabColor theme="3" tint="0.59999389629810485"/>
  </sheetPr>
  <dimension ref="A1:AF304"/>
  <sheetViews>
    <sheetView workbookViewId="0">
      <selection activeCell="Z4" sqref="Z4"/>
    </sheetView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32" width="4.109375" style="5" customWidth="1"/>
    <col min="33" max="16384" width="9" style="5"/>
  </cols>
  <sheetData>
    <row r="1" spans="1:32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2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57</v>
      </c>
      <c r="AA2" s="5"/>
      <c r="AB2" s="5"/>
      <c r="AC2" s="5"/>
      <c r="AD2" s="5"/>
      <c r="AE2" s="5"/>
      <c r="AF2" s="5"/>
    </row>
    <row r="3" spans="1:32" ht="15.9" customHeight="1">
      <c r="A3" s="86" t="s">
        <v>5</v>
      </c>
      <c r="B3" s="86" t="s">
        <v>13</v>
      </c>
      <c r="C3" s="86" t="s">
        <v>7</v>
      </c>
      <c r="D3" s="86" t="s">
        <v>8</v>
      </c>
      <c r="E3" s="86" t="s">
        <v>9</v>
      </c>
      <c r="F3" s="86" t="s">
        <v>10</v>
      </c>
      <c r="G3" s="86" t="s">
        <v>11</v>
      </c>
      <c r="H3" s="86" t="s">
        <v>41</v>
      </c>
      <c r="I3" s="86" t="s">
        <v>12</v>
      </c>
      <c r="J3" s="17"/>
      <c r="K3" s="29" t="s">
        <v>14</v>
      </c>
      <c r="L3" s="86" t="s">
        <v>15</v>
      </c>
      <c r="M3" s="86" t="s">
        <v>16</v>
      </c>
      <c r="N3" s="86" t="s">
        <v>17</v>
      </c>
      <c r="O3" s="86" t="s">
        <v>18</v>
      </c>
      <c r="P3" s="86" t="s">
        <v>19</v>
      </c>
      <c r="Q3" s="86" t="s">
        <v>29</v>
      </c>
      <c r="S3" s="29" t="s">
        <v>15</v>
      </c>
      <c r="T3" s="29" t="s">
        <v>16</v>
      </c>
      <c r="U3" s="29" t="s">
        <v>17</v>
      </c>
      <c r="V3" s="29" t="s">
        <v>18</v>
      </c>
      <c r="W3" s="29" t="s">
        <v>19</v>
      </c>
      <c r="X3" s="29" t="s">
        <v>29</v>
      </c>
      <c r="Z3" s="29" t="s">
        <v>7</v>
      </c>
      <c r="AA3" s="29" t="s">
        <v>16</v>
      </c>
      <c r="AB3" s="29" t="s">
        <v>17</v>
      </c>
      <c r="AC3" s="29" t="s">
        <v>18</v>
      </c>
      <c r="AD3" s="29" t="s">
        <v>19</v>
      </c>
      <c r="AE3" s="29" t="s">
        <v>29</v>
      </c>
    </row>
    <row r="4" spans="1:32" ht="15.9" customHeight="1">
      <c r="A4" s="48" t="s">
        <v>20</v>
      </c>
      <c r="B4" s="9" t="s">
        <v>21</v>
      </c>
      <c r="C4" s="48">
        <f t="shared" ref="C4:H15" si="0">COUNTIF(L$4:L$304,$A4)</f>
        <v>0</v>
      </c>
      <c r="D4" s="48">
        <f t="shared" si="0"/>
        <v>0</v>
      </c>
      <c r="E4" s="48">
        <f t="shared" si="0"/>
        <v>0</v>
      </c>
      <c r="F4" s="48">
        <f t="shared" si="0"/>
        <v>0</v>
      </c>
      <c r="G4" s="48">
        <f t="shared" si="0"/>
        <v>0</v>
      </c>
      <c r="H4" s="48">
        <f t="shared" si="0"/>
        <v>0</v>
      </c>
      <c r="I4" s="9">
        <v>0</v>
      </c>
      <c r="J4" s="88"/>
      <c r="K4" s="37">
        <v>0</v>
      </c>
      <c r="L4" s="38" t="s">
        <v>52</v>
      </c>
      <c r="M4" s="38" t="s">
        <v>65</v>
      </c>
      <c r="N4" s="38" t="s">
        <v>64</v>
      </c>
      <c r="O4" s="38" t="s">
        <v>64</v>
      </c>
      <c r="P4" s="38" t="s">
        <v>64</v>
      </c>
      <c r="Q4" s="38" t="s">
        <v>67</v>
      </c>
      <c r="S4" s="37" cm="1">
        <f t="array" ref="S4:X304">_xlfn.LET(_xlpm.x, L4:Q304, IF(_xlpm.x="", "", _xlfn.XLOOKUP(_xlpm.x, $A$4:$A$15, $I$4:$I$15)))</f>
        <v>11</v>
      </c>
      <c r="T4" s="37">
        <v>10</v>
      </c>
      <c r="U4" s="37">
        <v>8</v>
      </c>
      <c r="V4" s="37">
        <v>8</v>
      </c>
      <c r="W4" s="37">
        <v>8</v>
      </c>
      <c r="X4" s="37">
        <v>11</v>
      </c>
      <c r="Z4" s="37">
        <v>0</v>
      </c>
      <c r="AA4" s="37">
        <v>0</v>
      </c>
      <c r="AB4" s="37">
        <v>0</v>
      </c>
      <c r="AC4" s="37">
        <v>0</v>
      </c>
      <c r="AD4" s="37">
        <v>2</v>
      </c>
      <c r="AE4" s="37">
        <v>2</v>
      </c>
    </row>
    <row r="5" spans="1:32" ht="15.9" customHeight="1">
      <c r="A5" s="10" t="s">
        <v>24</v>
      </c>
      <c r="B5" s="9" t="s">
        <v>25</v>
      </c>
      <c r="C5" s="48">
        <f t="shared" si="0"/>
        <v>10</v>
      </c>
      <c r="D5" s="48">
        <f t="shared" si="0"/>
        <v>10</v>
      </c>
      <c r="E5" s="48">
        <f t="shared" si="0"/>
        <v>10</v>
      </c>
      <c r="F5" s="48">
        <f t="shared" si="0"/>
        <v>10</v>
      </c>
      <c r="G5" s="48">
        <f t="shared" si="0"/>
        <v>0</v>
      </c>
      <c r="H5" s="48">
        <f t="shared" si="0"/>
        <v>0</v>
      </c>
      <c r="I5" s="9">
        <v>1</v>
      </c>
      <c r="J5" s="88"/>
      <c r="K5" s="10">
        <v>1</v>
      </c>
      <c r="L5" s="19" t="s">
        <v>52</v>
      </c>
      <c r="M5" s="19" t="s">
        <v>65</v>
      </c>
      <c r="N5" s="19" t="s">
        <v>64</v>
      </c>
      <c r="O5" s="19" t="s">
        <v>64</v>
      </c>
      <c r="P5" s="19" t="s">
        <v>64</v>
      </c>
      <c r="Q5" s="19" t="s">
        <v>67</v>
      </c>
      <c r="S5" s="10">
        <v>11</v>
      </c>
      <c r="T5" s="10">
        <v>10</v>
      </c>
      <c r="U5" s="10">
        <v>8</v>
      </c>
      <c r="V5" s="10">
        <v>8</v>
      </c>
      <c r="W5" s="10">
        <v>8</v>
      </c>
      <c r="X5" s="10">
        <v>11</v>
      </c>
      <c r="Z5" s="37">
        <v>0</v>
      </c>
      <c r="AA5" s="37">
        <v>0</v>
      </c>
      <c r="AB5" s="37">
        <v>0</v>
      </c>
      <c r="AC5" s="37">
        <v>0</v>
      </c>
      <c r="AD5" s="37">
        <v>2</v>
      </c>
      <c r="AE5" s="37">
        <v>2</v>
      </c>
    </row>
    <row r="6" spans="1:32" ht="15.9" customHeight="1">
      <c r="A6" s="10" t="s">
        <v>38</v>
      </c>
      <c r="B6" s="9" t="s">
        <v>39</v>
      </c>
      <c r="C6" s="48">
        <f t="shared" si="0"/>
        <v>0</v>
      </c>
      <c r="D6" s="48">
        <f t="shared" si="0"/>
        <v>0</v>
      </c>
      <c r="E6" s="48">
        <f t="shared" si="0"/>
        <v>0</v>
      </c>
      <c r="F6" s="48">
        <f t="shared" si="0"/>
        <v>0</v>
      </c>
      <c r="G6" s="48">
        <f t="shared" si="0"/>
        <v>0</v>
      </c>
      <c r="H6" s="48">
        <f t="shared" si="0"/>
        <v>0</v>
      </c>
      <c r="I6" s="9">
        <v>2</v>
      </c>
      <c r="J6" s="88"/>
      <c r="K6" s="10">
        <v>2</v>
      </c>
      <c r="L6" s="19" t="s">
        <v>23</v>
      </c>
      <c r="M6" s="19" t="s">
        <v>63</v>
      </c>
      <c r="N6" s="19" t="s">
        <v>23</v>
      </c>
      <c r="O6" s="19" t="s">
        <v>65</v>
      </c>
      <c r="P6" s="19" t="s">
        <v>63</v>
      </c>
      <c r="Q6" s="19" t="s">
        <v>23</v>
      </c>
      <c r="S6" s="10">
        <v>6</v>
      </c>
      <c r="T6" s="10">
        <v>9</v>
      </c>
      <c r="U6" s="10">
        <v>6</v>
      </c>
      <c r="V6" s="10">
        <v>10</v>
      </c>
      <c r="W6" s="10">
        <v>9</v>
      </c>
      <c r="X6" s="10">
        <v>6</v>
      </c>
      <c r="Z6" s="37">
        <v>1</v>
      </c>
      <c r="AA6" s="37">
        <v>1</v>
      </c>
      <c r="AB6" s="37">
        <v>0</v>
      </c>
      <c r="AC6" s="37">
        <v>0</v>
      </c>
      <c r="AD6" s="37">
        <v>2</v>
      </c>
      <c r="AE6" s="37">
        <v>2</v>
      </c>
    </row>
    <row r="7" spans="1:32" ht="15.9" customHeight="1">
      <c r="A7" s="10" t="s">
        <v>26</v>
      </c>
      <c r="B7" s="9" t="s">
        <v>26</v>
      </c>
      <c r="C7" s="48">
        <f t="shared" si="0"/>
        <v>4</v>
      </c>
      <c r="D7" s="48">
        <f t="shared" si="0"/>
        <v>16</v>
      </c>
      <c r="E7" s="48">
        <f t="shared" si="0"/>
        <v>6</v>
      </c>
      <c r="F7" s="48">
        <f t="shared" si="0"/>
        <v>8</v>
      </c>
      <c r="G7" s="48">
        <f t="shared" si="0"/>
        <v>7</v>
      </c>
      <c r="H7" s="48">
        <f t="shared" si="0"/>
        <v>12</v>
      </c>
      <c r="I7" s="9">
        <v>3</v>
      </c>
      <c r="J7" s="88"/>
      <c r="K7" s="10">
        <v>3</v>
      </c>
      <c r="L7" s="19" t="s">
        <v>23</v>
      </c>
      <c r="M7" s="38" t="s">
        <v>63</v>
      </c>
      <c r="N7" s="19" t="s">
        <v>23</v>
      </c>
      <c r="O7" s="19" t="s">
        <v>65</v>
      </c>
      <c r="P7" s="19" t="s">
        <v>63</v>
      </c>
      <c r="Q7" s="19" t="s">
        <v>23</v>
      </c>
      <c r="S7" s="10">
        <v>6</v>
      </c>
      <c r="T7" s="10">
        <v>9</v>
      </c>
      <c r="U7" s="10">
        <v>6</v>
      </c>
      <c r="V7" s="10">
        <v>10</v>
      </c>
      <c r="W7" s="10">
        <v>9</v>
      </c>
      <c r="X7" s="10">
        <v>6</v>
      </c>
      <c r="Z7" s="37">
        <v>1</v>
      </c>
      <c r="AA7" s="37">
        <v>1</v>
      </c>
      <c r="AB7" s="37">
        <v>0</v>
      </c>
      <c r="AC7" s="37">
        <v>0</v>
      </c>
      <c r="AD7" s="37">
        <v>2</v>
      </c>
      <c r="AE7" s="37">
        <v>2</v>
      </c>
    </row>
    <row r="8" spans="1:32" ht="15.9" customHeight="1">
      <c r="A8" s="10" t="s">
        <v>27</v>
      </c>
      <c r="B8" s="9" t="s">
        <v>27</v>
      </c>
      <c r="C8" s="48">
        <f t="shared" si="0"/>
        <v>16</v>
      </c>
      <c r="D8" s="48">
        <f t="shared" si="0"/>
        <v>4</v>
      </c>
      <c r="E8" s="48">
        <f t="shared" si="0"/>
        <v>14</v>
      </c>
      <c r="F8" s="48">
        <f t="shared" si="0"/>
        <v>12</v>
      </c>
      <c r="G8" s="48">
        <f t="shared" si="0"/>
        <v>21</v>
      </c>
      <c r="H8" s="48">
        <f t="shared" si="0"/>
        <v>17</v>
      </c>
      <c r="I8" s="9">
        <v>4</v>
      </c>
      <c r="J8" s="88"/>
      <c r="K8" s="10">
        <v>4</v>
      </c>
      <c r="L8" s="19" t="s">
        <v>64</v>
      </c>
      <c r="M8" s="19" t="s">
        <v>26</v>
      </c>
      <c r="N8" s="19" t="s">
        <v>66</v>
      </c>
      <c r="O8" s="19" t="s">
        <v>23</v>
      </c>
      <c r="P8" s="19" t="s">
        <v>27</v>
      </c>
      <c r="Q8" s="19" t="s">
        <v>67</v>
      </c>
      <c r="S8" s="10">
        <v>8</v>
      </c>
      <c r="T8" s="10">
        <v>3</v>
      </c>
      <c r="U8" s="10">
        <v>7</v>
      </c>
      <c r="V8" s="10">
        <v>6</v>
      </c>
      <c r="W8" s="10">
        <v>4</v>
      </c>
      <c r="X8" s="10">
        <v>11</v>
      </c>
      <c r="Z8" s="37">
        <v>1</v>
      </c>
      <c r="AA8" s="37">
        <v>1</v>
      </c>
      <c r="AB8" s="37">
        <v>0</v>
      </c>
      <c r="AC8" s="37">
        <v>0</v>
      </c>
      <c r="AD8" s="37">
        <v>0</v>
      </c>
      <c r="AE8" s="37">
        <v>2</v>
      </c>
    </row>
    <row r="9" spans="1:32" ht="15.9" customHeight="1">
      <c r="A9" s="10" t="s">
        <v>22</v>
      </c>
      <c r="B9" s="9" t="s">
        <v>22</v>
      </c>
      <c r="C9" s="48">
        <f t="shared" si="0"/>
        <v>14</v>
      </c>
      <c r="D9" s="48">
        <f t="shared" si="0"/>
        <v>6</v>
      </c>
      <c r="E9" s="48">
        <f t="shared" si="0"/>
        <v>14</v>
      </c>
      <c r="F9" s="48">
        <f t="shared" si="0"/>
        <v>16</v>
      </c>
      <c r="G9" s="48">
        <f t="shared" si="0"/>
        <v>10</v>
      </c>
      <c r="H9" s="48">
        <f t="shared" si="0"/>
        <v>14</v>
      </c>
      <c r="I9" s="9">
        <v>5</v>
      </c>
      <c r="J9" s="88"/>
      <c r="K9" s="10">
        <v>5</v>
      </c>
      <c r="L9" s="19" t="s">
        <v>64</v>
      </c>
      <c r="M9" s="19" t="s">
        <v>26</v>
      </c>
      <c r="N9" s="19" t="s">
        <v>66</v>
      </c>
      <c r="O9" s="19" t="s">
        <v>23</v>
      </c>
      <c r="P9" s="19" t="s">
        <v>27</v>
      </c>
      <c r="Q9" s="19" t="s">
        <v>67</v>
      </c>
      <c r="S9" s="10">
        <v>8</v>
      </c>
      <c r="T9" s="10">
        <v>3</v>
      </c>
      <c r="U9" s="10">
        <v>7</v>
      </c>
      <c r="V9" s="10">
        <v>6</v>
      </c>
      <c r="W9" s="10">
        <v>4</v>
      </c>
      <c r="X9" s="10">
        <v>11</v>
      </c>
      <c r="Z9" s="37">
        <v>1</v>
      </c>
      <c r="AA9" s="37">
        <v>1</v>
      </c>
      <c r="AB9" s="37">
        <v>0</v>
      </c>
      <c r="AC9" s="37">
        <v>0</v>
      </c>
      <c r="AD9" s="37">
        <v>0</v>
      </c>
      <c r="AE9" s="37">
        <v>2</v>
      </c>
    </row>
    <row r="10" spans="1:32" ht="15.9" customHeight="1">
      <c r="A10" s="10" t="s">
        <v>23</v>
      </c>
      <c r="B10" s="9" t="s">
        <v>23</v>
      </c>
      <c r="C10" s="48">
        <f t="shared" si="0"/>
        <v>10</v>
      </c>
      <c r="D10" s="48">
        <f t="shared" si="0"/>
        <v>20</v>
      </c>
      <c r="E10" s="48">
        <f t="shared" si="0"/>
        <v>28</v>
      </c>
      <c r="F10" s="48">
        <f t="shared" si="0"/>
        <v>10</v>
      </c>
      <c r="G10" s="48">
        <f t="shared" si="0"/>
        <v>26</v>
      </c>
      <c r="H10" s="48">
        <f t="shared" si="0"/>
        <v>15</v>
      </c>
      <c r="I10" s="9">
        <v>6</v>
      </c>
      <c r="J10" s="88"/>
      <c r="K10" s="10">
        <v>6</v>
      </c>
      <c r="L10" s="19" t="s">
        <v>48</v>
      </c>
      <c r="M10" s="19" t="s">
        <v>24</v>
      </c>
      <c r="N10" s="19" t="s">
        <v>27</v>
      </c>
      <c r="O10" s="19" t="s">
        <v>27</v>
      </c>
      <c r="P10" s="19" t="s">
        <v>67</v>
      </c>
      <c r="Q10" s="19" t="s">
        <v>64</v>
      </c>
      <c r="S10" s="10">
        <v>1</v>
      </c>
      <c r="T10" s="10">
        <v>1</v>
      </c>
      <c r="U10" s="10">
        <v>4</v>
      </c>
      <c r="V10" s="10">
        <v>4</v>
      </c>
      <c r="W10" s="10">
        <v>11</v>
      </c>
      <c r="X10" s="10">
        <v>8</v>
      </c>
      <c r="Z10" s="37">
        <v>1</v>
      </c>
      <c r="AA10" s="37">
        <v>1</v>
      </c>
      <c r="AB10" s="37">
        <v>0</v>
      </c>
      <c r="AC10" s="37">
        <v>1</v>
      </c>
      <c r="AD10" s="37">
        <v>0</v>
      </c>
      <c r="AE10" s="37">
        <v>2</v>
      </c>
    </row>
    <row r="11" spans="1:32" ht="15.9" customHeight="1">
      <c r="A11" s="10" t="s">
        <v>30</v>
      </c>
      <c r="B11" s="10" t="s">
        <v>30</v>
      </c>
      <c r="C11" s="48">
        <f t="shared" si="0"/>
        <v>24</v>
      </c>
      <c r="D11" s="48">
        <f t="shared" si="0"/>
        <v>22</v>
      </c>
      <c r="E11" s="48">
        <f t="shared" si="0"/>
        <v>22</v>
      </c>
      <c r="F11" s="48">
        <f t="shared" si="0"/>
        <v>16</v>
      </c>
      <c r="G11" s="48">
        <f t="shared" si="0"/>
        <v>12</v>
      </c>
      <c r="H11" s="48">
        <f t="shared" si="0"/>
        <v>16</v>
      </c>
      <c r="I11" s="9">
        <v>7</v>
      </c>
      <c r="J11" s="88"/>
      <c r="K11" s="10">
        <v>7</v>
      </c>
      <c r="L11" s="19" t="s">
        <v>63</v>
      </c>
      <c r="M11" s="19" t="s">
        <v>52</v>
      </c>
      <c r="N11" s="19" t="s">
        <v>27</v>
      </c>
      <c r="O11" s="19" t="s">
        <v>27</v>
      </c>
      <c r="P11" s="19" t="s">
        <v>67</v>
      </c>
      <c r="Q11" s="19" t="s">
        <v>64</v>
      </c>
      <c r="S11" s="10">
        <v>9</v>
      </c>
      <c r="T11" s="10">
        <v>11</v>
      </c>
      <c r="U11" s="10">
        <v>4</v>
      </c>
      <c r="V11" s="10">
        <v>4</v>
      </c>
      <c r="W11" s="10">
        <v>11</v>
      </c>
      <c r="X11" s="10">
        <v>8</v>
      </c>
      <c r="Z11" s="37">
        <v>0</v>
      </c>
      <c r="AA11" s="37">
        <v>0</v>
      </c>
      <c r="AB11" s="37">
        <v>0</v>
      </c>
      <c r="AC11" s="37">
        <v>1</v>
      </c>
      <c r="AD11" s="37">
        <v>0</v>
      </c>
      <c r="AE11" s="37">
        <v>2</v>
      </c>
    </row>
    <row r="12" spans="1:32" ht="15.9" customHeight="1">
      <c r="A12" s="10" t="s">
        <v>31</v>
      </c>
      <c r="B12" s="10" t="s">
        <v>31</v>
      </c>
      <c r="C12" s="48">
        <f t="shared" si="0"/>
        <v>22</v>
      </c>
      <c r="D12" s="48">
        <f t="shared" si="0"/>
        <v>24</v>
      </c>
      <c r="E12" s="48">
        <f t="shared" si="0"/>
        <v>26</v>
      </c>
      <c r="F12" s="48">
        <f t="shared" si="0"/>
        <v>20</v>
      </c>
      <c r="G12" s="48">
        <f t="shared" si="0"/>
        <v>20</v>
      </c>
      <c r="H12" s="48">
        <f t="shared" si="0"/>
        <v>30</v>
      </c>
      <c r="I12" s="9">
        <v>8</v>
      </c>
      <c r="J12" s="88"/>
      <c r="K12" s="10">
        <v>8</v>
      </c>
      <c r="L12" s="19" t="s">
        <v>63</v>
      </c>
      <c r="M12" s="19" t="s">
        <v>67</v>
      </c>
      <c r="N12" s="19" t="s">
        <v>22</v>
      </c>
      <c r="O12" s="19" t="s">
        <v>66</v>
      </c>
      <c r="P12" s="19" t="s">
        <v>45</v>
      </c>
      <c r="Q12" s="19" t="s">
        <v>63</v>
      </c>
      <c r="S12" s="10">
        <v>9</v>
      </c>
      <c r="T12" s="10">
        <v>11</v>
      </c>
      <c r="U12" s="10">
        <v>5</v>
      </c>
      <c r="V12" s="10">
        <v>7</v>
      </c>
      <c r="W12" s="10">
        <v>4</v>
      </c>
      <c r="X12" s="10">
        <v>9</v>
      </c>
      <c r="Z12" s="37">
        <v>0</v>
      </c>
      <c r="AA12" s="37">
        <v>0</v>
      </c>
      <c r="AB12" s="37">
        <v>0</v>
      </c>
      <c r="AC12" s="37">
        <v>1</v>
      </c>
      <c r="AD12" s="37">
        <v>0</v>
      </c>
      <c r="AE12" s="37">
        <v>0</v>
      </c>
    </row>
    <row r="13" spans="1:32" ht="15.9" customHeight="1">
      <c r="A13" s="10" t="s">
        <v>32</v>
      </c>
      <c r="B13" s="10" t="s">
        <v>32</v>
      </c>
      <c r="C13" s="48">
        <f t="shared" si="0"/>
        <v>18</v>
      </c>
      <c r="D13" s="48">
        <f t="shared" si="0"/>
        <v>32</v>
      </c>
      <c r="E13" s="48">
        <f t="shared" si="0"/>
        <v>14</v>
      </c>
      <c r="F13" s="48">
        <f t="shared" si="0"/>
        <v>38</v>
      </c>
      <c r="G13" s="48">
        <f t="shared" si="0"/>
        <v>22</v>
      </c>
      <c r="H13" s="48">
        <f t="shared" si="0"/>
        <v>28</v>
      </c>
      <c r="I13" s="9">
        <v>9</v>
      </c>
      <c r="J13" s="88"/>
      <c r="K13" s="10">
        <v>9</v>
      </c>
      <c r="L13" s="19" t="s">
        <v>67</v>
      </c>
      <c r="M13" s="19" t="s">
        <v>63</v>
      </c>
      <c r="N13" s="19" t="s">
        <v>22</v>
      </c>
      <c r="O13" s="19" t="s">
        <v>66</v>
      </c>
      <c r="P13" s="19" t="s">
        <v>64</v>
      </c>
      <c r="Q13" s="19" t="s">
        <v>63</v>
      </c>
      <c r="S13" s="10">
        <v>11</v>
      </c>
      <c r="T13" s="10">
        <v>9</v>
      </c>
      <c r="U13" s="10">
        <v>5</v>
      </c>
      <c r="V13" s="10">
        <v>7</v>
      </c>
      <c r="W13" s="10">
        <v>8</v>
      </c>
      <c r="X13" s="10">
        <v>9</v>
      </c>
      <c r="Z13" s="37">
        <v>0</v>
      </c>
      <c r="AA13" s="37">
        <v>0</v>
      </c>
      <c r="AB13" s="37">
        <v>0</v>
      </c>
      <c r="AC13" s="37">
        <v>1</v>
      </c>
      <c r="AD13" s="37">
        <v>2</v>
      </c>
      <c r="AE13" s="37">
        <v>0</v>
      </c>
    </row>
    <row r="14" spans="1:32" ht="15.9" customHeight="1">
      <c r="A14" s="10" t="s">
        <v>33</v>
      </c>
      <c r="B14" s="10" t="s">
        <v>33</v>
      </c>
      <c r="C14" s="48">
        <f t="shared" si="0"/>
        <v>32</v>
      </c>
      <c r="D14" s="48">
        <f t="shared" si="0"/>
        <v>24</v>
      </c>
      <c r="E14" s="48">
        <f t="shared" si="0"/>
        <v>28</v>
      </c>
      <c r="F14" s="48">
        <f t="shared" si="0"/>
        <v>24</v>
      </c>
      <c r="G14" s="48">
        <f t="shared" si="0"/>
        <v>32</v>
      </c>
      <c r="H14" s="48">
        <f t="shared" si="0"/>
        <v>20</v>
      </c>
      <c r="I14" s="9">
        <v>10</v>
      </c>
      <c r="J14" s="88"/>
      <c r="K14" s="10">
        <v>10</v>
      </c>
      <c r="L14" s="19" t="s">
        <v>67</v>
      </c>
      <c r="M14" s="19" t="s">
        <v>63</v>
      </c>
      <c r="N14" s="19" t="s">
        <v>64</v>
      </c>
      <c r="O14" s="19" t="s">
        <v>24</v>
      </c>
      <c r="P14" s="19" t="s">
        <v>64</v>
      </c>
      <c r="Q14" s="19" t="s">
        <v>64</v>
      </c>
      <c r="S14" s="10">
        <v>11</v>
      </c>
      <c r="T14" s="10">
        <v>9</v>
      </c>
      <c r="U14" s="10">
        <v>8</v>
      </c>
      <c r="V14" s="10">
        <v>1</v>
      </c>
      <c r="W14" s="10">
        <v>8</v>
      </c>
      <c r="X14" s="10">
        <v>8</v>
      </c>
      <c r="Z14" s="37">
        <v>0</v>
      </c>
      <c r="AA14" s="37">
        <v>0</v>
      </c>
      <c r="AB14" s="37">
        <v>0</v>
      </c>
      <c r="AC14" s="37">
        <v>1</v>
      </c>
      <c r="AD14" s="37">
        <v>2</v>
      </c>
      <c r="AE14" s="37">
        <v>0</v>
      </c>
    </row>
    <row r="15" spans="1:32" ht="15.9" customHeight="1">
      <c r="A15" s="10" t="s">
        <v>34</v>
      </c>
      <c r="B15" s="10" t="s">
        <v>34</v>
      </c>
      <c r="C15" s="48">
        <f>COUNTIF(L$4:L$304,$A15)</f>
        <v>36</v>
      </c>
      <c r="D15" s="48">
        <f t="shared" si="0"/>
        <v>28</v>
      </c>
      <c r="E15" s="48">
        <f t="shared" si="0"/>
        <v>24</v>
      </c>
      <c r="F15" s="48">
        <f t="shared" si="0"/>
        <v>32</v>
      </c>
      <c r="G15" s="48">
        <f t="shared" si="0"/>
        <v>36</v>
      </c>
      <c r="H15" s="48">
        <f t="shared" si="0"/>
        <v>34</v>
      </c>
      <c r="I15" s="9">
        <v>11</v>
      </c>
      <c r="J15" s="88"/>
      <c r="K15" s="10">
        <v>11</v>
      </c>
      <c r="L15" s="19" t="s">
        <v>66</v>
      </c>
      <c r="M15" s="19" t="s">
        <v>67</v>
      </c>
      <c r="N15" s="19" t="s">
        <v>64</v>
      </c>
      <c r="O15" s="19" t="s">
        <v>63</v>
      </c>
      <c r="P15" s="19" t="s">
        <v>67</v>
      </c>
      <c r="Q15" s="19" t="s">
        <v>64</v>
      </c>
      <c r="S15" s="10">
        <v>7</v>
      </c>
      <c r="T15" s="10">
        <v>11</v>
      </c>
      <c r="U15" s="10">
        <v>8</v>
      </c>
      <c r="V15" s="10">
        <v>9</v>
      </c>
      <c r="W15" s="10">
        <v>11</v>
      </c>
      <c r="X15" s="10">
        <v>8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</row>
    <row r="16" spans="1:32" ht="15.9" customHeight="1">
      <c r="B16" s="15"/>
      <c r="C16" s="14">
        <f t="shared" ref="C16:H16" si="1">SUM(C4:C15)</f>
        <v>186</v>
      </c>
      <c r="D16" s="14">
        <f t="shared" si="1"/>
        <v>186</v>
      </c>
      <c r="E16" s="14">
        <f t="shared" si="1"/>
        <v>186</v>
      </c>
      <c r="F16" s="14">
        <f t="shared" si="1"/>
        <v>186</v>
      </c>
      <c r="G16" s="14">
        <f t="shared" si="1"/>
        <v>186</v>
      </c>
      <c r="H16" s="14">
        <f t="shared" si="1"/>
        <v>186</v>
      </c>
      <c r="I16" s="14"/>
      <c r="J16" s="88"/>
      <c r="K16" s="10">
        <v>12</v>
      </c>
      <c r="L16" s="19" t="s">
        <v>66</v>
      </c>
      <c r="M16" s="19" t="s">
        <v>67</v>
      </c>
      <c r="N16" s="19" t="s">
        <v>66</v>
      </c>
      <c r="O16" s="19" t="s">
        <v>63</v>
      </c>
      <c r="P16" s="19" t="s">
        <v>67</v>
      </c>
      <c r="Q16" s="19" t="s">
        <v>45</v>
      </c>
      <c r="S16" s="10">
        <v>7</v>
      </c>
      <c r="T16" s="10">
        <v>11</v>
      </c>
      <c r="U16" s="10">
        <v>7</v>
      </c>
      <c r="V16" s="10">
        <v>9</v>
      </c>
      <c r="W16" s="10">
        <v>11</v>
      </c>
      <c r="X16" s="10">
        <v>4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</row>
    <row r="17" spans="1:31" ht="15.9" customHeight="1">
      <c r="B17" s="15"/>
      <c r="C17" s="15"/>
      <c r="D17" s="15"/>
      <c r="E17" s="15"/>
      <c r="F17" s="15"/>
      <c r="G17" s="15"/>
      <c r="H17" s="15"/>
      <c r="I17" s="14"/>
      <c r="J17" s="88"/>
      <c r="K17" s="10">
        <v>13</v>
      </c>
      <c r="L17" s="19" t="s">
        <v>27</v>
      </c>
      <c r="M17" s="19" t="s">
        <v>66</v>
      </c>
      <c r="N17" s="19" t="s">
        <v>66</v>
      </c>
      <c r="O17" s="19" t="s">
        <v>26</v>
      </c>
      <c r="P17" s="19" t="s">
        <v>64</v>
      </c>
      <c r="Q17" s="19" t="s">
        <v>26</v>
      </c>
      <c r="S17" s="10">
        <v>4</v>
      </c>
      <c r="T17" s="10">
        <v>7</v>
      </c>
      <c r="U17" s="10">
        <v>7</v>
      </c>
      <c r="V17" s="10">
        <v>3</v>
      </c>
      <c r="W17" s="10">
        <v>8</v>
      </c>
      <c r="X17" s="10">
        <v>3</v>
      </c>
      <c r="Z17" s="37">
        <v>1</v>
      </c>
      <c r="AA17" s="37">
        <v>0</v>
      </c>
      <c r="AB17" s="37">
        <v>0</v>
      </c>
      <c r="AC17" s="37">
        <v>0</v>
      </c>
      <c r="AD17" s="37">
        <v>0</v>
      </c>
      <c r="AE17" s="37">
        <v>2</v>
      </c>
    </row>
    <row r="18" spans="1:31" ht="15.9" customHeight="1">
      <c r="A18" s="86" t="s">
        <v>5</v>
      </c>
      <c r="B18" s="86" t="s">
        <v>13</v>
      </c>
      <c r="C18" s="86" t="s">
        <v>7</v>
      </c>
      <c r="D18" s="86" t="s">
        <v>8</v>
      </c>
      <c r="E18" s="86" t="s">
        <v>9</v>
      </c>
      <c r="F18" s="86" t="s">
        <v>10</v>
      </c>
      <c r="G18" s="86" t="s">
        <v>11</v>
      </c>
      <c r="H18" s="86" t="s">
        <v>41</v>
      </c>
      <c r="I18" s="14"/>
      <c r="J18" s="88"/>
      <c r="K18" s="48">
        <v>14</v>
      </c>
      <c r="L18" s="19" t="s">
        <v>27</v>
      </c>
      <c r="M18" s="19" t="s">
        <v>66</v>
      </c>
      <c r="N18" s="19" t="s">
        <v>67</v>
      </c>
      <c r="O18" s="19" t="s">
        <v>26</v>
      </c>
      <c r="P18" s="19" t="s">
        <v>64</v>
      </c>
      <c r="Q18" s="19" t="s">
        <v>26</v>
      </c>
      <c r="S18" s="10">
        <v>4</v>
      </c>
      <c r="T18" s="10">
        <v>7</v>
      </c>
      <c r="U18" s="10">
        <v>11</v>
      </c>
      <c r="V18" s="10">
        <v>3</v>
      </c>
      <c r="W18" s="10">
        <v>8</v>
      </c>
      <c r="X18" s="10">
        <v>3</v>
      </c>
      <c r="Z18" s="37">
        <v>1</v>
      </c>
      <c r="AA18" s="37">
        <v>0</v>
      </c>
      <c r="AB18" s="37">
        <v>0</v>
      </c>
      <c r="AC18" s="37">
        <v>0</v>
      </c>
      <c r="AD18" s="37">
        <v>0</v>
      </c>
      <c r="AE18" s="37">
        <v>2</v>
      </c>
    </row>
    <row r="19" spans="1:31" ht="15.9" customHeight="1">
      <c r="A19" s="33" t="s">
        <v>20</v>
      </c>
      <c r="B19" s="31" t="s">
        <v>21</v>
      </c>
      <c r="C19" s="35">
        <f t="shared" ref="C19:H19" si="2">C4/C$16</f>
        <v>0</v>
      </c>
      <c r="D19" s="35">
        <f t="shared" si="2"/>
        <v>0</v>
      </c>
      <c r="E19" s="35">
        <f t="shared" si="2"/>
        <v>0</v>
      </c>
      <c r="F19" s="35">
        <f t="shared" si="2"/>
        <v>0</v>
      </c>
      <c r="G19" s="35">
        <f t="shared" si="2"/>
        <v>0</v>
      </c>
      <c r="H19" s="35">
        <f t="shared" si="2"/>
        <v>0</v>
      </c>
      <c r="I19" s="14"/>
      <c r="J19" s="88"/>
      <c r="K19" s="10">
        <v>15</v>
      </c>
      <c r="L19" s="19" t="s">
        <v>52</v>
      </c>
      <c r="M19" s="19" t="s">
        <v>67</v>
      </c>
      <c r="N19" s="19" t="s">
        <v>67</v>
      </c>
      <c r="O19" s="19" t="s">
        <v>65</v>
      </c>
      <c r="P19" s="19" t="s">
        <v>45</v>
      </c>
      <c r="Q19" s="19" t="s">
        <v>65</v>
      </c>
      <c r="S19" s="10">
        <v>11</v>
      </c>
      <c r="T19" s="10">
        <v>11</v>
      </c>
      <c r="U19" s="10">
        <v>11</v>
      </c>
      <c r="V19" s="10">
        <v>10</v>
      </c>
      <c r="W19" s="10">
        <v>4</v>
      </c>
      <c r="X19" s="10">
        <v>10</v>
      </c>
      <c r="Z19" s="37">
        <v>1</v>
      </c>
      <c r="AA19" s="37">
        <v>1</v>
      </c>
      <c r="AB19" s="37">
        <v>0</v>
      </c>
      <c r="AC19" s="37">
        <v>0</v>
      </c>
      <c r="AD19" s="37">
        <v>0</v>
      </c>
      <c r="AE19" s="37">
        <v>2</v>
      </c>
    </row>
    <row r="20" spans="1:31" ht="15.9" customHeight="1">
      <c r="A20" s="43" t="s">
        <v>24</v>
      </c>
      <c r="B20" s="44" t="s">
        <v>25</v>
      </c>
      <c r="C20" s="45">
        <f t="shared" ref="C20:H30" si="3">C5/C$16</f>
        <v>5.3763440860215055E-2</v>
      </c>
      <c r="D20" s="45">
        <f t="shared" si="3"/>
        <v>5.3763440860215055E-2</v>
      </c>
      <c r="E20" s="45">
        <f t="shared" si="3"/>
        <v>5.3763440860215055E-2</v>
      </c>
      <c r="F20" s="45">
        <f t="shared" si="3"/>
        <v>5.3763440860215055E-2</v>
      </c>
      <c r="G20" s="45">
        <f t="shared" si="3"/>
        <v>0</v>
      </c>
      <c r="H20" s="45">
        <f t="shared" si="3"/>
        <v>0</v>
      </c>
      <c r="I20" s="20"/>
      <c r="J20" s="88"/>
      <c r="K20" s="10">
        <v>16</v>
      </c>
      <c r="L20" s="19" t="s">
        <v>52</v>
      </c>
      <c r="M20" s="19" t="s">
        <v>67</v>
      </c>
      <c r="N20" s="19" t="s">
        <v>66</v>
      </c>
      <c r="O20" s="19" t="s">
        <v>65</v>
      </c>
      <c r="P20" s="19" t="s">
        <v>65</v>
      </c>
      <c r="Q20" s="19" t="s">
        <v>65</v>
      </c>
      <c r="S20" s="10">
        <v>11</v>
      </c>
      <c r="T20" s="10">
        <v>11</v>
      </c>
      <c r="U20" s="10">
        <v>7</v>
      </c>
      <c r="V20" s="10">
        <v>10</v>
      </c>
      <c r="W20" s="10">
        <v>10</v>
      </c>
      <c r="X20" s="10">
        <v>10</v>
      </c>
      <c r="Z20" s="37">
        <v>1</v>
      </c>
      <c r="AA20" s="37">
        <v>1</v>
      </c>
      <c r="AB20" s="37">
        <v>0</v>
      </c>
      <c r="AC20" s="37">
        <v>0</v>
      </c>
      <c r="AD20" s="37">
        <v>2</v>
      </c>
      <c r="AE20" s="37">
        <v>2</v>
      </c>
    </row>
    <row r="21" spans="1:31" ht="15.9" customHeight="1">
      <c r="A21" s="40" t="s">
        <v>38</v>
      </c>
      <c r="B21" s="41" t="s">
        <v>39</v>
      </c>
      <c r="C21" s="42">
        <f t="shared" si="3"/>
        <v>0</v>
      </c>
      <c r="D21" s="42">
        <f t="shared" si="3"/>
        <v>0</v>
      </c>
      <c r="E21" s="42">
        <f t="shared" si="3"/>
        <v>0</v>
      </c>
      <c r="F21" s="42">
        <f t="shared" si="3"/>
        <v>0</v>
      </c>
      <c r="G21" s="42">
        <f t="shared" si="3"/>
        <v>0</v>
      </c>
      <c r="H21" s="42">
        <f t="shared" si="3"/>
        <v>0</v>
      </c>
      <c r="I21" s="20"/>
      <c r="J21" s="88"/>
      <c r="K21" s="10">
        <v>17</v>
      </c>
      <c r="L21" s="19" t="s">
        <v>24</v>
      </c>
      <c r="M21" s="19" t="s">
        <v>27</v>
      </c>
      <c r="N21" s="19" t="s">
        <v>66</v>
      </c>
      <c r="O21" s="19" t="s">
        <v>47</v>
      </c>
      <c r="P21" s="19" t="s">
        <v>65</v>
      </c>
      <c r="Q21" s="19" t="s">
        <v>63</v>
      </c>
      <c r="S21" s="10">
        <v>1</v>
      </c>
      <c r="T21" s="10">
        <v>4</v>
      </c>
      <c r="U21" s="10">
        <v>7</v>
      </c>
      <c r="V21" s="10">
        <v>6</v>
      </c>
      <c r="W21" s="10">
        <v>10</v>
      </c>
      <c r="X21" s="10">
        <v>9</v>
      </c>
      <c r="Z21" s="37">
        <v>1</v>
      </c>
      <c r="AA21" s="37">
        <v>1</v>
      </c>
      <c r="AB21" s="37">
        <v>0</v>
      </c>
      <c r="AC21" s="37">
        <v>0</v>
      </c>
      <c r="AD21" s="37">
        <v>2</v>
      </c>
      <c r="AE21" s="37">
        <v>2</v>
      </c>
    </row>
    <row r="22" spans="1:31" ht="15.9" customHeight="1">
      <c r="A22" s="10" t="s">
        <v>26</v>
      </c>
      <c r="B22" s="9" t="s">
        <v>26</v>
      </c>
      <c r="C22" s="36">
        <f t="shared" si="3"/>
        <v>2.1505376344086023E-2</v>
      </c>
      <c r="D22" s="36">
        <f t="shared" si="3"/>
        <v>8.6021505376344093E-2</v>
      </c>
      <c r="E22" s="36">
        <f t="shared" si="3"/>
        <v>3.2258064516129031E-2</v>
      </c>
      <c r="F22" s="36">
        <f t="shared" si="3"/>
        <v>4.3010752688172046E-2</v>
      </c>
      <c r="G22" s="36">
        <f t="shared" si="3"/>
        <v>3.7634408602150539E-2</v>
      </c>
      <c r="H22" s="36">
        <f t="shared" si="3"/>
        <v>6.4516129032258063E-2</v>
      </c>
      <c r="I22" s="12"/>
      <c r="J22" s="88"/>
      <c r="K22" s="10">
        <v>18</v>
      </c>
      <c r="L22" s="19" t="s">
        <v>63</v>
      </c>
      <c r="M22" s="19" t="s">
        <v>27</v>
      </c>
      <c r="N22" s="19" t="s">
        <v>27</v>
      </c>
      <c r="O22" s="19" t="s">
        <v>47</v>
      </c>
      <c r="P22" s="19" t="s">
        <v>67</v>
      </c>
      <c r="Q22" s="19" t="s">
        <v>63</v>
      </c>
      <c r="S22" s="10">
        <v>9</v>
      </c>
      <c r="T22" s="10">
        <v>4</v>
      </c>
      <c r="U22" s="10">
        <v>4</v>
      </c>
      <c r="V22" s="10">
        <v>6</v>
      </c>
      <c r="W22" s="10">
        <v>11</v>
      </c>
      <c r="X22" s="10">
        <v>9</v>
      </c>
      <c r="Z22" s="37">
        <v>0</v>
      </c>
      <c r="AA22" s="37">
        <v>1</v>
      </c>
      <c r="AB22" s="37">
        <v>0</v>
      </c>
      <c r="AC22" s="37">
        <v>0</v>
      </c>
      <c r="AD22" s="37">
        <v>2</v>
      </c>
      <c r="AE22" s="37">
        <v>2</v>
      </c>
    </row>
    <row r="23" spans="1:31" ht="15.9" customHeight="1">
      <c r="A23" s="10" t="s">
        <v>27</v>
      </c>
      <c r="B23" s="9" t="s">
        <v>27</v>
      </c>
      <c r="C23" s="36">
        <f t="shared" si="3"/>
        <v>8.6021505376344093E-2</v>
      </c>
      <c r="D23" s="36">
        <f t="shared" si="3"/>
        <v>2.1505376344086023E-2</v>
      </c>
      <c r="E23" s="36">
        <f t="shared" si="3"/>
        <v>7.5268817204301078E-2</v>
      </c>
      <c r="F23" s="36">
        <f t="shared" si="3"/>
        <v>6.4516129032258063E-2</v>
      </c>
      <c r="G23" s="36">
        <f t="shared" si="3"/>
        <v>0.11290322580645161</v>
      </c>
      <c r="H23" s="36">
        <f t="shared" si="3"/>
        <v>9.1397849462365593E-2</v>
      </c>
      <c r="I23" s="12"/>
      <c r="J23" s="88"/>
      <c r="K23" s="10">
        <v>19</v>
      </c>
      <c r="L23" s="19" t="s">
        <v>63</v>
      </c>
      <c r="M23" s="19" t="s">
        <v>24</v>
      </c>
      <c r="N23" s="19" t="s">
        <v>27</v>
      </c>
      <c r="O23" s="19" t="s">
        <v>50</v>
      </c>
      <c r="P23" s="19" t="s">
        <v>67</v>
      </c>
      <c r="Q23" s="19" t="s">
        <v>22</v>
      </c>
      <c r="S23" s="10">
        <v>9</v>
      </c>
      <c r="T23" s="10">
        <v>1</v>
      </c>
      <c r="U23" s="10">
        <v>4</v>
      </c>
      <c r="V23" s="10">
        <v>9</v>
      </c>
      <c r="W23" s="10">
        <v>11</v>
      </c>
      <c r="X23" s="10">
        <v>5</v>
      </c>
      <c r="Z23" s="37">
        <v>0</v>
      </c>
      <c r="AA23" s="37">
        <v>1</v>
      </c>
      <c r="AB23" s="37">
        <v>0</v>
      </c>
      <c r="AC23" s="37">
        <v>0</v>
      </c>
      <c r="AD23" s="37">
        <v>2</v>
      </c>
      <c r="AE23" s="37">
        <v>2</v>
      </c>
    </row>
    <row r="24" spans="1:31" ht="15.9" customHeight="1">
      <c r="A24" s="10" t="s">
        <v>22</v>
      </c>
      <c r="B24" s="9" t="s">
        <v>22</v>
      </c>
      <c r="C24" s="36">
        <f t="shared" si="3"/>
        <v>7.5268817204301078E-2</v>
      </c>
      <c r="D24" s="36">
        <f t="shared" si="3"/>
        <v>3.2258064516129031E-2</v>
      </c>
      <c r="E24" s="36">
        <f t="shared" si="3"/>
        <v>7.5268817204301078E-2</v>
      </c>
      <c r="F24" s="36">
        <f t="shared" si="3"/>
        <v>8.6021505376344093E-2</v>
      </c>
      <c r="G24" s="36">
        <f t="shared" si="3"/>
        <v>5.3763440860215055E-2</v>
      </c>
      <c r="H24" s="36">
        <f t="shared" si="3"/>
        <v>7.5268817204301078E-2</v>
      </c>
      <c r="I24" s="12"/>
      <c r="J24" s="88"/>
      <c r="K24" s="10">
        <v>20</v>
      </c>
      <c r="L24" s="19" t="s">
        <v>66</v>
      </c>
      <c r="M24" s="19" t="s">
        <v>26</v>
      </c>
      <c r="N24" s="19" t="s">
        <v>23</v>
      </c>
      <c r="O24" s="19" t="s">
        <v>50</v>
      </c>
      <c r="P24" s="19" t="s">
        <v>65</v>
      </c>
      <c r="Q24" s="19" t="s">
        <v>22</v>
      </c>
      <c r="S24" s="10">
        <v>7</v>
      </c>
      <c r="T24" s="10">
        <v>3</v>
      </c>
      <c r="U24" s="10">
        <v>6</v>
      </c>
      <c r="V24" s="10">
        <v>9</v>
      </c>
      <c r="W24" s="10">
        <v>10</v>
      </c>
      <c r="X24" s="10">
        <v>5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2</v>
      </c>
    </row>
    <row r="25" spans="1:31" ht="16.5" customHeight="1">
      <c r="A25" s="10" t="s">
        <v>23</v>
      </c>
      <c r="B25" s="9" t="s">
        <v>23</v>
      </c>
      <c r="C25" s="36">
        <f t="shared" si="3"/>
        <v>5.3763440860215055E-2</v>
      </c>
      <c r="D25" s="36">
        <f t="shared" si="3"/>
        <v>0.10752688172043011</v>
      </c>
      <c r="E25" s="36">
        <f t="shared" si="3"/>
        <v>0.15053763440860216</v>
      </c>
      <c r="F25" s="36">
        <f t="shared" si="3"/>
        <v>5.3763440860215055E-2</v>
      </c>
      <c r="G25" s="36">
        <f t="shared" si="3"/>
        <v>0.13978494623655913</v>
      </c>
      <c r="H25" s="36">
        <f t="shared" si="3"/>
        <v>8.0645161290322578E-2</v>
      </c>
      <c r="I25" s="12"/>
      <c r="J25" s="88"/>
      <c r="K25" s="10">
        <v>21</v>
      </c>
      <c r="L25" s="19" t="s">
        <v>66</v>
      </c>
      <c r="M25" s="19" t="s">
        <v>26</v>
      </c>
      <c r="N25" s="19" t="s">
        <v>23</v>
      </c>
      <c r="O25" s="19" t="s">
        <v>22</v>
      </c>
      <c r="P25" s="19" t="s">
        <v>65</v>
      </c>
      <c r="Q25" s="19" t="s">
        <v>63</v>
      </c>
      <c r="S25" s="10">
        <v>7</v>
      </c>
      <c r="T25" s="10">
        <v>3</v>
      </c>
      <c r="U25" s="10">
        <v>6</v>
      </c>
      <c r="V25" s="10">
        <v>5</v>
      </c>
      <c r="W25" s="10">
        <v>10</v>
      </c>
      <c r="X25" s="10">
        <v>9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2</v>
      </c>
    </row>
    <row r="26" spans="1:31" ht="16.5" customHeight="1">
      <c r="A26" s="10" t="s">
        <v>30</v>
      </c>
      <c r="B26" s="10" t="s">
        <v>30</v>
      </c>
      <c r="C26" s="36">
        <f t="shared" si="3"/>
        <v>0.12903225806451613</v>
      </c>
      <c r="D26" s="36">
        <f t="shared" si="3"/>
        <v>0.11827956989247312</v>
      </c>
      <c r="E26" s="36">
        <f t="shared" si="3"/>
        <v>0.11827956989247312</v>
      </c>
      <c r="F26" s="36">
        <f t="shared" si="3"/>
        <v>8.6021505376344093E-2</v>
      </c>
      <c r="G26" s="36">
        <f t="shared" si="3"/>
        <v>6.4516129032258063E-2</v>
      </c>
      <c r="H26" s="36">
        <f t="shared" si="3"/>
        <v>8.6021505376344093E-2</v>
      </c>
      <c r="I26" s="12"/>
      <c r="J26" s="88"/>
      <c r="K26" s="10">
        <v>22</v>
      </c>
      <c r="L26" s="19" t="s">
        <v>23</v>
      </c>
      <c r="M26" s="19" t="s">
        <v>23</v>
      </c>
      <c r="N26" s="19" t="s">
        <v>64</v>
      </c>
      <c r="O26" s="19" t="s">
        <v>22</v>
      </c>
      <c r="P26" s="19" t="s">
        <v>64</v>
      </c>
      <c r="Q26" s="19" t="s">
        <v>63</v>
      </c>
      <c r="S26" s="10">
        <v>6</v>
      </c>
      <c r="T26" s="10">
        <v>6</v>
      </c>
      <c r="U26" s="10">
        <v>8</v>
      </c>
      <c r="V26" s="10">
        <v>5</v>
      </c>
      <c r="W26" s="10">
        <v>8</v>
      </c>
      <c r="X26" s="10">
        <v>9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2</v>
      </c>
    </row>
    <row r="27" spans="1:31" ht="16.5" customHeight="1">
      <c r="A27" s="10" t="s">
        <v>31</v>
      </c>
      <c r="B27" s="10" t="s">
        <v>31</v>
      </c>
      <c r="C27" s="36">
        <f t="shared" si="3"/>
        <v>0.11827956989247312</v>
      </c>
      <c r="D27" s="36">
        <f t="shared" si="3"/>
        <v>0.12903225806451613</v>
      </c>
      <c r="E27" s="36">
        <f t="shared" si="3"/>
        <v>0.13978494623655913</v>
      </c>
      <c r="F27" s="36">
        <f t="shared" si="3"/>
        <v>0.10752688172043011</v>
      </c>
      <c r="G27" s="36">
        <f t="shared" si="3"/>
        <v>0.10752688172043011</v>
      </c>
      <c r="H27" s="36">
        <f t="shared" si="3"/>
        <v>0.16129032258064516</v>
      </c>
      <c r="I27" s="12"/>
      <c r="J27" s="88"/>
      <c r="K27" s="10">
        <v>23</v>
      </c>
      <c r="L27" s="19" t="s">
        <v>23</v>
      </c>
      <c r="M27" s="19" t="s">
        <v>23</v>
      </c>
      <c r="N27" s="19" t="s">
        <v>64</v>
      </c>
      <c r="O27" s="19" t="s">
        <v>27</v>
      </c>
      <c r="P27" s="19" t="s">
        <v>64</v>
      </c>
      <c r="Q27" s="19" t="s">
        <v>65</v>
      </c>
      <c r="S27" s="10">
        <v>6</v>
      </c>
      <c r="T27" s="10">
        <v>6</v>
      </c>
      <c r="U27" s="10">
        <v>8</v>
      </c>
      <c r="V27" s="10">
        <v>4</v>
      </c>
      <c r="W27" s="10">
        <v>8</v>
      </c>
      <c r="X27" s="10">
        <v>10</v>
      </c>
      <c r="Z27" s="37">
        <v>0</v>
      </c>
      <c r="AA27" s="37">
        <v>0</v>
      </c>
      <c r="AB27" s="37">
        <v>0</v>
      </c>
      <c r="AC27" s="37">
        <v>1</v>
      </c>
      <c r="AD27" s="37">
        <v>0</v>
      </c>
      <c r="AE27" s="37">
        <v>2</v>
      </c>
    </row>
    <row r="28" spans="1:31" ht="16.5" customHeight="1">
      <c r="A28" s="10" t="s">
        <v>32</v>
      </c>
      <c r="B28" s="10" t="s">
        <v>32</v>
      </c>
      <c r="C28" s="36">
        <f t="shared" si="3"/>
        <v>9.6774193548387094E-2</v>
      </c>
      <c r="D28" s="36">
        <f t="shared" si="3"/>
        <v>0.17204301075268819</v>
      </c>
      <c r="E28" s="36">
        <f t="shared" si="3"/>
        <v>7.5268817204301078E-2</v>
      </c>
      <c r="F28" s="36">
        <f t="shared" si="3"/>
        <v>0.20430107526881722</v>
      </c>
      <c r="G28" s="36">
        <f t="shared" si="3"/>
        <v>0.11827956989247312</v>
      </c>
      <c r="H28" s="36">
        <f t="shared" si="3"/>
        <v>0.15053763440860216</v>
      </c>
      <c r="I28" s="12"/>
      <c r="J28" s="88"/>
      <c r="K28" s="10">
        <v>24</v>
      </c>
      <c r="L28" s="19" t="s">
        <v>67</v>
      </c>
      <c r="M28" s="19" t="s">
        <v>66</v>
      </c>
      <c r="N28" s="19" t="s">
        <v>67</v>
      </c>
      <c r="O28" s="19" t="s">
        <v>27</v>
      </c>
      <c r="P28" s="19" t="s">
        <v>45</v>
      </c>
      <c r="Q28" s="19" t="s">
        <v>65</v>
      </c>
      <c r="S28" s="10">
        <v>11</v>
      </c>
      <c r="T28" s="10">
        <v>7</v>
      </c>
      <c r="U28" s="10">
        <v>11</v>
      </c>
      <c r="V28" s="10">
        <v>4</v>
      </c>
      <c r="W28" s="10">
        <v>4</v>
      </c>
      <c r="X28" s="10">
        <v>10</v>
      </c>
      <c r="Z28" s="37">
        <v>0</v>
      </c>
      <c r="AA28" s="37">
        <v>0</v>
      </c>
      <c r="AB28" s="37">
        <v>0</v>
      </c>
      <c r="AC28" s="37">
        <v>1</v>
      </c>
      <c r="AD28" s="37">
        <v>0</v>
      </c>
      <c r="AE28" s="37">
        <v>2</v>
      </c>
    </row>
    <row r="29" spans="1:31" ht="16.5" customHeight="1">
      <c r="A29" s="10" t="s">
        <v>33</v>
      </c>
      <c r="B29" s="10" t="s">
        <v>33</v>
      </c>
      <c r="C29" s="36">
        <f t="shared" si="3"/>
        <v>0.17204301075268819</v>
      </c>
      <c r="D29" s="36">
        <f t="shared" si="3"/>
        <v>0.12903225806451613</v>
      </c>
      <c r="E29" s="36">
        <f t="shared" si="3"/>
        <v>0.15053763440860216</v>
      </c>
      <c r="F29" s="36">
        <f t="shared" si="3"/>
        <v>0.12903225806451613</v>
      </c>
      <c r="G29" s="36">
        <f t="shared" si="3"/>
        <v>0.17204301075268819</v>
      </c>
      <c r="H29" s="36">
        <f t="shared" si="3"/>
        <v>0.10752688172043011</v>
      </c>
      <c r="I29" s="12"/>
      <c r="J29" s="88"/>
      <c r="K29" s="10">
        <v>25</v>
      </c>
      <c r="L29" s="19" t="s">
        <v>67</v>
      </c>
      <c r="M29" s="19" t="s">
        <v>66</v>
      </c>
      <c r="N29" s="19" t="s">
        <v>67</v>
      </c>
      <c r="O29" s="19" t="s">
        <v>64</v>
      </c>
      <c r="P29" s="19" t="s">
        <v>26</v>
      </c>
      <c r="Q29" s="19" t="s">
        <v>67</v>
      </c>
      <c r="S29" s="10">
        <v>11</v>
      </c>
      <c r="T29" s="10">
        <v>7</v>
      </c>
      <c r="U29" s="10">
        <v>11</v>
      </c>
      <c r="V29" s="10">
        <v>8</v>
      </c>
      <c r="W29" s="10">
        <v>3</v>
      </c>
      <c r="X29" s="10">
        <v>11</v>
      </c>
      <c r="Z29" s="37">
        <v>0</v>
      </c>
      <c r="AA29" s="37">
        <v>0</v>
      </c>
      <c r="AB29" s="37">
        <v>0</v>
      </c>
      <c r="AC29" s="37">
        <v>1</v>
      </c>
      <c r="AD29" s="37">
        <v>2</v>
      </c>
      <c r="AE29" s="37">
        <v>2</v>
      </c>
    </row>
    <row r="30" spans="1:31" ht="16.5" customHeight="1">
      <c r="A30" s="10" t="s">
        <v>34</v>
      </c>
      <c r="B30" s="10" t="s">
        <v>34</v>
      </c>
      <c r="C30" s="36">
        <f t="shared" si="3"/>
        <v>0.19354838709677419</v>
      </c>
      <c r="D30" s="36">
        <f t="shared" si="3"/>
        <v>0.15053763440860216</v>
      </c>
      <c r="E30" s="36">
        <f t="shared" si="3"/>
        <v>0.12903225806451613</v>
      </c>
      <c r="F30" s="36">
        <f t="shared" si="3"/>
        <v>0.17204301075268819</v>
      </c>
      <c r="G30" s="36">
        <f t="shared" si="3"/>
        <v>0.19354838709677419</v>
      </c>
      <c r="H30" s="36">
        <f t="shared" si="3"/>
        <v>0.18279569892473119</v>
      </c>
      <c r="I30" s="12"/>
      <c r="J30" s="88"/>
      <c r="K30" s="10">
        <v>26</v>
      </c>
      <c r="L30" s="19" t="s">
        <v>66</v>
      </c>
      <c r="M30" s="19" t="s">
        <v>23</v>
      </c>
      <c r="N30" s="19" t="s">
        <v>64</v>
      </c>
      <c r="O30" s="19" t="s">
        <v>64</v>
      </c>
      <c r="P30" s="19" t="s">
        <v>26</v>
      </c>
      <c r="Q30" s="19" t="s">
        <v>67</v>
      </c>
      <c r="S30" s="10">
        <v>7</v>
      </c>
      <c r="T30" s="10">
        <v>6</v>
      </c>
      <c r="U30" s="10">
        <v>8</v>
      </c>
      <c r="V30" s="10">
        <v>8</v>
      </c>
      <c r="W30" s="10">
        <v>3</v>
      </c>
      <c r="X30" s="10">
        <v>11</v>
      </c>
      <c r="Z30" s="37">
        <v>0</v>
      </c>
      <c r="AA30" s="37">
        <v>0</v>
      </c>
      <c r="AB30" s="37">
        <v>0</v>
      </c>
      <c r="AC30" s="37">
        <v>1</v>
      </c>
      <c r="AD30" s="37">
        <v>2</v>
      </c>
      <c r="AE30" s="37">
        <v>2</v>
      </c>
    </row>
    <row r="31" spans="1:31" ht="16.5" customHeight="1">
      <c r="I31" s="14"/>
      <c r="J31" s="88"/>
      <c r="K31" s="10">
        <v>27</v>
      </c>
      <c r="L31" s="19" t="s">
        <v>66</v>
      </c>
      <c r="M31" s="19" t="s">
        <v>23</v>
      </c>
      <c r="N31" s="19" t="s">
        <v>64</v>
      </c>
      <c r="O31" s="19" t="s">
        <v>24</v>
      </c>
      <c r="P31" s="19" t="s">
        <v>66</v>
      </c>
      <c r="Q31" s="19" t="s">
        <v>23</v>
      </c>
      <c r="S31" s="10">
        <v>7</v>
      </c>
      <c r="T31" s="10">
        <v>6</v>
      </c>
      <c r="U31" s="10">
        <v>8</v>
      </c>
      <c r="V31" s="10">
        <v>1</v>
      </c>
      <c r="W31" s="10">
        <v>7</v>
      </c>
      <c r="X31" s="10">
        <v>6</v>
      </c>
      <c r="Z31" s="37">
        <v>0</v>
      </c>
      <c r="AA31" s="37">
        <v>0</v>
      </c>
      <c r="AB31" s="37">
        <v>0</v>
      </c>
      <c r="AC31" s="37">
        <v>1</v>
      </c>
      <c r="AD31" s="37">
        <v>2</v>
      </c>
      <c r="AE31" s="37">
        <v>2</v>
      </c>
    </row>
    <row r="32" spans="1:31" ht="16.5" customHeight="1">
      <c r="K32" s="10">
        <v>28</v>
      </c>
      <c r="L32" s="19" t="s">
        <v>27</v>
      </c>
      <c r="M32" s="19" t="s">
        <v>63</v>
      </c>
      <c r="N32" s="19" t="s">
        <v>23</v>
      </c>
      <c r="O32" s="19" t="s">
        <v>63</v>
      </c>
      <c r="P32" s="19" t="s">
        <v>66</v>
      </c>
      <c r="Q32" s="19" t="s">
        <v>23</v>
      </c>
      <c r="S32" s="10">
        <v>4</v>
      </c>
      <c r="T32" s="10">
        <v>9</v>
      </c>
      <c r="U32" s="10">
        <v>6</v>
      </c>
      <c r="V32" s="10">
        <v>9</v>
      </c>
      <c r="W32" s="10">
        <v>7</v>
      </c>
      <c r="X32" s="10">
        <v>6</v>
      </c>
      <c r="Z32" s="37">
        <v>0</v>
      </c>
      <c r="AA32" s="37">
        <v>1</v>
      </c>
      <c r="AB32" s="37">
        <v>0</v>
      </c>
      <c r="AC32" s="37">
        <v>0</v>
      </c>
      <c r="AD32" s="37">
        <v>2</v>
      </c>
      <c r="AE32" s="37">
        <v>2</v>
      </c>
    </row>
    <row r="33" spans="11:31" ht="16.5" customHeight="1">
      <c r="K33" s="10">
        <v>29</v>
      </c>
      <c r="L33" s="19" t="s">
        <v>27</v>
      </c>
      <c r="M33" s="19" t="s">
        <v>63</v>
      </c>
      <c r="N33" s="19" t="s">
        <v>23</v>
      </c>
      <c r="O33" s="19" t="s">
        <v>63</v>
      </c>
      <c r="P33" s="19" t="s">
        <v>67</v>
      </c>
      <c r="Q33" s="19" t="s">
        <v>65</v>
      </c>
      <c r="S33" s="10">
        <v>4</v>
      </c>
      <c r="T33" s="10">
        <v>9</v>
      </c>
      <c r="U33" s="10">
        <v>6</v>
      </c>
      <c r="V33" s="10">
        <v>9</v>
      </c>
      <c r="W33" s="10">
        <v>11</v>
      </c>
      <c r="X33" s="10">
        <v>10</v>
      </c>
      <c r="Z33" s="37">
        <v>0</v>
      </c>
      <c r="AA33" s="37">
        <v>1</v>
      </c>
      <c r="AB33" s="37">
        <v>0</v>
      </c>
      <c r="AC33" s="37">
        <v>0</v>
      </c>
      <c r="AD33" s="37">
        <v>2</v>
      </c>
      <c r="AE33" s="37">
        <v>2</v>
      </c>
    </row>
    <row r="34" spans="11:31" ht="16.5" customHeight="1">
      <c r="K34" s="10">
        <v>30</v>
      </c>
      <c r="L34" s="19" t="s">
        <v>65</v>
      </c>
      <c r="M34" s="19" t="s">
        <v>64</v>
      </c>
      <c r="N34" s="19" t="s">
        <v>67</v>
      </c>
      <c r="O34" s="19" t="s">
        <v>67</v>
      </c>
      <c r="P34" s="19" t="s">
        <v>67</v>
      </c>
      <c r="Q34" s="19" t="s">
        <v>65</v>
      </c>
      <c r="S34" s="10">
        <v>10</v>
      </c>
      <c r="T34" s="10">
        <v>8</v>
      </c>
      <c r="U34" s="10">
        <v>11</v>
      </c>
      <c r="V34" s="10">
        <v>11</v>
      </c>
      <c r="W34" s="10">
        <v>11</v>
      </c>
      <c r="X34" s="10">
        <v>10</v>
      </c>
      <c r="Z34" s="37">
        <v>0</v>
      </c>
      <c r="AA34" s="37">
        <v>1</v>
      </c>
      <c r="AB34" s="37">
        <v>0</v>
      </c>
      <c r="AC34" s="37">
        <v>0</v>
      </c>
      <c r="AD34" s="37">
        <v>2</v>
      </c>
      <c r="AE34" s="37">
        <v>2</v>
      </c>
    </row>
    <row r="35" spans="11:31" ht="16.5" customHeight="1">
      <c r="K35" s="10">
        <v>31</v>
      </c>
      <c r="L35" s="19" t="s">
        <v>65</v>
      </c>
      <c r="M35" s="19" t="s">
        <v>64</v>
      </c>
      <c r="N35" s="19" t="s">
        <v>67</v>
      </c>
      <c r="O35" s="19" t="s">
        <v>67</v>
      </c>
      <c r="P35" s="19" t="s">
        <v>63</v>
      </c>
      <c r="Q35" s="19" t="s">
        <v>64</v>
      </c>
      <c r="S35" s="10">
        <v>10</v>
      </c>
      <c r="T35" s="10">
        <v>8</v>
      </c>
      <c r="U35" s="10">
        <v>11</v>
      </c>
      <c r="V35" s="10">
        <v>11</v>
      </c>
      <c r="W35" s="10">
        <v>9</v>
      </c>
      <c r="X35" s="10">
        <v>8</v>
      </c>
      <c r="Z35" s="37">
        <v>0</v>
      </c>
      <c r="AA35" s="37">
        <v>1</v>
      </c>
      <c r="AB35" s="37">
        <v>0</v>
      </c>
      <c r="AC35" s="37">
        <v>0</v>
      </c>
      <c r="AD35" s="37">
        <v>2</v>
      </c>
      <c r="AE35" s="37">
        <v>2</v>
      </c>
    </row>
    <row r="36" spans="11:31" ht="16.5" customHeight="1">
      <c r="K36" s="10">
        <v>32</v>
      </c>
      <c r="L36" s="19" t="s">
        <v>67</v>
      </c>
      <c r="M36" s="19" t="s">
        <v>24</v>
      </c>
      <c r="N36" s="19" t="s">
        <v>27</v>
      </c>
      <c r="O36" s="19" t="s">
        <v>63</v>
      </c>
      <c r="P36" s="19" t="s">
        <v>63</v>
      </c>
      <c r="Q36" s="19" t="s">
        <v>64</v>
      </c>
      <c r="S36" s="10">
        <v>11</v>
      </c>
      <c r="T36" s="10">
        <v>1</v>
      </c>
      <c r="U36" s="10">
        <v>4</v>
      </c>
      <c r="V36" s="10">
        <v>9</v>
      </c>
      <c r="W36" s="10">
        <v>9</v>
      </c>
      <c r="X36" s="10">
        <v>8</v>
      </c>
      <c r="Z36" s="37">
        <v>1</v>
      </c>
      <c r="AA36" s="37">
        <v>1</v>
      </c>
      <c r="AB36" s="37">
        <v>0</v>
      </c>
      <c r="AC36" s="37">
        <v>0</v>
      </c>
      <c r="AD36" s="37">
        <v>2</v>
      </c>
      <c r="AE36" s="37">
        <v>2</v>
      </c>
    </row>
    <row r="37" spans="11:31" ht="16.5" customHeight="1">
      <c r="K37" s="10">
        <v>33</v>
      </c>
      <c r="L37" s="19" t="s">
        <v>67</v>
      </c>
      <c r="M37" s="19" t="s">
        <v>22</v>
      </c>
      <c r="N37" s="19" t="s">
        <v>27</v>
      </c>
      <c r="O37" s="19" t="s">
        <v>63</v>
      </c>
      <c r="P37" s="19" t="s">
        <v>67</v>
      </c>
      <c r="Q37" s="19" t="s">
        <v>67</v>
      </c>
      <c r="S37" s="10">
        <v>11</v>
      </c>
      <c r="T37" s="10">
        <v>5</v>
      </c>
      <c r="U37" s="10">
        <v>4</v>
      </c>
      <c r="V37" s="10">
        <v>9</v>
      </c>
      <c r="W37" s="10">
        <v>11</v>
      </c>
      <c r="X37" s="10">
        <v>11</v>
      </c>
      <c r="Z37" s="37">
        <v>1</v>
      </c>
      <c r="AA37" s="37">
        <v>0</v>
      </c>
      <c r="AB37" s="37">
        <v>0</v>
      </c>
      <c r="AC37" s="37">
        <v>0</v>
      </c>
      <c r="AD37" s="37">
        <v>2</v>
      </c>
      <c r="AE37" s="37">
        <v>2</v>
      </c>
    </row>
    <row r="38" spans="11:31" ht="16.5" customHeight="1">
      <c r="K38" s="10">
        <v>34</v>
      </c>
      <c r="L38" s="19" t="s">
        <v>27</v>
      </c>
      <c r="M38" s="19" t="s">
        <v>22</v>
      </c>
      <c r="N38" s="19" t="s">
        <v>65</v>
      </c>
      <c r="O38" s="19" t="s">
        <v>27</v>
      </c>
      <c r="P38" s="19" t="s">
        <v>67</v>
      </c>
      <c r="Q38" s="19" t="s">
        <v>67</v>
      </c>
      <c r="S38" s="10">
        <v>4</v>
      </c>
      <c r="T38" s="10">
        <v>5</v>
      </c>
      <c r="U38" s="10">
        <v>10</v>
      </c>
      <c r="V38" s="10">
        <v>4</v>
      </c>
      <c r="W38" s="10">
        <v>11</v>
      </c>
      <c r="X38" s="10">
        <v>11</v>
      </c>
      <c r="Z38" s="37">
        <v>1</v>
      </c>
      <c r="AA38" s="37">
        <v>0</v>
      </c>
      <c r="AB38" s="37">
        <v>0</v>
      </c>
      <c r="AC38" s="37">
        <v>0</v>
      </c>
      <c r="AD38" s="37">
        <v>2</v>
      </c>
      <c r="AE38" s="37">
        <v>2</v>
      </c>
    </row>
    <row r="39" spans="11:31" ht="16.5" customHeight="1">
      <c r="K39" s="10">
        <v>35</v>
      </c>
      <c r="L39" s="19" t="s">
        <v>27</v>
      </c>
      <c r="M39" s="19" t="s">
        <v>26</v>
      </c>
      <c r="N39" s="19" t="s">
        <v>65</v>
      </c>
      <c r="O39" s="19" t="s">
        <v>27</v>
      </c>
      <c r="P39" s="19" t="s">
        <v>63</v>
      </c>
      <c r="Q39" s="19" t="s">
        <v>22</v>
      </c>
      <c r="S39" s="10">
        <v>4</v>
      </c>
      <c r="T39" s="10">
        <v>3</v>
      </c>
      <c r="U39" s="10">
        <v>10</v>
      </c>
      <c r="V39" s="10">
        <v>4</v>
      </c>
      <c r="W39" s="10">
        <v>9</v>
      </c>
      <c r="X39" s="10">
        <v>5</v>
      </c>
      <c r="Z39" s="37">
        <v>1</v>
      </c>
      <c r="AA39" s="37">
        <v>0</v>
      </c>
      <c r="AB39" s="37">
        <v>0</v>
      </c>
      <c r="AC39" s="37">
        <v>0</v>
      </c>
      <c r="AD39" s="37">
        <v>2</v>
      </c>
      <c r="AE39" s="37">
        <v>2</v>
      </c>
    </row>
    <row r="40" spans="11:31" ht="16.5" customHeight="1">
      <c r="K40" s="10">
        <v>36</v>
      </c>
      <c r="L40" s="19" t="s">
        <v>24</v>
      </c>
      <c r="M40" s="19" t="s">
        <v>26</v>
      </c>
      <c r="N40" s="19" t="s">
        <v>23</v>
      </c>
      <c r="O40" s="19" t="s">
        <v>23</v>
      </c>
      <c r="P40" s="19" t="s">
        <v>63</v>
      </c>
      <c r="Q40" s="19" t="s">
        <v>22</v>
      </c>
      <c r="S40" s="10">
        <v>1</v>
      </c>
      <c r="T40" s="10">
        <v>3</v>
      </c>
      <c r="U40" s="10">
        <v>6</v>
      </c>
      <c r="V40" s="10">
        <v>6</v>
      </c>
      <c r="W40" s="10">
        <v>9</v>
      </c>
      <c r="X40" s="10">
        <v>5</v>
      </c>
      <c r="Z40" s="37">
        <v>1</v>
      </c>
      <c r="AA40" s="37">
        <v>0</v>
      </c>
      <c r="AB40" s="37">
        <v>0</v>
      </c>
      <c r="AC40" s="37">
        <v>0</v>
      </c>
      <c r="AD40" s="37">
        <v>2</v>
      </c>
      <c r="AE40" s="37">
        <v>2</v>
      </c>
    </row>
    <row r="41" spans="11:31" ht="16.5" customHeight="1">
      <c r="K41" s="10">
        <v>37</v>
      </c>
      <c r="L41" s="19" t="s">
        <v>63</v>
      </c>
      <c r="M41" s="19" t="s">
        <v>67</v>
      </c>
      <c r="N41" s="19" t="s">
        <v>23</v>
      </c>
      <c r="O41" s="19" t="s">
        <v>23</v>
      </c>
      <c r="P41" s="19" t="s">
        <v>67</v>
      </c>
      <c r="Q41" s="19" t="s">
        <v>66</v>
      </c>
      <c r="S41" s="10">
        <v>9</v>
      </c>
      <c r="T41" s="10">
        <v>11</v>
      </c>
      <c r="U41" s="10">
        <v>6</v>
      </c>
      <c r="V41" s="10">
        <v>6</v>
      </c>
      <c r="W41" s="10">
        <v>11</v>
      </c>
      <c r="X41" s="10">
        <v>7</v>
      </c>
      <c r="Z41" s="37">
        <v>0</v>
      </c>
      <c r="AA41" s="37">
        <v>0</v>
      </c>
      <c r="AB41" s="37">
        <v>0</v>
      </c>
      <c r="AC41" s="37">
        <v>0</v>
      </c>
      <c r="AD41" s="37">
        <v>0</v>
      </c>
      <c r="AE41" s="37">
        <v>2</v>
      </c>
    </row>
    <row r="42" spans="11:31" ht="16.5" customHeight="1">
      <c r="K42" s="10">
        <v>38</v>
      </c>
      <c r="L42" s="19" t="s">
        <v>63</v>
      </c>
      <c r="M42" s="19" t="s">
        <v>67</v>
      </c>
      <c r="N42" s="19" t="s">
        <v>22</v>
      </c>
      <c r="O42" s="19" t="s">
        <v>67</v>
      </c>
      <c r="P42" s="19" t="s">
        <v>67</v>
      </c>
      <c r="Q42" s="19" t="s">
        <v>66</v>
      </c>
      <c r="S42" s="10">
        <v>9</v>
      </c>
      <c r="T42" s="10">
        <v>11</v>
      </c>
      <c r="U42" s="10">
        <v>5</v>
      </c>
      <c r="V42" s="10">
        <v>11</v>
      </c>
      <c r="W42" s="10">
        <v>11</v>
      </c>
      <c r="X42" s="10">
        <v>7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37">
        <v>2</v>
      </c>
    </row>
    <row r="43" spans="11:31" ht="16.5" customHeight="1">
      <c r="K43" s="10">
        <v>39</v>
      </c>
      <c r="L43" s="19" t="s">
        <v>65</v>
      </c>
      <c r="M43" s="19" t="s">
        <v>66</v>
      </c>
      <c r="N43" s="19" t="s">
        <v>22</v>
      </c>
      <c r="O43" s="19" t="s">
        <v>67</v>
      </c>
      <c r="P43" s="19" t="s">
        <v>66</v>
      </c>
      <c r="Q43" s="19" t="s">
        <v>26</v>
      </c>
      <c r="S43" s="10">
        <v>10</v>
      </c>
      <c r="T43" s="10">
        <v>7</v>
      </c>
      <c r="U43" s="10">
        <v>5</v>
      </c>
      <c r="V43" s="10">
        <v>11</v>
      </c>
      <c r="W43" s="10">
        <v>7</v>
      </c>
      <c r="X43" s="10">
        <v>3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2</v>
      </c>
    </row>
    <row r="44" spans="11:31" ht="16.5" customHeight="1">
      <c r="K44" s="10">
        <v>40</v>
      </c>
      <c r="L44" s="19" t="s">
        <v>65</v>
      </c>
      <c r="M44" s="19" t="s">
        <v>66</v>
      </c>
      <c r="N44" s="19" t="s">
        <v>27</v>
      </c>
      <c r="O44" s="19" t="s">
        <v>22</v>
      </c>
      <c r="P44" s="19" t="s">
        <v>66</v>
      </c>
      <c r="Q44" s="19" t="s">
        <v>26</v>
      </c>
      <c r="S44" s="10">
        <v>10</v>
      </c>
      <c r="T44" s="10">
        <v>7</v>
      </c>
      <c r="U44" s="10">
        <v>4</v>
      </c>
      <c r="V44" s="10">
        <v>5</v>
      </c>
      <c r="W44" s="10">
        <v>7</v>
      </c>
      <c r="X44" s="10">
        <v>3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2</v>
      </c>
    </row>
    <row r="45" spans="11:31" ht="16.5" customHeight="1">
      <c r="K45" s="10">
        <v>41</v>
      </c>
      <c r="L45" s="19" t="s">
        <v>23</v>
      </c>
      <c r="M45" s="19" t="s">
        <v>63</v>
      </c>
      <c r="N45" s="19" t="s">
        <v>27</v>
      </c>
      <c r="O45" s="19" t="s">
        <v>46</v>
      </c>
      <c r="P45" s="19" t="s">
        <v>45</v>
      </c>
      <c r="Q45" s="19" t="s">
        <v>23</v>
      </c>
      <c r="S45" s="10">
        <v>6</v>
      </c>
      <c r="T45" s="10">
        <v>9</v>
      </c>
      <c r="U45" s="10">
        <v>4</v>
      </c>
      <c r="V45" s="10">
        <v>5</v>
      </c>
      <c r="W45" s="10">
        <v>4</v>
      </c>
      <c r="X45" s="10">
        <v>6</v>
      </c>
      <c r="Z45" s="37">
        <v>0</v>
      </c>
      <c r="AA45" s="37">
        <v>0</v>
      </c>
      <c r="AB45" s="37">
        <v>0</v>
      </c>
      <c r="AC45" s="37">
        <v>0</v>
      </c>
      <c r="AD45" s="37">
        <v>0</v>
      </c>
      <c r="AE45" s="37">
        <v>2</v>
      </c>
    </row>
    <row r="46" spans="11:31" ht="16.5" customHeight="1">
      <c r="K46" s="10">
        <v>42</v>
      </c>
      <c r="L46" s="19" t="s">
        <v>23</v>
      </c>
      <c r="M46" s="19" t="s">
        <v>63</v>
      </c>
      <c r="N46" s="19" t="s">
        <v>65</v>
      </c>
      <c r="O46" s="19" t="s">
        <v>30</v>
      </c>
      <c r="P46" s="19" t="s">
        <v>65</v>
      </c>
      <c r="Q46" s="19" t="s">
        <v>23</v>
      </c>
      <c r="S46" s="10">
        <v>6</v>
      </c>
      <c r="T46" s="10">
        <v>9</v>
      </c>
      <c r="U46" s="10">
        <v>10</v>
      </c>
      <c r="V46" s="10">
        <v>7</v>
      </c>
      <c r="W46" s="10">
        <v>10</v>
      </c>
      <c r="X46" s="10">
        <v>6</v>
      </c>
      <c r="Z46" s="37">
        <v>0</v>
      </c>
      <c r="AA46" s="37">
        <v>0</v>
      </c>
      <c r="AB46" s="37">
        <v>0</v>
      </c>
      <c r="AC46" s="37">
        <v>0</v>
      </c>
      <c r="AD46" s="37">
        <v>2</v>
      </c>
      <c r="AE46" s="37">
        <v>2</v>
      </c>
    </row>
    <row r="47" spans="11:31" ht="16.5" customHeight="1">
      <c r="K47" s="10">
        <v>43</v>
      </c>
      <c r="L47" s="19" t="s">
        <v>64</v>
      </c>
      <c r="M47" s="19" t="s">
        <v>23</v>
      </c>
      <c r="N47" s="19" t="s">
        <v>65</v>
      </c>
      <c r="O47" s="19" t="s">
        <v>30</v>
      </c>
      <c r="P47" s="19" t="s">
        <v>65</v>
      </c>
      <c r="Q47" s="19" t="s">
        <v>65</v>
      </c>
      <c r="S47" s="10">
        <v>8</v>
      </c>
      <c r="T47" s="10">
        <v>6</v>
      </c>
      <c r="U47" s="10">
        <v>10</v>
      </c>
      <c r="V47" s="10">
        <v>7</v>
      </c>
      <c r="W47" s="10">
        <v>10</v>
      </c>
      <c r="X47" s="10">
        <v>10</v>
      </c>
      <c r="Z47" s="37">
        <v>0</v>
      </c>
      <c r="AA47" s="37">
        <v>0</v>
      </c>
      <c r="AB47" s="37">
        <v>0</v>
      </c>
      <c r="AC47" s="37">
        <v>0</v>
      </c>
      <c r="AD47" s="37">
        <v>2</v>
      </c>
      <c r="AE47" s="37">
        <v>2</v>
      </c>
    </row>
    <row r="48" spans="11:31" ht="16.5" customHeight="1">
      <c r="K48" s="10">
        <v>44</v>
      </c>
      <c r="L48" s="19" t="s">
        <v>64</v>
      </c>
      <c r="M48" s="19" t="s">
        <v>23</v>
      </c>
      <c r="N48" s="19" t="s">
        <v>23</v>
      </c>
      <c r="O48" s="19" t="s">
        <v>46</v>
      </c>
      <c r="P48" s="19" t="s">
        <v>23</v>
      </c>
      <c r="Q48" s="19" t="s">
        <v>65</v>
      </c>
      <c r="S48" s="10">
        <v>8</v>
      </c>
      <c r="T48" s="10">
        <v>6</v>
      </c>
      <c r="U48" s="10">
        <v>6</v>
      </c>
      <c r="V48" s="10">
        <v>5</v>
      </c>
      <c r="W48" s="10">
        <v>6</v>
      </c>
      <c r="X48" s="10">
        <v>10</v>
      </c>
      <c r="Z48" s="37">
        <v>0</v>
      </c>
      <c r="AA48" s="37">
        <v>0</v>
      </c>
      <c r="AB48" s="37">
        <v>0</v>
      </c>
      <c r="AC48" s="37">
        <v>0</v>
      </c>
      <c r="AD48" s="37">
        <v>2</v>
      </c>
      <c r="AE48" s="37">
        <v>2</v>
      </c>
    </row>
    <row r="49" spans="11:31" ht="16.5" customHeight="1">
      <c r="K49" s="10">
        <v>45</v>
      </c>
      <c r="L49" s="19" t="s">
        <v>63</v>
      </c>
      <c r="M49" s="19" t="s">
        <v>65</v>
      </c>
      <c r="N49" s="19" t="s">
        <v>23</v>
      </c>
      <c r="O49" s="19" t="s">
        <v>22</v>
      </c>
      <c r="P49" s="19" t="s">
        <v>23</v>
      </c>
      <c r="Q49" s="19" t="s">
        <v>23</v>
      </c>
      <c r="S49" s="10">
        <v>9</v>
      </c>
      <c r="T49" s="10">
        <v>10</v>
      </c>
      <c r="U49" s="10">
        <v>6</v>
      </c>
      <c r="V49" s="10">
        <v>5</v>
      </c>
      <c r="W49" s="10">
        <v>6</v>
      </c>
      <c r="X49" s="10">
        <v>6</v>
      </c>
      <c r="Z49" s="37">
        <v>0</v>
      </c>
      <c r="AA49" s="37">
        <v>0</v>
      </c>
      <c r="AB49" s="37">
        <v>0</v>
      </c>
      <c r="AC49" s="37">
        <v>0</v>
      </c>
      <c r="AD49" s="37">
        <v>2</v>
      </c>
      <c r="AE49" s="37">
        <v>2</v>
      </c>
    </row>
    <row r="50" spans="11:31" ht="16.5" customHeight="1">
      <c r="K50" s="10">
        <v>46</v>
      </c>
      <c r="L50" s="19" t="s">
        <v>63</v>
      </c>
      <c r="M50" s="19" t="s">
        <v>65</v>
      </c>
      <c r="N50" s="19" t="s">
        <v>26</v>
      </c>
      <c r="O50" s="19" t="s">
        <v>65</v>
      </c>
      <c r="P50" s="19" t="s">
        <v>67</v>
      </c>
      <c r="Q50" s="19" t="s">
        <v>23</v>
      </c>
      <c r="S50" s="10">
        <v>9</v>
      </c>
      <c r="T50" s="10">
        <v>10</v>
      </c>
      <c r="U50" s="10">
        <v>3</v>
      </c>
      <c r="V50" s="10">
        <v>10</v>
      </c>
      <c r="W50" s="10">
        <v>11</v>
      </c>
      <c r="X50" s="10">
        <v>6</v>
      </c>
      <c r="Z50" s="37">
        <v>0</v>
      </c>
      <c r="AA50" s="37">
        <v>0</v>
      </c>
      <c r="AB50" s="37">
        <v>1</v>
      </c>
      <c r="AC50" s="37">
        <v>1</v>
      </c>
      <c r="AD50" s="37">
        <v>2</v>
      </c>
      <c r="AE50" s="37">
        <v>2</v>
      </c>
    </row>
    <row r="51" spans="11:31" ht="16.5" customHeight="1">
      <c r="K51" s="10">
        <v>47</v>
      </c>
      <c r="L51" s="19" t="s">
        <v>65</v>
      </c>
      <c r="M51" s="19" t="s">
        <v>26</v>
      </c>
      <c r="N51" s="19" t="s">
        <v>26</v>
      </c>
      <c r="O51" s="19" t="s">
        <v>65</v>
      </c>
      <c r="P51" s="19" t="s">
        <v>67</v>
      </c>
      <c r="Q51" s="19" t="s">
        <v>67</v>
      </c>
      <c r="S51" s="10">
        <v>10</v>
      </c>
      <c r="T51" s="10">
        <v>3</v>
      </c>
      <c r="U51" s="10">
        <v>3</v>
      </c>
      <c r="V51" s="10">
        <v>10</v>
      </c>
      <c r="W51" s="10">
        <v>11</v>
      </c>
      <c r="X51" s="10">
        <v>11</v>
      </c>
      <c r="Z51" s="37">
        <v>0</v>
      </c>
      <c r="AA51" s="37">
        <v>0</v>
      </c>
      <c r="AB51" s="37">
        <v>1</v>
      </c>
      <c r="AC51" s="37">
        <v>1</v>
      </c>
      <c r="AD51" s="37">
        <v>2</v>
      </c>
      <c r="AE51" s="37">
        <v>2</v>
      </c>
    </row>
    <row r="52" spans="11:31" ht="16.5" customHeight="1">
      <c r="K52" s="10">
        <v>48</v>
      </c>
      <c r="L52" s="19" t="s">
        <v>65</v>
      </c>
      <c r="M52" s="19" t="s">
        <v>26</v>
      </c>
      <c r="N52" s="19" t="s">
        <v>22</v>
      </c>
      <c r="O52" s="19" t="s">
        <v>64</v>
      </c>
      <c r="P52" s="19" t="s">
        <v>22</v>
      </c>
      <c r="Q52" s="19" t="s">
        <v>67</v>
      </c>
      <c r="S52" s="10">
        <v>10</v>
      </c>
      <c r="T52" s="10">
        <v>3</v>
      </c>
      <c r="U52" s="10">
        <v>5</v>
      </c>
      <c r="V52" s="10">
        <v>8</v>
      </c>
      <c r="W52" s="10">
        <v>5</v>
      </c>
      <c r="X52" s="10">
        <v>11</v>
      </c>
      <c r="Z52" s="37">
        <v>0</v>
      </c>
      <c r="AA52" s="37">
        <v>0</v>
      </c>
      <c r="AB52" s="37">
        <v>1</v>
      </c>
      <c r="AC52" s="37">
        <v>1</v>
      </c>
      <c r="AD52" s="37">
        <v>2</v>
      </c>
      <c r="AE52" s="37">
        <v>2</v>
      </c>
    </row>
    <row r="53" spans="11:31" ht="16.5" customHeight="1">
      <c r="K53" s="10">
        <v>49</v>
      </c>
      <c r="L53" s="19" t="s">
        <v>67</v>
      </c>
      <c r="M53" s="19" t="s">
        <v>67</v>
      </c>
      <c r="N53" s="19" t="s">
        <v>22</v>
      </c>
      <c r="O53" s="19" t="s">
        <v>64</v>
      </c>
      <c r="P53" s="19" t="s">
        <v>22</v>
      </c>
      <c r="Q53" s="19" t="s">
        <v>26</v>
      </c>
      <c r="S53" s="10">
        <v>11</v>
      </c>
      <c r="T53" s="10">
        <v>11</v>
      </c>
      <c r="U53" s="10">
        <v>5</v>
      </c>
      <c r="V53" s="10">
        <v>8</v>
      </c>
      <c r="W53" s="10">
        <v>5</v>
      </c>
      <c r="X53" s="10">
        <v>3</v>
      </c>
      <c r="Z53" s="37">
        <v>1</v>
      </c>
      <c r="AA53" s="37">
        <v>0</v>
      </c>
      <c r="AB53" s="37">
        <v>1</v>
      </c>
      <c r="AC53" s="37">
        <v>1</v>
      </c>
      <c r="AD53" s="37">
        <v>2</v>
      </c>
      <c r="AE53" s="37">
        <v>2</v>
      </c>
    </row>
    <row r="54" spans="11:31" ht="16.5" customHeight="1">
      <c r="K54" s="10">
        <v>50</v>
      </c>
      <c r="L54" s="19" t="s">
        <v>67</v>
      </c>
      <c r="M54" s="19" t="s">
        <v>67</v>
      </c>
      <c r="N54" s="19" t="s">
        <v>24</v>
      </c>
      <c r="O54" s="19" t="s">
        <v>24</v>
      </c>
      <c r="P54" s="19" t="s">
        <v>63</v>
      </c>
      <c r="Q54" s="19" t="s">
        <v>26</v>
      </c>
      <c r="S54" s="10">
        <v>11</v>
      </c>
      <c r="T54" s="10">
        <v>11</v>
      </c>
      <c r="U54" s="10">
        <v>1</v>
      </c>
      <c r="V54" s="10">
        <v>1</v>
      </c>
      <c r="W54" s="10">
        <v>9</v>
      </c>
      <c r="X54" s="10">
        <v>3</v>
      </c>
      <c r="Z54" s="37">
        <v>1</v>
      </c>
      <c r="AA54" s="37">
        <v>0</v>
      </c>
      <c r="AB54" s="37">
        <v>1</v>
      </c>
      <c r="AC54" s="37">
        <v>1</v>
      </c>
      <c r="AD54" s="37">
        <v>2</v>
      </c>
      <c r="AE54" s="37">
        <v>2</v>
      </c>
    </row>
    <row r="55" spans="11:31" ht="16.5" customHeight="1">
      <c r="K55" s="10">
        <v>51</v>
      </c>
      <c r="L55" s="19" t="s">
        <v>66</v>
      </c>
      <c r="M55" s="19" t="s">
        <v>63</v>
      </c>
      <c r="N55" s="19" t="s">
        <v>65</v>
      </c>
      <c r="O55" s="19" t="s">
        <v>26</v>
      </c>
      <c r="P55" s="19" t="s">
        <v>63</v>
      </c>
      <c r="Q55" s="19" t="s">
        <v>67</v>
      </c>
      <c r="S55" s="10">
        <v>7</v>
      </c>
      <c r="T55" s="10">
        <v>9</v>
      </c>
      <c r="U55" s="10">
        <v>10</v>
      </c>
      <c r="V55" s="10">
        <v>3</v>
      </c>
      <c r="W55" s="10">
        <v>9</v>
      </c>
      <c r="X55" s="10">
        <v>11</v>
      </c>
      <c r="Z55" s="37">
        <v>1</v>
      </c>
      <c r="AA55" s="37">
        <v>0</v>
      </c>
      <c r="AB55" s="37">
        <v>0</v>
      </c>
      <c r="AC55" s="37">
        <v>0</v>
      </c>
      <c r="AD55" s="37">
        <v>2</v>
      </c>
      <c r="AE55" s="37">
        <v>2</v>
      </c>
    </row>
    <row r="56" spans="11:31" ht="16.5" customHeight="1">
      <c r="K56" s="10">
        <v>52</v>
      </c>
      <c r="L56" s="19" t="s">
        <v>66</v>
      </c>
      <c r="M56" s="19" t="s">
        <v>63</v>
      </c>
      <c r="N56" s="19" t="s">
        <v>65</v>
      </c>
      <c r="O56" s="19" t="s">
        <v>26</v>
      </c>
      <c r="P56" s="19" t="s">
        <v>26</v>
      </c>
      <c r="Q56" s="19" t="s">
        <v>67</v>
      </c>
      <c r="S56" s="10">
        <v>7</v>
      </c>
      <c r="T56" s="10">
        <v>9</v>
      </c>
      <c r="U56" s="10">
        <v>10</v>
      </c>
      <c r="V56" s="10">
        <v>3</v>
      </c>
      <c r="W56" s="10">
        <v>3</v>
      </c>
      <c r="X56" s="10">
        <v>11</v>
      </c>
      <c r="Z56" s="37">
        <v>1</v>
      </c>
      <c r="AA56" s="37">
        <v>0</v>
      </c>
      <c r="AB56" s="37">
        <v>0</v>
      </c>
      <c r="AC56" s="37">
        <v>0</v>
      </c>
      <c r="AD56" s="37">
        <v>2</v>
      </c>
      <c r="AE56" s="37">
        <v>2</v>
      </c>
    </row>
    <row r="57" spans="11:31" ht="16.5" customHeight="1">
      <c r="K57" s="10">
        <v>53</v>
      </c>
      <c r="L57" s="19" t="s">
        <v>24</v>
      </c>
      <c r="M57" s="19" t="s">
        <v>66</v>
      </c>
      <c r="N57" s="19" t="s">
        <v>67</v>
      </c>
      <c r="O57" s="19" t="s">
        <v>67</v>
      </c>
      <c r="P57" s="19" t="s">
        <v>26</v>
      </c>
      <c r="Q57" s="19" t="s">
        <v>26</v>
      </c>
      <c r="S57" s="10">
        <v>1</v>
      </c>
      <c r="T57" s="10">
        <v>7</v>
      </c>
      <c r="U57" s="10">
        <v>11</v>
      </c>
      <c r="V57" s="10">
        <v>11</v>
      </c>
      <c r="W57" s="10">
        <v>3</v>
      </c>
      <c r="X57" s="10">
        <v>3</v>
      </c>
      <c r="Z57" s="37">
        <v>1</v>
      </c>
      <c r="AA57" s="37">
        <v>0</v>
      </c>
      <c r="AB57" s="37">
        <v>0</v>
      </c>
      <c r="AC57" s="37">
        <v>0</v>
      </c>
      <c r="AD57" s="37">
        <v>2</v>
      </c>
      <c r="AE57" s="37">
        <v>2</v>
      </c>
    </row>
    <row r="58" spans="11:31" ht="16.5" customHeight="1">
      <c r="K58" s="10">
        <v>54</v>
      </c>
      <c r="L58" s="19" t="s">
        <v>22</v>
      </c>
      <c r="M58" s="19" t="s">
        <v>66</v>
      </c>
      <c r="N58" s="19" t="s">
        <v>67</v>
      </c>
      <c r="O58" s="19" t="s">
        <v>67</v>
      </c>
      <c r="P58" s="19" t="s">
        <v>63</v>
      </c>
      <c r="Q58" s="19" t="s">
        <v>26</v>
      </c>
      <c r="S58" s="10">
        <v>5</v>
      </c>
      <c r="T58" s="10">
        <v>7</v>
      </c>
      <c r="U58" s="10">
        <v>11</v>
      </c>
      <c r="V58" s="10">
        <v>11</v>
      </c>
      <c r="W58" s="10">
        <v>9</v>
      </c>
      <c r="X58" s="10">
        <v>3</v>
      </c>
      <c r="Z58" s="37">
        <v>0</v>
      </c>
      <c r="AA58" s="37">
        <v>0</v>
      </c>
      <c r="AB58" s="37">
        <v>0</v>
      </c>
      <c r="AC58" s="37">
        <v>0</v>
      </c>
      <c r="AD58" s="37">
        <v>2</v>
      </c>
      <c r="AE58" s="37">
        <v>2</v>
      </c>
    </row>
    <row r="59" spans="11:31" ht="16.5" customHeight="1">
      <c r="K59" s="10">
        <v>55</v>
      </c>
      <c r="L59" s="19" t="s">
        <v>22</v>
      </c>
      <c r="M59" s="19" t="s">
        <v>64</v>
      </c>
      <c r="N59" s="19" t="s">
        <v>64</v>
      </c>
      <c r="O59" s="19" t="s">
        <v>64</v>
      </c>
      <c r="P59" s="19" t="s">
        <v>63</v>
      </c>
      <c r="Q59" s="19" t="s">
        <v>23</v>
      </c>
      <c r="S59" s="10">
        <v>5</v>
      </c>
      <c r="T59" s="10">
        <v>8</v>
      </c>
      <c r="U59" s="10">
        <v>8</v>
      </c>
      <c r="V59" s="10">
        <v>8</v>
      </c>
      <c r="W59" s="10">
        <v>9</v>
      </c>
      <c r="X59" s="10">
        <v>6</v>
      </c>
      <c r="Z59" s="37">
        <v>0</v>
      </c>
      <c r="AA59" s="37">
        <v>0</v>
      </c>
      <c r="AB59" s="37">
        <v>1</v>
      </c>
      <c r="AC59" s="37">
        <v>0</v>
      </c>
      <c r="AD59" s="37">
        <v>2</v>
      </c>
      <c r="AE59" s="37">
        <v>2</v>
      </c>
    </row>
    <row r="60" spans="11:31" ht="16.5" customHeight="1">
      <c r="K60" s="10">
        <v>56</v>
      </c>
      <c r="L60" s="19" t="s">
        <v>66</v>
      </c>
      <c r="M60" s="19" t="s">
        <v>64</v>
      </c>
      <c r="N60" s="19" t="s">
        <v>64</v>
      </c>
      <c r="O60" s="19" t="s">
        <v>64</v>
      </c>
      <c r="P60" s="19" t="s">
        <v>67</v>
      </c>
      <c r="Q60" s="19" t="s">
        <v>23</v>
      </c>
      <c r="S60" s="10">
        <v>7</v>
      </c>
      <c r="T60" s="10">
        <v>8</v>
      </c>
      <c r="U60" s="10">
        <v>8</v>
      </c>
      <c r="V60" s="10">
        <v>8</v>
      </c>
      <c r="W60" s="10">
        <v>11</v>
      </c>
      <c r="X60" s="10">
        <v>6</v>
      </c>
      <c r="Z60" s="37">
        <v>0</v>
      </c>
      <c r="AA60" s="37">
        <v>0</v>
      </c>
      <c r="AB60" s="37">
        <v>1</v>
      </c>
      <c r="AC60" s="37">
        <v>0</v>
      </c>
      <c r="AD60" s="37">
        <v>2</v>
      </c>
      <c r="AE60" s="37">
        <v>2</v>
      </c>
    </row>
    <row r="61" spans="11:31">
      <c r="K61" s="10">
        <v>57</v>
      </c>
      <c r="L61" s="19" t="s">
        <v>66</v>
      </c>
      <c r="M61" s="19" t="s">
        <v>65</v>
      </c>
      <c r="N61" s="19" t="s">
        <v>65</v>
      </c>
      <c r="O61" s="19" t="s">
        <v>67</v>
      </c>
      <c r="P61" s="19" t="s">
        <v>67</v>
      </c>
      <c r="Q61" s="19" t="s">
        <v>27</v>
      </c>
      <c r="S61" s="10">
        <v>7</v>
      </c>
      <c r="T61" s="10">
        <v>10</v>
      </c>
      <c r="U61" s="10">
        <v>10</v>
      </c>
      <c r="V61" s="10">
        <v>11</v>
      </c>
      <c r="W61" s="10">
        <v>11</v>
      </c>
      <c r="X61" s="10">
        <v>4</v>
      </c>
      <c r="Z61" s="37">
        <v>0</v>
      </c>
      <c r="AA61" s="37">
        <v>0</v>
      </c>
      <c r="AB61" s="37">
        <v>1</v>
      </c>
      <c r="AC61" s="37">
        <v>0</v>
      </c>
      <c r="AD61" s="37">
        <v>2</v>
      </c>
      <c r="AE61" s="37">
        <v>0</v>
      </c>
    </row>
    <row r="62" spans="11:31">
      <c r="K62" s="10">
        <v>58</v>
      </c>
      <c r="L62" s="19" t="s">
        <v>65</v>
      </c>
      <c r="M62" s="19" t="s">
        <v>65</v>
      </c>
      <c r="N62" s="19" t="s">
        <v>65</v>
      </c>
      <c r="O62" s="19" t="s">
        <v>67</v>
      </c>
      <c r="P62" s="19" t="s">
        <v>65</v>
      </c>
      <c r="Q62" s="19" t="s">
        <v>27</v>
      </c>
      <c r="S62" s="10">
        <v>10</v>
      </c>
      <c r="T62" s="10">
        <v>10</v>
      </c>
      <c r="U62" s="10">
        <v>10</v>
      </c>
      <c r="V62" s="10">
        <v>11</v>
      </c>
      <c r="W62" s="10">
        <v>10</v>
      </c>
      <c r="X62" s="10">
        <v>4</v>
      </c>
      <c r="Z62" s="37">
        <v>0</v>
      </c>
      <c r="AA62" s="37">
        <v>0</v>
      </c>
      <c r="AB62" s="37">
        <v>1</v>
      </c>
      <c r="AC62" s="37">
        <v>0</v>
      </c>
      <c r="AD62" s="37">
        <v>2</v>
      </c>
      <c r="AE62" s="37">
        <v>0</v>
      </c>
    </row>
    <row r="63" spans="11:31" ht="16.5" customHeight="1">
      <c r="K63" s="10">
        <v>59</v>
      </c>
      <c r="L63" s="19" t="s">
        <v>65</v>
      </c>
      <c r="M63" s="19" t="s">
        <v>23</v>
      </c>
      <c r="N63" s="19" t="s">
        <v>24</v>
      </c>
      <c r="O63" s="19" t="s">
        <v>65</v>
      </c>
      <c r="P63" s="19" t="s">
        <v>65</v>
      </c>
      <c r="Q63" s="19" t="s">
        <v>66</v>
      </c>
      <c r="S63" s="10">
        <v>10</v>
      </c>
      <c r="T63" s="10">
        <v>6</v>
      </c>
      <c r="U63" s="10">
        <v>1</v>
      </c>
      <c r="V63" s="10">
        <v>10</v>
      </c>
      <c r="W63" s="10">
        <v>10</v>
      </c>
      <c r="X63" s="10">
        <v>7</v>
      </c>
      <c r="Z63" s="37">
        <v>0</v>
      </c>
      <c r="AA63" s="37">
        <v>0</v>
      </c>
      <c r="AB63" s="37">
        <v>1</v>
      </c>
      <c r="AC63" s="37">
        <v>0</v>
      </c>
      <c r="AD63" s="37">
        <v>2</v>
      </c>
      <c r="AE63" s="37">
        <v>0</v>
      </c>
    </row>
    <row r="64" spans="11:31" ht="16.5" customHeight="1">
      <c r="K64" s="10">
        <v>60</v>
      </c>
      <c r="L64" s="19" t="s">
        <v>64</v>
      </c>
      <c r="M64" s="19" t="s">
        <v>23</v>
      </c>
      <c r="N64" s="19" t="s">
        <v>23</v>
      </c>
      <c r="O64" s="19" t="s">
        <v>65</v>
      </c>
      <c r="P64" s="19" t="s">
        <v>22</v>
      </c>
      <c r="Q64" s="19" t="s">
        <v>66</v>
      </c>
      <c r="S64" s="10">
        <v>8</v>
      </c>
      <c r="T64" s="10">
        <v>6</v>
      </c>
      <c r="U64" s="10">
        <v>6</v>
      </c>
      <c r="V64" s="10">
        <v>10</v>
      </c>
      <c r="W64" s="10">
        <v>5</v>
      </c>
      <c r="X64" s="10">
        <v>7</v>
      </c>
      <c r="Z64" s="37">
        <v>0</v>
      </c>
      <c r="AA64" s="37">
        <v>0</v>
      </c>
      <c r="AB64" s="37">
        <v>0</v>
      </c>
      <c r="AC64" s="37">
        <v>0</v>
      </c>
      <c r="AD64" s="37">
        <v>0</v>
      </c>
      <c r="AE64" s="37">
        <v>0</v>
      </c>
    </row>
    <row r="65" spans="11:31" ht="16.5" customHeight="1">
      <c r="K65" s="10">
        <v>61</v>
      </c>
      <c r="L65" s="19" t="s">
        <v>64</v>
      </c>
      <c r="M65" s="19" t="s">
        <v>26</v>
      </c>
      <c r="N65" s="19" t="s">
        <v>47</v>
      </c>
      <c r="O65" s="19" t="s">
        <v>64</v>
      </c>
      <c r="P65" s="19" t="s">
        <v>22</v>
      </c>
      <c r="Q65" s="19" t="s">
        <v>47</v>
      </c>
      <c r="S65" s="10">
        <v>8</v>
      </c>
      <c r="T65" s="10">
        <v>3</v>
      </c>
      <c r="U65" s="10">
        <v>6</v>
      </c>
      <c r="V65" s="10">
        <v>8</v>
      </c>
      <c r="W65" s="10">
        <v>5</v>
      </c>
      <c r="X65" s="10">
        <v>6</v>
      </c>
      <c r="Z65" s="37">
        <v>0</v>
      </c>
      <c r="AA65" s="37">
        <v>0</v>
      </c>
      <c r="AB65" s="37">
        <v>0</v>
      </c>
      <c r="AC65" s="37">
        <v>0</v>
      </c>
      <c r="AD65" s="37">
        <v>0</v>
      </c>
      <c r="AE65" s="37">
        <v>0</v>
      </c>
    </row>
    <row r="66" spans="11:31" ht="16.5" customHeight="1">
      <c r="K66" s="10">
        <v>62</v>
      </c>
      <c r="L66" s="19" t="s">
        <v>67</v>
      </c>
      <c r="M66" s="19" t="s">
        <v>26</v>
      </c>
      <c r="N66" s="19" t="s">
        <v>66</v>
      </c>
      <c r="O66" s="19" t="s">
        <v>64</v>
      </c>
      <c r="P66" s="19" t="s">
        <v>67</v>
      </c>
      <c r="Q66" s="19" t="s">
        <v>64</v>
      </c>
      <c r="S66" s="10">
        <v>11</v>
      </c>
      <c r="T66" s="10">
        <v>3</v>
      </c>
      <c r="U66" s="10">
        <v>7</v>
      </c>
      <c r="V66" s="10">
        <v>8</v>
      </c>
      <c r="W66" s="10">
        <v>11</v>
      </c>
      <c r="X66" s="10">
        <v>8</v>
      </c>
      <c r="Z66" s="37">
        <v>0</v>
      </c>
      <c r="AA66" s="37">
        <v>0</v>
      </c>
      <c r="AB66" s="37">
        <v>0</v>
      </c>
      <c r="AC66" s="37">
        <v>0</v>
      </c>
      <c r="AD66" s="37">
        <v>0</v>
      </c>
      <c r="AE66" s="37">
        <v>2</v>
      </c>
    </row>
    <row r="67" spans="11:31" ht="16.5" customHeight="1">
      <c r="K67" s="10">
        <v>63</v>
      </c>
      <c r="L67" s="19" t="s">
        <v>67</v>
      </c>
      <c r="M67" s="19" t="s">
        <v>63</v>
      </c>
      <c r="N67" s="19" t="s">
        <v>66</v>
      </c>
      <c r="O67" s="19" t="s">
        <v>67</v>
      </c>
      <c r="P67" s="19" t="s">
        <v>67</v>
      </c>
      <c r="Q67" s="19" t="s">
        <v>49</v>
      </c>
      <c r="S67" s="10">
        <v>11</v>
      </c>
      <c r="T67" s="10">
        <v>9</v>
      </c>
      <c r="U67" s="10">
        <v>7</v>
      </c>
      <c r="V67" s="10">
        <v>11</v>
      </c>
      <c r="W67" s="10">
        <v>11</v>
      </c>
      <c r="X67" s="10">
        <v>8</v>
      </c>
      <c r="Z67" s="37">
        <v>0</v>
      </c>
      <c r="AA67" s="37">
        <v>1</v>
      </c>
      <c r="AB67" s="37">
        <v>0</v>
      </c>
      <c r="AC67" s="37">
        <v>0</v>
      </c>
      <c r="AD67" s="37">
        <v>0</v>
      </c>
      <c r="AE67" s="37">
        <v>2</v>
      </c>
    </row>
    <row r="68" spans="11:31" ht="16.5" customHeight="1">
      <c r="K68" s="10">
        <v>64</v>
      </c>
      <c r="L68" s="19" t="s">
        <v>64</v>
      </c>
      <c r="M68" s="19" t="s">
        <v>63</v>
      </c>
      <c r="N68" s="19" t="s">
        <v>64</v>
      </c>
      <c r="O68" s="19" t="s">
        <v>67</v>
      </c>
      <c r="P68" s="19" t="s">
        <v>45</v>
      </c>
      <c r="Q68" s="19" t="s">
        <v>47</v>
      </c>
      <c r="S68" s="10">
        <v>8</v>
      </c>
      <c r="T68" s="10">
        <v>9</v>
      </c>
      <c r="U68" s="10">
        <v>8</v>
      </c>
      <c r="V68" s="10">
        <v>11</v>
      </c>
      <c r="W68" s="10">
        <v>4</v>
      </c>
      <c r="X68" s="10">
        <v>6</v>
      </c>
      <c r="Z68" s="37">
        <v>0</v>
      </c>
      <c r="AA68" s="37">
        <v>1</v>
      </c>
      <c r="AB68" s="37">
        <v>0</v>
      </c>
      <c r="AC68" s="37">
        <v>0</v>
      </c>
      <c r="AD68" s="37">
        <v>0</v>
      </c>
      <c r="AE68" s="37">
        <v>2</v>
      </c>
    </row>
    <row r="69" spans="11:31" ht="16.5" customHeight="1">
      <c r="K69" s="10">
        <v>65</v>
      </c>
      <c r="L69" s="19" t="s">
        <v>64</v>
      </c>
      <c r="M69" s="19" t="s">
        <v>65</v>
      </c>
      <c r="N69" s="19" t="s">
        <v>64</v>
      </c>
      <c r="O69" s="19" t="s">
        <v>26</v>
      </c>
      <c r="P69" s="19" t="s">
        <v>65</v>
      </c>
      <c r="Q69" s="19" t="s">
        <v>23</v>
      </c>
      <c r="S69" s="10">
        <v>8</v>
      </c>
      <c r="T69" s="10">
        <v>10</v>
      </c>
      <c r="U69" s="10">
        <v>8</v>
      </c>
      <c r="V69" s="10">
        <v>3</v>
      </c>
      <c r="W69" s="10">
        <v>10</v>
      </c>
      <c r="X69" s="10">
        <v>6</v>
      </c>
      <c r="Z69" s="37">
        <v>0</v>
      </c>
      <c r="AA69" s="37">
        <v>1</v>
      </c>
      <c r="AB69" s="37">
        <v>0</v>
      </c>
      <c r="AC69" s="37">
        <v>0</v>
      </c>
      <c r="AD69" s="37">
        <v>2</v>
      </c>
      <c r="AE69" s="37">
        <v>2</v>
      </c>
    </row>
    <row r="70" spans="11:31" ht="16.5" customHeight="1">
      <c r="K70" s="10">
        <v>66</v>
      </c>
      <c r="L70" s="19" t="s">
        <v>46</v>
      </c>
      <c r="M70" s="19" t="s">
        <v>65</v>
      </c>
      <c r="N70" s="19" t="s">
        <v>66</v>
      </c>
      <c r="O70" s="19" t="s">
        <v>26</v>
      </c>
      <c r="P70" s="19" t="s">
        <v>65</v>
      </c>
      <c r="Q70" s="19" t="s">
        <v>64</v>
      </c>
      <c r="S70" s="10">
        <v>5</v>
      </c>
      <c r="T70" s="10">
        <v>10</v>
      </c>
      <c r="U70" s="10">
        <v>7</v>
      </c>
      <c r="V70" s="10">
        <v>3</v>
      </c>
      <c r="W70" s="10">
        <v>10</v>
      </c>
      <c r="X70" s="10">
        <v>8</v>
      </c>
      <c r="Z70" s="37">
        <v>1</v>
      </c>
      <c r="AA70" s="37">
        <v>1</v>
      </c>
      <c r="AB70" s="37">
        <v>0</v>
      </c>
      <c r="AC70" s="37">
        <v>0</v>
      </c>
      <c r="AD70" s="37">
        <v>2</v>
      </c>
      <c r="AE70" s="37">
        <v>2</v>
      </c>
    </row>
    <row r="71" spans="11:31" ht="16.5" customHeight="1">
      <c r="K71" s="10">
        <v>67</v>
      </c>
      <c r="L71" s="19" t="s">
        <v>22</v>
      </c>
      <c r="M71" s="19" t="s">
        <v>24</v>
      </c>
      <c r="N71" s="19" t="s">
        <v>66</v>
      </c>
      <c r="O71" s="19" t="s">
        <v>63</v>
      </c>
      <c r="P71" s="19" t="s">
        <v>66</v>
      </c>
      <c r="Q71" s="19" t="s">
        <v>64</v>
      </c>
      <c r="S71" s="10">
        <v>5</v>
      </c>
      <c r="T71" s="10">
        <v>1</v>
      </c>
      <c r="U71" s="10">
        <v>7</v>
      </c>
      <c r="V71" s="10">
        <v>9</v>
      </c>
      <c r="W71" s="10">
        <v>7</v>
      </c>
      <c r="X71" s="10">
        <v>8</v>
      </c>
      <c r="Z71" s="37">
        <v>1</v>
      </c>
      <c r="AA71" s="37">
        <v>1</v>
      </c>
      <c r="AB71" s="37">
        <v>0</v>
      </c>
      <c r="AC71" s="37">
        <v>0</v>
      </c>
      <c r="AD71" s="37">
        <v>2</v>
      </c>
      <c r="AE71" s="37">
        <v>2</v>
      </c>
    </row>
    <row r="72" spans="11:31" ht="16.5" customHeight="1">
      <c r="K72" s="10">
        <v>68</v>
      </c>
      <c r="L72" s="19" t="s">
        <v>64</v>
      </c>
      <c r="M72" s="19" t="s">
        <v>22</v>
      </c>
      <c r="N72" s="19" t="s">
        <v>23</v>
      </c>
      <c r="O72" s="19" t="s">
        <v>63</v>
      </c>
      <c r="P72" s="19" t="s">
        <v>66</v>
      </c>
      <c r="Q72" s="19" t="s">
        <v>67</v>
      </c>
      <c r="S72" s="10">
        <v>8</v>
      </c>
      <c r="T72" s="10">
        <v>5</v>
      </c>
      <c r="U72" s="10">
        <v>6</v>
      </c>
      <c r="V72" s="10">
        <v>9</v>
      </c>
      <c r="W72" s="10">
        <v>7</v>
      </c>
      <c r="X72" s="10">
        <v>11</v>
      </c>
      <c r="Z72" s="37">
        <v>1</v>
      </c>
      <c r="AA72" s="37">
        <v>0</v>
      </c>
      <c r="AB72" s="37">
        <v>0</v>
      </c>
      <c r="AC72" s="37">
        <v>0</v>
      </c>
      <c r="AD72" s="37">
        <v>2</v>
      </c>
      <c r="AE72" s="37">
        <v>2</v>
      </c>
    </row>
    <row r="73" spans="11:31" ht="16.5" customHeight="1">
      <c r="K73" s="10">
        <v>69</v>
      </c>
      <c r="L73" s="19" t="s">
        <v>64</v>
      </c>
      <c r="M73" s="19" t="s">
        <v>22</v>
      </c>
      <c r="N73" s="19" t="s">
        <v>23</v>
      </c>
      <c r="O73" s="19" t="s">
        <v>66</v>
      </c>
      <c r="P73" s="19" t="s">
        <v>23</v>
      </c>
      <c r="Q73" s="19" t="s">
        <v>67</v>
      </c>
      <c r="S73" s="10">
        <v>8</v>
      </c>
      <c r="T73" s="10">
        <v>5</v>
      </c>
      <c r="U73" s="10">
        <v>6</v>
      </c>
      <c r="V73" s="10">
        <v>7</v>
      </c>
      <c r="W73" s="10">
        <v>6</v>
      </c>
      <c r="X73" s="10">
        <v>11</v>
      </c>
      <c r="Z73" s="37">
        <v>1</v>
      </c>
      <c r="AA73" s="37">
        <v>0</v>
      </c>
      <c r="AB73" s="37">
        <v>0</v>
      </c>
      <c r="AC73" s="37">
        <v>1</v>
      </c>
      <c r="AD73" s="37">
        <v>2</v>
      </c>
      <c r="AE73" s="37">
        <v>2</v>
      </c>
    </row>
    <row r="74" spans="11:31" ht="16.5" customHeight="1">
      <c r="K74" s="10">
        <v>70</v>
      </c>
      <c r="L74" s="19" t="s">
        <v>24</v>
      </c>
      <c r="M74" s="19" t="s">
        <v>26</v>
      </c>
      <c r="N74" s="19" t="s">
        <v>65</v>
      </c>
      <c r="O74" s="19" t="s">
        <v>66</v>
      </c>
      <c r="P74" s="19" t="s">
        <v>23</v>
      </c>
      <c r="Q74" s="19" t="s">
        <v>65</v>
      </c>
      <c r="S74" s="10">
        <v>1</v>
      </c>
      <c r="T74" s="10">
        <v>3</v>
      </c>
      <c r="U74" s="10">
        <v>10</v>
      </c>
      <c r="V74" s="10">
        <v>7</v>
      </c>
      <c r="W74" s="10">
        <v>6</v>
      </c>
      <c r="X74" s="10">
        <v>10</v>
      </c>
      <c r="Z74" s="37">
        <v>1</v>
      </c>
      <c r="AA74" s="37">
        <v>0</v>
      </c>
      <c r="AB74" s="37">
        <v>0</v>
      </c>
      <c r="AC74" s="37">
        <v>1</v>
      </c>
      <c r="AD74" s="37">
        <v>2</v>
      </c>
      <c r="AE74" s="37">
        <v>2</v>
      </c>
    </row>
    <row r="75" spans="11:31" ht="16.5" customHeight="1">
      <c r="K75" s="10">
        <v>71</v>
      </c>
      <c r="L75" s="19" t="s">
        <v>22</v>
      </c>
      <c r="M75" s="19" t="s">
        <v>26</v>
      </c>
      <c r="N75" s="19" t="s">
        <v>65</v>
      </c>
      <c r="O75" s="19" t="s">
        <v>23</v>
      </c>
      <c r="P75" s="19" t="s">
        <v>65</v>
      </c>
      <c r="Q75" s="19" t="s">
        <v>65</v>
      </c>
      <c r="S75" s="10">
        <v>5</v>
      </c>
      <c r="T75" s="10">
        <v>3</v>
      </c>
      <c r="U75" s="10">
        <v>10</v>
      </c>
      <c r="V75" s="10">
        <v>6</v>
      </c>
      <c r="W75" s="10">
        <v>10</v>
      </c>
      <c r="X75" s="10">
        <v>10</v>
      </c>
      <c r="Z75" s="37">
        <v>0</v>
      </c>
      <c r="AA75" s="37">
        <v>0</v>
      </c>
      <c r="AB75" s="37">
        <v>0</v>
      </c>
      <c r="AC75" s="37">
        <v>1</v>
      </c>
      <c r="AD75" s="37">
        <v>2</v>
      </c>
      <c r="AE75" s="37">
        <v>2</v>
      </c>
    </row>
    <row r="76" spans="11:31" ht="16.5" customHeight="1">
      <c r="K76" s="10">
        <v>72</v>
      </c>
      <c r="L76" s="19" t="s">
        <v>22</v>
      </c>
      <c r="M76" s="19" t="s">
        <v>64</v>
      </c>
      <c r="N76" s="19" t="s">
        <v>66</v>
      </c>
      <c r="O76" s="19" t="s">
        <v>23</v>
      </c>
      <c r="P76" s="19" t="s">
        <v>65</v>
      </c>
      <c r="Q76" s="19" t="s">
        <v>22</v>
      </c>
      <c r="S76" s="10">
        <v>5</v>
      </c>
      <c r="T76" s="10">
        <v>8</v>
      </c>
      <c r="U76" s="10">
        <v>7</v>
      </c>
      <c r="V76" s="10">
        <v>6</v>
      </c>
      <c r="W76" s="10">
        <v>10</v>
      </c>
      <c r="X76" s="10">
        <v>5</v>
      </c>
      <c r="Z76" s="37">
        <v>0</v>
      </c>
      <c r="AA76" s="37">
        <v>1</v>
      </c>
      <c r="AB76" s="37">
        <v>1</v>
      </c>
      <c r="AC76" s="37">
        <v>1</v>
      </c>
      <c r="AD76" s="37">
        <v>2</v>
      </c>
      <c r="AE76" s="37">
        <v>2</v>
      </c>
    </row>
    <row r="77" spans="11:31" ht="16.5" customHeight="1">
      <c r="K77" s="10">
        <v>73</v>
      </c>
      <c r="L77" s="19" t="s">
        <v>65</v>
      </c>
      <c r="M77" s="19" t="s">
        <v>64</v>
      </c>
      <c r="N77" s="19" t="s">
        <v>66</v>
      </c>
      <c r="O77" s="19" t="s">
        <v>24</v>
      </c>
      <c r="P77" s="19" t="s">
        <v>23</v>
      </c>
      <c r="Q77" s="19" t="s">
        <v>22</v>
      </c>
      <c r="S77" s="10">
        <v>10</v>
      </c>
      <c r="T77" s="10">
        <v>8</v>
      </c>
      <c r="U77" s="10">
        <v>7</v>
      </c>
      <c r="V77" s="10">
        <v>1</v>
      </c>
      <c r="W77" s="10">
        <v>6</v>
      </c>
      <c r="X77" s="10">
        <v>5</v>
      </c>
      <c r="Z77" s="37">
        <v>0</v>
      </c>
      <c r="AA77" s="37">
        <v>1</v>
      </c>
      <c r="AB77" s="37">
        <v>1</v>
      </c>
      <c r="AC77" s="37">
        <v>1</v>
      </c>
      <c r="AD77" s="37">
        <v>2</v>
      </c>
      <c r="AE77" s="37">
        <v>2</v>
      </c>
    </row>
    <row r="78" spans="11:31" ht="16.5" customHeight="1">
      <c r="K78" s="10">
        <v>74</v>
      </c>
      <c r="L78" s="19" t="s">
        <v>65</v>
      </c>
      <c r="M78" s="19" t="s">
        <v>67</v>
      </c>
      <c r="N78" s="19" t="s">
        <v>64</v>
      </c>
      <c r="O78" s="19" t="s">
        <v>22</v>
      </c>
      <c r="P78" s="19" t="s">
        <v>23</v>
      </c>
      <c r="Q78" s="19" t="s">
        <v>26</v>
      </c>
      <c r="S78" s="10">
        <v>10</v>
      </c>
      <c r="T78" s="10">
        <v>11</v>
      </c>
      <c r="U78" s="10">
        <v>8</v>
      </c>
      <c r="V78" s="10">
        <v>5</v>
      </c>
      <c r="W78" s="10">
        <v>6</v>
      </c>
      <c r="X78" s="10">
        <v>3</v>
      </c>
      <c r="Z78" s="37">
        <v>0</v>
      </c>
      <c r="AA78" s="37">
        <v>1</v>
      </c>
      <c r="AB78" s="37">
        <v>1</v>
      </c>
      <c r="AC78" s="37">
        <v>0</v>
      </c>
      <c r="AD78" s="37">
        <v>2</v>
      </c>
      <c r="AE78" s="37">
        <v>2</v>
      </c>
    </row>
    <row r="79" spans="11:31" ht="16.5" customHeight="1">
      <c r="K79" s="10">
        <v>75</v>
      </c>
      <c r="L79" s="19" t="s">
        <v>27</v>
      </c>
      <c r="M79" s="19" t="s">
        <v>67</v>
      </c>
      <c r="N79" s="19" t="s">
        <v>64</v>
      </c>
      <c r="O79" s="19" t="s">
        <v>22</v>
      </c>
      <c r="P79" s="19" t="s">
        <v>65</v>
      </c>
      <c r="Q79" s="19" t="s">
        <v>26</v>
      </c>
      <c r="S79" s="10">
        <v>4</v>
      </c>
      <c r="T79" s="10">
        <v>11</v>
      </c>
      <c r="U79" s="10">
        <v>8</v>
      </c>
      <c r="V79" s="10">
        <v>5</v>
      </c>
      <c r="W79" s="10">
        <v>10</v>
      </c>
      <c r="X79" s="10">
        <v>3</v>
      </c>
      <c r="Z79" s="37">
        <v>0</v>
      </c>
      <c r="AA79" s="37">
        <v>1</v>
      </c>
      <c r="AB79" s="37">
        <v>1</v>
      </c>
      <c r="AC79" s="37">
        <v>0</v>
      </c>
      <c r="AD79" s="37">
        <v>2</v>
      </c>
      <c r="AE79" s="37">
        <v>2</v>
      </c>
    </row>
    <row r="80" spans="11:31">
      <c r="K80" s="10">
        <v>76</v>
      </c>
      <c r="L80" s="19" t="s">
        <v>27</v>
      </c>
      <c r="M80" s="19" t="s">
        <v>24</v>
      </c>
      <c r="N80" s="19" t="s">
        <v>24</v>
      </c>
      <c r="O80" s="19" t="s">
        <v>65</v>
      </c>
      <c r="P80" s="19" t="s">
        <v>65</v>
      </c>
      <c r="Q80" s="19" t="s">
        <v>65</v>
      </c>
      <c r="S80" s="10">
        <v>4</v>
      </c>
      <c r="T80" s="10">
        <v>1</v>
      </c>
      <c r="U80" s="10">
        <v>1</v>
      </c>
      <c r="V80" s="10">
        <v>10</v>
      </c>
      <c r="W80" s="10">
        <v>10</v>
      </c>
      <c r="X80" s="10">
        <v>10</v>
      </c>
      <c r="Z80" s="37">
        <v>0</v>
      </c>
      <c r="AA80" s="37">
        <v>1</v>
      </c>
      <c r="AB80" s="37">
        <v>1</v>
      </c>
      <c r="AC80" s="37">
        <v>0</v>
      </c>
      <c r="AD80" s="37">
        <v>2</v>
      </c>
      <c r="AE80" s="37">
        <v>2</v>
      </c>
    </row>
    <row r="81" spans="11:31">
      <c r="K81" s="10">
        <v>77</v>
      </c>
      <c r="L81" s="19" t="s">
        <v>66</v>
      </c>
      <c r="M81" s="19" t="s">
        <v>65</v>
      </c>
      <c r="N81" s="19" t="s">
        <v>63</v>
      </c>
      <c r="O81" s="19" t="s">
        <v>65</v>
      </c>
      <c r="P81" s="19" t="s">
        <v>50</v>
      </c>
      <c r="Q81" s="19" t="s">
        <v>65</v>
      </c>
      <c r="S81" s="10">
        <v>7</v>
      </c>
      <c r="T81" s="10">
        <v>10</v>
      </c>
      <c r="U81" s="10">
        <v>9</v>
      </c>
      <c r="V81" s="10">
        <v>10</v>
      </c>
      <c r="W81" s="10">
        <v>9</v>
      </c>
      <c r="X81" s="10">
        <v>10</v>
      </c>
      <c r="Z81" s="37">
        <v>0</v>
      </c>
      <c r="AA81" s="37">
        <v>0</v>
      </c>
      <c r="AB81" s="37">
        <v>0</v>
      </c>
      <c r="AC81" s="37">
        <v>0</v>
      </c>
      <c r="AD81" s="37">
        <v>2</v>
      </c>
      <c r="AE81" s="37">
        <v>2</v>
      </c>
    </row>
    <row r="82" spans="11:31">
      <c r="K82" s="10">
        <v>78</v>
      </c>
      <c r="L82" s="19" t="s">
        <v>66</v>
      </c>
      <c r="M82" s="19" t="s">
        <v>65</v>
      </c>
      <c r="N82" s="19" t="s">
        <v>63</v>
      </c>
      <c r="O82" s="19" t="s">
        <v>64</v>
      </c>
      <c r="P82" s="19" t="s">
        <v>63</v>
      </c>
      <c r="Q82" s="19" t="s">
        <v>22</v>
      </c>
      <c r="S82" s="10">
        <v>7</v>
      </c>
      <c r="T82" s="10">
        <v>10</v>
      </c>
      <c r="U82" s="10">
        <v>9</v>
      </c>
      <c r="V82" s="10">
        <v>8</v>
      </c>
      <c r="W82" s="10">
        <v>9</v>
      </c>
      <c r="X82" s="10">
        <v>5</v>
      </c>
      <c r="Z82" s="37">
        <v>0</v>
      </c>
      <c r="AA82" s="37">
        <v>0</v>
      </c>
      <c r="AB82" s="37">
        <v>0</v>
      </c>
      <c r="AC82" s="37">
        <v>0</v>
      </c>
      <c r="AD82" s="37">
        <v>2</v>
      </c>
      <c r="AE82" s="37">
        <v>0</v>
      </c>
    </row>
    <row r="83" spans="11:31">
      <c r="K83" s="10">
        <v>79</v>
      </c>
      <c r="L83" s="19" t="s">
        <v>22</v>
      </c>
      <c r="M83" s="19" t="s">
        <v>64</v>
      </c>
      <c r="N83" s="19" t="s">
        <v>66</v>
      </c>
      <c r="O83" s="19" t="s">
        <v>64</v>
      </c>
      <c r="P83" s="19" t="s">
        <v>23</v>
      </c>
      <c r="Q83" s="19" t="s">
        <v>22</v>
      </c>
      <c r="S83" s="10">
        <v>5</v>
      </c>
      <c r="T83" s="10">
        <v>8</v>
      </c>
      <c r="U83" s="10">
        <v>7</v>
      </c>
      <c r="V83" s="10">
        <v>8</v>
      </c>
      <c r="W83" s="10">
        <v>6</v>
      </c>
      <c r="X83" s="10">
        <v>5</v>
      </c>
      <c r="Z83" s="37">
        <v>0</v>
      </c>
      <c r="AA83" s="37">
        <v>0</v>
      </c>
      <c r="AB83" s="37">
        <v>0</v>
      </c>
      <c r="AC83" s="37">
        <v>0</v>
      </c>
      <c r="AD83" s="37">
        <v>2</v>
      </c>
      <c r="AE83" s="37">
        <v>0</v>
      </c>
    </row>
    <row r="84" spans="11:31">
      <c r="K84" s="10">
        <v>80</v>
      </c>
      <c r="L84" s="19" t="s">
        <v>22</v>
      </c>
      <c r="M84" s="19" t="s">
        <v>64</v>
      </c>
      <c r="N84" s="19" t="s">
        <v>66</v>
      </c>
      <c r="O84" s="19" t="s">
        <v>65</v>
      </c>
      <c r="P84" s="19" t="s">
        <v>23</v>
      </c>
      <c r="Q84" s="19" t="s">
        <v>67</v>
      </c>
      <c r="S84" s="10">
        <v>5</v>
      </c>
      <c r="T84" s="10">
        <v>8</v>
      </c>
      <c r="U84" s="10">
        <v>7</v>
      </c>
      <c r="V84" s="10">
        <v>10</v>
      </c>
      <c r="W84" s="10">
        <v>6</v>
      </c>
      <c r="X84" s="10">
        <v>11</v>
      </c>
      <c r="Z84" s="37">
        <v>0</v>
      </c>
      <c r="AA84" s="37">
        <v>0</v>
      </c>
      <c r="AB84" s="37">
        <v>0</v>
      </c>
      <c r="AC84" s="37">
        <v>0</v>
      </c>
      <c r="AD84" s="37">
        <v>2</v>
      </c>
      <c r="AE84" s="37">
        <v>0</v>
      </c>
    </row>
    <row r="85" spans="11:31">
      <c r="K85" s="10">
        <v>81</v>
      </c>
      <c r="L85" s="19" t="s">
        <v>64</v>
      </c>
      <c r="M85" s="19" t="s">
        <v>23</v>
      </c>
      <c r="N85" s="19" t="s">
        <v>22</v>
      </c>
      <c r="O85" s="19" t="s">
        <v>65</v>
      </c>
      <c r="P85" s="19" t="s">
        <v>67</v>
      </c>
      <c r="Q85" s="19" t="s">
        <v>67</v>
      </c>
      <c r="S85" s="10">
        <v>8</v>
      </c>
      <c r="T85" s="10">
        <v>6</v>
      </c>
      <c r="U85" s="10">
        <v>5</v>
      </c>
      <c r="V85" s="10">
        <v>10</v>
      </c>
      <c r="W85" s="10">
        <v>11</v>
      </c>
      <c r="X85" s="10">
        <v>11</v>
      </c>
      <c r="Z85" s="37">
        <v>0</v>
      </c>
      <c r="AA85" s="37">
        <v>0</v>
      </c>
      <c r="AB85" s="37">
        <v>0</v>
      </c>
      <c r="AC85" s="37">
        <v>0</v>
      </c>
      <c r="AD85" s="37">
        <v>2</v>
      </c>
      <c r="AE85" s="37">
        <v>0</v>
      </c>
    </row>
    <row r="86" spans="11:31">
      <c r="K86" s="10">
        <v>82</v>
      </c>
      <c r="L86" s="19" t="s">
        <v>64</v>
      </c>
      <c r="M86" s="19" t="s">
        <v>23</v>
      </c>
      <c r="N86" s="19" t="s">
        <v>22</v>
      </c>
      <c r="O86" s="19" t="s">
        <v>66</v>
      </c>
      <c r="P86" s="19" t="s">
        <v>67</v>
      </c>
      <c r="Q86" s="19" t="s">
        <v>45</v>
      </c>
      <c r="S86" s="10">
        <v>8</v>
      </c>
      <c r="T86" s="10">
        <v>6</v>
      </c>
      <c r="U86" s="10">
        <v>5</v>
      </c>
      <c r="V86" s="10">
        <v>7</v>
      </c>
      <c r="W86" s="10">
        <v>11</v>
      </c>
      <c r="X86" s="10">
        <v>4</v>
      </c>
      <c r="Z86" s="37">
        <v>0</v>
      </c>
      <c r="AA86" s="37">
        <v>0</v>
      </c>
      <c r="AB86" s="37">
        <v>0</v>
      </c>
      <c r="AC86" s="37">
        <v>1</v>
      </c>
      <c r="AD86" s="37">
        <v>2</v>
      </c>
      <c r="AE86" s="37">
        <v>0</v>
      </c>
    </row>
    <row r="87" spans="11:31">
      <c r="K87" s="10">
        <v>83</v>
      </c>
      <c r="L87" s="19" t="s">
        <v>47</v>
      </c>
      <c r="M87" s="19" t="s">
        <v>66</v>
      </c>
      <c r="N87" s="19" t="s">
        <v>64</v>
      </c>
      <c r="O87" s="19" t="s">
        <v>66</v>
      </c>
      <c r="P87" s="19" t="s">
        <v>64</v>
      </c>
      <c r="Q87" s="19" t="s">
        <v>64</v>
      </c>
      <c r="S87" s="10">
        <v>6</v>
      </c>
      <c r="T87" s="10">
        <v>7</v>
      </c>
      <c r="U87" s="10">
        <v>8</v>
      </c>
      <c r="V87" s="10">
        <v>7</v>
      </c>
      <c r="W87" s="10">
        <v>8</v>
      </c>
      <c r="X87" s="10">
        <v>8</v>
      </c>
      <c r="Z87" s="37">
        <v>0</v>
      </c>
      <c r="AA87" s="37">
        <v>0</v>
      </c>
      <c r="AB87" s="37">
        <v>0</v>
      </c>
      <c r="AC87" s="37">
        <v>1</v>
      </c>
      <c r="AD87" s="37">
        <v>2</v>
      </c>
      <c r="AE87" s="37">
        <v>2</v>
      </c>
    </row>
    <row r="88" spans="11:31">
      <c r="K88" s="10">
        <v>84</v>
      </c>
      <c r="L88" s="19" t="s">
        <v>47</v>
      </c>
      <c r="M88" s="19" t="s">
        <v>66</v>
      </c>
      <c r="N88" s="19" t="s">
        <v>64</v>
      </c>
      <c r="O88" s="19" t="s">
        <v>23</v>
      </c>
      <c r="P88" s="19" t="s">
        <v>64</v>
      </c>
      <c r="Q88" s="19" t="s">
        <v>64</v>
      </c>
      <c r="S88" s="10">
        <v>6</v>
      </c>
      <c r="T88" s="10">
        <v>7</v>
      </c>
      <c r="U88" s="10">
        <v>8</v>
      </c>
      <c r="V88" s="10">
        <v>6</v>
      </c>
      <c r="W88" s="10">
        <v>8</v>
      </c>
      <c r="X88" s="10">
        <v>8</v>
      </c>
      <c r="Z88" s="37">
        <v>0</v>
      </c>
      <c r="AA88" s="37">
        <v>0</v>
      </c>
      <c r="AB88" s="37">
        <v>0</v>
      </c>
      <c r="AC88" s="37">
        <v>1</v>
      </c>
      <c r="AD88" s="37">
        <v>2</v>
      </c>
      <c r="AE88" s="37">
        <v>2</v>
      </c>
    </row>
    <row r="89" spans="11:31">
      <c r="K89" s="10">
        <v>85</v>
      </c>
      <c r="L89" s="19" t="s">
        <v>67</v>
      </c>
      <c r="M89" s="19" t="s">
        <v>63</v>
      </c>
      <c r="N89" s="19" t="s">
        <v>65</v>
      </c>
      <c r="O89" s="19" t="s">
        <v>23</v>
      </c>
      <c r="P89" s="19" t="s">
        <v>27</v>
      </c>
      <c r="Q89" s="19" t="s">
        <v>67</v>
      </c>
      <c r="S89" s="10">
        <v>11</v>
      </c>
      <c r="T89" s="10">
        <v>9</v>
      </c>
      <c r="U89" s="10">
        <v>10</v>
      </c>
      <c r="V89" s="10">
        <v>6</v>
      </c>
      <c r="W89" s="10">
        <v>4</v>
      </c>
      <c r="X89" s="10">
        <v>11</v>
      </c>
      <c r="Z89" s="37">
        <v>0</v>
      </c>
      <c r="AA89" s="37">
        <v>0</v>
      </c>
      <c r="AB89" s="37">
        <v>0</v>
      </c>
      <c r="AC89" s="37">
        <v>1</v>
      </c>
      <c r="AD89" s="37">
        <v>0</v>
      </c>
      <c r="AE89" s="37">
        <v>2</v>
      </c>
    </row>
    <row r="90" spans="11:31">
      <c r="K90" s="10">
        <v>86</v>
      </c>
      <c r="L90" s="19" t="s">
        <v>67</v>
      </c>
      <c r="M90" s="19" t="s">
        <v>63</v>
      </c>
      <c r="N90" s="19" t="s">
        <v>65</v>
      </c>
      <c r="O90" s="19" t="s">
        <v>24</v>
      </c>
      <c r="P90" s="19" t="s">
        <v>27</v>
      </c>
      <c r="Q90" s="19" t="s">
        <v>67</v>
      </c>
      <c r="S90" s="10">
        <v>11</v>
      </c>
      <c r="T90" s="10">
        <v>9</v>
      </c>
      <c r="U90" s="10">
        <v>10</v>
      </c>
      <c r="V90" s="10">
        <v>1</v>
      </c>
      <c r="W90" s="10">
        <v>4</v>
      </c>
      <c r="X90" s="10">
        <v>11</v>
      </c>
      <c r="Z90" s="37">
        <v>0</v>
      </c>
      <c r="AA90" s="37">
        <v>0</v>
      </c>
      <c r="AB90" s="37">
        <v>0</v>
      </c>
      <c r="AC90" s="37">
        <v>1</v>
      </c>
      <c r="AD90" s="37">
        <v>0</v>
      </c>
      <c r="AE90" s="37">
        <v>2</v>
      </c>
    </row>
    <row r="91" spans="11:31">
      <c r="K91" s="10">
        <v>87</v>
      </c>
      <c r="L91" s="19" t="s">
        <v>63</v>
      </c>
      <c r="M91" s="19" t="s">
        <v>23</v>
      </c>
      <c r="N91" s="19" t="s">
        <v>23</v>
      </c>
      <c r="O91" s="19" t="s">
        <v>63</v>
      </c>
      <c r="P91" s="19" t="s">
        <v>22</v>
      </c>
      <c r="Q91" s="19" t="s">
        <v>22</v>
      </c>
      <c r="S91" s="10">
        <v>9</v>
      </c>
      <c r="T91" s="10">
        <v>6</v>
      </c>
      <c r="U91" s="10">
        <v>6</v>
      </c>
      <c r="V91" s="10">
        <v>9</v>
      </c>
      <c r="W91" s="10">
        <v>5</v>
      </c>
      <c r="X91" s="10">
        <v>5</v>
      </c>
      <c r="Z91" s="37">
        <v>0</v>
      </c>
      <c r="AA91" s="37">
        <v>1</v>
      </c>
      <c r="AB91" s="37">
        <v>0</v>
      </c>
      <c r="AC91" s="37">
        <v>0</v>
      </c>
      <c r="AD91" s="37">
        <v>0</v>
      </c>
      <c r="AE91" s="37">
        <v>2</v>
      </c>
    </row>
    <row r="92" spans="11:31">
      <c r="K92" s="10">
        <v>88</v>
      </c>
      <c r="L92" s="19" t="s">
        <v>63</v>
      </c>
      <c r="M92" s="19" t="s">
        <v>23</v>
      </c>
      <c r="N92" s="19" t="s">
        <v>23</v>
      </c>
      <c r="O92" s="19" t="s">
        <v>63</v>
      </c>
      <c r="P92" s="19" t="s">
        <v>22</v>
      </c>
      <c r="Q92" s="19" t="s">
        <v>22</v>
      </c>
      <c r="S92" s="10">
        <v>9</v>
      </c>
      <c r="T92" s="10">
        <v>6</v>
      </c>
      <c r="U92" s="10">
        <v>6</v>
      </c>
      <c r="V92" s="10">
        <v>9</v>
      </c>
      <c r="W92" s="10">
        <v>5</v>
      </c>
      <c r="X92" s="10">
        <v>5</v>
      </c>
      <c r="Z92" s="37">
        <v>0</v>
      </c>
      <c r="AA92" s="37">
        <v>1</v>
      </c>
      <c r="AB92" s="37">
        <v>0</v>
      </c>
      <c r="AC92" s="37">
        <v>0</v>
      </c>
      <c r="AD92" s="37">
        <v>0</v>
      </c>
      <c r="AE92" s="37">
        <v>2</v>
      </c>
    </row>
    <row r="93" spans="11:31">
      <c r="K93" s="10">
        <v>89</v>
      </c>
      <c r="L93" s="19" t="s">
        <v>67</v>
      </c>
      <c r="M93" s="19" t="s">
        <v>64</v>
      </c>
      <c r="N93" s="19" t="s">
        <v>67</v>
      </c>
      <c r="O93" s="19" t="s">
        <v>27</v>
      </c>
      <c r="P93" s="19" t="s">
        <v>44</v>
      </c>
      <c r="Q93" s="19" t="s">
        <v>52</v>
      </c>
      <c r="S93" s="10">
        <v>11</v>
      </c>
      <c r="T93" s="10">
        <v>8</v>
      </c>
      <c r="U93" s="10">
        <v>11</v>
      </c>
      <c r="V93" s="10">
        <v>4</v>
      </c>
      <c r="W93" s="10">
        <v>3</v>
      </c>
      <c r="X93" s="10">
        <v>11</v>
      </c>
      <c r="Z93" s="37">
        <v>1</v>
      </c>
      <c r="AA93" s="37">
        <v>1</v>
      </c>
      <c r="AB93" s="37">
        <v>0</v>
      </c>
      <c r="AC93" s="37">
        <v>0</v>
      </c>
      <c r="AD93" s="37">
        <v>0</v>
      </c>
      <c r="AE93" s="37">
        <v>2</v>
      </c>
    </row>
    <row r="94" spans="11:31">
      <c r="K94" s="10">
        <v>90</v>
      </c>
      <c r="L94" s="19" t="s">
        <v>67</v>
      </c>
      <c r="M94" s="19" t="s">
        <v>64</v>
      </c>
      <c r="N94" s="19" t="s">
        <v>67</v>
      </c>
      <c r="O94" s="19" t="s">
        <v>27</v>
      </c>
      <c r="P94" s="19" t="s">
        <v>63</v>
      </c>
      <c r="Q94" s="19" t="s">
        <v>52</v>
      </c>
      <c r="S94" s="10">
        <v>11</v>
      </c>
      <c r="T94" s="10">
        <v>8</v>
      </c>
      <c r="U94" s="10">
        <v>11</v>
      </c>
      <c r="V94" s="10">
        <v>4</v>
      </c>
      <c r="W94" s="10">
        <v>9</v>
      </c>
      <c r="X94" s="10">
        <v>11</v>
      </c>
      <c r="Z94" s="37">
        <v>1</v>
      </c>
      <c r="AA94" s="37">
        <v>1</v>
      </c>
      <c r="AB94" s="37">
        <v>0</v>
      </c>
      <c r="AC94" s="37">
        <v>0</v>
      </c>
      <c r="AD94" s="37">
        <v>2</v>
      </c>
      <c r="AE94" s="37">
        <v>2</v>
      </c>
    </row>
    <row r="95" spans="11:31">
      <c r="K95" s="10">
        <v>91</v>
      </c>
      <c r="L95" s="19" t="s">
        <v>63</v>
      </c>
      <c r="M95" s="19" t="s">
        <v>24</v>
      </c>
      <c r="N95" s="19" t="s">
        <v>27</v>
      </c>
      <c r="O95" s="19" t="s">
        <v>67</v>
      </c>
      <c r="P95" s="19" t="s">
        <v>63</v>
      </c>
      <c r="Q95" s="19" t="s">
        <v>27</v>
      </c>
      <c r="S95" s="10">
        <v>9</v>
      </c>
      <c r="T95" s="10">
        <v>1</v>
      </c>
      <c r="U95" s="10">
        <v>4</v>
      </c>
      <c r="V95" s="10">
        <v>11</v>
      </c>
      <c r="W95" s="10">
        <v>9</v>
      </c>
      <c r="X95" s="10">
        <v>4</v>
      </c>
      <c r="Z95" s="37">
        <v>1</v>
      </c>
      <c r="AA95" s="37">
        <v>1</v>
      </c>
      <c r="AB95" s="37">
        <v>1</v>
      </c>
      <c r="AC95" s="37">
        <v>0</v>
      </c>
      <c r="AD95" s="37">
        <v>2</v>
      </c>
      <c r="AE95" s="37">
        <v>2</v>
      </c>
    </row>
    <row r="96" spans="11:31">
      <c r="K96" s="10">
        <v>92</v>
      </c>
      <c r="L96" s="19" t="s">
        <v>63</v>
      </c>
      <c r="M96" s="19" t="s">
        <v>65</v>
      </c>
      <c r="N96" s="19" t="s">
        <v>27</v>
      </c>
      <c r="O96" s="19" t="s">
        <v>67</v>
      </c>
      <c r="P96" s="19" t="s">
        <v>23</v>
      </c>
      <c r="Q96" s="19" t="s">
        <v>27</v>
      </c>
      <c r="S96" s="10">
        <v>9</v>
      </c>
      <c r="T96" s="10">
        <v>10</v>
      </c>
      <c r="U96" s="10">
        <v>4</v>
      </c>
      <c r="V96" s="10">
        <v>11</v>
      </c>
      <c r="W96" s="10">
        <v>6</v>
      </c>
      <c r="X96" s="10">
        <v>4</v>
      </c>
      <c r="Z96" s="37">
        <v>1</v>
      </c>
      <c r="AA96" s="37">
        <v>1</v>
      </c>
      <c r="AB96" s="37">
        <v>1</v>
      </c>
      <c r="AC96" s="37">
        <v>0</v>
      </c>
      <c r="AD96" s="37">
        <v>2</v>
      </c>
      <c r="AE96" s="37">
        <v>2</v>
      </c>
    </row>
    <row r="97" spans="11:31">
      <c r="K97" s="10">
        <v>93</v>
      </c>
      <c r="L97" s="19" t="s">
        <v>24</v>
      </c>
      <c r="M97" s="19" t="s">
        <v>65</v>
      </c>
      <c r="N97" s="19" t="s">
        <v>23</v>
      </c>
      <c r="O97" s="19" t="s">
        <v>63</v>
      </c>
      <c r="P97" s="19" t="s">
        <v>23</v>
      </c>
      <c r="Q97" s="19" t="s">
        <v>67</v>
      </c>
      <c r="S97" s="10">
        <v>1</v>
      </c>
      <c r="T97" s="10">
        <v>10</v>
      </c>
      <c r="U97" s="10">
        <v>6</v>
      </c>
      <c r="V97" s="10">
        <v>9</v>
      </c>
      <c r="W97" s="10">
        <v>6</v>
      </c>
      <c r="X97" s="10">
        <v>11</v>
      </c>
      <c r="Z97" s="37">
        <v>1</v>
      </c>
      <c r="AA97" s="37">
        <v>1</v>
      </c>
      <c r="AB97" s="37">
        <v>1</v>
      </c>
      <c r="AC97" s="37">
        <v>0</v>
      </c>
      <c r="AD97" s="37">
        <v>2</v>
      </c>
      <c r="AE97" s="37">
        <v>2</v>
      </c>
    </row>
    <row r="98" spans="11:31">
      <c r="K98" s="10">
        <v>94</v>
      </c>
      <c r="L98" s="19" t="s">
        <v>23</v>
      </c>
      <c r="M98" s="19" t="s">
        <v>63</v>
      </c>
      <c r="N98" s="19" t="s">
        <v>23</v>
      </c>
      <c r="O98" s="19" t="s">
        <v>63</v>
      </c>
      <c r="P98" s="19" t="s">
        <v>27</v>
      </c>
      <c r="Q98" s="19" t="s">
        <v>67</v>
      </c>
      <c r="S98" s="10">
        <v>6</v>
      </c>
      <c r="T98" s="10">
        <v>9</v>
      </c>
      <c r="U98" s="10">
        <v>6</v>
      </c>
      <c r="V98" s="10">
        <v>9</v>
      </c>
      <c r="W98" s="10">
        <v>4</v>
      </c>
      <c r="X98" s="10">
        <v>11</v>
      </c>
      <c r="Z98" s="37">
        <v>0</v>
      </c>
      <c r="AA98" s="37">
        <v>1</v>
      </c>
      <c r="AB98" s="37">
        <v>1</v>
      </c>
      <c r="AC98" s="37">
        <v>0</v>
      </c>
      <c r="AD98" s="37">
        <v>2</v>
      </c>
      <c r="AE98" s="37">
        <v>2</v>
      </c>
    </row>
    <row r="99" spans="11:31">
      <c r="K99" s="10">
        <v>95</v>
      </c>
      <c r="L99" s="19" t="s">
        <v>23</v>
      </c>
      <c r="M99" s="19" t="s">
        <v>63</v>
      </c>
      <c r="N99" s="19" t="s">
        <v>24</v>
      </c>
      <c r="O99" s="19" t="s">
        <v>65</v>
      </c>
      <c r="P99" s="19" t="s">
        <v>27</v>
      </c>
      <c r="Q99" s="19" t="s">
        <v>64</v>
      </c>
      <c r="S99" s="10">
        <v>6</v>
      </c>
      <c r="T99" s="10">
        <v>9</v>
      </c>
      <c r="U99" s="10">
        <v>1</v>
      </c>
      <c r="V99" s="10">
        <v>10</v>
      </c>
      <c r="W99" s="10">
        <v>4</v>
      </c>
      <c r="X99" s="10">
        <v>8</v>
      </c>
      <c r="Z99" s="37">
        <v>0</v>
      </c>
      <c r="AA99" s="37">
        <v>1</v>
      </c>
      <c r="AB99" s="37">
        <v>1</v>
      </c>
      <c r="AC99" s="37">
        <v>0</v>
      </c>
      <c r="AD99" s="37">
        <v>2</v>
      </c>
      <c r="AE99" s="37">
        <v>2</v>
      </c>
    </row>
    <row r="100" spans="11:31">
      <c r="K100" s="10">
        <v>96</v>
      </c>
      <c r="L100" s="19" t="s">
        <v>51</v>
      </c>
      <c r="M100" s="19" t="s">
        <v>24</v>
      </c>
      <c r="N100" s="19" t="s">
        <v>49</v>
      </c>
      <c r="O100" s="19" t="s">
        <v>65</v>
      </c>
      <c r="P100" s="19" t="s">
        <v>67</v>
      </c>
      <c r="Q100" s="19" t="s">
        <v>64</v>
      </c>
      <c r="S100" s="10">
        <v>10</v>
      </c>
      <c r="T100" s="10">
        <v>1</v>
      </c>
      <c r="U100" s="10">
        <v>8</v>
      </c>
      <c r="V100" s="10">
        <v>10</v>
      </c>
      <c r="W100" s="10">
        <v>11</v>
      </c>
      <c r="X100" s="10">
        <v>8</v>
      </c>
      <c r="Z100" s="37">
        <v>0</v>
      </c>
      <c r="AA100" s="37">
        <v>1</v>
      </c>
      <c r="AB100" s="37">
        <v>0</v>
      </c>
      <c r="AC100" s="37">
        <v>0</v>
      </c>
      <c r="AD100" s="37">
        <v>2</v>
      </c>
      <c r="AE100" s="37">
        <v>2</v>
      </c>
    </row>
    <row r="101" spans="11:31">
      <c r="K101" s="10">
        <v>97</v>
      </c>
      <c r="L101" s="19" t="s">
        <v>51</v>
      </c>
      <c r="M101" s="19" t="s">
        <v>26</v>
      </c>
      <c r="N101" s="19" t="s">
        <v>49</v>
      </c>
      <c r="O101" s="19" t="s">
        <v>63</v>
      </c>
      <c r="P101" s="19" t="s">
        <v>67</v>
      </c>
      <c r="Q101" s="19" t="s">
        <v>63</v>
      </c>
      <c r="S101" s="10">
        <v>10</v>
      </c>
      <c r="T101" s="10">
        <v>3</v>
      </c>
      <c r="U101" s="10">
        <v>8</v>
      </c>
      <c r="V101" s="10">
        <v>9</v>
      </c>
      <c r="W101" s="10">
        <v>11</v>
      </c>
      <c r="X101" s="10">
        <v>9</v>
      </c>
      <c r="Z101" s="37">
        <v>0</v>
      </c>
      <c r="AA101" s="37">
        <v>0</v>
      </c>
      <c r="AB101" s="37">
        <v>0</v>
      </c>
      <c r="AC101" s="37">
        <v>0</v>
      </c>
      <c r="AD101" s="37">
        <v>2</v>
      </c>
      <c r="AE101" s="37">
        <v>2</v>
      </c>
    </row>
    <row r="102" spans="11:31">
      <c r="K102" s="10">
        <v>98</v>
      </c>
      <c r="L102" s="19" t="s">
        <v>66</v>
      </c>
      <c r="M102" s="19" t="s">
        <v>26</v>
      </c>
      <c r="N102" s="19" t="s">
        <v>65</v>
      </c>
      <c r="O102" s="19" t="s">
        <v>63</v>
      </c>
      <c r="P102" s="19" t="s">
        <v>47</v>
      </c>
      <c r="Q102" s="19" t="s">
        <v>50</v>
      </c>
      <c r="S102" s="10">
        <v>7</v>
      </c>
      <c r="T102" s="10">
        <v>3</v>
      </c>
      <c r="U102" s="10">
        <v>10</v>
      </c>
      <c r="V102" s="10">
        <v>9</v>
      </c>
      <c r="W102" s="10">
        <v>6</v>
      </c>
      <c r="X102" s="10">
        <v>9</v>
      </c>
      <c r="Z102" s="37">
        <v>0</v>
      </c>
      <c r="AA102" s="37">
        <v>0</v>
      </c>
      <c r="AB102" s="37">
        <v>0</v>
      </c>
      <c r="AC102" s="37">
        <v>0</v>
      </c>
      <c r="AD102" s="37">
        <v>2</v>
      </c>
      <c r="AE102" s="37">
        <v>2</v>
      </c>
    </row>
    <row r="103" spans="11:31">
      <c r="K103" s="10">
        <v>99</v>
      </c>
      <c r="L103" s="19" t="s">
        <v>66</v>
      </c>
      <c r="M103" s="19" t="s">
        <v>22</v>
      </c>
      <c r="N103" s="19" t="s">
        <v>65</v>
      </c>
      <c r="O103" s="19" t="s">
        <v>67</v>
      </c>
      <c r="P103" s="19" t="s">
        <v>47</v>
      </c>
      <c r="Q103" s="19" t="s">
        <v>46</v>
      </c>
      <c r="S103" s="10">
        <v>7</v>
      </c>
      <c r="T103" s="10">
        <v>5</v>
      </c>
      <c r="U103" s="10">
        <v>10</v>
      </c>
      <c r="V103" s="10">
        <v>11</v>
      </c>
      <c r="W103" s="10">
        <v>6</v>
      </c>
      <c r="X103" s="10">
        <v>5</v>
      </c>
      <c r="Z103" s="37">
        <v>0</v>
      </c>
      <c r="AA103" s="37">
        <v>0</v>
      </c>
      <c r="AB103" s="37">
        <v>0</v>
      </c>
      <c r="AC103" s="37">
        <v>0</v>
      </c>
      <c r="AD103" s="37">
        <v>2</v>
      </c>
      <c r="AE103" s="37">
        <v>2</v>
      </c>
    </row>
    <row r="104" spans="11:31">
      <c r="K104" s="10">
        <v>100</v>
      </c>
      <c r="L104" s="19" t="s">
        <v>65</v>
      </c>
      <c r="M104" s="19" t="s">
        <v>22</v>
      </c>
      <c r="N104" s="19" t="s">
        <v>67</v>
      </c>
      <c r="O104" s="19" t="s">
        <v>67</v>
      </c>
      <c r="P104" s="19" t="s">
        <v>65</v>
      </c>
      <c r="Q104" s="19" t="s">
        <v>22</v>
      </c>
      <c r="S104" s="10">
        <v>10</v>
      </c>
      <c r="T104" s="10">
        <v>5</v>
      </c>
      <c r="U104" s="10">
        <v>11</v>
      </c>
      <c r="V104" s="10">
        <v>11</v>
      </c>
      <c r="W104" s="10">
        <v>10</v>
      </c>
      <c r="X104" s="10">
        <v>5</v>
      </c>
      <c r="Z104" s="37">
        <v>0</v>
      </c>
      <c r="AA104" s="37">
        <v>0</v>
      </c>
      <c r="AB104" s="37">
        <v>0</v>
      </c>
      <c r="AC104" s="37">
        <v>0</v>
      </c>
      <c r="AD104" s="37">
        <v>0</v>
      </c>
      <c r="AE104" s="37">
        <v>2</v>
      </c>
    </row>
    <row r="105" spans="11:31">
      <c r="K105" s="10">
        <v>101</v>
      </c>
      <c r="L105" s="19" t="s">
        <v>65</v>
      </c>
      <c r="M105" s="19" t="s">
        <v>65</v>
      </c>
      <c r="N105" s="19" t="s">
        <v>67</v>
      </c>
      <c r="O105" s="19" t="s">
        <v>63</v>
      </c>
      <c r="P105" s="19" t="s">
        <v>65</v>
      </c>
      <c r="Q105" s="19" t="s">
        <v>66</v>
      </c>
      <c r="S105" s="10">
        <v>10</v>
      </c>
      <c r="T105" s="10">
        <v>10</v>
      </c>
      <c r="U105" s="10">
        <v>11</v>
      </c>
      <c r="V105" s="10">
        <v>9</v>
      </c>
      <c r="W105" s="10">
        <v>10</v>
      </c>
      <c r="X105" s="10">
        <v>7</v>
      </c>
      <c r="Z105" s="37">
        <v>0</v>
      </c>
      <c r="AA105" s="37">
        <v>0</v>
      </c>
      <c r="AB105" s="37">
        <v>0</v>
      </c>
      <c r="AC105" s="37">
        <v>0</v>
      </c>
      <c r="AD105" s="37">
        <v>0</v>
      </c>
      <c r="AE105" s="37">
        <v>2</v>
      </c>
    </row>
    <row r="106" spans="11:31">
      <c r="K106" s="10">
        <v>102</v>
      </c>
      <c r="L106" s="19" t="s">
        <v>67</v>
      </c>
      <c r="M106" s="19" t="s">
        <v>65</v>
      </c>
      <c r="N106" s="19" t="s">
        <v>26</v>
      </c>
      <c r="O106" s="19" t="s">
        <v>63</v>
      </c>
      <c r="P106" s="19" t="s">
        <v>23</v>
      </c>
      <c r="Q106" s="19" t="s">
        <v>66</v>
      </c>
      <c r="S106" s="10">
        <v>11</v>
      </c>
      <c r="T106" s="10">
        <v>10</v>
      </c>
      <c r="U106" s="10">
        <v>3</v>
      </c>
      <c r="V106" s="10">
        <v>9</v>
      </c>
      <c r="W106" s="10">
        <v>6</v>
      </c>
      <c r="X106" s="10">
        <v>7</v>
      </c>
      <c r="Z106" s="37">
        <v>0</v>
      </c>
      <c r="AA106" s="37">
        <v>0</v>
      </c>
      <c r="AB106" s="37">
        <v>0</v>
      </c>
      <c r="AC106" s="37">
        <v>0</v>
      </c>
      <c r="AD106" s="37">
        <v>0</v>
      </c>
      <c r="AE106" s="37">
        <v>2</v>
      </c>
    </row>
    <row r="107" spans="11:31">
      <c r="K107" s="10">
        <v>103</v>
      </c>
      <c r="L107" s="19" t="s">
        <v>67</v>
      </c>
      <c r="M107" s="19" t="s">
        <v>63</v>
      </c>
      <c r="N107" s="19" t="s">
        <v>26</v>
      </c>
      <c r="O107" s="19" t="s">
        <v>67</v>
      </c>
      <c r="P107" s="19" t="s">
        <v>23</v>
      </c>
      <c r="Q107" s="19" t="s">
        <v>23</v>
      </c>
      <c r="S107" s="10">
        <v>11</v>
      </c>
      <c r="T107" s="10">
        <v>9</v>
      </c>
      <c r="U107" s="10">
        <v>3</v>
      </c>
      <c r="V107" s="10">
        <v>11</v>
      </c>
      <c r="W107" s="10">
        <v>6</v>
      </c>
      <c r="X107" s="10">
        <v>6</v>
      </c>
      <c r="Z107" s="37">
        <v>0</v>
      </c>
      <c r="AA107" s="37">
        <v>0</v>
      </c>
      <c r="AB107" s="37">
        <v>0</v>
      </c>
      <c r="AC107" s="37">
        <v>0</v>
      </c>
      <c r="AD107" s="37">
        <v>0</v>
      </c>
      <c r="AE107" s="37">
        <v>0</v>
      </c>
    </row>
    <row r="108" spans="11:31">
      <c r="K108" s="10">
        <v>104</v>
      </c>
      <c r="L108" s="19" t="s">
        <v>65</v>
      </c>
      <c r="M108" s="19" t="s">
        <v>63</v>
      </c>
      <c r="N108" s="19" t="s">
        <v>64</v>
      </c>
      <c r="O108" s="19" t="s">
        <v>67</v>
      </c>
      <c r="P108" s="19" t="s">
        <v>45</v>
      </c>
      <c r="Q108" s="19" t="s">
        <v>23</v>
      </c>
      <c r="S108" s="10">
        <v>10</v>
      </c>
      <c r="T108" s="10">
        <v>9</v>
      </c>
      <c r="U108" s="10">
        <v>8</v>
      </c>
      <c r="V108" s="10">
        <v>11</v>
      </c>
      <c r="W108" s="10">
        <v>4</v>
      </c>
      <c r="X108" s="10">
        <v>6</v>
      </c>
      <c r="Z108" s="37">
        <v>1</v>
      </c>
      <c r="AA108" s="37">
        <v>0</v>
      </c>
      <c r="AB108" s="37">
        <v>1</v>
      </c>
      <c r="AC108" s="37">
        <v>0</v>
      </c>
      <c r="AD108" s="37">
        <v>0</v>
      </c>
      <c r="AE108" s="37">
        <v>0</v>
      </c>
    </row>
    <row r="109" spans="11:31">
      <c r="K109" s="10">
        <v>105</v>
      </c>
      <c r="L109" s="19" t="s">
        <v>65</v>
      </c>
      <c r="M109" s="19" t="s">
        <v>23</v>
      </c>
      <c r="N109" s="19" t="s">
        <v>64</v>
      </c>
      <c r="O109" s="19" t="s">
        <v>65</v>
      </c>
      <c r="P109" s="19" t="s">
        <v>63</v>
      </c>
      <c r="Q109" s="19" t="s">
        <v>64</v>
      </c>
      <c r="S109" s="10">
        <v>10</v>
      </c>
      <c r="T109" s="10">
        <v>6</v>
      </c>
      <c r="U109" s="10">
        <v>8</v>
      </c>
      <c r="V109" s="10">
        <v>10</v>
      </c>
      <c r="W109" s="10">
        <v>9</v>
      </c>
      <c r="X109" s="10">
        <v>8</v>
      </c>
      <c r="Z109" s="37">
        <v>1</v>
      </c>
      <c r="AA109" s="37">
        <v>0</v>
      </c>
      <c r="AB109" s="37">
        <v>1</v>
      </c>
      <c r="AC109" s="37">
        <v>1</v>
      </c>
      <c r="AD109" s="37">
        <v>2</v>
      </c>
      <c r="AE109" s="37">
        <v>0</v>
      </c>
    </row>
    <row r="110" spans="11:31">
      <c r="K110" s="10">
        <v>106</v>
      </c>
      <c r="L110" s="19" t="s">
        <v>64</v>
      </c>
      <c r="M110" s="19" t="s">
        <v>23</v>
      </c>
      <c r="N110" s="19" t="s">
        <v>66</v>
      </c>
      <c r="O110" s="19" t="s">
        <v>65</v>
      </c>
      <c r="P110" s="19" t="s">
        <v>63</v>
      </c>
      <c r="Q110" s="19" t="s">
        <v>64</v>
      </c>
      <c r="S110" s="10">
        <v>8</v>
      </c>
      <c r="T110" s="10">
        <v>6</v>
      </c>
      <c r="U110" s="10">
        <v>7</v>
      </c>
      <c r="V110" s="10">
        <v>10</v>
      </c>
      <c r="W110" s="10">
        <v>9</v>
      </c>
      <c r="X110" s="10">
        <v>8</v>
      </c>
      <c r="Z110" s="37">
        <v>1</v>
      </c>
      <c r="AA110" s="37">
        <v>0</v>
      </c>
      <c r="AB110" s="37">
        <v>1</v>
      </c>
      <c r="AC110" s="37">
        <v>1</v>
      </c>
      <c r="AD110" s="37">
        <v>2</v>
      </c>
      <c r="AE110" s="37">
        <v>0</v>
      </c>
    </row>
    <row r="111" spans="11:31">
      <c r="K111" s="10">
        <v>107</v>
      </c>
      <c r="L111" s="19" t="s">
        <v>64</v>
      </c>
      <c r="M111" s="19" t="s">
        <v>64</v>
      </c>
      <c r="N111" s="19" t="s">
        <v>66</v>
      </c>
      <c r="O111" s="19" t="s">
        <v>67</v>
      </c>
      <c r="P111" s="19" t="s">
        <v>65</v>
      </c>
      <c r="Q111" s="19" t="s">
        <v>45</v>
      </c>
      <c r="S111" s="10">
        <v>8</v>
      </c>
      <c r="T111" s="10">
        <v>8</v>
      </c>
      <c r="U111" s="10">
        <v>7</v>
      </c>
      <c r="V111" s="10">
        <v>11</v>
      </c>
      <c r="W111" s="10">
        <v>10</v>
      </c>
      <c r="X111" s="10">
        <v>4</v>
      </c>
      <c r="Z111" s="37">
        <v>1</v>
      </c>
      <c r="AA111" s="37">
        <v>0</v>
      </c>
      <c r="AB111" s="37">
        <v>1</v>
      </c>
      <c r="AC111" s="37">
        <v>1</v>
      </c>
      <c r="AD111" s="37">
        <v>2</v>
      </c>
      <c r="AE111" s="37">
        <v>0</v>
      </c>
    </row>
    <row r="112" spans="11:31">
      <c r="K112" s="10">
        <v>108</v>
      </c>
      <c r="L112" s="19" t="s">
        <v>24</v>
      </c>
      <c r="M112" s="19" t="s">
        <v>64</v>
      </c>
      <c r="N112" s="19" t="s">
        <v>24</v>
      </c>
      <c r="O112" s="19" t="s">
        <v>67</v>
      </c>
      <c r="P112" s="19" t="s">
        <v>65</v>
      </c>
      <c r="Q112" s="19" t="s">
        <v>27</v>
      </c>
      <c r="S112" s="10">
        <v>1</v>
      </c>
      <c r="T112" s="10">
        <v>8</v>
      </c>
      <c r="U112" s="10">
        <v>1</v>
      </c>
      <c r="V112" s="10">
        <v>11</v>
      </c>
      <c r="W112" s="10">
        <v>10</v>
      </c>
      <c r="X112" s="10">
        <v>4</v>
      </c>
      <c r="Z112" s="37">
        <v>1</v>
      </c>
      <c r="AA112" s="37">
        <v>0</v>
      </c>
      <c r="AB112" s="37">
        <v>1</v>
      </c>
      <c r="AC112" s="37">
        <v>1</v>
      </c>
      <c r="AD112" s="37">
        <v>2</v>
      </c>
      <c r="AE112" s="37">
        <v>2</v>
      </c>
    </row>
    <row r="113" spans="11:31">
      <c r="K113" s="10">
        <v>109</v>
      </c>
      <c r="L113" s="19" t="s">
        <v>26</v>
      </c>
      <c r="M113" s="19" t="s">
        <v>26</v>
      </c>
      <c r="N113" s="19" t="s">
        <v>67</v>
      </c>
      <c r="O113" s="19" t="s">
        <v>24</v>
      </c>
      <c r="P113" s="19" t="s">
        <v>23</v>
      </c>
      <c r="Q113" s="19" t="s">
        <v>27</v>
      </c>
      <c r="S113" s="10">
        <v>3</v>
      </c>
      <c r="T113" s="10">
        <v>3</v>
      </c>
      <c r="U113" s="10">
        <v>11</v>
      </c>
      <c r="V113" s="10">
        <v>1</v>
      </c>
      <c r="W113" s="10">
        <v>6</v>
      </c>
      <c r="X113" s="10">
        <v>4</v>
      </c>
      <c r="Z113" s="37">
        <v>0</v>
      </c>
      <c r="AA113" s="37">
        <v>0</v>
      </c>
      <c r="AB113" s="37">
        <v>0</v>
      </c>
      <c r="AC113" s="37">
        <v>1</v>
      </c>
      <c r="AD113" s="37">
        <v>2</v>
      </c>
      <c r="AE113" s="37">
        <v>2</v>
      </c>
    </row>
    <row r="114" spans="11:31">
      <c r="K114" s="10">
        <v>110</v>
      </c>
      <c r="L114" s="19" t="s">
        <v>26</v>
      </c>
      <c r="M114" s="19" t="s">
        <v>26</v>
      </c>
      <c r="N114" s="19" t="s">
        <v>67</v>
      </c>
      <c r="O114" s="19" t="s">
        <v>66</v>
      </c>
      <c r="P114" s="19" t="s">
        <v>23</v>
      </c>
      <c r="Q114" s="19" t="s">
        <v>66</v>
      </c>
      <c r="S114" s="10">
        <v>3</v>
      </c>
      <c r="T114" s="10">
        <v>3</v>
      </c>
      <c r="U114" s="10">
        <v>11</v>
      </c>
      <c r="V114" s="10">
        <v>7</v>
      </c>
      <c r="W114" s="10">
        <v>6</v>
      </c>
      <c r="X114" s="10">
        <v>7</v>
      </c>
      <c r="Z114" s="37">
        <v>0</v>
      </c>
      <c r="AA114" s="37">
        <v>0</v>
      </c>
      <c r="AB114" s="37">
        <v>0</v>
      </c>
      <c r="AC114" s="37">
        <v>0</v>
      </c>
      <c r="AD114" s="37">
        <v>2</v>
      </c>
      <c r="AE114" s="37">
        <v>2</v>
      </c>
    </row>
    <row r="115" spans="11:31">
      <c r="K115" s="10">
        <v>111</v>
      </c>
      <c r="L115" s="19" t="s">
        <v>27</v>
      </c>
      <c r="M115" s="19" t="s">
        <v>64</v>
      </c>
      <c r="N115" s="19" t="s">
        <v>65</v>
      </c>
      <c r="O115" s="19" t="s">
        <v>66</v>
      </c>
      <c r="P115" s="19" t="s">
        <v>64</v>
      </c>
      <c r="Q115" s="19" t="s">
        <v>66</v>
      </c>
      <c r="S115" s="10">
        <v>4</v>
      </c>
      <c r="T115" s="10">
        <v>8</v>
      </c>
      <c r="U115" s="10">
        <v>10</v>
      </c>
      <c r="V115" s="10">
        <v>7</v>
      </c>
      <c r="W115" s="10">
        <v>8</v>
      </c>
      <c r="X115" s="10">
        <v>7</v>
      </c>
      <c r="Z115" s="37">
        <v>0</v>
      </c>
      <c r="AA115" s="37">
        <v>0</v>
      </c>
      <c r="AB115" s="37">
        <v>0</v>
      </c>
      <c r="AC115" s="37">
        <v>0</v>
      </c>
      <c r="AD115" s="37">
        <v>2</v>
      </c>
      <c r="AE115" s="37">
        <v>2</v>
      </c>
    </row>
    <row r="116" spans="11:31">
      <c r="K116" s="10">
        <v>112</v>
      </c>
      <c r="L116" s="19" t="s">
        <v>27</v>
      </c>
      <c r="M116" s="19" t="s">
        <v>64</v>
      </c>
      <c r="N116" s="19" t="s">
        <v>65</v>
      </c>
      <c r="O116" s="19" t="s">
        <v>67</v>
      </c>
      <c r="P116" s="19" t="s">
        <v>64</v>
      </c>
      <c r="Q116" s="19" t="s">
        <v>63</v>
      </c>
      <c r="S116" s="10">
        <v>4</v>
      </c>
      <c r="T116" s="10">
        <v>8</v>
      </c>
      <c r="U116" s="10">
        <v>10</v>
      </c>
      <c r="V116" s="10">
        <v>11</v>
      </c>
      <c r="W116" s="10">
        <v>8</v>
      </c>
      <c r="X116" s="10">
        <v>9</v>
      </c>
      <c r="Z116" s="37">
        <v>0</v>
      </c>
      <c r="AA116" s="37">
        <v>0</v>
      </c>
      <c r="AB116" s="37">
        <v>0</v>
      </c>
      <c r="AC116" s="37">
        <v>0</v>
      </c>
      <c r="AD116" s="37">
        <v>2</v>
      </c>
      <c r="AE116" s="37">
        <v>2</v>
      </c>
    </row>
    <row r="117" spans="11:31">
      <c r="K117" s="10">
        <v>113</v>
      </c>
      <c r="L117" s="19" t="s">
        <v>64</v>
      </c>
      <c r="M117" s="19" t="s">
        <v>66</v>
      </c>
      <c r="N117" s="19" t="s">
        <v>67</v>
      </c>
      <c r="O117" s="19" t="s">
        <v>67</v>
      </c>
      <c r="P117" s="19" t="s">
        <v>67</v>
      </c>
      <c r="Q117" s="19" t="s">
        <v>63</v>
      </c>
      <c r="S117" s="10">
        <v>8</v>
      </c>
      <c r="T117" s="10">
        <v>7</v>
      </c>
      <c r="U117" s="10">
        <v>11</v>
      </c>
      <c r="V117" s="10">
        <v>11</v>
      </c>
      <c r="W117" s="10">
        <v>11</v>
      </c>
      <c r="X117" s="10">
        <v>9</v>
      </c>
      <c r="Z117" s="37">
        <v>0</v>
      </c>
      <c r="AA117" s="37">
        <v>0</v>
      </c>
      <c r="AB117" s="37">
        <v>0</v>
      </c>
      <c r="AC117" s="37">
        <v>0</v>
      </c>
      <c r="AD117" s="37">
        <v>2</v>
      </c>
      <c r="AE117" s="37">
        <v>2</v>
      </c>
    </row>
    <row r="118" spans="11:31">
      <c r="K118" s="10">
        <v>114</v>
      </c>
      <c r="L118" s="19" t="s">
        <v>64</v>
      </c>
      <c r="M118" s="19" t="s">
        <v>66</v>
      </c>
      <c r="N118" s="19" t="s">
        <v>67</v>
      </c>
      <c r="O118" s="19" t="s">
        <v>63</v>
      </c>
      <c r="P118" s="19" t="s">
        <v>67</v>
      </c>
      <c r="Q118" s="19" t="s">
        <v>67</v>
      </c>
      <c r="S118" s="10">
        <v>8</v>
      </c>
      <c r="T118" s="10">
        <v>7</v>
      </c>
      <c r="U118" s="10">
        <v>11</v>
      </c>
      <c r="V118" s="10">
        <v>9</v>
      </c>
      <c r="W118" s="10">
        <v>11</v>
      </c>
      <c r="X118" s="10">
        <v>11</v>
      </c>
      <c r="Z118" s="37">
        <v>0</v>
      </c>
      <c r="AA118" s="37">
        <v>0</v>
      </c>
      <c r="AB118" s="37">
        <v>0</v>
      </c>
      <c r="AC118" s="37">
        <v>0</v>
      </c>
      <c r="AD118" s="37">
        <v>2</v>
      </c>
      <c r="AE118" s="37">
        <v>0</v>
      </c>
    </row>
    <row r="119" spans="11:31">
      <c r="K119" s="10">
        <v>115</v>
      </c>
      <c r="L119" s="19" t="s">
        <v>63</v>
      </c>
      <c r="M119" s="19" t="s">
        <v>23</v>
      </c>
      <c r="N119" s="19" t="s">
        <v>22</v>
      </c>
      <c r="O119" s="19" t="s">
        <v>63</v>
      </c>
      <c r="P119" s="19" t="s">
        <v>27</v>
      </c>
      <c r="Q119" s="19" t="s">
        <v>67</v>
      </c>
      <c r="S119" s="10">
        <v>9</v>
      </c>
      <c r="T119" s="10">
        <v>6</v>
      </c>
      <c r="U119" s="10">
        <v>5</v>
      </c>
      <c r="V119" s="10">
        <v>9</v>
      </c>
      <c r="W119" s="10">
        <v>4</v>
      </c>
      <c r="X119" s="10">
        <v>11</v>
      </c>
      <c r="Z119" s="37">
        <v>0</v>
      </c>
      <c r="AA119" s="37">
        <v>0</v>
      </c>
      <c r="AB119" s="37">
        <v>1</v>
      </c>
      <c r="AC119" s="37">
        <v>0</v>
      </c>
      <c r="AD119" s="37">
        <v>2</v>
      </c>
      <c r="AE119" s="37">
        <v>0</v>
      </c>
    </row>
    <row r="120" spans="11:31">
      <c r="K120" s="10">
        <v>116</v>
      </c>
      <c r="L120" s="19" t="s">
        <v>63</v>
      </c>
      <c r="M120" s="19" t="s">
        <v>23</v>
      </c>
      <c r="N120" s="19" t="s">
        <v>22</v>
      </c>
      <c r="O120" s="19" t="s">
        <v>27</v>
      </c>
      <c r="P120" s="19" t="s">
        <v>27</v>
      </c>
      <c r="Q120" s="19" t="s">
        <v>64</v>
      </c>
      <c r="S120" s="10">
        <v>9</v>
      </c>
      <c r="T120" s="10">
        <v>6</v>
      </c>
      <c r="U120" s="10">
        <v>5</v>
      </c>
      <c r="V120" s="10">
        <v>4</v>
      </c>
      <c r="W120" s="10">
        <v>4</v>
      </c>
      <c r="X120" s="10">
        <v>8</v>
      </c>
      <c r="Z120" s="37">
        <v>0</v>
      </c>
      <c r="AA120" s="37">
        <v>0</v>
      </c>
      <c r="AB120" s="37">
        <v>1</v>
      </c>
      <c r="AC120" s="37">
        <v>0</v>
      </c>
      <c r="AD120" s="37">
        <v>2</v>
      </c>
      <c r="AE120" s="37">
        <v>0</v>
      </c>
    </row>
    <row r="121" spans="11:31">
      <c r="K121" s="10">
        <v>117</v>
      </c>
      <c r="L121" s="19" t="s">
        <v>65</v>
      </c>
      <c r="M121" s="19" t="s">
        <v>64</v>
      </c>
      <c r="N121" s="19" t="s">
        <v>65</v>
      </c>
      <c r="O121" s="19" t="s">
        <v>27</v>
      </c>
      <c r="P121" s="19" t="s">
        <v>63</v>
      </c>
      <c r="Q121" s="19" t="s">
        <v>64</v>
      </c>
      <c r="S121" s="10">
        <v>10</v>
      </c>
      <c r="T121" s="10">
        <v>8</v>
      </c>
      <c r="U121" s="10">
        <v>10</v>
      </c>
      <c r="V121" s="10">
        <v>4</v>
      </c>
      <c r="W121" s="10">
        <v>9</v>
      </c>
      <c r="X121" s="10">
        <v>8</v>
      </c>
      <c r="Z121" s="37">
        <v>0</v>
      </c>
      <c r="AA121" s="37">
        <v>0</v>
      </c>
      <c r="AB121" s="37">
        <v>1</v>
      </c>
      <c r="AC121" s="37">
        <v>0</v>
      </c>
      <c r="AD121" s="37">
        <v>0</v>
      </c>
      <c r="AE121" s="37">
        <v>0</v>
      </c>
    </row>
    <row r="122" spans="11:31">
      <c r="K122" s="10">
        <v>118</v>
      </c>
      <c r="L122" s="19" t="s">
        <v>65</v>
      </c>
      <c r="M122" s="19" t="s">
        <v>64</v>
      </c>
      <c r="N122" s="19" t="s">
        <v>65</v>
      </c>
      <c r="O122" s="19" t="s">
        <v>67</v>
      </c>
      <c r="P122" s="19" t="s">
        <v>63</v>
      </c>
      <c r="Q122" s="19" t="s">
        <v>45</v>
      </c>
      <c r="S122" s="10">
        <v>10</v>
      </c>
      <c r="T122" s="10">
        <v>8</v>
      </c>
      <c r="U122" s="10">
        <v>10</v>
      </c>
      <c r="V122" s="10">
        <v>11</v>
      </c>
      <c r="W122" s="10">
        <v>9</v>
      </c>
      <c r="X122" s="10">
        <v>4</v>
      </c>
      <c r="Z122" s="37">
        <v>0</v>
      </c>
      <c r="AA122" s="37">
        <v>0</v>
      </c>
      <c r="AB122" s="37">
        <v>1</v>
      </c>
      <c r="AC122" s="37">
        <v>0</v>
      </c>
      <c r="AD122" s="37">
        <v>0</v>
      </c>
      <c r="AE122" s="37">
        <v>0</v>
      </c>
    </row>
    <row r="123" spans="11:31">
      <c r="K123" s="10">
        <v>119</v>
      </c>
      <c r="L123" s="19" t="s">
        <v>67</v>
      </c>
      <c r="M123" s="19" t="s">
        <v>63</v>
      </c>
      <c r="N123" s="19" t="s">
        <v>24</v>
      </c>
      <c r="O123" s="19" t="s">
        <v>67</v>
      </c>
      <c r="P123" s="19" t="s">
        <v>23</v>
      </c>
      <c r="Q123" s="19" t="s">
        <v>66</v>
      </c>
      <c r="S123" s="10">
        <v>11</v>
      </c>
      <c r="T123" s="10">
        <v>9</v>
      </c>
      <c r="U123" s="10">
        <v>1</v>
      </c>
      <c r="V123" s="10">
        <v>11</v>
      </c>
      <c r="W123" s="10">
        <v>6</v>
      </c>
      <c r="X123" s="10">
        <v>7</v>
      </c>
      <c r="Z123" s="37">
        <v>0</v>
      </c>
      <c r="AA123" s="37">
        <v>0</v>
      </c>
      <c r="AB123" s="37">
        <v>1</v>
      </c>
      <c r="AC123" s="37">
        <v>0</v>
      </c>
      <c r="AD123" s="37">
        <v>0</v>
      </c>
      <c r="AE123" s="37">
        <v>2</v>
      </c>
    </row>
    <row r="124" spans="11:31">
      <c r="K124" s="10">
        <v>120</v>
      </c>
      <c r="L124" s="19" t="s">
        <v>67</v>
      </c>
      <c r="M124" s="19" t="s">
        <v>63</v>
      </c>
      <c r="N124" s="19" t="s">
        <v>23</v>
      </c>
      <c r="O124" s="19" t="s">
        <v>63</v>
      </c>
      <c r="P124" s="19" t="s">
        <v>23</v>
      </c>
      <c r="Q124" s="19" t="s">
        <v>66</v>
      </c>
      <c r="S124" s="10">
        <v>11</v>
      </c>
      <c r="T124" s="10">
        <v>9</v>
      </c>
      <c r="U124" s="10">
        <v>6</v>
      </c>
      <c r="V124" s="10">
        <v>9</v>
      </c>
      <c r="W124" s="10">
        <v>6</v>
      </c>
      <c r="X124" s="10">
        <v>7</v>
      </c>
      <c r="Z124" s="37">
        <v>0</v>
      </c>
      <c r="AA124" s="37">
        <v>0</v>
      </c>
      <c r="AB124" s="37">
        <v>0</v>
      </c>
      <c r="AC124" s="37">
        <v>0</v>
      </c>
      <c r="AD124" s="37">
        <v>0</v>
      </c>
      <c r="AE124" s="37">
        <v>2</v>
      </c>
    </row>
    <row r="125" spans="11:31">
      <c r="K125" s="10">
        <v>121</v>
      </c>
      <c r="L125" s="19" t="s">
        <v>64</v>
      </c>
      <c r="M125" s="19" t="s">
        <v>67</v>
      </c>
      <c r="N125" s="19" t="s">
        <v>23</v>
      </c>
      <c r="O125" s="19" t="s">
        <v>63</v>
      </c>
      <c r="P125" s="19" t="s">
        <v>45</v>
      </c>
      <c r="Q125" s="19" t="s">
        <v>67</v>
      </c>
      <c r="S125" s="10">
        <v>8</v>
      </c>
      <c r="T125" s="10">
        <v>11</v>
      </c>
      <c r="U125" s="10">
        <v>6</v>
      </c>
      <c r="V125" s="10">
        <v>9</v>
      </c>
      <c r="W125" s="10">
        <v>4</v>
      </c>
      <c r="X125" s="10">
        <v>11</v>
      </c>
      <c r="Z125" s="37">
        <v>0</v>
      </c>
      <c r="AA125" s="37">
        <v>0</v>
      </c>
      <c r="AB125" s="37">
        <v>0</v>
      </c>
      <c r="AC125" s="37">
        <v>0</v>
      </c>
      <c r="AD125" s="37">
        <v>0</v>
      </c>
      <c r="AE125" s="37">
        <v>2</v>
      </c>
    </row>
    <row r="126" spans="11:31">
      <c r="K126" s="10">
        <v>122</v>
      </c>
      <c r="L126" s="19" t="s">
        <v>64</v>
      </c>
      <c r="M126" s="19" t="s">
        <v>67</v>
      </c>
      <c r="N126" s="19" t="s">
        <v>65</v>
      </c>
      <c r="O126" s="19" t="s">
        <v>67</v>
      </c>
      <c r="P126" s="19" t="s">
        <v>22</v>
      </c>
      <c r="Q126" s="19" t="s">
        <v>67</v>
      </c>
      <c r="S126" s="10">
        <v>8</v>
      </c>
      <c r="T126" s="10">
        <v>11</v>
      </c>
      <c r="U126" s="10">
        <v>10</v>
      </c>
      <c r="V126" s="10">
        <v>11</v>
      </c>
      <c r="W126" s="10">
        <v>5</v>
      </c>
      <c r="X126" s="10">
        <v>11</v>
      </c>
      <c r="Z126" s="37">
        <v>0</v>
      </c>
      <c r="AA126" s="37">
        <v>0</v>
      </c>
      <c r="AB126" s="37">
        <v>0</v>
      </c>
      <c r="AC126" s="37">
        <v>0</v>
      </c>
      <c r="AD126" s="37">
        <v>2</v>
      </c>
      <c r="AE126" s="37">
        <v>2</v>
      </c>
    </row>
    <row r="127" spans="11:31">
      <c r="K127" s="10">
        <v>123</v>
      </c>
      <c r="L127" s="19" t="s">
        <v>65</v>
      </c>
      <c r="M127" s="19" t="s">
        <v>23</v>
      </c>
      <c r="N127" s="19" t="s">
        <v>65</v>
      </c>
      <c r="O127" s="19" t="s">
        <v>67</v>
      </c>
      <c r="P127" s="19" t="s">
        <v>22</v>
      </c>
      <c r="Q127" s="19" t="s">
        <v>65</v>
      </c>
      <c r="S127" s="10">
        <v>10</v>
      </c>
      <c r="T127" s="10">
        <v>6</v>
      </c>
      <c r="U127" s="10">
        <v>10</v>
      </c>
      <c r="V127" s="10">
        <v>11</v>
      </c>
      <c r="W127" s="10">
        <v>5</v>
      </c>
      <c r="X127" s="10">
        <v>10</v>
      </c>
      <c r="Z127" s="37">
        <v>1</v>
      </c>
      <c r="AA127" s="37">
        <v>1</v>
      </c>
      <c r="AB127" s="37">
        <v>0</v>
      </c>
      <c r="AC127" s="37">
        <v>0</v>
      </c>
      <c r="AD127" s="37">
        <v>2</v>
      </c>
      <c r="AE127" s="37">
        <v>2</v>
      </c>
    </row>
    <row r="128" spans="11:31">
      <c r="K128" s="10">
        <v>124</v>
      </c>
      <c r="L128" s="19" t="s">
        <v>65</v>
      </c>
      <c r="M128" s="19" t="s">
        <v>23</v>
      </c>
      <c r="N128" s="19" t="s">
        <v>63</v>
      </c>
      <c r="O128" s="19" t="s">
        <v>66</v>
      </c>
      <c r="P128" s="19" t="s">
        <v>66</v>
      </c>
      <c r="Q128" s="19" t="s">
        <v>65</v>
      </c>
      <c r="S128" s="10">
        <v>10</v>
      </c>
      <c r="T128" s="10">
        <v>6</v>
      </c>
      <c r="U128" s="10">
        <v>9</v>
      </c>
      <c r="V128" s="10">
        <v>7</v>
      </c>
      <c r="W128" s="10">
        <v>7</v>
      </c>
      <c r="X128" s="10">
        <v>10</v>
      </c>
      <c r="Z128" s="37">
        <v>1</v>
      </c>
      <c r="AA128" s="37">
        <v>1</v>
      </c>
      <c r="AB128" s="37">
        <v>0</v>
      </c>
      <c r="AC128" s="37">
        <v>0</v>
      </c>
      <c r="AD128" s="37">
        <v>2</v>
      </c>
      <c r="AE128" s="37">
        <v>2</v>
      </c>
    </row>
    <row r="129" spans="11:31">
      <c r="K129" s="10">
        <v>125</v>
      </c>
      <c r="L129" s="19" t="s">
        <v>67</v>
      </c>
      <c r="M129" s="19" t="s">
        <v>67</v>
      </c>
      <c r="N129" s="19" t="s">
        <v>63</v>
      </c>
      <c r="O129" s="19" t="s">
        <v>66</v>
      </c>
      <c r="P129" s="19" t="s">
        <v>66</v>
      </c>
      <c r="Q129" s="19" t="s">
        <v>63</v>
      </c>
      <c r="S129" s="10">
        <v>11</v>
      </c>
      <c r="T129" s="10">
        <v>11</v>
      </c>
      <c r="U129" s="10">
        <v>9</v>
      </c>
      <c r="V129" s="10">
        <v>7</v>
      </c>
      <c r="W129" s="10">
        <v>7</v>
      </c>
      <c r="X129" s="10">
        <v>9</v>
      </c>
      <c r="Z129" s="37">
        <v>1</v>
      </c>
      <c r="AA129" s="37">
        <v>1</v>
      </c>
      <c r="AB129" s="37">
        <v>0</v>
      </c>
      <c r="AC129" s="37">
        <v>0</v>
      </c>
      <c r="AD129" s="37">
        <v>2</v>
      </c>
      <c r="AE129" s="37">
        <v>2</v>
      </c>
    </row>
    <row r="130" spans="11:31">
      <c r="K130" s="10">
        <v>126</v>
      </c>
      <c r="L130" s="19" t="s">
        <v>67</v>
      </c>
      <c r="M130" s="19" t="s">
        <v>67</v>
      </c>
      <c r="N130" s="19" t="s">
        <v>27</v>
      </c>
      <c r="O130" s="19" t="s">
        <v>63</v>
      </c>
      <c r="P130" s="19" t="s">
        <v>67</v>
      </c>
      <c r="Q130" s="19" t="s">
        <v>63</v>
      </c>
      <c r="S130" s="10">
        <v>11</v>
      </c>
      <c r="T130" s="10">
        <v>11</v>
      </c>
      <c r="U130" s="10">
        <v>4</v>
      </c>
      <c r="V130" s="10">
        <v>9</v>
      </c>
      <c r="W130" s="10">
        <v>11</v>
      </c>
      <c r="X130" s="10">
        <v>9</v>
      </c>
      <c r="Z130" s="37">
        <v>1</v>
      </c>
      <c r="AA130" s="37">
        <v>1</v>
      </c>
      <c r="AB130" s="37">
        <v>1</v>
      </c>
      <c r="AC130" s="37">
        <v>1</v>
      </c>
      <c r="AD130" s="37">
        <v>2</v>
      </c>
      <c r="AE130" s="37">
        <v>2</v>
      </c>
    </row>
    <row r="131" spans="11:31">
      <c r="K131" s="10">
        <v>127</v>
      </c>
      <c r="L131" s="19" t="s">
        <v>24</v>
      </c>
      <c r="M131" s="19" t="s">
        <v>24</v>
      </c>
      <c r="N131" s="19" t="s">
        <v>27</v>
      </c>
      <c r="O131" s="19" t="s">
        <v>63</v>
      </c>
      <c r="P131" s="19" t="s">
        <v>67</v>
      </c>
      <c r="Q131" s="19" t="s">
        <v>67</v>
      </c>
      <c r="S131" s="10">
        <v>1</v>
      </c>
      <c r="T131" s="10">
        <v>1</v>
      </c>
      <c r="U131" s="10">
        <v>4</v>
      </c>
      <c r="V131" s="10">
        <v>9</v>
      </c>
      <c r="W131" s="10">
        <v>11</v>
      </c>
      <c r="X131" s="10">
        <v>11</v>
      </c>
      <c r="Z131" s="37">
        <v>1</v>
      </c>
      <c r="AA131" s="37">
        <v>1</v>
      </c>
      <c r="AB131" s="37">
        <v>1</v>
      </c>
      <c r="AC131" s="37">
        <v>1</v>
      </c>
      <c r="AD131" s="37">
        <v>2</v>
      </c>
      <c r="AE131" s="37">
        <v>0</v>
      </c>
    </row>
    <row r="132" spans="11:31">
      <c r="K132" s="10">
        <v>128</v>
      </c>
      <c r="L132" s="19" t="s">
        <v>65</v>
      </c>
      <c r="M132" s="19" t="s">
        <v>63</v>
      </c>
      <c r="N132" s="19" t="s">
        <v>65</v>
      </c>
      <c r="O132" s="19" t="s">
        <v>22</v>
      </c>
      <c r="P132" s="19" t="s">
        <v>65</v>
      </c>
      <c r="Q132" s="19" t="s">
        <v>67</v>
      </c>
      <c r="S132" s="10">
        <v>10</v>
      </c>
      <c r="T132" s="10">
        <v>9</v>
      </c>
      <c r="U132" s="10">
        <v>10</v>
      </c>
      <c r="V132" s="10">
        <v>5</v>
      </c>
      <c r="W132" s="10">
        <v>10</v>
      </c>
      <c r="X132" s="10">
        <v>11</v>
      </c>
      <c r="Z132" s="37">
        <v>0</v>
      </c>
      <c r="AA132" s="37">
        <v>0</v>
      </c>
      <c r="AB132" s="37">
        <v>1</v>
      </c>
      <c r="AC132" s="37">
        <v>1</v>
      </c>
      <c r="AD132" s="37">
        <v>2</v>
      </c>
      <c r="AE132" s="37">
        <v>0</v>
      </c>
    </row>
    <row r="133" spans="11:31">
      <c r="K133" s="10">
        <v>129</v>
      </c>
      <c r="L133" s="19" t="s">
        <v>65</v>
      </c>
      <c r="M133" s="19" t="s">
        <v>63</v>
      </c>
      <c r="N133" s="19" t="s">
        <v>65</v>
      </c>
      <c r="O133" s="19" t="s">
        <v>22</v>
      </c>
      <c r="P133" s="19" t="s">
        <v>65</v>
      </c>
      <c r="Q133" s="19" t="s">
        <v>64</v>
      </c>
      <c r="S133" s="10">
        <v>10</v>
      </c>
      <c r="T133" s="10">
        <v>9</v>
      </c>
      <c r="U133" s="10">
        <v>10</v>
      </c>
      <c r="V133" s="10">
        <v>5</v>
      </c>
      <c r="W133" s="10">
        <v>10</v>
      </c>
      <c r="X133" s="10">
        <v>8</v>
      </c>
      <c r="Z133" s="37">
        <v>0</v>
      </c>
      <c r="AA133" s="37">
        <v>0</v>
      </c>
      <c r="AB133" s="37">
        <v>1</v>
      </c>
      <c r="AC133" s="37">
        <v>1</v>
      </c>
      <c r="AD133" s="37">
        <v>2</v>
      </c>
      <c r="AE133" s="37">
        <v>0</v>
      </c>
    </row>
    <row r="134" spans="11:31">
      <c r="K134" s="10">
        <v>130</v>
      </c>
      <c r="L134" s="19" t="s">
        <v>64</v>
      </c>
      <c r="M134" s="19" t="s">
        <v>65</v>
      </c>
      <c r="N134" s="19" t="s">
        <v>24</v>
      </c>
      <c r="O134" s="19" t="s">
        <v>24</v>
      </c>
      <c r="P134" s="19" t="s">
        <v>64</v>
      </c>
      <c r="Q134" s="19" t="s">
        <v>64</v>
      </c>
      <c r="S134" s="10">
        <v>8</v>
      </c>
      <c r="T134" s="10">
        <v>10</v>
      </c>
      <c r="U134" s="10">
        <v>1</v>
      </c>
      <c r="V134" s="10">
        <v>1</v>
      </c>
      <c r="W134" s="10">
        <v>8</v>
      </c>
      <c r="X134" s="10">
        <v>8</v>
      </c>
      <c r="Z134" s="37">
        <v>0</v>
      </c>
      <c r="AA134" s="37">
        <v>0</v>
      </c>
      <c r="AB134" s="37">
        <v>1</v>
      </c>
      <c r="AC134" s="37">
        <v>1</v>
      </c>
      <c r="AD134" s="37">
        <v>2</v>
      </c>
      <c r="AE134" s="37">
        <v>0</v>
      </c>
    </row>
    <row r="135" spans="11:31">
      <c r="K135" s="10">
        <v>131</v>
      </c>
      <c r="L135" s="19" t="s">
        <v>64</v>
      </c>
      <c r="M135" s="19" t="s">
        <v>65</v>
      </c>
      <c r="N135" s="19" t="s">
        <v>67</v>
      </c>
      <c r="O135" s="19" t="s">
        <v>27</v>
      </c>
      <c r="P135" s="19" t="s">
        <v>64</v>
      </c>
      <c r="Q135" s="19" t="s">
        <v>44</v>
      </c>
      <c r="S135" s="10">
        <v>8</v>
      </c>
      <c r="T135" s="10">
        <v>10</v>
      </c>
      <c r="U135" s="10">
        <v>11</v>
      </c>
      <c r="V135" s="10">
        <v>4</v>
      </c>
      <c r="W135" s="10">
        <v>8</v>
      </c>
      <c r="X135" s="10">
        <v>3</v>
      </c>
      <c r="Z135" s="37">
        <v>0</v>
      </c>
      <c r="AA135" s="37">
        <v>0</v>
      </c>
      <c r="AB135" s="37">
        <v>0</v>
      </c>
      <c r="AC135" s="37">
        <v>0</v>
      </c>
      <c r="AD135" s="37">
        <v>2</v>
      </c>
      <c r="AE135" s="37">
        <v>0</v>
      </c>
    </row>
    <row r="136" spans="11:31">
      <c r="K136" s="10">
        <v>132</v>
      </c>
      <c r="L136" s="19" t="s">
        <v>67</v>
      </c>
      <c r="M136" s="19" t="s">
        <v>66</v>
      </c>
      <c r="N136" s="19" t="s">
        <v>67</v>
      </c>
      <c r="O136" s="19" t="s">
        <v>27</v>
      </c>
      <c r="P136" s="19" t="s">
        <v>23</v>
      </c>
      <c r="Q136" s="19" t="s">
        <v>27</v>
      </c>
      <c r="S136" s="10">
        <v>11</v>
      </c>
      <c r="T136" s="10">
        <v>7</v>
      </c>
      <c r="U136" s="10">
        <v>11</v>
      </c>
      <c r="V136" s="10">
        <v>4</v>
      </c>
      <c r="W136" s="10">
        <v>6</v>
      </c>
      <c r="X136" s="10">
        <v>4</v>
      </c>
      <c r="Z136" s="37">
        <v>0</v>
      </c>
      <c r="AA136" s="37">
        <v>0</v>
      </c>
      <c r="AB136" s="37">
        <v>0</v>
      </c>
      <c r="AC136" s="37">
        <v>0</v>
      </c>
      <c r="AD136" s="37">
        <v>2</v>
      </c>
      <c r="AE136" s="37">
        <v>2</v>
      </c>
    </row>
    <row r="137" spans="11:31">
      <c r="K137" s="10">
        <v>133</v>
      </c>
      <c r="L137" s="19" t="s">
        <v>67</v>
      </c>
      <c r="M137" s="19" t="s">
        <v>66</v>
      </c>
      <c r="N137" s="19" t="s">
        <v>26</v>
      </c>
      <c r="O137" s="19" t="s">
        <v>22</v>
      </c>
      <c r="P137" s="19" t="s">
        <v>23</v>
      </c>
      <c r="Q137" s="19" t="s">
        <v>27</v>
      </c>
      <c r="S137" s="10">
        <v>11</v>
      </c>
      <c r="T137" s="10">
        <v>7</v>
      </c>
      <c r="U137" s="10">
        <v>3</v>
      </c>
      <c r="V137" s="10">
        <v>5</v>
      </c>
      <c r="W137" s="10">
        <v>6</v>
      </c>
      <c r="X137" s="10">
        <v>4</v>
      </c>
      <c r="Z137" s="37">
        <v>0</v>
      </c>
      <c r="AA137" s="37">
        <v>0</v>
      </c>
      <c r="AB137" s="37">
        <v>0</v>
      </c>
      <c r="AC137" s="37">
        <v>0</v>
      </c>
      <c r="AD137" s="37">
        <v>2</v>
      </c>
      <c r="AE137" s="37">
        <v>2</v>
      </c>
    </row>
    <row r="138" spans="11:31">
      <c r="K138" s="10">
        <v>134</v>
      </c>
      <c r="L138" s="19" t="s">
        <v>22</v>
      </c>
      <c r="M138" s="19" t="s">
        <v>64</v>
      </c>
      <c r="N138" s="19" t="s">
        <v>26</v>
      </c>
      <c r="O138" s="19" t="s">
        <v>22</v>
      </c>
      <c r="P138" s="19" t="s">
        <v>64</v>
      </c>
      <c r="Q138" s="19" t="s">
        <v>64</v>
      </c>
      <c r="S138" s="10">
        <v>5</v>
      </c>
      <c r="T138" s="10">
        <v>8</v>
      </c>
      <c r="U138" s="10">
        <v>3</v>
      </c>
      <c r="V138" s="10">
        <v>5</v>
      </c>
      <c r="W138" s="10">
        <v>8</v>
      </c>
      <c r="X138" s="10">
        <v>8</v>
      </c>
      <c r="Z138" s="37">
        <v>0</v>
      </c>
      <c r="AA138" s="37">
        <v>0</v>
      </c>
      <c r="AB138" s="37">
        <v>0</v>
      </c>
      <c r="AC138" s="37">
        <v>0</v>
      </c>
      <c r="AD138" s="37">
        <v>2</v>
      </c>
      <c r="AE138" s="37">
        <v>2</v>
      </c>
    </row>
    <row r="139" spans="11:31">
      <c r="K139" s="10">
        <v>135</v>
      </c>
      <c r="L139" s="19" t="s">
        <v>22</v>
      </c>
      <c r="M139" s="19" t="s">
        <v>64</v>
      </c>
      <c r="N139" s="19" t="s">
        <v>64</v>
      </c>
      <c r="O139" s="19" t="s">
        <v>66</v>
      </c>
      <c r="P139" s="19" t="s">
        <v>64</v>
      </c>
      <c r="Q139" s="19" t="s">
        <v>64</v>
      </c>
      <c r="S139" s="10">
        <v>5</v>
      </c>
      <c r="T139" s="10">
        <v>8</v>
      </c>
      <c r="U139" s="10">
        <v>8</v>
      </c>
      <c r="V139" s="10">
        <v>7</v>
      </c>
      <c r="W139" s="10">
        <v>8</v>
      </c>
      <c r="X139" s="10">
        <v>8</v>
      </c>
      <c r="Z139" s="37">
        <v>0</v>
      </c>
      <c r="AA139" s="37">
        <v>0</v>
      </c>
      <c r="AB139" s="37">
        <v>1</v>
      </c>
      <c r="AC139" s="37">
        <v>0</v>
      </c>
      <c r="AD139" s="37">
        <v>2</v>
      </c>
      <c r="AE139" s="37">
        <v>2</v>
      </c>
    </row>
    <row r="140" spans="11:31">
      <c r="K140" s="10">
        <v>136</v>
      </c>
      <c r="L140" s="19" t="s">
        <v>65</v>
      </c>
      <c r="M140" s="19" t="s">
        <v>67</v>
      </c>
      <c r="N140" s="19" t="s">
        <v>64</v>
      </c>
      <c r="O140" s="19" t="s">
        <v>66</v>
      </c>
      <c r="P140" s="19" t="s">
        <v>67</v>
      </c>
      <c r="Q140" s="19" t="s">
        <v>63</v>
      </c>
      <c r="S140" s="10">
        <v>10</v>
      </c>
      <c r="T140" s="10">
        <v>11</v>
      </c>
      <c r="U140" s="10">
        <v>8</v>
      </c>
      <c r="V140" s="10">
        <v>7</v>
      </c>
      <c r="W140" s="10">
        <v>11</v>
      </c>
      <c r="X140" s="10">
        <v>9</v>
      </c>
      <c r="Z140" s="37">
        <v>0</v>
      </c>
      <c r="AA140" s="37">
        <v>0</v>
      </c>
      <c r="AB140" s="37">
        <v>1</v>
      </c>
      <c r="AC140" s="37">
        <v>0</v>
      </c>
      <c r="AD140" s="37">
        <v>0</v>
      </c>
      <c r="AE140" s="37">
        <v>2</v>
      </c>
    </row>
    <row r="141" spans="11:31">
      <c r="K141" s="10">
        <v>137</v>
      </c>
      <c r="L141" s="19" t="s">
        <v>65</v>
      </c>
      <c r="M141" s="19" t="s">
        <v>67</v>
      </c>
      <c r="N141" s="19" t="s">
        <v>66</v>
      </c>
      <c r="O141" s="19" t="s">
        <v>65</v>
      </c>
      <c r="P141" s="19" t="s">
        <v>67</v>
      </c>
      <c r="Q141" s="19" t="s">
        <v>63</v>
      </c>
      <c r="S141" s="10">
        <v>10</v>
      </c>
      <c r="T141" s="10">
        <v>11</v>
      </c>
      <c r="U141" s="10">
        <v>7</v>
      </c>
      <c r="V141" s="10">
        <v>10</v>
      </c>
      <c r="W141" s="10">
        <v>11</v>
      </c>
      <c r="X141" s="10">
        <v>9</v>
      </c>
      <c r="Z141" s="37">
        <v>0</v>
      </c>
      <c r="AA141" s="37">
        <v>0</v>
      </c>
      <c r="AB141" s="37">
        <v>1</v>
      </c>
      <c r="AC141" s="37">
        <v>0</v>
      </c>
      <c r="AD141" s="37">
        <v>0</v>
      </c>
      <c r="AE141" s="37">
        <v>2</v>
      </c>
    </row>
    <row r="142" spans="11:31">
      <c r="K142" s="10">
        <v>138</v>
      </c>
      <c r="L142" s="19" t="s">
        <v>64</v>
      </c>
      <c r="M142" s="19" t="s">
        <v>65</v>
      </c>
      <c r="N142" s="19" t="s">
        <v>66</v>
      </c>
      <c r="O142" s="19" t="s">
        <v>65</v>
      </c>
      <c r="P142" s="19" t="s">
        <v>65</v>
      </c>
      <c r="Q142" s="19" t="s">
        <v>67</v>
      </c>
      <c r="S142" s="10">
        <v>8</v>
      </c>
      <c r="T142" s="10">
        <v>10</v>
      </c>
      <c r="U142" s="10">
        <v>7</v>
      </c>
      <c r="V142" s="10">
        <v>10</v>
      </c>
      <c r="W142" s="10">
        <v>10</v>
      </c>
      <c r="X142" s="10">
        <v>11</v>
      </c>
      <c r="Z142" s="37">
        <v>0</v>
      </c>
      <c r="AA142" s="37">
        <v>0</v>
      </c>
      <c r="AB142" s="37">
        <v>1</v>
      </c>
      <c r="AC142" s="37">
        <v>0</v>
      </c>
      <c r="AD142" s="37">
        <v>0</v>
      </c>
      <c r="AE142" s="37">
        <v>2</v>
      </c>
    </row>
    <row r="143" spans="11:31">
      <c r="K143" s="10">
        <v>139</v>
      </c>
      <c r="L143" s="19" t="s">
        <v>64</v>
      </c>
      <c r="M143" s="19" t="s">
        <v>65</v>
      </c>
      <c r="N143" s="19" t="s">
        <v>24</v>
      </c>
      <c r="O143" s="19" t="s">
        <v>67</v>
      </c>
      <c r="P143" s="19" t="s">
        <v>65</v>
      </c>
      <c r="Q143" s="19" t="s">
        <v>67</v>
      </c>
      <c r="S143" s="10">
        <v>8</v>
      </c>
      <c r="T143" s="10">
        <v>10</v>
      </c>
      <c r="U143" s="10">
        <v>1</v>
      </c>
      <c r="V143" s="10">
        <v>11</v>
      </c>
      <c r="W143" s="10">
        <v>10</v>
      </c>
      <c r="X143" s="10">
        <v>11</v>
      </c>
      <c r="Z143" s="37">
        <v>0</v>
      </c>
      <c r="AA143" s="37">
        <v>0</v>
      </c>
      <c r="AB143" s="37">
        <v>1</v>
      </c>
      <c r="AC143" s="37">
        <v>0</v>
      </c>
      <c r="AD143" s="37">
        <v>0</v>
      </c>
      <c r="AE143" s="37">
        <v>2</v>
      </c>
    </row>
    <row r="144" spans="11:31">
      <c r="K144" s="10">
        <v>140</v>
      </c>
      <c r="L144" s="19" t="s">
        <v>65</v>
      </c>
      <c r="M144" s="19" t="s">
        <v>66</v>
      </c>
      <c r="N144" s="19" t="s">
        <v>63</v>
      </c>
      <c r="O144" s="19" t="s">
        <v>67</v>
      </c>
      <c r="P144" s="19" t="s">
        <v>45</v>
      </c>
      <c r="Q144" s="19" t="s">
        <v>27</v>
      </c>
      <c r="S144" s="10">
        <v>10</v>
      </c>
      <c r="T144" s="10">
        <v>7</v>
      </c>
      <c r="U144" s="10">
        <v>9</v>
      </c>
      <c r="V144" s="10">
        <v>11</v>
      </c>
      <c r="W144" s="10">
        <v>4</v>
      </c>
      <c r="X144" s="10">
        <v>4</v>
      </c>
      <c r="Z144" s="37">
        <v>0</v>
      </c>
      <c r="AA144" s="37">
        <v>0</v>
      </c>
      <c r="AB144" s="37">
        <v>0</v>
      </c>
      <c r="AC144" s="37">
        <v>0</v>
      </c>
      <c r="AD144" s="37">
        <v>0</v>
      </c>
      <c r="AE144" s="37">
        <v>0</v>
      </c>
    </row>
    <row r="145" spans="11:31">
      <c r="K145" s="10">
        <v>141</v>
      </c>
      <c r="L145" s="19" t="s">
        <v>65</v>
      </c>
      <c r="M145" s="19" t="s">
        <v>66</v>
      </c>
      <c r="N145" s="19" t="s">
        <v>63</v>
      </c>
      <c r="O145" s="19" t="s">
        <v>63</v>
      </c>
      <c r="P145" s="19" t="s">
        <v>63</v>
      </c>
      <c r="Q145" s="19" t="s">
        <v>27</v>
      </c>
      <c r="S145" s="10">
        <v>10</v>
      </c>
      <c r="T145" s="10">
        <v>7</v>
      </c>
      <c r="U145" s="10">
        <v>9</v>
      </c>
      <c r="V145" s="10">
        <v>9</v>
      </c>
      <c r="W145" s="10">
        <v>9</v>
      </c>
      <c r="X145" s="10">
        <v>4</v>
      </c>
      <c r="Z145" s="37">
        <v>0</v>
      </c>
      <c r="AA145" s="37">
        <v>0</v>
      </c>
      <c r="AB145" s="37">
        <v>0</v>
      </c>
      <c r="AC145" s="37">
        <v>0</v>
      </c>
      <c r="AD145" s="37">
        <v>2</v>
      </c>
      <c r="AE145" s="37">
        <v>0</v>
      </c>
    </row>
    <row r="146" spans="11:31">
      <c r="K146" s="10">
        <v>142</v>
      </c>
      <c r="L146" s="19" t="s">
        <v>27</v>
      </c>
      <c r="M146" s="19" t="s">
        <v>67</v>
      </c>
      <c r="N146" s="19" t="s">
        <v>23</v>
      </c>
      <c r="O146" s="19" t="s">
        <v>63</v>
      </c>
      <c r="P146" s="19" t="s">
        <v>63</v>
      </c>
      <c r="Q146" s="19" t="s">
        <v>66</v>
      </c>
      <c r="S146" s="10">
        <v>4</v>
      </c>
      <c r="T146" s="10">
        <v>11</v>
      </c>
      <c r="U146" s="10">
        <v>6</v>
      </c>
      <c r="V146" s="10">
        <v>9</v>
      </c>
      <c r="W146" s="10">
        <v>9</v>
      </c>
      <c r="X146" s="10">
        <v>7</v>
      </c>
      <c r="Z146" s="37">
        <v>0</v>
      </c>
      <c r="AA146" s="37">
        <v>0</v>
      </c>
      <c r="AB146" s="37">
        <v>0</v>
      </c>
      <c r="AC146" s="37">
        <v>0</v>
      </c>
      <c r="AD146" s="37">
        <v>2</v>
      </c>
      <c r="AE146" s="37">
        <v>0</v>
      </c>
    </row>
    <row r="147" spans="11:31">
      <c r="K147" s="10">
        <v>143</v>
      </c>
      <c r="L147" s="19" t="s">
        <v>27</v>
      </c>
      <c r="M147" s="19" t="s">
        <v>67</v>
      </c>
      <c r="N147" s="19" t="s">
        <v>23</v>
      </c>
      <c r="O147" s="19" t="s">
        <v>64</v>
      </c>
      <c r="P147" s="19" t="s">
        <v>23</v>
      </c>
      <c r="Q147" s="19" t="s">
        <v>66</v>
      </c>
      <c r="S147" s="10">
        <v>4</v>
      </c>
      <c r="T147" s="10">
        <v>11</v>
      </c>
      <c r="U147" s="10">
        <v>6</v>
      </c>
      <c r="V147" s="10">
        <v>8</v>
      </c>
      <c r="W147" s="10">
        <v>6</v>
      </c>
      <c r="X147" s="10">
        <v>7</v>
      </c>
      <c r="Z147" s="37">
        <v>0</v>
      </c>
      <c r="AA147" s="37">
        <v>0</v>
      </c>
      <c r="AB147" s="37">
        <v>0</v>
      </c>
      <c r="AC147" s="37">
        <v>0</v>
      </c>
      <c r="AD147" s="37">
        <v>2</v>
      </c>
      <c r="AE147" s="37">
        <v>0</v>
      </c>
    </row>
    <row r="148" spans="11:31">
      <c r="K148" s="10">
        <v>144</v>
      </c>
      <c r="L148" s="19" t="s">
        <v>66</v>
      </c>
      <c r="M148" s="19" t="s">
        <v>64</v>
      </c>
      <c r="N148" s="19" t="s">
        <v>67</v>
      </c>
      <c r="O148" s="19" t="s">
        <v>64</v>
      </c>
      <c r="P148" s="19" t="s">
        <v>23</v>
      </c>
      <c r="Q148" s="19" t="s">
        <v>44</v>
      </c>
      <c r="S148" s="10">
        <v>7</v>
      </c>
      <c r="T148" s="10">
        <v>8</v>
      </c>
      <c r="U148" s="10">
        <v>11</v>
      </c>
      <c r="V148" s="10">
        <v>8</v>
      </c>
      <c r="W148" s="10">
        <v>6</v>
      </c>
      <c r="X148" s="10">
        <v>3</v>
      </c>
      <c r="Z148" s="37">
        <v>1</v>
      </c>
      <c r="AA148" s="37">
        <v>0</v>
      </c>
      <c r="AB148" s="37">
        <v>0</v>
      </c>
      <c r="AC148" s="37">
        <v>0</v>
      </c>
      <c r="AD148" s="37">
        <v>2</v>
      </c>
      <c r="AE148" s="37">
        <v>0</v>
      </c>
    </row>
    <row r="149" spans="11:31">
      <c r="K149" s="10">
        <v>145</v>
      </c>
      <c r="L149" s="19" t="s">
        <v>66</v>
      </c>
      <c r="M149" s="19" t="s">
        <v>64</v>
      </c>
      <c r="N149" s="19" t="s">
        <v>67</v>
      </c>
      <c r="O149" s="19" t="s">
        <v>63</v>
      </c>
      <c r="P149" s="19" t="s">
        <v>65</v>
      </c>
      <c r="Q149" s="19" t="s">
        <v>63</v>
      </c>
      <c r="S149" s="10">
        <v>7</v>
      </c>
      <c r="T149" s="10">
        <v>8</v>
      </c>
      <c r="U149" s="10">
        <v>11</v>
      </c>
      <c r="V149" s="10">
        <v>9</v>
      </c>
      <c r="W149" s="10">
        <v>10</v>
      </c>
      <c r="X149" s="10">
        <v>9</v>
      </c>
      <c r="Z149" s="37">
        <v>1</v>
      </c>
      <c r="AA149" s="37">
        <v>0</v>
      </c>
      <c r="AB149" s="37">
        <v>0</v>
      </c>
      <c r="AC149" s="37">
        <v>1</v>
      </c>
      <c r="AD149" s="37">
        <v>2</v>
      </c>
      <c r="AE149" s="37">
        <v>2</v>
      </c>
    </row>
    <row r="150" spans="11:31">
      <c r="K150" s="10">
        <v>146</v>
      </c>
      <c r="L150" s="19" t="s">
        <v>67</v>
      </c>
      <c r="M150" s="19" t="s">
        <v>67</v>
      </c>
      <c r="N150" s="19" t="s">
        <v>64</v>
      </c>
      <c r="O150" s="19" t="s">
        <v>63</v>
      </c>
      <c r="P150" s="19" t="s">
        <v>65</v>
      </c>
      <c r="Q150" s="19" t="s">
        <v>63</v>
      </c>
      <c r="S150" s="10">
        <v>11</v>
      </c>
      <c r="T150" s="10">
        <v>11</v>
      </c>
      <c r="U150" s="10">
        <v>8</v>
      </c>
      <c r="V150" s="10">
        <v>9</v>
      </c>
      <c r="W150" s="10">
        <v>10</v>
      </c>
      <c r="X150" s="10">
        <v>9</v>
      </c>
      <c r="Z150" s="37">
        <v>1</v>
      </c>
      <c r="AA150" s="37">
        <v>1</v>
      </c>
      <c r="AB150" s="37">
        <v>0</v>
      </c>
      <c r="AC150" s="37">
        <v>1</v>
      </c>
      <c r="AD150" s="37">
        <v>2</v>
      </c>
      <c r="AE150" s="37">
        <v>2</v>
      </c>
    </row>
    <row r="151" spans="11:31">
      <c r="K151" s="10">
        <v>147</v>
      </c>
      <c r="L151" s="19" t="s">
        <v>67</v>
      </c>
      <c r="M151" s="19" t="s">
        <v>67</v>
      </c>
      <c r="N151" s="19" t="s">
        <v>64</v>
      </c>
      <c r="O151" s="19" t="s">
        <v>67</v>
      </c>
      <c r="P151" s="19" t="s">
        <v>67</v>
      </c>
      <c r="Q151" s="19" t="s">
        <v>64</v>
      </c>
      <c r="S151" s="10">
        <v>11</v>
      </c>
      <c r="T151" s="10">
        <v>11</v>
      </c>
      <c r="U151" s="10">
        <v>8</v>
      </c>
      <c r="V151" s="10">
        <v>11</v>
      </c>
      <c r="W151" s="10">
        <v>11</v>
      </c>
      <c r="X151" s="10">
        <v>8</v>
      </c>
      <c r="Z151" s="37">
        <v>1</v>
      </c>
      <c r="AA151" s="37">
        <v>1</v>
      </c>
      <c r="AB151" s="37">
        <v>0</v>
      </c>
      <c r="AC151" s="37">
        <v>1</v>
      </c>
      <c r="AD151" s="37">
        <v>0</v>
      </c>
      <c r="AE151" s="37">
        <v>2</v>
      </c>
    </row>
    <row r="152" spans="11:31">
      <c r="K152" s="10">
        <v>148</v>
      </c>
      <c r="L152" s="19" t="s">
        <v>24</v>
      </c>
      <c r="M152" s="19" t="s">
        <v>65</v>
      </c>
      <c r="N152" s="19" t="s">
        <v>63</v>
      </c>
      <c r="O152" s="19" t="s">
        <v>67</v>
      </c>
      <c r="P152" s="19" t="s">
        <v>67</v>
      </c>
      <c r="Q152" s="19" t="s">
        <v>64</v>
      </c>
      <c r="S152" s="10">
        <v>1</v>
      </c>
      <c r="T152" s="10">
        <v>10</v>
      </c>
      <c r="U152" s="10">
        <v>9</v>
      </c>
      <c r="V152" s="10">
        <v>11</v>
      </c>
      <c r="W152" s="10">
        <v>11</v>
      </c>
      <c r="X152" s="10">
        <v>8</v>
      </c>
      <c r="Z152" s="37">
        <v>1</v>
      </c>
      <c r="AA152" s="37">
        <v>1</v>
      </c>
      <c r="AB152" s="37">
        <v>0</v>
      </c>
      <c r="AC152" s="37">
        <v>1</v>
      </c>
      <c r="AD152" s="37">
        <v>0</v>
      </c>
      <c r="AE152" s="37">
        <v>2</v>
      </c>
    </row>
    <row r="153" spans="11:31">
      <c r="K153" s="10">
        <v>149</v>
      </c>
      <c r="L153" s="19" t="s">
        <v>66</v>
      </c>
      <c r="M153" s="19" t="s">
        <v>65</v>
      </c>
      <c r="N153" s="19" t="s">
        <v>63</v>
      </c>
      <c r="O153" s="19" t="s">
        <v>24</v>
      </c>
      <c r="P153" s="19" t="s">
        <v>64</v>
      </c>
      <c r="Q153" s="19" t="s">
        <v>63</v>
      </c>
      <c r="S153" s="10">
        <v>7</v>
      </c>
      <c r="T153" s="10">
        <v>10</v>
      </c>
      <c r="U153" s="10">
        <v>9</v>
      </c>
      <c r="V153" s="10">
        <v>1</v>
      </c>
      <c r="W153" s="10">
        <v>8</v>
      </c>
      <c r="X153" s="10">
        <v>9</v>
      </c>
      <c r="Z153" s="37">
        <v>0</v>
      </c>
      <c r="AA153" s="37">
        <v>1</v>
      </c>
      <c r="AB153" s="37">
        <v>0</v>
      </c>
      <c r="AC153" s="37">
        <v>1</v>
      </c>
      <c r="AD153" s="37">
        <v>0</v>
      </c>
      <c r="AE153" s="37">
        <v>2</v>
      </c>
    </row>
    <row r="154" spans="11:31">
      <c r="K154" s="10">
        <v>150</v>
      </c>
      <c r="L154" s="19" t="s">
        <v>66</v>
      </c>
      <c r="M154" s="19" t="s">
        <v>24</v>
      </c>
      <c r="N154" s="19" t="s">
        <v>63</v>
      </c>
      <c r="O154" s="19" t="s">
        <v>63</v>
      </c>
      <c r="P154" s="19" t="s">
        <v>64</v>
      </c>
      <c r="Q154" s="19" t="s">
        <v>63</v>
      </c>
      <c r="S154" s="10">
        <v>7</v>
      </c>
      <c r="T154" s="10">
        <v>1</v>
      </c>
      <c r="U154" s="10">
        <v>9</v>
      </c>
      <c r="V154" s="10">
        <v>9</v>
      </c>
      <c r="W154" s="10">
        <v>8</v>
      </c>
      <c r="X154" s="10">
        <v>9</v>
      </c>
      <c r="Z154" s="37">
        <v>0</v>
      </c>
      <c r="AA154" s="37">
        <v>1</v>
      </c>
      <c r="AB154" s="37">
        <v>0</v>
      </c>
      <c r="AC154" s="37">
        <v>0</v>
      </c>
      <c r="AD154" s="37">
        <v>0</v>
      </c>
      <c r="AE154" s="37">
        <v>2</v>
      </c>
    </row>
    <row r="155" spans="11:31">
      <c r="K155" s="10">
        <v>151</v>
      </c>
      <c r="L155" s="19" t="s">
        <v>65</v>
      </c>
      <c r="M155" s="19" t="s">
        <v>67</v>
      </c>
      <c r="N155" s="19" t="s">
        <v>63</v>
      </c>
      <c r="O155" s="19" t="s">
        <v>63</v>
      </c>
      <c r="P155" s="19" t="s">
        <v>45</v>
      </c>
      <c r="Q155" s="19" t="s">
        <v>66</v>
      </c>
      <c r="S155" s="10">
        <v>10</v>
      </c>
      <c r="T155" s="10">
        <v>11</v>
      </c>
      <c r="U155" s="10">
        <v>9</v>
      </c>
      <c r="V155" s="10">
        <v>9</v>
      </c>
      <c r="W155" s="10">
        <v>4</v>
      </c>
      <c r="X155" s="10">
        <v>7</v>
      </c>
      <c r="Z155" s="37">
        <v>0</v>
      </c>
      <c r="AA155" s="37">
        <v>0</v>
      </c>
      <c r="AB155" s="37">
        <v>0</v>
      </c>
      <c r="AC155" s="37">
        <v>0</v>
      </c>
      <c r="AD155" s="37">
        <v>0</v>
      </c>
      <c r="AE155" s="37">
        <v>2</v>
      </c>
    </row>
    <row r="156" spans="11:31">
      <c r="K156" s="10">
        <v>152</v>
      </c>
      <c r="L156" s="19" t="s">
        <v>65</v>
      </c>
      <c r="M156" s="19" t="s">
        <v>67</v>
      </c>
      <c r="N156" s="19" t="s">
        <v>22</v>
      </c>
      <c r="O156" s="19" t="s">
        <v>22</v>
      </c>
      <c r="P156" s="19" t="s">
        <v>67</v>
      </c>
      <c r="Q156" s="19" t="s">
        <v>66</v>
      </c>
      <c r="S156" s="10">
        <v>10</v>
      </c>
      <c r="T156" s="10">
        <v>11</v>
      </c>
      <c r="U156" s="10">
        <v>5</v>
      </c>
      <c r="V156" s="10">
        <v>5</v>
      </c>
      <c r="W156" s="10">
        <v>11</v>
      </c>
      <c r="X156" s="10">
        <v>7</v>
      </c>
      <c r="Z156" s="37">
        <v>0</v>
      </c>
      <c r="AA156" s="37">
        <v>0</v>
      </c>
      <c r="AB156" s="37">
        <v>0</v>
      </c>
      <c r="AC156" s="37">
        <v>0</v>
      </c>
      <c r="AD156" s="37">
        <v>2</v>
      </c>
      <c r="AE156" s="37">
        <v>2</v>
      </c>
    </row>
    <row r="157" spans="11:31">
      <c r="K157" s="10">
        <v>153</v>
      </c>
      <c r="L157" s="19" t="s">
        <v>22</v>
      </c>
      <c r="M157" s="19" t="s">
        <v>63</v>
      </c>
      <c r="N157" s="19" t="s">
        <v>22</v>
      </c>
      <c r="O157" s="19" t="s">
        <v>22</v>
      </c>
      <c r="P157" s="19" t="s">
        <v>67</v>
      </c>
      <c r="Q157" s="19" t="s">
        <v>63</v>
      </c>
      <c r="S157" s="10">
        <v>5</v>
      </c>
      <c r="T157" s="10">
        <v>9</v>
      </c>
      <c r="U157" s="10">
        <v>5</v>
      </c>
      <c r="V157" s="10">
        <v>5</v>
      </c>
      <c r="W157" s="10">
        <v>11</v>
      </c>
      <c r="X157" s="10">
        <v>9</v>
      </c>
      <c r="Z157" s="37">
        <v>0</v>
      </c>
      <c r="AA157" s="37">
        <v>0</v>
      </c>
      <c r="AB157" s="37">
        <v>0</v>
      </c>
      <c r="AC157" s="37">
        <v>0</v>
      </c>
      <c r="AD157" s="37">
        <v>2</v>
      </c>
      <c r="AE157" s="37">
        <v>2</v>
      </c>
    </row>
    <row r="158" spans="11:31">
      <c r="K158" s="10">
        <v>154</v>
      </c>
      <c r="L158" s="19" t="s">
        <v>22</v>
      </c>
      <c r="M158" s="19" t="s">
        <v>63</v>
      </c>
      <c r="N158" s="19" t="s">
        <v>64</v>
      </c>
      <c r="O158" s="19" t="s">
        <v>67</v>
      </c>
      <c r="P158" s="19" t="s">
        <v>65</v>
      </c>
      <c r="Q158" s="19" t="s">
        <v>63</v>
      </c>
      <c r="S158" s="10">
        <v>5</v>
      </c>
      <c r="T158" s="10">
        <v>9</v>
      </c>
      <c r="U158" s="10">
        <v>8</v>
      </c>
      <c r="V158" s="10">
        <v>11</v>
      </c>
      <c r="W158" s="10">
        <v>10</v>
      </c>
      <c r="X158" s="10">
        <v>9</v>
      </c>
      <c r="Z158" s="37">
        <v>0</v>
      </c>
      <c r="AA158" s="37">
        <v>0</v>
      </c>
      <c r="AB158" s="37">
        <v>0</v>
      </c>
      <c r="AC158" s="37">
        <v>0</v>
      </c>
      <c r="AD158" s="37">
        <v>2</v>
      </c>
      <c r="AE158" s="37">
        <v>2</v>
      </c>
    </row>
    <row r="159" spans="11:31">
      <c r="K159" s="10">
        <v>155</v>
      </c>
      <c r="L159" s="19" t="s">
        <v>67</v>
      </c>
      <c r="M159" s="19" t="s">
        <v>66</v>
      </c>
      <c r="N159" s="19" t="s">
        <v>64</v>
      </c>
      <c r="O159" s="19" t="s">
        <v>67</v>
      </c>
      <c r="P159" s="19" t="s">
        <v>65</v>
      </c>
      <c r="Q159" s="19" t="s">
        <v>65</v>
      </c>
      <c r="S159" s="10">
        <v>11</v>
      </c>
      <c r="T159" s="10">
        <v>7</v>
      </c>
      <c r="U159" s="10">
        <v>8</v>
      </c>
      <c r="V159" s="10">
        <v>11</v>
      </c>
      <c r="W159" s="10">
        <v>10</v>
      </c>
      <c r="X159" s="10">
        <v>10</v>
      </c>
      <c r="Z159" s="37">
        <v>0</v>
      </c>
      <c r="AA159" s="37">
        <v>0</v>
      </c>
      <c r="AB159" s="37">
        <v>0</v>
      </c>
      <c r="AC159" s="37">
        <v>0</v>
      </c>
      <c r="AD159" s="37">
        <v>2</v>
      </c>
      <c r="AE159" s="37">
        <v>2</v>
      </c>
    </row>
    <row r="160" spans="11:31">
      <c r="K160" s="10">
        <v>156</v>
      </c>
      <c r="L160" s="19" t="s">
        <v>67</v>
      </c>
      <c r="M160" s="19" t="s">
        <v>66</v>
      </c>
      <c r="N160" s="19" t="s">
        <v>63</v>
      </c>
      <c r="O160" s="19" t="s">
        <v>65</v>
      </c>
      <c r="P160" s="19" t="s">
        <v>23</v>
      </c>
      <c r="Q160" s="19" t="s">
        <v>65</v>
      </c>
      <c r="S160" s="10">
        <v>11</v>
      </c>
      <c r="T160" s="10">
        <v>7</v>
      </c>
      <c r="U160" s="10">
        <v>9</v>
      </c>
      <c r="V160" s="10">
        <v>10</v>
      </c>
      <c r="W160" s="10">
        <v>6</v>
      </c>
      <c r="X160" s="10">
        <v>10</v>
      </c>
      <c r="Z160" s="37">
        <v>0</v>
      </c>
      <c r="AA160" s="37">
        <v>0</v>
      </c>
      <c r="AB160" s="37">
        <v>0</v>
      </c>
      <c r="AC160" s="37">
        <v>0</v>
      </c>
      <c r="AD160" s="37">
        <v>2</v>
      </c>
      <c r="AE160" s="37">
        <v>2</v>
      </c>
    </row>
    <row r="161" spans="11:31">
      <c r="K161" s="10">
        <v>157</v>
      </c>
      <c r="L161" s="19" t="s">
        <v>66</v>
      </c>
      <c r="M161" s="19" t="s">
        <v>63</v>
      </c>
      <c r="N161" s="19" t="s">
        <v>63</v>
      </c>
      <c r="O161" s="19" t="s">
        <v>65</v>
      </c>
      <c r="P161" s="19" t="s">
        <v>23</v>
      </c>
      <c r="Q161" s="19" t="s">
        <v>64</v>
      </c>
      <c r="S161" s="10">
        <v>7</v>
      </c>
      <c r="T161" s="10">
        <v>9</v>
      </c>
      <c r="U161" s="10">
        <v>9</v>
      </c>
      <c r="V161" s="10">
        <v>10</v>
      </c>
      <c r="W161" s="10">
        <v>6</v>
      </c>
      <c r="X161" s="10">
        <v>8</v>
      </c>
      <c r="Z161" s="37">
        <v>0</v>
      </c>
      <c r="AA161" s="37">
        <v>0</v>
      </c>
      <c r="AB161" s="37">
        <v>0</v>
      </c>
      <c r="AC161" s="37">
        <v>0</v>
      </c>
      <c r="AD161" s="37">
        <v>2</v>
      </c>
      <c r="AE161" s="37">
        <v>0</v>
      </c>
    </row>
    <row r="162" spans="11:31">
      <c r="K162" s="10">
        <v>158</v>
      </c>
      <c r="L162" s="19" t="s">
        <v>66</v>
      </c>
      <c r="M162" s="19" t="s">
        <v>63</v>
      </c>
      <c r="N162" s="19" t="s">
        <v>23</v>
      </c>
      <c r="O162" s="19" t="s">
        <v>22</v>
      </c>
      <c r="P162" s="19" t="s">
        <v>65</v>
      </c>
      <c r="Q162" s="19" t="s">
        <v>64</v>
      </c>
      <c r="S162" s="10">
        <v>7</v>
      </c>
      <c r="T162" s="10">
        <v>9</v>
      </c>
      <c r="U162" s="10">
        <v>6</v>
      </c>
      <c r="V162" s="10">
        <v>5</v>
      </c>
      <c r="W162" s="10">
        <v>10</v>
      </c>
      <c r="X162" s="10">
        <v>8</v>
      </c>
      <c r="Z162" s="37">
        <v>0</v>
      </c>
      <c r="AA162" s="37">
        <v>0</v>
      </c>
      <c r="AB162" s="37">
        <v>1</v>
      </c>
      <c r="AC162" s="37">
        <v>1</v>
      </c>
      <c r="AD162" s="37">
        <v>2</v>
      </c>
      <c r="AE162" s="37">
        <v>0</v>
      </c>
    </row>
    <row r="163" spans="11:31">
      <c r="K163" s="10">
        <v>159</v>
      </c>
      <c r="L163" s="19" t="s">
        <v>67</v>
      </c>
      <c r="M163" s="19" t="s">
        <v>23</v>
      </c>
      <c r="N163" s="19" t="s">
        <v>23</v>
      </c>
      <c r="O163" s="19" t="s">
        <v>22</v>
      </c>
      <c r="P163" s="19" t="s">
        <v>65</v>
      </c>
      <c r="Q163" s="19" t="s">
        <v>22</v>
      </c>
      <c r="S163" s="10">
        <v>11</v>
      </c>
      <c r="T163" s="10">
        <v>6</v>
      </c>
      <c r="U163" s="10">
        <v>6</v>
      </c>
      <c r="V163" s="10">
        <v>5</v>
      </c>
      <c r="W163" s="10">
        <v>10</v>
      </c>
      <c r="X163" s="10">
        <v>5</v>
      </c>
      <c r="Z163" s="37">
        <v>0</v>
      </c>
      <c r="AA163" s="37">
        <v>0</v>
      </c>
      <c r="AB163" s="37">
        <v>1</v>
      </c>
      <c r="AC163" s="37">
        <v>1</v>
      </c>
      <c r="AD163" s="37">
        <v>2</v>
      </c>
      <c r="AE163" s="37">
        <v>0</v>
      </c>
    </row>
    <row r="164" spans="11:31">
      <c r="K164" s="10">
        <v>160</v>
      </c>
      <c r="L164" s="19" t="s">
        <v>67</v>
      </c>
      <c r="M164" s="19" t="s">
        <v>23</v>
      </c>
      <c r="N164" s="19" t="s">
        <v>66</v>
      </c>
      <c r="O164" s="19" t="s">
        <v>63</v>
      </c>
      <c r="P164" s="19" t="s">
        <v>67</v>
      </c>
      <c r="Q164" s="19" t="s">
        <v>22</v>
      </c>
      <c r="S164" s="10">
        <v>11</v>
      </c>
      <c r="T164" s="10">
        <v>6</v>
      </c>
      <c r="U164" s="10">
        <v>7</v>
      </c>
      <c r="V164" s="10">
        <v>9</v>
      </c>
      <c r="W164" s="10">
        <v>11</v>
      </c>
      <c r="X164" s="10">
        <v>5</v>
      </c>
      <c r="Z164" s="37">
        <v>0</v>
      </c>
      <c r="AA164" s="37">
        <v>0</v>
      </c>
      <c r="AB164" s="37">
        <v>1</v>
      </c>
      <c r="AC164" s="37">
        <v>1</v>
      </c>
      <c r="AD164" s="37">
        <v>2</v>
      </c>
      <c r="AE164" s="37">
        <v>0</v>
      </c>
    </row>
    <row r="165" spans="11:31">
      <c r="K165" s="10">
        <v>161</v>
      </c>
      <c r="L165" s="19" t="s">
        <v>66</v>
      </c>
      <c r="M165" s="19" t="s">
        <v>66</v>
      </c>
      <c r="N165" s="19" t="s">
        <v>66</v>
      </c>
      <c r="O165" s="19" t="s">
        <v>63</v>
      </c>
      <c r="P165" s="19" t="s">
        <v>67</v>
      </c>
      <c r="Q165" s="19" t="s">
        <v>45</v>
      </c>
      <c r="S165" s="10">
        <v>7</v>
      </c>
      <c r="T165" s="10">
        <v>7</v>
      </c>
      <c r="U165" s="10">
        <v>7</v>
      </c>
      <c r="V165" s="10">
        <v>9</v>
      </c>
      <c r="W165" s="10">
        <v>11</v>
      </c>
      <c r="X165" s="10">
        <v>4</v>
      </c>
      <c r="Z165" s="37">
        <v>0</v>
      </c>
      <c r="AA165" s="37">
        <v>0</v>
      </c>
      <c r="AB165" s="37">
        <v>1</v>
      </c>
      <c r="AC165" s="37">
        <v>1</v>
      </c>
      <c r="AD165" s="37">
        <v>2</v>
      </c>
      <c r="AE165" s="37">
        <v>0</v>
      </c>
    </row>
    <row r="166" spans="11:31">
      <c r="K166" s="10">
        <v>162</v>
      </c>
      <c r="L166" s="19" t="s">
        <v>66</v>
      </c>
      <c r="M166" s="19" t="s">
        <v>66</v>
      </c>
      <c r="N166" s="19" t="s">
        <v>24</v>
      </c>
      <c r="O166" s="19" t="s">
        <v>24</v>
      </c>
      <c r="P166" s="19" t="s">
        <v>27</v>
      </c>
      <c r="Q166" s="19" t="s">
        <v>63</v>
      </c>
      <c r="S166" s="10">
        <v>7</v>
      </c>
      <c r="T166" s="10">
        <v>7</v>
      </c>
      <c r="U166" s="10">
        <v>1</v>
      </c>
      <c r="V166" s="10">
        <v>1</v>
      </c>
      <c r="W166" s="10">
        <v>4</v>
      </c>
      <c r="X166" s="10">
        <v>9</v>
      </c>
      <c r="Z166" s="37">
        <v>0</v>
      </c>
      <c r="AA166" s="37">
        <v>0</v>
      </c>
      <c r="AB166" s="37">
        <v>1</v>
      </c>
      <c r="AC166" s="37">
        <v>1</v>
      </c>
      <c r="AD166" s="37">
        <v>2</v>
      </c>
      <c r="AE166" s="37">
        <v>2</v>
      </c>
    </row>
    <row r="167" spans="11:31">
      <c r="K167" s="10">
        <v>163</v>
      </c>
      <c r="L167" s="19" t="s">
        <v>26</v>
      </c>
      <c r="M167" s="19" t="s">
        <v>64</v>
      </c>
      <c r="N167" s="19" t="s">
        <v>63</v>
      </c>
      <c r="O167" s="19" t="s">
        <v>26</v>
      </c>
      <c r="P167" s="19" t="s">
        <v>27</v>
      </c>
      <c r="Q167" s="19" t="s">
        <v>63</v>
      </c>
      <c r="S167" s="10">
        <v>3</v>
      </c>
      <c r="T167" s="10">
        <v>8</v>
      </c>
      <c r="U167" s="10">
        <v>9</v>
      </c>
      <c r="V167" s="10">
        <v>3</v>
      </c>
      <c r="W167" s="10">
        <v>4</v>
      </c>
      <c r="X167" s="10">
        <v>9</v>
      </c>
      <c r="Z167" s="37">
        <v>0</v>
      </c>
      <c r="AA167" s="37">
        <v>0</v>
      </c>
      <c r="AB167" s="37">
        <v>0</v>
      </c>
      <c r="AC167" s="37">
        <v>0</v>
      </c>
      <c r="AD167" s="37">
        <v>2</v>
      </c>
      <c r="AE167" s="37">
        <v>2</v>
      </c>
    </row>
    <row r="168" spans="11:31">
      <c r="K168" s="10">
        <v>164</v>
      </c>
      <c r="L168" s="19" t="s">
        <v>26</v>
      </c>
      <c r="M168" s="19" t="s">
        <v>64</v>
      </c>
      <c r="N168" s="19" t="s">
        <v>63</v>
      </c>
      <c r="O168" s="19" t="s">
        <v>26</v>
      </c>
      <c r="P168" s="19" t="s">
        <v>23</v>
      </c>
      <c r="Q168" s="19" t="s">
        <v>64</v>
      </c>
      <c r="S168" s="10">
        <v>3</v>
      </c>
      <c r="T168" s="10">
        <v>8</v>
      </c>
      <c r="U168" s="10">
        <v>9</v>
      </c>
      <c r="V168" s="10">
        <v>3</v>
      </c>
      <c r="W168" s="10">
        <v>6</v>
      </c>
      <c r="X168" s="10">
        <v>8</v>
      </c>
      <c r="Z168" s="37">
        <v>0</v>
      </c>
      <c r="AA168" s="37">
        <v>0</v>
      </c>
      <c r="AB168" s="37">
        <v>0</v>
      </c>
      <c r="AC168" s="37">
        <v>0</v>
      </c>
      <c r="AD168" s="37">
        <v>2</v>
      </c>
      <c r="AE168" s="37">
        <v>2</v>
      </c>
    </row>
    <row r="169" spans="11:31">
      <c r="K169" s="10">
        <v>165</v>
      </c>
      <c r="L169" s="19" t="s">
        <v>67</v>
      </c>
      <c r="M169" s="19" t="s">
        <v>67</v>
      </c>
      <c r="N169" s="19" t="s">
        <v>65</v>
      </c>
      <c r="O169" s="19" t="s">
        <v>64</v>
      </c>
      <c r="P169" s="19" t="s">
        <v>23</v>
      </c>
      <c r="Q169" s="19" t="s">
        <v>64</v>
      </c>
      <c r="S169" s="10">
        <v>11</v>
      </c>
      <c r="T169" s="10">
        <v>11</v>
      </c>
      <c r="U169" s="10">
        <v>10</v>
      </c>
      <c r="V169" s="10">
        <v>8</v>
      </c>
      <c r="W169" s="10">
        <v>6</v>
      </c>
      <c r="X169" s="10">
        <v>8</v>
      </c>
      <c r="Z169" s="37">
        <v>0</v>
      </c>
      <c r="AA169" s="37">
        <v>0</v>
      </c>
      <c r="AB169" s="37">
        <v>0</v>
      </c>
      <c r="AC169" s="37">
        <v>0</v>
      </c>
      <c r="AD169" s="37">
        <v>2</v>
      </c>
      <c r="AE169" s="37">
        <v>2</v>
      </c>
    </row>
    <row r="170" spans="11:31">
      <c r="K170" s="10">
        <v>166</v>
      </c>
      <c r="L170" s="19" t="s">
        <v>67</v>
      </c>
      <c r="M170" s="19" t="s">
        <v>67</v>
      </c>
      <c r="N170" s="19" t="s">
        <v>65</v>
      </c>
      <c r="O170" s="19" t="s">
        <v>64</v>
      </c>
      <c r="P170" s="19" t="s">
        <v>66</v>
      </c>
      <c r="Q170" s="19" t="s">
        <v>65</v>
      </c>
      <c r="S170" s="10">
        <v>11</v>
      </c>
      <c r="T170" s="10">
        <v>11</v>
      </c>
      <c r="U170" s="10">
        <v>10</v>
      </c>
      <c r="V170" s="10">
        <v>8</v>
      </c>
      <c r="W170" s="10">
        <v>7</v>
      </c>
      <c r="X170" s="10">
        <v>10</v>
      </c>
      <c r="Z170" s="37">
        <v>0</v>
      </c>
      <c r="AA170" s="37">
        <v>0</v>
      </c>
      <c r="AB170" s="37">
        <v>0</v>
      </c>
      <c r="AC170" s="37">
        <v>0</v>
      </c>
      <c r="AD170" s="37">
        <v>2</v>
      </c>
      <c r="AE170" s="37">
        <v>2</v>
      </c>
    </row>
    <row r="171" spans="11:31">
      <c r="K171" s="10">
        <v>167</v>
      </c>
      <c r="L171" s="19" t="s">
        <v>27</v>
      </c>
      <c r="M171" s="19" t="s">
        <v>64</v>
      </c>
      <c r="N171" s="19" t="s">
        <v>67</v>
      </c>
      <c r="O171" s="19" t="s">
        <v>63</v>
      </c>
      <c r="P171" s="19" t="s">
        <v>66</v>
      </c>
      <c r="Q171" s="19" t="s">
        <v>65</v>
      </c>
      <c r="S171" s="10">
        <v>4</v>
      </c>
      <c r="T171" s="10">
        <v>8</v>
      </c>
      <c r="U171" s="10">
        <v>11</v>
      </c>
      <c r="V171" s="10">
        <v>9</v>
      </c>
      <c r="W171" s="10">
        <v>7</v>
      </c>
      <c r="X171" s="10">
        <v>10</v>
      </c>
      <c r="Z171" s="37">
        <v>0</v>
      </c>
      <c r="AA171" s="37">
        <v>0</v>
      </c>
      <c r="AB171" s="37">
        <v>0</v>
      </c>
      <c r="AC171" s="37">
        <v>0</v>
      </c>
      <c r="AD171" s="37">
        <v>2</v>
      </c>
      <c r="AE171" s="37">
        <v>2</v>
      </c>
    </row>
    <row r="172" spans="11:31">
      <c r="K172" s="10">
        <v>168</v>
      </c>
      <c r="L172" s="19" t="s">
        <v>27</v>
      </c>
      <c r="M172" s="19" t="s">
        <v>64</v>
      </c>
      <c r="N172" s="19" t="s">
        <v>67</v>
      </c>
      <c r="O172" s="19" t="s">
        <v>63</v>
      </c>
      <c r="P172" s="19" t="s">
        <v>22</v>
      </c>
      <c r="Q172" s="19" t="s">
        <v>66</v>
      </c>
      <c r="S172" s="10">
        <v>4</v>
      </c>
      <c r="T172" s="10">
        <v>8</v>
      </c>
      <c r="U172" s="10">
        <v>11</v>
      </c>
      <c r="V172" s="10">
        <v>9</v>
      </c>
      <c r="W172" s="10">
        <v>5</v>
      </c>
      <c r="X172" s="10">
        <v>7</v>
      </c>
      <c r="Z172" s="37">
        <v>0</v>
      </c>
      <c r="AA172" s="37">
        <v>0</v>
      </c>
      <c r="AB172" s="37">
        <v>0</v>
      </c>
      <c r="AC172" s="37">
        <v>0</v>
      </c>
      <c r="AD172" s="37">
        <v>2</v>
      </c>
      <c r="AE172" s="37">
        <v>0</v>
      </c>
    </row>
    <row r="173" spans="11:31">
      <c r="K173" s="10">
        <v>169</v>
      </c>
      <c r="L173" s="19" t="s">
        <v>66</v>
      </c>
      <c r="M173" s="19" t="s">
        <v>67</v>
      </c>
      <c r="N173" s="19" t="s">
        <v>27</v>
      </c>
      <c r="O173" s="19" t="s">
        <v>64</v>
      </c>
      <c r="P173" s="19" t="s">
        <v>22</v>
      </c>
      <c r="Q173" s="19" t="s">
        <v>66</v>
      </c>
      <c r="S173" s="10">
        <v>7</v>
      </c>
      <c r="T173" s="10">
        <v>11</v>
      </c>
      <c r="U173" s="10">
        <v>4</v>
      </c>
      <c r="V173" s="10">
        <v>8</v>
      </c>
      <c r="W173" s="10">
        <v>5</v>
      </c>
      <c r="X173" s="10">
        <v>7</v>
      </c>
      <c r="Z173" s="37">
        <v>0</v>
      </c>
      <c r="AA173" s="37">
        <v>0</v>
      </c>
      <c r="AB173" s="37">
        <v>0</v>
      </c>
      <c r="AC173" s="37">
        <v>0</v>
      </c>
      <c r="AD173" s="37">
        <v>2</v>
      </c>
      <c r="AE173" s="37">
        <v>0</v>
      </c>
    </row>
    <row r="174" spans="11:31">
      <c r="K174" s="10">
        <v>170</v>
      </c>
      <c r="L174" s="19" t="s">
        <v>66</v>
      </c>
      <c r="M174" s="19" t="s">
        <v>67</v>
      </c>
      <c r="N174" s="19" t="s">
        <v>27</v>
      </c>
      <c r="O174" s="19" t="s">
        <v>64</v>
      </c>
      <c r="P174" s="19" t="s">
        <v>64</v>
      </c>
      <c r="Q174" s="19" t="s">
        <v>67</v>
      </c>
      <c r="S174" s="10">
        <v>7</v>
      </c>
      <c r="T174" s="10">
        <v>11</v>
      </c>
      <c r="U174" s="10">
        <v>4</v>
      </c>
      <c r="V174" s="10">
        <v>8</v>
      </c>
      <c r="W174" s="10">
        <v>8</v>
      </c>
      <c r="X174" s="10">
        <v>11</v>
      </c>
      <c r="Z174" s="37">
        <v>0</v>
      </c>
      <c r="AA174" s="37">
        <v>0</v>
      </c>
      <c r="AB174" s="37">
        <v>0</v>
      </c>
      <c r="AC174" s="37">
        <v>0</v>
      </c>
      <c r="AD174" s="37">
        <v>2</v>
      </c>
      <c r="AE174" s="37">
        <v>0</v>
      </c>
    </row>
    <row r="175" spans="11:31">
      <c r="K175" s="10">
        <v>171</v>
      </c>
      <c r="L175" s="19" t="s">
        <v>65</v>
      </c>
      <c r="M175" s="19" t="s">
        <v>65</v>
      </c>
      <c r="N175" s="19" t="s">
        <v>23</v>
      </c>
      <c r="O175" s="19" t="s">
        <v>65</v>
      </c>
      <c r="P175" s="19" t="s">
        <v>64</v>
      </c>
      <c r="Q175" s="19" t="s">
        <v>67</v>
      </c>
      <c r="S175" s="10">
        <v>10</v>
      </c>
      <c r="T175" s="10">
        <v>10</v>
      </c>
      <c r="U175" s="10">
        <v>6</v>
      </c>
      <c r="V175" s="10">
        <v>10</v>
      </c>
      <c r="W175" s="10">
        <v>8</v>
      </c>
      <c r="X175" s="10">
        <v>11</v>
      </c>
      <c r="Z175" s="37">
        <v>1</v>
      </c>
      <c r="AA175" s="37">
        <v>0</v>
      </c>
      <c r="AB175" s="37">
        <v>1</v>
      </c>
      <c r="AC175" s="37">
        <v>0</v>
      </c>
      <c r="AD175" s="37">
        <v>2</v>
      </c>
      <c r="AE175" s="37">
        <v>0</v>
      </c>
    </row>
    <row r="176" spans="11:31">
      <c r="K176" s="10">
        <v>172</v>
      </c>
      <c r="L176" s="19" t="s">
        <v>65</v>
      </c>
      <c r="M176" s="19" t="s">
        <v>65</v>
      </c>
      <c r="N176" s="19" t="s">
        <v>23</v>
      </c>
      <c r="O176" s="19" t="s">
        <v>65</v>
      </c>
      <c r="P176" s="19" t="s">
        <v>63</v>
      </c>
      <c r="Q176" s="19" t="s">
        <v>45</v>
      </c>
      <c r="S176" s="10">
        <v>10</v>
      </c>
      <c r="T176" s="10">
        <v>10</v>
      </c>
      <c r="U176" s="10">
        <v>6</v>
      </c>
      <c r="V176" s="10">
        <v>10</v>
      </c>
      <c r="W176" s="10">
        <v>9</v>
      </c>
      <c r="X176" s="10">
        <v>4</v>
      </c>
      <c r="Z176" s="37">
        <v>1</v>
      </c>
      <c r="AA176" s="37">
        <v>0</v>
      </c>
      <c r="AB176" s="37">
        <v>1</v>
      </c>
      <c r="AC176" s="37">
        <v>0</v>
      </c>
      <c r="AD176" s="37">
        <v>2</v>
      </c>
      <c r="AE176" s="37">
        <v>0</v>
      </c>
    </row>
    <row r="177" spans="11:31">
      <c r="K177" s="10">
        <v>173</v>
      </c>
      <c r="L177" s="19" t="s">
        <v>63</v>
      </c>
      <c r="M177" s="19" t="s">
        <v>63</v>
      </c>
      <c r="N177" s="19" t="s">
        <v>65</v>
      </c>
      <c r="O177" s="19" t="s">
        <v>63</v>
      </c>
      <c r="P177" s="19" t="s">
        <v>63</v>
      </c>
      <c r="Q177" s="19" t="s">
        <v>63</v>
      </c>
      <c r="S177" s="10">
        <v>9</v>
      </c>
      <c r="T177" s="10">
        <v>9</v>
      </c>
      <c r="U177" s="10">
        <v>10</v>
      </c>
      <c r="V177" s="10">
        <v>9</v>
      </c>
      <c r="W177" s="10">
        <v>9</v>
      </c>
      <c r="X177" s="10">
        <v>9</v>
      </c>
      <c r="Z177" s="37">
        <v>1</v>
      </c>
      <c r="AA177" s="37">
        <v>0</v>
      </c>
      <c r="AB177" s="37">
        <v>1</v>
      </c>
      <c r="AC177" s="37">
        <v>1</v>
      </c>
      <c r="AD177" s="37">
        <v>2</v>
      </c>
      <c r="AE177" s="37">
        <v>2</v>
      </c>
    </row>
    <row r="178" spans="11:31">
      <c r="K178" s="10">
        <v>174</v>
      </c>
      <c r="L178" s="19" t="s">
        <v>63</v>
      </c>
      <c r="M178" s="19" t="s">
        <v>63</v>
      </c>
      <c r="N178" s="19" t="s">
        <v>65</v>
      </c>
      <c r="O178" s="19" t="s">
        <v>63</v>
      </c>
      <c r="P178" s="19" t="s">
        <v>66</v>
      </c>
      <c r="Q178" s="19" t="s">
        <v>63</v>
      </c>
      <c r="S178" s="10">
        <v>9</v>
      </c>
      <c r="T178" s="10">
        <v>9</v>
      </c>
      <c r="U178" s="10">
        <v>10</v>
      </c>
      <c r="V178" s="10">
        <v>9</v>
      </c>
      <c r="W178" s="10">
        <v>7</v>
      </c>
      <c r="X178" s="10">
        <v>9</v>
      </c>
      <c r="Z178" s="37">
        <v>1</v>
      </c>
      <c r="AA178" s="37">
        <v>0</v>
      </c>
      <c r="AB178" s="37">
        <v>1</v>
      </c>
      <c r="AC178" s="37">
        <v>1</v>
      </c>
      <c r="AD178" s="37">
        <v>2</v>
      </c>
      <c r="AE178" s="37">
        <v>2</v>
      </c>
    </row>
    <row r="179" spans="11:31">
      <c r="K179" s="10">
        <v>175</v>
      </c>
      <c r="L179" s="19" t="s">
        <v>24</v>
      </c>
      <c r="M179" s="19" t="s">
        <v>66</v>
      </c>
      <c r="N179" s="19" t="s">
        <v>24</v>
      </c>
      <c r="O179" s="19" t="s">
        <v>64</v>
      </c>
      <c r="P179" s="19" t="s">
        <v>66</v>
      </c>
      <c r="Q179" s="19" t="s">
        <v>64</v>
      </c>
      <c r="S179" s="10">
        <v>1</v>
      </c>
      <c r="T179" s="10">
        <v>7</v>
      </c>
      <c r="U179" s="10">
        <v>1</v>
      </c>
      <c r="V179" s="10">
        <v>8</v>
      </c>
      <c r="W179" s="10">
        <v>7</v>
      </c>
      <c r="X179" s="10">
        <v>8</v>
      </c>
      <c r="Z179" s="37">
        <v>1</v>
      </c>
      <c r="AA179" s="37">
        <v>0</v>
      </c>
      <c r="AB179" s="37">
        <v>1</v>
      </c>
      <c r="AC179" s="37">
        <v>1</v>
      </c>
      <c r="AD179" s="37">
        <v>2</v>
      </c>
      <c r="AE179" s="37">
        <v>0</v>
      </c>
    </row>
    <row r="180" spans="11:31">
      <c r="K180" s="10">
        <v>176</v>
      </c>
      <c r="L180" s="19" t="s">
        <v>27</v>
      </c>
      <c r="M180" s="19" t="s">
        <v>66</v>
      </c>
      <c r="N180" s="19" t="s">
        <v>22</v>
      </c>
      <c r="O180" s="19" t="s">
        <v>64</v>
      </c>
      <c r="P180" s="19" t="s">
        <v>65</v>
      </c>
      <c r="Q180" s="19" t="s">
        <v>64</v>
      </c>
      <c r="S180" s="10">
        <v>4</v>
      </c>
      <c r="T180" s="10">
        <v>7</v>
      </c>
      <c r="U180" s="10">
        <v>5</v>
      </c>
      <c r="V180" s="10">
        <v>8</v>
      </c>
      <c r="W180" s="10">
        <v>10</v>
      </c>
      <c r="X180" s="10">
        <v>8</v>
      </c>
      <c r="Z180" s="37">
        <v>0</v>
      </c>
      <c r="AA180" s="37">
        <v>0</v>
      </c>
      <c r="AB180" s="37">
        <v>0</v>
      </c>
      <c r="AC180" s="37">
        <v>1</v>
      </c>
      <c r="AD180" s="37">
        <v>2</v>
      </c>
      <c r="AE180" s="37">
        <v>0</v>
      </c>
    </row>
    <row r="181" spans="11:31">
      <c r="K181" s="10">
        <v>177</v>
      </c>
      <c r="L181" s="19" t="s">
        <v>27</v>
      </c>
      <c r="M181" s="19" t="s">
        <v>63</v>
      </c>
      <c r="N181" s="19" t="s">
        <v>22</v>
      </c>
      <c r="O181" s="19" t="s">
        <v>24</v>
      </c>
      <c r="P181" s="19" t="s">
        <v>65</v>
      </c>
      <c r="Q181" s="19" t="s">
        <v>63</v>
      </c>
      <c r="S181" s="10">
        <v>4</v>
      </c>
      <c r="T181" s="10">
        <v>9</v>
      </c>
      <c r="U181" s="10">
        <v>5</v>
      </c>
      <c r="V181" s="10">
        <v>1</v>
      </c>
      <c r="W181" s="10">
        <v>10</v>
      </c>
      <c r="X181" s="10">
        <v>9</v>
      </c>
      <c r="Z181" s="37">
        <v>0</v>
      </c>
      <c r="AA181" s="37">
        <v>0</v>
      </c>
      <c r="AB181" s="37">
        <v>0</v>
      </c>
      <c r="AC181" s="37">
        <v>1</v>
      </c>
      <c r="AD181" s="37">
        <v>2</v>
      </c>
      <c r="AE181" s="37">
        <v>0</v>
      </c>
    </row>
    <row r="182" spans="11:31">
      <c r="K182" s="10">
        <v>178</v>
      </c>
      <c r="L182" s="19" t="s">
        <v>65</v>
      </c>
      <c r="M182" s="19" t="s">
        <v>63</v>
      </c>
      <c r="N182" s="19" t="s">
        <v>67</v>
      </c>
      <c r="O182" s="19" t="s">
        <v>65</v>
      </c>
      <c r="P182" s="19" t="s">
        <v>27</v>
      </c>
      <c r="Q182" s="19" t="s">
        <v>63</v>
      </c>
      <c r="S182" s="10">
        <v>10</v>
      </c>
      <c r="T182" s="10">
        <v>9</v>
      </c>
      <c r="U182" s="10">
        <v>11</v>
      </c>
      <c r="V182" s="10">
        <v>10</v>
      </c>
      <c r="W182" s="10">
        <v>4</v>
      </c>
      <c r="X182" s="10">
        <v>9</v>
      </c>
      <c r="Z182" s="37">
        <v>0</v>
      </c>
      <c r="AA182" s="37">
        <v>0</v>
      </c>
      <c r="AB182" s="37">
        <v>0</v>
      </c>
      <c r="AC182" s="37">
        <v>0</v>
      </c>
      <c r="AD182" s="37">
        <v>2</v>
      </c>
      <c r="AE182" s="37">
        <v>0</v>
      </c>
    </row>
    <row r="183" spans="11:31">
      <c r="K183" s="10">
        <v>179</v>
      </c>
      <c r="L183" s="19" t="s">
        <v>65</v>
      </c>
      <c r="M183" s="19" t="s">
        <v>65</v>
      </c>
      <c r="N183" s="19" t="s">
        <v>67</v>
      </c>
      <c r="O183" s="19" t="s">
        <v>65</v>
      </c>
      <c r="P183" s="19" t="s">
        <v>27</v>
      </c>
      <c r="Q183" s="19" t="s">
        <v>45</v>
      </c>
      <c r="S183" s="10">
        <v>10</v>
      </c>
      <c r="T183" s="10">
        <v>10</v>
      </c>
      <c r="U183" s="10">
        <v>11</v>
      </c>
      <c r="V183" s="10">
        <v>10</v>
      </c>
      <c r="W183" s="10">
        <v>4</v>
      </c>
      <c r="X183" s="10">
        <v>4</v>
      </c>
      <c r="Z183" s="37">
        <v>0</v>
      </c>
      <c r="AA183" s="37">
        <v>1</v>
      </c>
      <c r="AB183" s="37">
        <v>0</v>
      </c>
      <c r="AC183" s="37">
        <v>0</v>
      </c>
      <c r="AD183" s="37">
        <v>2</v>
      </c>
      <c r="AE183" s="37">
        <v>0</v>
      </c>
    </row>
    <row r="184" spans="11:31">
      <c r="K184" s="10">
        <v>180</v>
      </c>
      <c r="L184" s="19" t="s">
        <v>22</v>
      </c>
      <c r="M184" s="19" t="s">
        <v>65</v>
      </c>
      <c r="N184" s="19" t="s">
        <v>65</v>
      </c>
      <c r="O184" s="19" t="s">
        <v>63</v>
      </c>
      <c r="P184" s="19" t="s">
        <v>65</v>
      </c>
      <c r="Q184" s="19" t="s">
        <v>65</v>
      </c>
      <c r="S184" s="10">
        <v>5</v>
      </c>
      <c r="T184" s="10">
        <v>10</v>
      </c>
      <c r="U184" s="10">
        <v>10</v>
      </c>
      <c r="V184" s="10">
        <v>9</v>
      </c>
      <c r="W184" s="10">
        <v>10</v>
      </c>
      <c r="X184" s="10">
        <v>10</v>
      </c>
      <c r="Z184" s="37">
        <v>0</v>
      </c>
      <c r="AA184" s="37">
        <v>1</v>
      </c>
      <c r="AB184" s="37">
        <v>0</v>
      </c>
      <c r="AC184" s="37">
        <v>0</v>
      </c>
      <c r="AD184" s="37">
        <v>2</v>
      </c>
      <c r="AE184" s="37">
        <v>2</v>
      </c>
    </row>
    <row r="185" spans="11:31">
      <c r="K185" s="10">
        <v>181</v>
      </c>
      <c r="L185" s="19" t="s">
        <v>22</v>
      </c>
      <c r="M185" s="19" t="s">
        <v>27</v>
      </c>
      <c r="N185" s="19" t="s">
        <v>65</v>
      </c>
      <c r="O185" s="19" t="s">
        <v>63</v>
      </c>
      <c r="P185" s="19" t="s">
        <v>65</v>
      </c>
      <c r="Q185" s="19" t="s">
        <v>65</v>
      </c>
      <c r="S185" s="10">
        <v>5</v>
      </c>
      <c r="T185" s="10">
        <v>4</v>
      </c>
      <c r="U185" s="10">
        <v>10</v>
      </c>
      <c r="V185" s="10">
        <v>9</v>
      </c>
      <c r="W185" s="10">
        <v>10</v>
      </c>
      <c r="X185" s="10">
        <v>10</v>
      </c>
      <c r="Z185" s="37">
        <v>0</v>
      </c>
      <c r="AA185" s="37">
        <v>1</v>
      </c>
      <c r="AB185" s="37">
        <v>0</v>
      </c>
      <c r="AC185" s="37">
        <v>0</v>
      </c>
      <c r="AD185" s="37">
        <v>2</v>
      </c>
      <c r="AE185" s="37">
        <v>2</v>
      </c>
    </row>
    <row r="186" spans="11:31">
      <c r="K186" s="10">
        <v>182</v>
      </c>
      <c r="L186" s="19" t="s">
        <v>67</v>
      </c>
      <c r="M186" s="19" t="s">
        <v>27</v>
      </c>
      <c r="N186" s="19" t="s">
        <v>23</v>
      </c>
      <c r="O186" s="19" t="s">
        <v>67</v>
      </c>
      <c r="P186" s="19" t="s">
        <v>67</v>
      </c>
      <c r="Q186" s="19" t="s">
        <v>67</v>
      </c>
      <c r="S186" s="10">
        <v>11</v>
      </c>
      <c r="T186" s="10">
        <v>4</v>
      </c>
      <c r="U186" s="10">
        <v>6</v>
      </c>
      <c r="V186" s="10">
        <v>11</v>
      </c>
      <c r="W186" s="10">
        <v>11</v>
      </c>
      <c r="X186" s="10">
        <v>11</v>
      </c>
      <c r="Z186" s="37">
        <v>0</v>
      </c>
      <c r="AA186" s="37">
        <v>1</v>
      </c>
      <c r="AB186" s="37">
        <v>0</v>
      </c>
      <c r="AC186" s="37">
        <v>0</v>
      </c>
      <c r="AD186" s="37">
        <v>2</v>
      </c>
      <c r="AE186" s="37">
        <v>2</v>
      </c>
    </row>
    <row r="187" spans="11:31">
      <c r="K187" s="10">
        <v>183</v>
      </c>
      <c r="L187" s="19" t="s">
        <v>67</v>
      </c>
      <c r="M187" s="19" t="s">
        <v>24</v>
      </c>
      <c r="N187" s="19" t="s">
        <v>23</v>
      </c>
      <c r="O187" s="19" t="s">
        <v>67</v>
      </c>
      <c r="P187" s="19" t="s">
        <v>67</v>
      </c>
      <c r="Q187" s="19" t="s">
        <v>67</v>
      </c>
      <c r="S187" s="10">
        <v>11</v>
      </c>
      <c r="T187" s="10">
        <v>1</v>
      </c>
      <c r="U187" s="10">
        <v>6</v>
      </c>
      <c r="V187" s="10">
        <v>11</v>
      </c>
      <c r="W187" s="10">
        <v>11</v>
      </c>
      <c r="X187" s="10">
        <v>11</v>
      </c>
      <c r="Z187" s="37">
        <v>0</v>
      </c>
      <c r="AA187" s="37">
        <v>1</v>
      </c>
      <c r="AB187" s="37">
        <v>0</v>
      </c>
      <c r="AC187" s="37">
        <v>0</v>
      </c>
      <c r="AD187" s="37">
        <v>2</v>
      </c>
      <c r="AE187" s="37">
        <v>2</v>
      </c>
    </row>
    <row r="188" spans="11:31">
      <c r="K188" s="10">
        <v>184</v>
      </c>
      <c r="L188" s="19" t="s">
        <v>63</v>
      </c>
      <c r="M188" s="19" t="s">
        <v>63</v>
      </c>
      <c r="N188" s="19" t="s">
        <v>66</v>
      </c>
      <c r="O188" s="19" t="s">
        <v>66</v>
      </c>
      <c r="P188" s="19" t="s">
        <v>26</v>
      </c>
      <c r="Q188" s="19" t="s">
        <v>63</v>
      </c>
      <c r="S188" s="10">
        <v>9</v>
      </c>
      <c r="T188" s="10">
        <v>9</v>
      </c>
      <c r="U188" s="10">
        <v>7</v>
      </c>
      <c r="V188" s="10">
        <v>7</v>
      </c>
      <c r="W188" s="10">
        <v>3</v>
      </c>
      <c r="X188" s="10">
        <v>9</v>
      </c>
      <c r="Z188" s="37">
        <v>0</v>
      </c>
      <c r="AA188" s="37">
        <v>0</v>
      </c>
      <c r="AB188" s="37">
        <v>0</v>
      </c>
      <c r="AC188" s="37">
        <v>0</v>
      </c>
      <c r="AD188" s="37">
        <v>2</v>
      </c>
      <c r="AE188" s="37">
        <v>2</v>
      </c>
    </row>
    <row r="189" spans="11:31">
      <c r="K189" s="10">
        <v>185</v>
      </c>
      <c r="L189" s="19" t="s">
        <v>63</v>
      </c>
      <c r="M189" s="19" t="s">
        <v>63</v>
      </c>
      <c r="N189" s="19" t="s">
        <v>66</v>
      </c>
      <c r="O189" s="19" t="s">
        <v>66</v>
      </c>
      <c r="P189" s="19" t="s">
        <v>26</v>
      </c>
      <c r="Q189" s="19" t="s">
        <v>63</v>
      </c>
      <c r="S189" s="10">
        <v>9</v>
      </c>
      <c r="T189" s="10">
        <v>9</v>
      </c>
      <c r="U189" s="10">
        <v>7</v>
      </c>
      <c r="V189" s="10">
        <v>7</v>
      </c>
      <c r="W189" s="10">
        <v>3</v>
      </c>
      <c r="X189" s="10">
        <v>9</v>
      </c>
      <c r="Z189" s="37">
        <v>0</v>
      </c>
      <c r="AA189" s="37">
        <v>0</v>
      </c>
      <c r="AB189" s="37">
        <v>0</v>
      </c>
      <c r="AC189" s="37">
        <v>0</v>
      </c>
      <c r="AD189" s="37">
        <v>2</v>
      </c>
      <c r="AE189" s="37">
        <v>2</v>
      </c>
    </row>
    <row r="190" spans="11:31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37"/>
      <c r="AA190" s="37"/>
      <c r="AB190" s="37"/>
      <c r="AC190" s="37"/>
      <c r="AD190" s="37"/>
      <c r="AE190" s="37"/>
    </row>
    <row r="191" spans="11:31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37"/>
      <c r="AA191" s="37"/>
      <c r="AB191" s="37"/>
      <c r="AC191" s="37"/>
      <c r="AD191" s="37"/>
      <c r="AE191" s="37"/>
    </row>
    <row r="192" spans="11:31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37"/>
      <c r="AA192" s="37"/>
      <c r="AB192" s="37"/>
      <c r="AC192" s="37"/>
      <c r="AD192" s="37"/>
      <c r="AE192" s="37"/>
    </row>
    <row r="193" spans="11:31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37"/>
      <c r="AA193" s="37"/>
      <c r="AB193" s="37"/>
      <c r="AC193" s="37"/>
      <c r="AD193" s="37"/>
      <c r="AE193" s="37"/>
    </row>
    <row r="194" spans="11:31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37"/>
      <c r="AA194" s="37"/>
      <c r="AB194" s="37"/>
      <c r="AC194" s="37"/>
      <c r="AD194" s="37"/>
      <c r="AE194" s="37"/>
    </row>
    <row r="195" spans="11:31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37"/>
      <c r="AA195" s="37"/>
      <c r="AB195" s="37"/>
      <c r="AC195" s="37"/>
      <c r="AD195" s="37"/>
      <c r="AE195" s="37"/>
    </row>
    <row r="196" spans="11:31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37"/>
      <c r="AA196" s="37"/>
      <c r="AB196" s="37"/>
      <c r="AC196" s="37"/>
      <c r="AD196" s="37"/>
      <c r="AE196" s="37"/>
    </row>
    <row r="197" spans="11:31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37"/>
      <c r="AA197" s="37"/>
      <c r="AB197" s="37"/>
      <c r="AC197" s="37"/>
      <c r="AD197" s="37"/>
      <c r="AE197" s="37"/>
    </row>
    <row r="198" spans="11:31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</row>
    <row r="199" spans="11:31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</row>
    <row r="200" spans="11:31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</row>
    <row r="201" spans="11:31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</row>
    <row r="202" spans="11:31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</row>
    <row r="203" spans="11:31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</row>
    <row r="204" spans="11:31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</row>
    <row r="205" spans="11:31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</row>
    <row r="206" spans="11:31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</row>
    <row r="207" spans="11:31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</row>
    <row r="208" spans="11:31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</row>
    <row r="209" spans="11:31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</row>
    <row r="210" spans="11:31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</row>
    <row r="211" spans="11:31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</row>
    <row r="212" spans="11:31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</row>
    <row r="213" spans="11:31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</row>
    <row r="214" spans="11:31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</row>
    <row r="215" spans="11:31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</row>
    <row r="216" spans="11:31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</row>
    <row r="217" spans="11:31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</row>
    <row r="218" spans="11:31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</row>
    <row r="219" spans="11:31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</row>
    <row r="220" spans="11:31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</row>
    <row r="221" spans="11:31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</row>
    <row r="222" spans="11:31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</row>
    <row r="223" spans="11:31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</row>
    <row r="224" spans="11:31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</row>
    <row r="225" spans="11:31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</row>
    <row r="226" spans="11:31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</row>
    <row r="227" spans="11:31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</row>
    <row r="228" spans="11:31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</row>
    <row r="229" spans="11:31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</row>
    <row r="230" spans="11:31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</row>
    <row r="231" spans="11:31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</row>
    <row r="232" spans="11:31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</row>
    <row r="233" spans="11:31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</row>
    <row r="234" spans="11:31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</row>
    <row r="235" spans="11:31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</row>
    <row r="236" spans="11:31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</row>
    <row r="237" spans="11:31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</row>
    <row r="238" spans="11:31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</row>
    <row r="239" spans="11:31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</row>
    <row r="240" spans="11:31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</row>
    <row r="241" spans="11:31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</row>
    <row r="242" spans="11:31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</row>
    <row r="243" spans="11:31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</row>
    <row r="244" spans="11:31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</row>
    <row r="245" spans="11:31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</row>
    <row r="246" spans="11:31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</row>
    <row r="247" spans="11:31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</row>
    <row r="248" spans="11:31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</row>
    <row r="249" spans="11:31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</row>
    <row r="250" spans="11:31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</row>
    <row r="251" spans="11:31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</row>
    <row r="252" spans="11:31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</row>
    <row r="253" spans="11:31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</row>
    <row r="254" spans="11:31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</row>
    <row r="255" spans="11:31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</row>
    <row r="256" spans="11:31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</row>
    <row r="257" spans="11:31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</row>
    <row r="258" spans="11:31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</row>
    <row r="259" spans="11:31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</row>
    <row r="260" spans="11:31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</row>
    <row r="261" spans="11:31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</row>
    <row r="262" spans="11:31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</row>
    <row r="263" spans="11:31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</row>
    <row r="264" spans="11:31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</row>
    <row r="265" spans="11:31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</row>
    <row r="266" spans="11:31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</row>
    <row r="267" spans="11:31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</row>
    <row r="268" spans="11:31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</row>
    <row r="269" spans="11:31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</row>
    <row r="270" spans="11:31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</row>
    <row r="271" spans="11:31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</row>
    <row r="272" spans="11:31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</row>
    <row r="273" spans="11:31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</row>
    <row r="274" spans="11:31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</row>
    <row r="275" spans="11:31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</row>
    <row r="276" spans="11:31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</row>
    <row r="277" spans="11:31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</row>
    <row r="278" spans="11:31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</row>
    <row r="279" spans="11:31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</row>
    <row r="280" spans="11:31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</row>
    <row r="281" spans="11:31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</row>
    <row r="282" spans="11:31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</row>
    <row r="283" spans="11:31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</row>
    <row r="284" spans="11:31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</row>
    <row r="285" spans="11:31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</row>
    <row r="286" spans="11:31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</row>
    <row r="287" spans="11:31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</row>
    <row r="288" spans="11:31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</row>
    <row r="289" spans="11:31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</row>
    <row r="290" spans="11:31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</row>
    <row r="291" spans="11:31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</row>
    <row r="292" spans="11:31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</row>
    <row r="293" spans="11:31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</row>
    <row r="294" spans="11:31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</row>
    <row r="295" spans="11:31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</row>
    <row r="296" spans="11:31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</row>
    <row r="297" spans="11:31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</row>
    <row r="298" spans="11:31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</row>
    <row r="299" spans="11:31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</row>
    <row r="300" spans="11:31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</row>
    <row r="301" spans="11:31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</row>
    <row r="302" spans="11:31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</row>
    <row r="303" spans="11:31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</row>
    <row r="304" spans="11:31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</row>
  </sheetData>
  <phoneticPr fontId="20" type="noConversion"/>
  <conditionalFormatting sqref="C19:H3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{B219DCC2-9463-4372-8E71-986C83C85ABF}</x14:id>
        </ext>
      </extLst>
    </cfRule>
  </conditionalFormatting>
  <conditionalFormatting sqref="L1:Q3 L198:Q1048576">
    <cfRule type="cellIs" dxfId="21" priority="16" operator="equal">
      <formula>$A$10</formula>
    </cfRule>
    <cfRule type="cellIs" dxfId="20" priority="17" operator="equal">
      <formula>$A$9</formula>
    </cfRule>
    <cfRule type="cellIs" dxfId="19" priority="18" operator="equal">
      <formula>$A$8</formula>
    </cfRule>
    <cfRule type="cellIs" dxfId="18" priority="19" operator="equal">
      <formula>$A$7</formula>
    </cfRule>
    <cfRule type="cellIs" dxfId="17" priority="20" operator="equal">
      <formula>$A$6</formula>
    </cfRule>
    <cfRule type="cellIs" dxfId="16" priority="21" operator="equal">
      <formula>$A$5</formula>
    </cfRule>
    <cfRule type="cellIs" dxfId="15" priority="22" operator="equal">
      <formula>$A$4</formula>
    </cfRule>
  </conditionalFormatting>
  <conditionalFormatting sqref="L4:Q197">
    <cfRule type="cellIs" dxfId="14" priority="9" operator="equal">
      <formula>$A$10</formula>
    </cfRule>
    <cfRule type="cellIs" dxfId="13" priority="10" operator="equal">
      <formula>$A$9</formula>
    </cfRule>
    <cfRule type="cellIs" dxfId="12" priority="11" operator="equal">
      <formula>$A$8</formula>
    </cfRule>
    <cfRule type="cellIs" dxfId="11" priority="12" operator="equal">
      <formula>$A$7</formula>
    </cfRule>
    <cfRule type="cellIs" dxfId="10" priority="13" operator="equal">
      <formula>$A$6</formula>
    </cfRule>
    <cfRule type="cellIs" dxfId="9" priority="14" operator="equal">
      <formula>$A$5</formula>
    </cfRule>
    <cfRule type="cellIs" dxfId="8" priority="15" operator="equal">
      <formula>$A$4</formula>
    </cfRule>
  </conditionalFormatting>
  <conditionalFormatting sqref="AD1">
    <cfRule type="cellIs" dxfId="7" priority="2" operator="equal">
      <formula>$A$10</formula>
    </cfRule>
    <cfRule type="cellIs" dxfId="6" priority="3" operator="equal">
      <formula>$A$9</formula>
    </cfRule>
    <cfRule type="cellIs" dxfId="5" priority="4" operator="equal">
      <formula>$A$8</formula>
    </cfRule>
    <cfRule type="cellIs" dxfId="4" priority="5" operator="equal">
      <formula>$A$7</formula>
    </cfRule>
    <cfRule type="cellIs" dxfId="3" priority="6" operator="equal">
      <formula>$A$6</formula>
    </cfRule>
    <cfRule type="cellIs" dxfId="2" priority="7" operator="equal">
      <formula>$A$5</formula>
    </cfRule>
    <cfRule type="cellIs" dxfId="1" priority="8" operator="equal">
      <formula>$A$4</formula>
    </cfRule>
  </conditionalFormatting>
  <conditionalFormatting sqref="Z4:AE189">
    <cfRule type="expression" dxfId="0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19DCC2-9463-4372-8E71-986C83C85A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Overview</vt:lpstr>
      <vt:lpstr>Parameter</vt:lpstr>
      <vt:lpstr>Multiplier_Weight</vt:lpstr>
      <vt:lpstr>BG_Symbol</vt:lpstr>
      <vt:lpstr>FG_Symbol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2026-07-16T07:19:41Z</dcterms:modified>
</cp:coreProperties>
</file>