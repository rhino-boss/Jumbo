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27_奧林帕斯 2500\Source\"/>
    </mc:Choice>
  </mc:AlternateContent>
  <xr:revisionPtr revIDLastSave="0" documentId="13_ncr:1_{D8B87CC9-90B0-476B-8B1F-A489336F220B}" xr6:coauthVersionLast="47" xr6:coauthVersionMax="47" xr10:uidLastSave="{00000000-0000-0000-0000-000000000000}"/>
  <bookViews>
    <workbookView xWindow="-21855" yWindow="1680" windowWidth="18855" windowHeight="12330" tabRatio="840" xr2:uid="{00000000-000D-0000-FFFF-FFFF00000000}"/>
  </bookViews>
  <sheets>
    <sheet name="Overview" sheetId="1" r:id="rId1"/>
    <sheet name="Description" sheetId="2" state="hidden" r:id="rId2"/>
    <sheet name="Multiplier_Weight" sheetId="3" r:id="rId3"/>
    <sheet name="OP Jackpo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2" i="1" l="1"/>
  <c r="C26" i="1"/>
  <c r="A26" i="1"/>
  <c r="C22" i="1"/>
  <c r="A22" i="1"/>
  <c r="C18" i="1"/>
  <c r="A18" i="1"/>
  <c r="C13" i="1"/>
  <c r="C12" i="1"/>
  <c r="C11" i="1"/>
  <c r="A11" i="1" a="1"/>
  <c r="A13" i="1" s="1"/>
  <c r="A11" i="1"/>
  <c r="A12" i="1" l="1"/>
</calcChain>
</file>

<file path=xl/sharedStrings.xml><?xml version="1.0" encoding="utf-8"?>
<sst xmlns="http://schemas.openxmlformats.org/spreadsheetml/2006/main" count="286" uniqueCount="184">
  <si>
    <t>Model:</t>
  </si>
  <si>
    <t>H027194A</t>
  </si>
  <si>
    <t>Version:</t>
  </si>
  <si>
    <t>0.0.0.1</t>
  </si>
  <si>
    <t>Base Bet</t>
  </si>
  <si>
    <t>Coin in</t>
  </si>
  <si>
    <t>Price(x)</t>
  </si>
  <si>
    <t>Total RTP</t>
  </si>
  <si>
    <t>Bet Type</t>
  </si>
  <si>
    <t>Normal Bet</t>
  </si>
  <si>
    <t>Extra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</si>
  <si>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</si>
  <si>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</si>
  <si>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</si>
  <si>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</si>
  <si>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</si>
  <si>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</si>
  <si>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</si>
  <si>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</si>
  <si>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Reel #</t>
  </si>
  <si>
    <t>Visible Window Size</t>
  </si>
  <si>
    <t>Free Spins Setting</t>
  </si>
  <si>
    <t>C1 Num.</t>
  </si>
  <si>
    <t>Pay Table：</t>
  </si>
  <si>
    <t>Symbol</t>
  </si>
  <si>
    <t>8~9</t>
  </si>
  <si>
    <t>10~11</t>
  </si>
  <si>
    <t>12+</t>
  </si>
  <si>
    <t>Id</t>
  </si>
  <si>
    <t>C1</t>
  </si>
  <si>
    <t>Scatter</t>
  </si>
  <si>
    <t>C2</t>
  </si>
  <si>
    <t>Multiplier</t>
  </si>
  <si>
    <t>C3</t>
  </si>
  <si>
    <t>Super Multiplier</t>
  </si>
  <si>
    <t>M1</t>
  </si>
  <si>
    <t>M2</t>
  </si>
  <si>
    <t>M3</t>
  </si>
  <si>
    <t>M4</t>
  </si>
  <si>
    <t>A</t>
  </si>
  <si>
    <t>K</t>
  </si>
  <si>
    <t>Q</t>
  </si>
  <si>
    <t>J</t>
  </si>
  <si>
    <t>TE</t>
  </si>
  <si>
    <t>7. BG 流程對應</t>
  </si>
  <si>
    <t xml:space="preserve">  7.1 BG 開局流程</t>
  </si>
  <si>
    <t xml:space="preserve">  BG 每局的主要參數流程如下：</t>
  </si>
  <si>
    <t xml:space="preserve">    1. 先用 Table Selection Weight - Base Game 選出 BG table。</t>
  </si>
  <si>
    <t xml:space="preserve">    2. 再用該 strip 的 Symbol Weight R1~R5 抽停輪位置。</t>
  </si>
  <si>
    <t xml:space="preserve">    3. 依 Symbol ID R1~R5 生成初始盤面。</t>
  </si>
  <si>
    <t xml:space="preserve">    4. 盤面上的彩虹框會先判定是否觸發 Used Special Pool Weight。</t>
  </si>
  <si>
    <t xml:space="preserve">    5. 若命中特殊池，該彩虹框用 Multiple Selection Weight - Special Pool 抽倍率。</t>
  </si>
  <si>
    <t xml:space="preserve">    6. 若沒命中特殊池：</t>
  </si>
  <si>
    <t xml:space="preserve">      - 且是 BG_Symbol (2) 則第 3 輪彩虹框用 Multiple Selection Weight - Reel3 Before Eliminate</t>
  </si>
  <si>
    <t xml:space="preserve">      - 其他輪彩虹框用 Multiple Selection Weight - Before Eliminate</t>
  </si>
  <si>
    <t xml:space="preserve">    7. 再用 Eliminate Table Weight 決定本局是掉落表 A 或 B。</t>
  </si>
  <si>
    <t xml:space="preserve">  7.2 BG cascade 流程</t>
  </si>
  <si>
    <t xml:space="preserve">  </t>
  </si>
  <si>
    <t xml:space="preserve">  BG 發生消除後：</t>
  </si>
  <si>
    <t xml:space="preserve">    1. 一般命中符號會移除。</t>
  </si>
  <si>
    <t xml:space="preserve">    2. 命中的彩虹框會把自身倍率加進最終倍率和，並轉成 WW 留在盤面。</t>
  </si>
  <si>
    <t xml:space="preserve">    3. 新補進來的符號由 Eliminate Wheel Weight A 或 Eliminate Wheel Weight B 決定。</t>
  </si>
  <si>
    <t xml:space="preserve">    4. 若新補進來的是彩虹框：</t>
  </si>
  <si>
    <t xml:space="preserve">      - 且是 BG_Symbol (2) 則第 3 輪用 Multiple Selection Weight - Reel3 After Eliminate</t>
  </si>
  <si>
    <t xml:space="preserve">      - 其他輪用 Multiple Selection Weight - After Eliminate</t>
  </si>
  <si>
    <t xml:space="preserve">  7.3 BG 與 FG 觸發關係</t>
  </si>
  <si>
    <t xml:space="preserve">    1. BG 盤面上的 C1 數量若達 3 個以上，就觸發 FG。</t>
  </si>
  <si>
    <t xml:space="preserve">    2. FG 次數 = 15 + (scatter_count - 3) * 2</t>
  </si>
  <si>
    <t>8. FG 流程對應</t>
  </si>
  <si>
    <t xml:space="preserve">  8.1 FG table 切換規則</t>
  </si>
  <si>
    <t xml:space="preserve">  FG 的 table 不是靠 Table_FG 權重抽，而是依 FG 累積倍率和切換：</t>
  </si>
  <si>
    <t xml:space="preserve">    - 累積倍率和 &lt; 10：用 FG_strip</t>
  </si>
  <si>
    <t xml:space="preserve">    - 累積倍率和 &lt; 20：用 FG_strip (2)</t>
  </si>
  <si>
    <t xml:space="preserve">    - 累積倍率和 &gt;= 20：用 FG_strip (3)</t>
  </si>
  <si>
    <t xml:space="preserve">  8.2 FG 開局流程</t>
  </si>
  <si>
    <t xml:space="preserve">  FG 每局的主要參數流程如下：</t>
  </si>
  <si>
    <t xml:space="preserve">  1. 依當前 累積倍率 選擇 FG table。</t>
  </si>
  <si>
    <t xml:space="preserve">  2. 用該 table 的 Symbol Weight R1~R5 與 Symbol ID R1~R5 生成盤面。</t>
  </si>
  <si>
    <t xml:space="preserve">  3. 初始彩虹框倍率分配：</t>
  </si>
  <si>
    <t xml:space="preserve">    - 第 3 輪用 Multiple Selection Weight - Reel3 Before Eliminate</t>
  </si>
  <si>
    <t xml:space="preserve">    - 其他輪用 Multiple Selection Weight - Before Eliminate</t>
  </si>
  <si>
    <t xml:space="preserve">  5. 用 Eliminate Table Weight 決定本局掉落表 A 或 B。</t>
  </si>
  <si>
    <t xml:space="preserve">  8.3 FG cascade 與倍率累加</t>
  </si>
  <si>
    <t xml:space="preserve">  FG 消除後：</t>
  </si>
  <si>
    <t xml:space="preserve">  1. 命中的彩虹框一樣會把倍率加到 累積倍率</t>
  </si>
  <si>
    <t xml:space="preserve">  2. 該累積值會帶到下一個 FG spin，作為下一局 table 切換條件。</t>
  </si>
  <si>
    <t xml:space="preserve">  3. 新補進來彩虹框的倍率來源：</t>
  </si>
  <si>
    <t xml:space="preserve">    - 第 3 輪用 Multiple Selection Weight - Reel3 After Eliminate</t>
  </si>
  <si>
    <t xml:space="preserve">    - 其他輪用 Multiple Selection Weight - After Eliminate</t>
  </si>
  <si>
    <t xml:space="preserve">  8.4 FG 再觸發</t>
  </si>
  <si>
    <t xml:space="preserve">    1. FG 內若再次出現 C1 &gt;= 3，會再加 15 + (scatter_count - 3) * 2</t>
  </si>
  <si>
    <t xml:space="preserve">    2. 但總剩餘 FG 次數會被 fg_spin_cap = 50 封頂</t>
  </si>
  <si>
    <t>9. 流程</t>
  </si>
  <si>
    <t xml:space="preserve">  1. Spin (啟動)</t>
  </si>
  <si>
    <t xml:space="preserve">  2. 決定畫面 (依據 Table/Symbol 權重)</t>
  </si>
  <si>
    <t xml:space="preserve">  3. 判定倍數 (初始彩虹框/Special Pool)</t>
  </si>
  <si>
    <t xml:space="preserve">  4. 算分 (計算中獎連線)</t>
  </si>
  <si>
    <t xml:space="preserve">  5. 消除循環 (消除中獎符號，新符號掉落並判定新彩虹框倍數)</t>
  </si>
  <si>
    <t xml:space="preserve">  6. 算分循環 (重複檢查連線)</t>
  </si>
  <si>
    <t xml:space="preserve">  7. 結算 (加總總得分)</t>
  </si>
  <si>
    <t>10. 注意</t>
  </si>
  <si>
    <t xml:space="preserve">  1. 倍數會直到該次 spin 消除完後再作用到該次 spin 的總得分</t>
  </si>
  <si>
    <t xml:space="preserve">  2. FG 滿足條件"蒐集到倍數"累積倍數才會作用</t>
  </si>
  <si>
    <t xml:space="preserve">  3. 每一輪最多出現一個 SC</t>
  </si>
  <si>
    <t xml:space="preserve">  4. BG_Symbol (2): 觸發全部都是彩虹框用的表。</t>
  </si>
  <si>
    <t xml:space="preserve">  5. BG_Symbol (3): 觸發 FG 用的表。得分少、C1 多，盡量不要有倍數百搭參與 → 控制進 FG 時的得分</t>
  </si>
  <si>
    <t>Range</t>
  </si>
  <si>
    <t>Avg. Multi</t>
  </si>
  <si>
    <t>Weight_NB_Newbie</t>
  </si>
  <si>
    <t>Weight_EB_Newbie</t>
  </si>
  <si>
    <t>Weight_NB</t>
  </si>
  <si>
    <t>Weight_EB</t>
  </si>
  <si>
    <t>Weight_BF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</si>
  <si>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</si>
  <si>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</si>
  <si>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</si>
  <si>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</si>
  <si>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</si>
  <si>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</si>
  <si>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</si>
  <si>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</si>
  <si>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</si>
  <si>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</si>
  <si>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</si>
  <si>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</si>
  <si>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</si>
  <si>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</si>
  <si>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</si>
  <si>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</si>
  <si>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</si>
  <si>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</si>
  <si>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</si>
  <si>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</si>
  <si>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</si>
  <si>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</si>
  <si>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</si>
  <si>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</si>
  <si>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</si>
  <si>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</si>
  <si>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</si>
  <si>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</si>
  <si>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</si>
  <si>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</si>
  <si>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</si>
  <si>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</si>
  <si>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</si>
  <si>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</si>
  <si>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</si>
  <si>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</si>
  <si>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</si>
  <si>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</si>
  <si>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</si>
  <si>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</si>
  <si>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</si>
  <si>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</si>
  <si>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</si>
  <si>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</si>
  <si>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</si>
  <si>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</si>
  <si>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</si>
  <si>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</si>
  <si>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</si>
  <si>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</si>
  <si>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</si>
  <si>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</si>
  <si>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</si>
  <si>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</si>
  <si>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</si>
  <si>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</si>
  <si>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</si>
  <si>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</si>
  <si>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</si>
  <si>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</si>
  <si>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</si>
  <si>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</si>
  <si>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</si>
  <si>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</si>
  <si>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</si>
  <si>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</si>
  <si>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NB_Newbie</t>
  </si>
  <si>
    <t>EB_Newbie</t>
  </si>
  <si>
    <t>NB</t>
  </si>
  <si>
    <t>EB</t>
  </si>
  <si>
    <t>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</si>
</sst>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76" formatCode="0.00_);[Red]\(0.00\)"/>
    <numFmt numFmtId="177" formatCode="_-* #,##0_-;\-* #,##0_-;_-* &quot;-&quot;??_-;_-@_-"/>
    <numFmt numFmtId="178" formatCode="m&quot;月&quot;d&quot;日&quot;"/>
    <numFmt numFmtId="179" formatCode="0.0000%"/>
    <numFmt numFmtId="180" formatCode="0.0000"/>
  </numFmts>
  <fonts count="25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56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top"/>
    </xf>
    <xf numFmtId="3" fontId="19" fillId="0" borderId="0" xfId="0" applyNumberFormat="1" applyFont="1" applyAlignment="1">
      <alignment horizontal="center" vertical="center" wrapText="1"/>
    </xf>
    <xf numFmtId="3" fontId="19" fillId="0" borderId="0" xfId="0" applyNumberFormat="1" applyFont="1" applyAlignment="1">
      <alignment horizontal="right" vertical="top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0" fontId="19" fillId="0" borderId="0" xfId="0" applyFont="1" applyAlignment="1">
      <alignment horizontal="center" vertical="top" wrapText="1"/>
    </xf>
    <xf numFmtId="0" fontId="19" fillId="0" borderId="0" xfId="58215" applyFont="1" applyAlignment="1">
      <alignment horizontal="left" vertical="center" indent="1"/>
    </xf>
    <xf numFmtId="0" fontId="19" fillId="0" borderId="0" xfId="2" applyFont="1" applyAlignment="1">
      <alignment horizontal="center" vertical="center"/>
    </xf>
    <xf numFmtId="0" fontId="19" fillId="0" borderId="10" xfId="0" applyFont="1" applyBorder="1" applyAlignment="1">
      <alignment vertical="center" wrapTex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33" borderId="0" xfId="58215" applyFont="1" applyFill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10" fontId="19" fillId="0" borderId="0" xfId="1" applyNumberFormat="1" applyFont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1" xfId="0" applyFont="1" applyBorder="1"/>
    <xf numFmtId="10" fontId="24" fillId="0" borderId="0" xfId="1" applyNumberFormat="1" applyFont="1" applyAlignment="1">
      <alignment vertical="center"/>
    </xf>
    <xf numFmtId="0" fontId="19" fillId="34" borderId="12" xfId="0" applyFont="1" applyFill="1" applyBorder="1" applyAlignment="1">
      <alignment horizontal="center" vertical="center"/>
    </xf>
    <xf numFmtId="0" fontId="19" fillId="35" borderId="12" xfId="0" applyFont="1" applyFill="1" applyBorder="1"/>
    <xf numFmtId="0" fontId="19" fillId="0" borderId="12" xfId="0" applyFont="1" applyBorder="1"/>
    <xf numFmtId="0" fontId="23" fillId="34" borderId="12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2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10" fontId="19" fillId="34" borderId="12" xfId="1" applyNumberFormat="1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10" fontId="19" fillId="0" borderId="0" xfId="0" applyNumberFormat="1" applyFont="1" applyAlignment="1">
      <alignment vertical="center"/>
    </xf>
    <xf numFmtId="10" fontId="19" fillId="0" borderId="0" xfId="0" applyNumberFormat="1" applyFont="1" applyAlignment="1">
      <alignment horizontal="center" vertical="center" wrapText="1"/>
    </xf>
    <xf numFmtId="10" fontId="19" fillId="0" borderId="12" xfId="1" applyNumberFormat="1" applyFont="1" applyBorder="1" applyAlignment="1">
      <alignment horizontal="center" vertical="center" wrapText="1"/>
    </xf>
    <xf numFmtId="10" fontId="19" fillId="33" borderId="12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/>
    </xf>
    <xf numFmtId="0" fontId="19" fillId="0" borderId="12" xfId="0" quotePrefix="1" applyFont="1" applyBorder="1" applyAlignment="1">
      <alignment horizontal="center" vertical="center"/>
    </xf>
    <xf numFmtId="0" fontId="19" fillId="0" borderId="0" xfId="0" applyFont="1"/>
    <xf numFmtId="0" fontId="23" fillId="35" borderId="12" xfId="0" applyFont="1" applyFill="1" applyBorder="1" applyAlignment="1">
      <alignment horizontal="center"/>
    </xf>
    <xf numFmtId="176" fontId="19" fillId="0" borderId="0" xfId="0" applyNumberFormat="1" applyFont="1" applyAlignment="1">
      <alignment horizontal="center" vertical="center" wrapText="1"/>
    </xf>
    <xf numFmtId="176" fontId="19" fillId="0" borderId="0" xfId="1" applyNumberFormat="1" applyFont="1" applyAlignment="1">
      <alignment vertical="center"/>
    </xf>
    <xf numFmtId="179" fontId="19" fillId="33" borderId="12" xfId="1" applyNumberFormat="1" applyFont="1" applyFill="1" applyBorder="1" applyAlignment="1">
      <alignment horizontal="center" vertical="center" wrapText="1"/>
    </xf>
    <xf numFmtId="176" fontId="19" fillId="0" borderId="0" xfId="0" applyNumberFormat="1" applyFont="1" applyAlignment="1">
      <alignment vertical="center"/>
    </xf>
    <xf numFmtId="178" fontId="19" fillId="34" borderId="12" xfId="0" applyNumberFormat="1" applyFont="1" applyFill="1" applyBorder="1" applyAlignment="1">
      <alignment horizontal="center" vertical="center"/>
    </xf>
    <xf numFmtId="180" fontId="19" fillId="0" borderId="12" xfId="0" applyNumberFormat="1" applyFont="1" applyBorder="1"/>
    <xf numFmtId="177" fontId="23" fillId="35" borderId="11" xfId="61099" applyNumberFormat="1" applyFont="1" applyFill="1" applyBorder="1" applyAlignment="1"/>
    <xf numFmtId="10" fontId="19" fillId="0" borderId="11" xfId="0" applyNumberFormat="1" applyFont="1" applyBorder="1" applyAlignment="1">
      <alignment horizontal="center" vertical="center" wrapText="1"/>
    </xf>
    <xf numFmtId="0" fontId="0" fillId="0" borderId="10" xfId="0" applyBorder="1"/>
    <xf numFmtId="10" fontId="19" fillId="0" borderId="12" xfId="1" applyNumberFormat="1" applyFont="1" applyBorder="1" applyAlignment="1">
      <alignment horizontal="center" vertical="center" wrapText="1"/>
    </xf>
    <xf numFmtId="0" fontId="0" fillId="0" borderId="13" xfId="0" applyBorder="1"/>
    <xf numFmtId="2" fontId="19" fillId="33" borderId="11" xfId="0" applyNumberFormat="1" applyFont="1" applyFill="1" applyBorder="1" applyAlignment="1">
      <alignment horizontal="center" vertical="center" wrapText="1"/>
    </xf>
    <xf numFmtId="176" fontId="19" fillId="0" borderId="11" xfId="0" applyNumberFormat="1" applyFont="1" applyBorder="1" applyAlignment="1">
      <alignment horizontal="center" vertical="center" wrapText="1"/>
    </xf>
    <xf numFmtId="179" fontId="19" fillId="0" borderId="11" xfId="0" applyNumberFormat="1" applyFont="1" applyBorder="1" applyAlignment="1">
      <alignment horizontal="center" vertical="center" wrapText="1"/>
    </xf>
    <xf numFmtId="176" fontId="19" fillId="33" borderId="11" xfId="0" applyNumberFormat="1" applyFont="1" applyFill="1" applyBorder="1" applyAlignment="1">
      <alignment horizontal="center" vertical="center" wrapText="1"/>
    </xf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108"/>
  <sheetViews>
    <sheetView tabSelected="1" topLeftCell="A4" zoomScale="85" zoomScaleNormal="85" workbookViewId="0">
      <selection activeCell="F11" sqref="F11"/>
    </sheetView>
  </sheetViews>
  <sheetFormatPr defaultColWidth="8.88671875" defaultRowHeight="15.6" x14ac:dyDescent="0.3"/>
  <cols>
    <col min="1" max="1" width="28.21875" style="1" customWidth="1"/>
    <col min="2" max="2" width="24.77734375" style="1" customWidth="1"/>
    <col min="3" max="3" width="22" style="1" customWidth="1"/>
    <col min="4" max="4" width="29.6640625" style="1" customWidth="1"/>
    <col min="5" max="7" width="22" style="1" customWidth="1"/>
    <col min="8" max="8" width="15.77734375" style="1" customWidth="1"/>
    <col min="9" max="9" width="14.6640625" style="1" customWidth="1"/>
    <col min="10" max="10" width="13.21875" style="1" bestFit="1" customWidth="1"/>
    <col min="11" max="11" width="8.88671875" style="1" customWidth="1"/>
    <col min="12" max="16384" width="8.88671875" style="1"/>
  </cols>
  <sheetData>
    <row r="2" spans="1:9" x14ac:dyDescent="0.3">
      <c r="A2" s="8" t="s">
        <v>0</v>
      </c>
      <c r="B2" s="15" t="s">
        <v>1</v>
      </c>
    </row>
    <row r="3" spans="1:9" x14ac:dyDescent="0.3">
      <c r="A3" s="8" t="s">
        <v>2</v>
      </c>
      <c r="B3" s="15" t="s">
        <v>3</v>
      </c>
      <c r="C3" s="9"/>
    </row>
    <row r="4" spans="1:9" x14ac:dyDescent="0.3">
      <c r="C4" s="13"/>
    </row>
    <row r="5" spans="1:9" x14ac:dyDescent="0.3">
      <c r="C5" s="13"/>
    </row>
    <row r="6" spans="1:9" x14ac:dyDescent="0.3">
      <c r="A6" s="21" t="s">
        <v>4</v>
      </c>
      <c r="C6" s="13"/>
    </row>
    <row r="7" spans="1:9" x14ac:dyDescent="0.3">
      <c r="A7" s="14">
        <v>100</v>
      </c>
      <c r="C7" s="13"/>
    </row>
    <row r="8" spans="1:9" x14ac:dyDescent="0.3">
      <c r="C8" s="13"/>
    </row>
    <row r="9" spans="1:9" x14ac:dyDescent="0.3">
      <c r="C9" s="13"/>
    </row>
    <row r="10" spans="1:9" x14ac:dyDescent="0.3">
      <c r="A10" s="21" t="s">
        <v>5</v>
      </c>
      <c r="B10" s="21" t="s">
        <v>6</v>
      </c>
      <c r="C10" s="30" t="s">
        <v>7</v>
      </c>
      <c r="D10" s="30" t="s">
        <v>8</v>
      </c>
      <c r="G10" s="18"/>
      <c r="H10" s="18"/>
      <c r="I10" s="18"/>
    </row>
    <row r="11" spans="1:9" x14ac:dyDescent="0.3">
      <c r="A11" s="31">
        <f t="array" ref="A11:A13">B11:B13*A7</f>
        <v>100</v>
      </c>
      <c r="B11" s="14">
        <v>1</v>
      </c>
      <c r="C11" s="34">
        <f>SUM(B18:B19)</f>
        <v>0</v>
      </c>
      <c r="D11" s="34" t="s">
        <v>9</v>
      </c>
      <c r="G11" s="18"/>
      <c r="H11" s="18"/>
      <c r="I11" s="18"/>
    </row>
    <row r="12" spans="1:9" x14ac:dyDescent="0.3">
      <c r="A12" s="31">
        <v>200</v>
      </c>
      <c r="B12" s="14">
        <v>2</v>
      </c>
      <c r="C12" s="34">
        <f>SUM(B22:B23)</f>
        <v>0</v>
      </c>
      <c r="D12" s="34" t="s">
        <v>10</v>
      </c>
      <c r="F12" s="32"/>
    </row>
    <row r="13" spans="1:9" x14ac:dyDescent="0.3">
      <c r="A13" s="31">
        <v>10000</v>
      </c>
      <c r="B13" s="14">
        <v>100</v>
      </c>
      <c r="C13" s="34">
        <f>SUM(B26:B27)</f>
        <v>0</v>
      </c>
      <c r="D13" s="34" t="s">
        <v>11</v>
      </c>
    </row>
    <row r="14" spans="1:9" x14ac:dyDescent="0.3">
      <c r="A14" s="2"/>
      <c r="B14" s="2"/>
      <c r="C14" s="11"/>
      <c r="D14" s="2"/>
      <c r="F14" s="3"/>
    </row>
    <row r="15" spans="1:9" x14ac:dyDescent="0.3">
      <c r="A15" s="7"/>
      <c r="B15" s="7"/>
      <c r="C15" s="11"/>
      <c r="D15" s="11"/>
      <c r="E15" s="4"/>
      <c r="F15" s="4"/>
    </row>
    <row r="16" spans="1:9" x14ac:dyDescent="0.3">
      <c r="A16" s="12" t="s">
        <v>12</v>
      </c>
      <c r="B16" s="17"/>
      <c r="C16" s="33"/>
      <c r="D16" s="41"/>
      <c r="E16" s="18"/>
      <c r="F16" s="18"/>
      <c r="G16" s="18"/>
      <c r="H16" s="18"/>
      <c r="I16" s="42"/>
    </row>
    <row r="17" spans="1:10" x14ac:dyDescent="0.3">
      <c r="A17" s="30" t="s">
        <v>8</v>
      </c>
      <c r="B17" s="21" t="s">
        <v>13</v>
      </c>
      <c r="C17" s="21" t="s">
        <v>14</v>
      </c>
      <c r="D17" s="21" t="s">
        <v>15</v>
      </c>
      <c r="E17" s="21" t="s">
        <v>16</v>
      </c>
      <c r="F17" s="20"/>
      <c r="G17" s="18"/>
      <c r="H17" s="18"/>
      <c r="I17" s="42"/>
    </row>
    <row r="18" spans="1:10" x14ac:dyDescent="0.3">
      <c r="A18" s="50" t="str">
        <f>D11</f>
        <v>Normal Bet</v>
      </c>
      <c r="B18" s="43"/>
      <c r="C18" s="54" t="e">
        <f>1/D18</f>
        <v>#DIV/0!</v>
      </c>
      <c r="D18" s="52"/>
      <c r="E18" s="28" t="s">
        <v>17</v>
      </c>
      <c r="F18" s="20"/>
      <c r="G18" s="18"/>
      <c r="H18" s="18"/>
      <c r="I18" s="42"/>
    </row>
    <row r="19" spans="1:10" x14ac:dyDescent="0.3">
      <c r="A19" s="51"/>
      <c r="B19" s="43"/>
      <c r="C19" s="49"/>
      <c r="D19" s="49"/>
      <c r="E19" s="28" t="s">
        <v>18</v>
      </c>
      <c r="F19" s="20"/>
      <c r="G19" s="18"/>
      <c r="H19" s="18"/>
      <c r="I19" s="42"/>
    </row>
    <row r="20" spans="1:10" x14ac:dyDescent="0.3">
      <c r="A20" s="12"/>
      <c r="B20" s="17"/>
      <c r="C20" s="33"/>
      <c r="D20" s="41"/>
      <c r="E20" s="18"/>
      <c r="F20" s="20"/>
      <c r="G20" s="18"/>
      <c r="H20" s="18"/>
      <c r="I20" s="42"/>
    </row>
    <row r="21" spans="1:10" x14ac:dyDescent="0.3">
      <c r="A21" s="30" t="s">
        <v>8</v>
      </c>
      <c r="B21" s="21" t="s">
        <v>13</v>
      </c>
      <c r="C21" s="21" t="s">
        <v>14</v>
      </c>
      <c r="D21" s="21" t="s">
        <v>15</v>
      </c>
      <c r="E21" s="21" t="s">
        <v>16</v>
      </c>
      <c r="F21" s="20"/>
      <c r="G21" s="18"/>
      <c r="H21" s="18"/>
      <c r="I21" s="42"/>
    </row>
    <row r="22" spans="1:10" x14ac:dyDescent="0.3">
      <c r="A22" s="50" t="str">
        <f>D12</f>
        <v>Extra Bet</v>
      </c>
      <c r="B22" s="35"/>
      <c r="C22" s="48" t="e">
        <f>1/D22</f>
        <v>#DIV/0!</v>
      </c>
      <c r="D22" s="55"/>
      <c r="E22" s="28" t="s">
        <v>17</v>
      </c>
      <c r="F22" s="20"/>
      <c r="G22" s="18"/>
      <c r="H22" s="18"/>
      <c r="I22" s="42"/>
      <c r="J22" s="44"/>
    </row>
    <row r="23" spans="1:10" x14ac:dyDescent="0.3">
      <c r="A23" s="51"/>
      <c r="B23" s="35"/>
      <c r="C23" s="49"/>
      <c r="D23" s="49"/>
      <c r="E23" s="28" t="s">
        <v>18</v>
      </c>
      <c r="F23" s="20"/>
      <c r="G23" s="18"/>
      <c r="H23" s="18"/>
      <c r="I23" s="42"/>
    </row>
    <row r="24" spans="1:10" x14ac:dyDescent="0.3">
      <c r="A24" s="36"/>
      <c r="B24" s="17"/>
      <c r="C24" s="33"/>
      <c r="D24" s="41"/>
      <c r="E24" s="18"/>
      <c r="F24" s="20"/>
      <c r="G24" s="18"/>
      <c r="H24" s="18"/>
      <c r="I24" s="42"/>
    </row>
    <row r="25" spans="1:10" x14ac:dyDescent="0.3">
      <c r="A25" s="30" t="s">
        <v>8</v>
      </c>
      <c r="B25" s="21" t="s">
        <v>13</v>
      </c>
      <c r="C25" s="21" t="s">
        <v>14</v>
      </c>
      <c r="D25" s="21" t="s">
        <v>15</v>
      </c>
      <c r="E25" s="21" t="s">
        <v>16</v>
      </c>
      <c r="F25" s="20"/>
      <c r="G25" s="18"/>
      <c r="H25" s="18"/>
      <c r="I25" s="42"/>
    </row>
    <row r="26" spans="1:10" x14ac:dyDescent="0.3">
      <c r="A26" s="50" t="str">
        <f>D13</f>
        <v>Buy Feature</v>
      </c>
      <c r="B26" s="35"/>
      <c r="C26" s="48">
        <f>1/D26</f>
        <v>1</v>
      </c>
      <c r="D26" s="53">
        <v>1</v>
      </c>
      <c r="E26" s="28" t="s">
        <v>17</v>
      </c>
      <c r="F26" s="20"/>
      <c r="G26" s="18"/>
      <c r="H26" s="18"/>
      <c r="I26" s="42"/>
    </row>
    <row r="27" spans="1:10" x14ac:dyDescent="0.3">
      <c r="A27" s="51"/>
      <c r="B27" s="35"/>
      <c r="C27" s="49"/>
      <c r="D27" s="49"/>
      <c r="E27" s="28" t="s">
        <v>18</v>
      </c>
      <c r="F27" s="20"/>
      <c r="G27" s="18"/>
      <c r="H27" s="18"/>
      <c r="I27" s="42"/>
    </row>
    <row r="28" spans="1:10" x14ac:dyDescent="0.3">
      <c r="A28" s="36"/>
      <c r="B28" s="17"/>
      <c r="C28" s="33"/>
      <c r="D28" s="41"/>
      <c r="E28" s="18"/>
      <c r="F28" s="20"/>
      <c r="G28" s="18"/>
      <c r="H28" s="18"/>
      <c r="I28" s="42"/>
    </row>
    <row r="29" spans="1:10" x14ac:dyDescent="0.3">
      <c r="A29" s="36"/>
      <c r="B29" s="17"/>
      <c r="C29" s="33"/>
      <c r="D29" s="41"/>
      <c r="E29" s="18"/>
      <c r="F29" s="18"/>
      <c r="G29" s="18"/>
      <c r="H29" s="18"/>
      <c r="I29" s="42"/>
    </row>
    <row r="30" spans="1:10" x14ac:dyDescent="0.3">
      <c r="A30" s="21" t="s">
        <v>19</v>
      </c>
      <c r="B30" s="21">
        <v>1</v>
      </c>
      <c r="C30" s="21">
        <v>2</v>
      </c>
      <c r="D30" s="21">
        <v>3</v>
      </c>
      <c r="E30" s="21">
        <v>4</v>
      </c>
      <c r="F30" s="21">
        <v>5</v>
      </c>
      <c r="G30" s="21">
        <v>6</v>
      </c>
    </row>
    <row r="31" spans="1:10" x14ac:dyDescent="0.3">
      <c r="A31" s="10" t="s">
        <v>20</v>
      </c>
      <c r="B31" s="29">
        <v>5</v>
      </c>
      <c r="C31" s="29">
        <v>5</v>
      </c>
      <c r="D31" s="29">
        <v>5</v>
      </c>
      <c r="E31" s="29">
        <v>5</v>
      </c>
      <c r="F31" s="29">
        <v>5</v>
      </c>
      <c r="G31" s="29">
        <v>5</v>
      </c>
    </row>
    <row r="34" spans="1:9" x14ac:dyDescent="0.3">
      <c r="A34" s="1" t="s">
        <v>21</v>
      </c>
    </row>
    <row r="35" spans="1:9" x14ac:dyDescent="0.3">
      <c r="A35" s="21" t="s">
        <v>22</v>
      </c>
      <c r="B35" s="21" t="s">
        <v>17</v>
      </c>
      <c r="C35" s="21" t="s">
        <v>18</v>
      </c>
    </row>
    <row r="36" spans="1:9" x14ac:dyDescent="0.3">
      <c r="A36" s="29">
        <v>3</v>
      </c>
      <c r="B36" s="16">
        <v>0</v>
      </c>
      <c r="C36" s="16">
        <v>5</v>
      </c>
    </row>
    <row r="37" spans="1:9" x14ac:dyDescent="0.3">
      <c r="A37" s="29">
        <v>4</v>
      </c>
      <c r="B37" s="16">
        <v>15</v>
      </c>
      <c r="C37" s="16">
        <v>5</v>
      </c>
    </row>
    <row r="38" spans="1:9" x14ac:dyDescent="0.3">
      <c r="A38" s="27">
        <v>5</v>
      </c>
      <c r="B38" s="37">
        <v>15</v>
      </c>
      <c r="C38" s="37">
        <v>5</v>
      </c>
    </row>
    <row r="39" spans="1:9" x14ac:dyDescent="0.3">
      <c r="A39" s="27">
        <v>6</v>
      </c>
      <c r="B39" s="37">
        <v>15</v>
      </c>
      <c r="C39" s="37">
        <v>5</v>
      </c>
    </row>
    <row r="40" spans="1:9" x14ac:dyDescent="0.3">
      <c r="A40" s="5"/>
      <c r="B40" s="5"/>
    </row>
    <row r="42" spans="1:9" x14ac:dyDescent="0.3">
      <c r="A42" s="1" t="s">
        <v>23</v>
      </c>
      <c r="B42" s="1" t="str">
        <f>"All wins show for "&amp;A11&amp;" credit bet."</f>
        <v>All wins show for 100 credit bet.</v>
      </c>
    </row>
    <row r="43" spans="1:9" x14ac:dyDescent="0.3">
      <c r="A43" s="21" t="s">
        <v>24</v>
      </c>
      <c r="B43" s="21" t="s">
        <v>16</v>
      </c>
      <c r="C43" s="21">
        <v>4</v>
      </c>
      <c r="D43" s="21">
        <v>5</v>
      </c>
      <c r="E43" s="21">
        <v>6</v>
      </c>
      <c r="F43" s="45" t="s">
        <v>25</v>
      </c>
      <c r="G43" s="21" t="s">
        <v>26</v>
      </c>
      <c r="H43" s="21" t="s">
        <v>27</v>
      </c>
      <c r="I43" s="21" t="s">
        <v>28</v>
      </c>
    </row>
    <row r="44" spans="1:9" x14ac:dyDescent="0.3">
      <c r="A44" s="27" t="s">
        <v>29</v>
      </c>
      <c r="B44" s="27" t="s">
        <v>30</v>
      </c>
      <c r="C44" s="37">
        <v>300</v>
      </c>
      <c r="D44" s="37">
        <v>500</v>
      </c>
      <c r="E44" s="37">
        <v>10000</v>
      </c>
      <c r="F44" s="38">
        <v>0</v>
      </c>
      <c r="G44" s="38">
        <v>0</v>
      </c>
      <c r="H44" s="38">
        <v>0</v>
      </c>
      <c r="I44" s="38">
        <v>1</v>
      </c>
    </row>
    <row r="45" spans="1:9" x14ac:dyDescent="0.3">
      <c r="A45" s="27" t="s">
        <v>31</v>
      </c>
      <c r="B45" s="27" t="s">
        <v>32</v>
      </c>
      <c r="C45" s="38">
        <v>0</v>
      </c>
      <c r="D45" s="38">
        <v>0</v>
      </c>
      <c r="E45" s="38">
        <v>0</v>
      </c>
      <c r="F45" s="38">
        <v>0</v>
      </c>
      <c r="G45" s="38">
        <v>0</v>
      </c>
      <c r="H45" s="38">
        <v>0</v>
      </c>
      <c r="I45" s="38">
        <v>2</v>
      </c>
    </row>
    <row r="46" spans="1:9" x14ac:dyDescent="0.3">
      <c r="A46" s="27" t="s">
        <v>33</v>
      </c>
      <c r="B46" s="27" t="s">
        <v>34</v>
      </c>
      <c r="C46" s="38">
        <v>0</v>
      </c>
      <c r="D46" s="38">
        <v>0</v>
      </c>
      <c r="E46" s="38">
        <v>0</v>
      </c>
      <c r="F46" s="38">
        <v>0</v>
      </c>
      <c r="G46" s="38">
        <v>0</v>
      </c>
      <c r="H46" s="38">
        <v>0</v>
      </c>
      <c r="I46" s="38">
        <v>3</v>
      </c>
    </row>
    <row r="47" spans="1:9" x14ac:dyDescent="0.3">
      <c r="A47" s="27" t="s">
        <v>35</v>
      </c>
      <c r="B47" s="27" t="s">
        <v>35</v>
      </c>
      <c r="C47" s="27">
        <v>0</v>
      </c>
      <c r="D47" s="27">
        <v>0</v>
      </c>
      <c r="E47" s="27">
        <v>0</v>
      </c>
      <c r="F47" s="37">
        <v>1000</v>
      </c>
      <c r="G47" s="37">
        <v>2500</v>
      </c>
      <c r="H47" s="37">
        <v>5000</v>
      </c>
      <c r="I47" s="38">
        <v>4</v>
      </c>
    </row>
    <row r="48" spans="1:9" x14ac:dyDescent="0.3">
      <c r="A48" s="27" t="s">
        <v>36</v>
      </c>
      <c r="B48" s="27" t="s">
        <v>36</v>
      </c>
      <c r="C48" s="27">
        <v>0</v>
      </c>
      <c r="D48" s="27">
        <v>0</v>
      </c>
      <c r="E48" s="27">
        <v>0</v>
      </c>
      <c r="F48" s="37">
        <v>250</v>
      </c>
      <c r="G48" s="37">
        <v>1000</v>
      </c>
      <c r="H48" s="37">
        <v>2500</v>
      </c>
      <c r="I48" s="38">
        <v>5</v>
      </c>
    </row>
    <row r="49" spans="1:9" x14ac:dyDescent="0.3">
      <c r="A49" s="27" t="s">
        <v>37</v>
      </c>
      <c r="B49" s="27" t="s">
        <v>37</v>
      </c>
      <c r="C49" s="27">
        <v>0</v>
      </c>
      <c r="D49" s="27">
        <v>0</v>
      </c>
      <c r="E49" s="27">
        <v>0</v>
      </c>
      <c r="F49" s="37">
        <v>200</v>
      </c>
      <c r="G49" s="37">
        <v>500</v>
      </c>
      <c r="H49" s="37">
        <v>1500</v>
      </c>
      <c r="I49" s="38">
        <v>6</v>
      </c>
    </row>
    <row r="50" spans="1:9" x14ac:dyDescent="0.3">
      <c r="A50" s="27" t="s">
        <v>38</v>
      </c>
      <c r="B50" s="27" t="s">
        <v>38</v>
      </c>
      <c r="C50" s="27">
        <v>0</v>
      </c>
      <c r="D50" s="27">
        <v>0</v>
      </c>
      <c r="E50" s="27">
        <v>0</v>
      </c>
      <c r="F50" s="37">
        <v>150</v>
      </c>
      <c r="G50" s="37">
        <v>200</v>
      </c>
      <c r="H50" s="37">
        <v>1200</v>
      </c>
      <c r="I50" s="38">
        <v>7</v>
      </c>
    </row>
    <row r="51" spans="1:9" x14ac:dyDescent="0.3">
      <c r="A51" s="27" t="s">
        <v>39</v>
      </c>
      <c r="B51" s="27" t="s">
        <v>39</v>
      </c>
      <c r="C51" s="27">
        <v>0</v>
      </c>
      <c r="D51" s="27">
        <v>0</v>
      </c>
      <c r="E51" s="27">
        <v>0</v>
      </c>
      <c r="F51" s="37">
        <v>100</v>
      </c>
      <c r="G51" s="37">
        <v>150</v>
      </c>
      <c r="H51" s="37">
        <v>1000</v>
      </c>
      <c r="I51" s="38">
        <v>8</v>
      </c>
    </row>
    <row r="52" spans="1:9" x14ac:dyDescent="0.3">
      <c r="A52" s="27" t="s">
        <v>40</v>
      </c>
      <c r="B52" s="27" t="s">
        <v>40</v>
      </c>
      <c r="C52" s="27">
        <v>0</v>
      </c>
      <c r="D52" s="27">
        <v>0</v>
      </c>
      <c r="E52" s="27">
        <v>0</v>
      </c>
      <c r="F52" s="37">
        <v>80</v>
      </c>
      <c r="G52" s="37">
        <v>120</v>
      </c>
      <c r="H52" s="37">
        <v>800</v>
      </c>
      <c r="I52" s="38">
        <v>9</v>
      </c>
    </row>
    <row r="53" spans="1:9" x14ac:dyDescent="0.3">
      <c r="A53" s="27" t="s">
        <v>41</v>
      </c>
      <c r="B53" s="27" t="s">
        <v>41</v>
      </c>
      <c r="C53" s="27">
        <v>0</v>
      </c>
      <c r="D53" s="27">
        <v>0</v>
      </c>
      <c r="E53" s="27">
        <v>0</v>
      </c>
      <c r="F53" s="37">
        <v>50</v>
      </c>
      <c r="G53" s="37">
        <v>100</v>
      </c>
      <c r="H53" s="37">
        <v>500</v>
      </c>
      <c r="I53" s="38">
        <v>10</v>
      </c>
    </row>
    <row r="54" spans="1:9" x14ac:dyDescent="0.3">
      <c r="A54" s="27" t="s">
        <v>42</v>
      </c>
      <c r="B54" s="27" t="s">
        <v>42</v>
      </c>
      <c r="C54" s="27">
        <v>0</v>
      </c>
      <c r="D54" s="27">
        <v>0</v>
      </c>
      <c r="E54" s="27">
        <v>0</v>
      </c>
      <c r="F54" s="37">
        <v>40</v>
      </c>
      <c r="G54" s="37">
        <v>90</v>
      </c>
      <c r="H54" s="37">
        <v>400</v>
      </c>
      <c r="I54" s="38">
        <v>11</v>
      </c>
    </row>
    <row r="55" spans="1:9" x14ac:dyDescent="0.3">
      <c r="A55" s="27" t="s">
        <v>43</v>
      </c>
      <c r="B55" s="27" t="s">
        <v>43</v>
      </c>
      <c r="C55" s="27">
        <v>0</v>
      </c>
      <c r="D55" s="27">
        <v>0</v>
      </c>
      <c r="E55" s="27">
        <v>0</v>
      </c>
      <c r="F55" s="37">
        <v>25</v>
      </c>
      <c r="G55" s="37">
        <v>75</v>
      </c>
      <c r="H55" s="37">
        <v>200</v>
      </c>
      <c r="I55" s="38">
        <v>12</v>
      </c>
    </row>
    <row r="64" spans="1:9" x14ac:dyDescent="0.3">
      <c r="A64" s="11"/>
      <c r="B64" s="11"/>
      <c r="C64" s="11"/>
    </row>
    <row r="65" spans="1:9" x14ac:dyDescent="0.3">
      <c r="A65" s="11"/>
      <c r="B65" s="11"/>
      <c r="C65" s="11"/>
    </row>
    <row r="66" spans="1:9" x14ac:dyDescent="0.3">
      <c r="A66" s="11"/>
      <c r="B66" s="11"/>
      <c r="C66" s="11"/>
    </row>
    <row r="67" spans="1:9" x14ac:dyDescent="0.3">
      <c r="A67" s="11"/>
      <c r="B67" s="11"/>
      <c r="C67" s="11"/>
    </row>
    <row r="68" spans="1:9" x14ac:dyDescent="0.3">
      <c r="A68" s="11"/>
      <c r="B68" s="11"/>
      <c r="C68" s="11"/>
    </row>
    <row r="69" spans="1:9" x14ac:dyDescent="0.3">
      <c r="A69" s="11"/>
      <c r="B69" s="11"/>
      <c r="C69" s="11"/>
      <c r="D69" s="11"/>
      <c r="E69" s="11"/>
      <c r="F69" s="11"/>
      <c r="G69" s="11"/>
      <c r="H69" s="11"/>
      <c r="I69" s="11"/>
    </row>
    <row r="70" spans="1:9" x14ac:dyDescent="0.3">
      <c r="A70" s="11"/>
      <c r="B70" s="11"/>
      <c r="C70" s="11"/>
      <c r="D70" s="11"/>
      <c r="E70" s="11"/>
      <c r="F70" s="11"/>
      <c r="G70" s="11"/>
      <c r="H70" s="11"/>
      <c r="I70" s="11"/>
    </row>
    <row r="71" spans="1:9" x14ac:dyDescent="0.3">
      <c r="A71" s="11"/>
      <c r="B71" s="11"/>
      <c r="C71" s="11"/>
      <c r="D71" s="11"/>
      <c r="E71" s="11"/>
      <c r="F71" s="11"/>
      <c r="G71" s="11"/>
      <c r="H71" s="11"/>
      <c r="I71" s="11"/>
    </row>
    <row r="72" spans="1:9" x14ac:dyDescent="0.3">
      <c r="A72" s="11"/>
      <c r="B72" s="11"/>
      <c r="C72" s="11"/>
      <c r="D72" s="11"/>
      <c r="E72" s="11"/>
      <c r="F72" s="11"/>
      <c r="G72" s="11"/>
      <c r="H72" s="11"/>
      <c r="I72" s="11"/>
    </row>
    <row r="73" spans="1:9" x14ac:dyDescent="0.3">
      <c r="A73" s="11"/>
      <c r="B73" s="11"/>
      <c r="C73" s="11"/>
      <c r="D73" s="11"/>
      <c r="E73" s="11"/>
      <c r="F73" s="11"/>
      <c r="G73" s="11"/>
      <c r="H73" s="11"/>
      <c r="I73" s="11"/>
    </row>
    <row r="74" spans="1:9" x14ac:dyDescent="0.3">
      <c r="A74" s="11"/>
      <c r="B74" s="11"/>
      <c r="C74" s="11"/>
      <c r="D74" s="11"/>
      <c r="E74" s="11"/>
      <c r="F74" s="11"/>
      <c r="G74" s="11"/>
      <c r="H74" s="11"/>
      <c r="I74" s="11"/>
    </row>
    <row r="75" spans="1:9" x14ac:dyDescent="0.3">
      <c r="A75" s="11"/>
      <c r="B75" s="11"/>
      <c r="C75" s="11"/>
      <c r="D75" s="11"/>
      <c r="E75" s="11"/>
      <c r="F75" s="11"/>
      <c r="G75" s="11"/>
      <c r="H75" s="11"/>
      <c r="I75" s="11"/>
    </row>
    <row r="76" spans="1:9" x14ac:dyDescent="0.3">
      <c r="A76" s="11"/>
      <c r="B76" s="11"/>
      <c r="C76" s="11"/>
      <c r="D76" s="11"/>
      <c r="E76" s="11"/>
      <c r="F76" s="11"/>
      <c r="G76" s="11"/>
      <c r="H76" s="11"/>
      <c r="I76" s="11"/>
    </row>
    <row r="77" spans="1:9" x14ac:dyDescent="0.3">
      <c r="A77" s="11"/>
      <c r="B77" s="11"/>
      <c r="C77" s="11"/>
      <c r="D77" s="11"/>
      <c r="E77" s="11"/>
      <c r="F77" s="11"/>
      <c r="G77" s="11"/>
      <c r="H77" s="11"/>
      <c r="I77" s="11"/>
    </row>
    <row r="78" spans="1:9" x14ac:dyDescent="0.3">
      <c r="A78" s="11"/>
      <c r="B78" s="11"/>
      <c r="C78" s="11"/>
      <c r="D78" s="11"/>
      <c r="E78" s="11"/>
      <c r="F78" s="11"/>
      <c r="G78" s="11"/>
      <c r="H78" s="11"/>
      <c r="I78" s="11"/>
    </row>
    <row r="79" spans="1:9" x14ac:dyDescent="0.3">
      <c r="A79" s="11"/>
      <c r="B79" s="11"/>
      <c r="C79" s="11"/>
      <c r="D79" s="11"/>
      <c r="E79" s="11"/>
      <c r="F79" s="11"/>
      <c r="G79" s="11"/>
      <c r="H79" s="11"/>
      <c r="I79" s="11"/>
    </row>
    <row r="80" spans="1:9" x14ac:dyDescent="0.3">
      <c r="A80" s="11"/>
      <c r="B80" s="11"/>
      <c r="C80" s="11"/>
      <c r="D80" s="11"/>
      <c r="E80" s="11"/>
      <c r="F80" s="11"/>
      <c r="G80" s="11"/>
      <c r="H80" s="11"/>
      <c r="I80" s="11"/>
    </row>
    <row r="81" spans="1:9" x14ac:dyDescent="0.3">
      <c r="A81" s="11"/>
      <c r="B81" s="11"/>
      <c r="C81" s="11"/>
      <c r="D81" s="11"/>
      <c r="E81" s="11"/>
      <c r="F81" s="11"/>
      <c r="G81" s="11"/>
      <c r="H81" s="11"/>
      <c r="I81" s="11"/>
    </row>
    <row r="82" spans="1:9" x14ac:dyDescent="0.3">
      <c r="A82" s="11"/>
      <c r="B82" s="11"/>
      <c r="C82" s="11"/>
      <c r="D82" s="11"/>
      <c r="E82" s="11"/>
      <c r="F82" s="11"/>
      <c r="G82" s="11"/>
      <c r="H82" s="11"/>
      <c r="I82" s="11"/>
    </row>
    <row r="83" spans="1:9" x14ac:dyDescent="0.3">
      <c r="A83" s="11"/>
      <c r="B83" s="11"/>
      <c r="C83" s="11"/>
      <c r="D83" s="11"/>
      <c r="E83" s="11"/>
      <c r="F83" s="11"/>
      <c r="G83" s="11"/>
      <c r="H83" s="11"/>
      <c r="I83" s="11"/>
    </row>
    <row r="84" spans="1:9" x14ac:dyDescent="0.3">
      <c r="A84" s="11"/>
      <c r="B84" s="11"/>
      <c r="C84" s="11"/>
      <c r="D84" s="11"/>
      <c r="E84" s="11"/>
      <c r="F84" s="11"/>
      <c r="G84" s="11"/>
      <c r="H84" s="11"/>
      <c r="I84" s="11"/>
    </row>
    <row r="85" spans="1:9" x14ac:dyDescent="0.3">
      <c r="A85" s="11"/>
      <c r="B85" s="11"/>
      <c r="C85" s="11"/>
      <c r="D85" s="11"/>
      <c r="E85" s="11"/>
      <c r="F85" s="11"/>
      <c r="G85" s="11"/>
      <c r="H85" s="11"/>
      <c r="I85" s="11"/>
    </row>
    <row r="86" spans="1:9" x14ac:dyDescent="0.3">
      <c r="B86" s="6"/>
      <c r="C86" s="6"/>
      <c r="D86" s="6"/>
    </row>
    <row r="88" spans="1:9" x14ac:dyDescent="0.3">
      <c r="F88" s="11"/>
      <c r="G88" s="11"/>
      <c r="H88" s="11"/>
      <c r="I88" s="11"/>
    </row>
    <row r="93" spans="1:9" x14ac:dyDescent="0.3">
      <c r="F93" s="11"/>
      <c r="G93" s="11"/>
      <c r="H93" s="11"/>
      <c r="I93" s="11"/>
    </row>
    <row r="98" spans="6:7" x14ac:dyDescent="0.3">
      <c r="F98" s="11"/>
      <c r="G98" s="11"/>
    </row>
    <row r="103" spans="6:7" x14ac:dyDescent="0.3">
      <c r="F103" s="11"/>
      <c r="G103" s="11"/>
    </row>
    <row r="108" spans="6:7" x14ac:dyDescent="0.3">
      <c r="F108" s="11"/>
      <c r="G108" s="11"/>
    </row>
  </sheetData>
  <mergeCells count="9">
    <mergeCell ref="C22:C23"/>
    <mergeCell ref="A22:A23"/>
    <mergeCell ref="D18:D19"/>
    <mergeCell ref="D26:D27"/>
    <mergeCell ref="A26:A27"/>
    <mergeCell ref="C18:C19"/>
    <mergeCell ref="A18:A19"/>
    <mergeCell ref="C26:C27"/>
    <mergeCell ref="D22:D23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4"/>
  <dimension ref="B3:B83"/>
  <sheetViews>
    <sheetView topLeftCell="A4" workbookViewId="0"/>
  </sheetViews>
  <sheetFormatPr defaultRowHeight="15.6" x14ac:dyDescent="0.3"/>
  <cols>
    <col min="1" max="1" width="8.88671875" style="11" customWidth="1"/>
    <col min="2" max="16384" width="8.88671875" style="11"/>
  </cols>
  <sheetData>
    <row r="3" spans="2:2" x14ac:dyDescent="0.3">
      <c r="B3" s="11" t="s">
        <v>44</v>
      </c>
    </row>
    <row r="5" spans="2:2" x14ac:dyDescent="0.3">
      <c r="B5" s="11" t="s">
        <v>45</v>
      </c>
    </row>
    <row r="7" spans="2:2" x14ac:dyDescent="0.3">
      <c r="B7" s="11" t="s">
        <v>46</v>
      </c>
    </row>
    <row r="8" spans="2:2" x14ac:dyDescent="0.3">
      <c r="B8" s="11" t="s">
        <v>47</v>
      </c>
    </row>
    <row r="9" spans="2:2" x14ac:dyDescent="0.3">
      <c r="B9" s="11" t="s">
        <v>48</v>
      </c>
    </row>
    <row r="10" spans="2:2" x14ac:dyDescent="0.3">
      <c r="B10" s="11" t="s">
        <v>49</v>
      </c>
    </row>
    <row r="11" spans="2:2" x14ac:dyDescent="0.3">
      <c r="B11" s="11" t="s">
        <v>50</v>
      </c>
    </row>
    <row r="12" spans="2:2" x14ac:dyDescent="0.3">
      <c r="B12" s="11" t="s">
        <v>51</v>
      </c>
    </row>
    <row r="13" spans="2:2" x14ac:dyDescent="0.3">
      <c r="B13" s="11" t="s">
        <v>52</v>
      </c>
    </row>
    <row r="14" spans="2:2" x14ac:dyDescent="0.3">
      <c r="B14" s="11" t="s">
        <v>53</v>
      </c>
    </row>
    <row r="15" spans="2:2" x14ac:dyDescent="0.3">
      <c r="B15" s="11" t="s">
        <v>54</v>
      </c>
    </row>
    <row r="16" spans="2:2" x14ac:dyDescent="0.3">
      <c r="B16" s="11" t="s">
        <v>55</v>
      </c>
    </row>
    <row r="18" spans="2:2" x14ac:dyDescent="0.3">
      <c r="B18" s="11" t="s">
        <v>56</v>
      </c>
    </row>
    <row r="19" spans="2:2" x14ac:dyDescent="0.3">
      <c r="B19" s="11" t="s">
        <v>57</v>
      </c>
    </row>
    <row r="20" spans="2:2" x14ac:dyDescent="0.3">
      <c r="B20" s="11" t="s">
        <v>58</v>
      </c>
    </row>
    <row r="21" spans="2:2" x14ac:dyDescent="0.3">
      <c r="B21" s="11" t="s">
        <v>59</v>
      </c>
    </row>
    <row r="22" spans="2:2" x14ac:dyDescent="0.3">
      <c r="B22" s="11" t="s">
        <v>60</v>
      </c>
    </row>
    <row r="23" spans="2:2" x14ac:dyDescent="0.3">
      <c r="B23" s="11" t="s">
        <v>61</v>
      </c>
    </row>
    <row r="24" spans="2:2" x14ac:dyDescent="0.3">
      <c r="B24" s="11" t="s">
        <v>62</v>
      </c>
    </row>
    <row r="25" spans="2:2" x14ac:dyDescent="0.3">
      <c r="B25" s="11" t="s">
        <v>63</v>
      </c>
    </row>
    <row r="26" spans="2:2" x14ac:dyDescent="0.3">
      <c r="B26" s="11" t="s">
        <v>64</v>
      </c>
    </row>
    <row r="28" spans="2:2" x14ac:dyDescent="0.3">
      <c r="B28" s="11" t="s">
        <v>65</v>
      </c>
    </row>
    <row r="30" spans="2:2" x14ac:dyDescent="0.3">
      <c r="B30" s="11" t="s">
        <v>66</v>
      </c>
    </row>
    <row r="31" spans="2:2" x14ac:dyDescent="0.3">
      <c r="B31" s="11" t="s">
        <v>67</v>
      </c>
    </row>
    <row r="33" spans="2:2" x14ac:dyDescent="0.3">
      <c r="B33" s="11" t="s">
        <v>68</v>
      </c>
    </row>
    <row r="35" spans="2:2" x14ac:dyDescent="0.3">
      <c r="B35" s="11" t="s">
        <v>69</v>
      </c>
    </row>
    <row r="37" spans="2:2" x14ac:dyDescent="0.3">
      <c r="B37" s="11" t="s">
        <v>70</v>
      </c>
    </row>
    <row r="38" spans="2:2" x14ac:dyDescent="0.3">
      <c r="B38" s="11" t="s">
        <v>71</v>
      </c>
    </row>
    <row r="39" spans="2:2" x14ac:dyDescent="0.3">
      <c r="B39" s="11" t="s">
        <v>72</v>
      </c>
    </row>
    <row r="40" spans="2:2" x14ac:dyDescent="0.3">
      <c r="B40" s="11" t="s">
        <v>73</v>
      </c>
    </row>
    <row r="42" spans="2:2" x14ac:dyDescent="0.3">
      <c r="B42" s="11" t="s">
        <v>74</v>
      </c>
    </row>
    <row r="43" spans="2:2" x14ac:dyDescent="0.3">
      <c r="B43" s="11" t="s">
        <v>57</v>
      </c>
    </row>
    <row r="44" spans="2:2" x14ac:dyDescent="0.3">
      <c r="B44" s="11" t="s">
        <v>75</v>
      </c>
    </row>
    <row r="46" spans="2:2" x14ac:dyDescent="0.3">
      <c r="B46" s="11" t="s">
        <v>76</v>
      </c>
    </row>
    <row r="47" spans="2:2" x14ac:dyDescent="0.3">
      <c r="B47" s="11" t="s">
        <v>77</v>
      </c>
    </row>
    <row r="48" spans="2:2" x14ac:dyDescent="0.3">
      <c r="B48" s="11" t="s">
        <v>78</v>
      </c>
    </row>
    <row r="49" spans="2:2" x14ac:dyDescent="0.3">
      <c r="B49" s="11" t="s">
        <v>79</v>
      </c>
    </row>
    <row r="50" spans="2:2" x14ac:dyDescent="0.3">
      <c r="B50" s="11" t="s">
        <v>80</v>
      </c>
    </row>
    <row r="51" spans="2:2" x14ac:dyDescent="0.3">
      <c r="B51" s="11" t="s">
        <v>81</v>
      </c>
    </row>
    <row r="53" spans="2:2" x14ac:dyDescent="0.3">
      <c r="B53" s="11" t="s">
        <v>82</v>
      </c>
    </row>
    <row r="55" spans="2:2" x14ac:dyDescent="0.3">
      <c r="B55" s="11" t="s">
        <v>83</v>
      </c>
    </row>
    <row r="56" spans="2:2" x14ac:dyDescent="0.3">
      <c r="B56" s="11" t="s">
        <v>84</v>
      </c>
    </row>
    <row r="57" spans="2:2" x14ac:dyDescent="0.3">
      <c r="B57" s="11" t="s">
        <v>85</v>
      </c>
    </row>
    <row r="58" spans="2:2" x14ac:dyDescent="0.3">
      <c r="B58" s="11" t="s">
        <v>86</v>
      </c>
    </row>
    <row r="59" spans="2:2" x14ac:dyDescent="0.3">
      <c r="B59" s="11" t="s">
        <v>87</v>
      </c>
    </row>
    <row r="60" spans="2:2" x14ac:dyDescent="0.3">
      <c r="B60" s="11" t="s">
        <v>88</v>
      </c>
    </row>
    <row r="62" spans="2:2" x14ac:dyDescent="0.3">
      <c r="B62" s="11" t="s">
        <v>89</v>
      </c>
    </row>
    <row r="64" spans="2:2" x14ac:dyDescent="0.3">
      <c r="B64" s="11" t="s">
        <v>90</v>
      </c>
    </row>
    <row r="65" spans="2:2" x14ac:dyDescent="0.3">
      <c r="B65" s="11" t="s">
        <v>91</v>
      </c>
    </row>
    <row r="67" spans="2:2" x14ac:dyDescent="0.3">
      <c r="B67" s="11" t="s">
        <v>92</v>
      </c>
    </row>
    <row r="69" spans="2:2" x14ac:dyDescent="0.3">
      <c r="B69" s="11" t="s">
        <v>93</v>
      </c>
    </row>
    <row r="70" spans="2:2" x14ac:dyDescent="0.3">
      <c r="B70" s="11" t="s">
        <v>94</v>
      </c>
    </row>
    <row r="71" spans="2:2" x14ac:dyDescent="0.3">
      <c r="B71" s="11" t="s">
        <v>95</v>
      </c>
    </row>
    <row r="72" spans="2:2" x14ac:dyDescent="0.3">
      <c r="B72" s="11" t="s">
        <v>96</v>
      </c>
    </row>
    <row r="73" spans="2:2" x14ac:dyDescent="0.3">
      <c r="B73" s="11" t="s">
        <v>97</v>
      </c>
    </row>
    <row r="74" spans="2:2" x14ac:dyDescent="0.3">
      <c r="B74" s="11" t="s">
        <v>98</v>
      </c>
    </row>
    <row r="75" spans="2:2" x14ac:dyDescent="0.3">
      <c r="B75" s="11" t="s">
        <v>99</v>
      </c>
    </row>
    <row r="77" spans="2:2" x14ac:dyDescent="0.3">
      <c r="B77" s="11" t="s">
        <v>100</v>
      </c>
    </row>
    <row r="79" spans="2:2" x14ac:dyDescent="0.3">
      <c r="B79" s="11" t="s">
        <v>101</v>
      </c>
    </row>
    <row r="80" spans="2:2" x14ac:dyDescent="0.3">
      <c r="B80" s="11" t="s">
        <v>102</v>
      </c>
    </row>
    <row r="81" spans="2:2" x14ac:dyDescent="0.3">
      <c r="B81" s="11" t="s">
        <v>103</v>
      </c>
    </row>
    <row r="82" spans="2:2" x14ac:dyDescent="0.3">
      <c r="B82" s="11" t="s">
        <v>104</v>
      </c>
    </row>
    <row r="83" spans="2:2" x14ac:dyDescent="0.3">
      <c r="B83" s="11" t="s">
        <v>105</v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P69"/>
  <sheetViews>
    <sheetView topLeftCell="F21" workbookViewId="0">
      <selection activeCell="J4" sqref="J4:Q71"/>
    </sheetView>
  </sheetViews>
  <sheetFormatPr defaultRowHeight="16.2" x14ac:dyDescent="0.3"/>
  <cols>
    <col min="2" max="2" width="27.109375" style="39" bestFit="1" customWidth="1"/>
    <col min="3" max="3" width="18.33203125" style="39" bestFit="1" customWidth="1"/>
    <col min="4" max="5" width="24.109375" bestFit="1" customWidth="1"/>
    <col min="6" max="7" width="25.5546875" bestFit="1" customWidth="1"/>
    <col min="9" max="9" width="27.109375" style="39" bestFit="1" customWidth="1"/>
    <col min="10" max="10" width="18.33203125" style="39" bestFit="1" customWidth="1"/>
    <col min="11" max="11" width="24.109375" bestFit="1" customWidth="1"/>
    <col min="12" max="12" width="25.5546875" customWidth="1"/>
    <col min="13" max="13" width="25.5546875" bestFit="1" customWidth="1"/>
    <col min="14" max="14" width="25.5546875" customWidth="1"/>
    <col min="15" max="15" width="25.5546875" bestFit="1" customWidth="1"/>
  </cols>
  <sheetData>
    <row r="2" spans="2:15" x14ac:dyDescent="0.3">
      <c r="B2" s="39" t="s">
        <v>17</v>
      </c>
      <c r="I2" s="39" t="s">
        <v>18</v>
      </c>
    </row>
    <row r="3" spans="2:15" x14ac:dyDescent="0.3">
      <c r="B3" s="21" t="s">
        <v>106</v>
      </c>
      <c r="C3" s="21" t="s">
        <v>107</v>
      </c>
      <c r="D3" s="21" t="s">
        <v>108</v>
      </c>
      <c r="E3" s="21" t="s">
        <v>109</v>
      </c>
      <c r="F3" s="21" t="s">
        <v>110</v>
      </c>
      <c r="G3" s="21" t="s">
        <v>111</v>
      </c>
      <c r="I3" s="21" t="s">
        <v>106</v>
      </c>
      <c r="J3" s="21" t="s">
        <v>107</v>
      </c>
      <c r="K3" s="21" t="s">
        <v>108</v>
      </c>
      <c r="L3" s="21" t="s">
        <v>109</v>
      </c>
      <c r="M3" s="21" t="s">
        <v>110</v>
      </c>
      <c r="N3" s="21" t="s">
        <v>111</v>
      </c>
      <c r="O3" s="21" t="s">
        <v>112</v>
      </c>
    </row>
    <row r="4" spans="2:15" x14ac:dyDescent="0.3">
      <c r="B4" s="26" t="s">
        <v>113</v>
      </c>
      <c r="C4" s="46"/>
      <c r="D4" s="22"/>
      <c r="E4" s="22"/>
      <c r="F4" s="22"/>
      <c r="G4" s="22"/>
      <c r="I4" s="26" t="s">
        <v>113</v>
      </c>
      <c r="J4" s="46"/>
      <c r="K4" s="22"/>
      <c r="L4" s="22"/>
      <c r="M4" s="22"/>
      <c r="N4" s="22"/>
      <c r="O4" s="22"/>
    </row>
    <row r="5" spans="2:15" x14ac:dyDescent="0.3">
      <c r="B5" s="26" t="s">
        <v>114</v>
      </c>
      <c r="C5" s="46"/>
      <c r="D5" s="22"/>
      <c r="E5" s="22"/>
      <c r="F5" s="22"/>
      <c r="G5" s="22"/>
      <c r="I5" s="26" t="s">
        <v>114</v>
      </c>
      <c r="J5" s="46"/>
      <c r="K5" s="22"/>
      <c r="L5" s="22"/>
      <c r="M5" s="22"/>
      <c r="N5" s="22"/>
      <c r="O5" s="22"/>
    </row>
    <row r="6" spans="2:15" x14ac:dyDescent="0.3">
      <c r="B6" s="26" t="s">
        <v>115</v>
      </c>
      <c r="C6" s="46"/>
      <c r="D6" s="22"/>
      <c r="E6" s="22"/>
      <c r="F6" s="22"/>
      <c r="G6" s="22"/>
      <c r="I6" s="26" t="s">
        <v>115</v>
      </c>
      <c r="J6" s="46"/>
      <c r="K6" s="22"/>
      <c r="L6" s="22"/>
      <c r="M6" s="22"/>
      <c r="N6" s="22"/>
      <c r="O6" s="22"/>
    </row>
    <row r="7" spans="2:15" x14ac:dyDescent="0.3">
      <c r="B7" s="26" t="s">
        <v>116</v>
      </c>
      <c r="C7" s="46"/>
      <c r="D7" s="22"/>
      <c r="E7" s="22"/>
      <c r="F7" s="22"/>
      <c r="G7" s="22"/>
      <c r="I7" s="26" t="s">
        <v>116</v>
      </c>
      <c r="J7" s="46"/>
      <c r="K7" s="22"/>
      <c r="L7" s="22"/>
      <c r="M7" s="22"/>
      <c r="N7" s="22"/>
      <c r="O7" s="22"/>
    </row>
    <row r="8" spans="2:15" x14ac:dyDescent="0.3">
      <c r="B8" s="26" t="s">
        <v>117</v>
      </c>
      <c r="C8" s="46"/>
      <c r="D8" s="22"/>
      <c r="E8" s="22"/>
      <c r="F8" s="22"/>
      <c r="G8" s="22"/>
      <c r="I8" s="26" t="s">
        <v>117</v>
      </c>
      <c r="J8" s="46"/>
      <c r="K8" s="22"/>
      <c r="L8" s="22"/>
      <c r="M8" s="22"/>
      <c r="N8" s="22"/>
      <c r="O8" s="22"/>
    </row>
    <row r="9" spans="2:15" x14ac:dyDescent="0.3">
      <c r="B9" s="26" t="s">
        <v>118</v>
      </c>
      <c r="C9" s="46"/>
      <c r="D9" s="22"/>
      <c r="E9" s="22"/>
      <c r="F9" s="22"/>
      <c r="G9" s="22"/>
      <c r="I9" s="26" t="s">
        <v>118</v>
      </c>
      <c r="J9" s="46"/>
      <c r="K9" s="22"/>
      <c r="L9" s="22"/>
      <c r="M9" s="22"/>
      <c r="N9" s="22"/>
      <c r="O9" s="22"/>
    </row>
    <row r="10" spans="2:15" x14ac:dyDescent="0.3">
      <c r="B10" s="26" t="s">
        <v>119</v>
      </c>
      <c r="C10" s="46"/>
      <c r="D10" s="22"/>
      <c r="E10" s="22"/>
      <c r="F10" s="22"/>
      <c r="G10" s="22"/>
      <c r="I10" s="26" t="s">
        <v>119</v>
      </c>
      <c r="J10" s="46"/>
      <c r="K10" s="22"/>
      <c r="L10" s="22"/>
      <c r="M10" s="22"/>
      <c r="N10" s="22"/>
      <c r="O10" s="22"/>
    </row>
    <row r="11" spans="2:15" x14ac:dyDescent="0.3">
      <c r="B11" s="26" t="s">
        <v>120</v>
      </c>
      <c r="C11" s="46"/>
      <c r="D11" s="22"/>
      <c r="E11" s="22"/>
      <c r="F11" s="22"/>
      <c r="G11" s="22"/>
      <c r="I11" s="26" t="s">
        <v>120</v>
      </c>
      <c r="J11" s="46"/>
      <c r="K11" s="22"/>
      <c r="L11" s="22"/>
      <c r="M11" s="22"/>
      <c r="N11" s="22"/>
      <c r="O11" s="22"/>
    </row>
    <row r="12" spans="2:15" x14ac:dyDescent="0.3">
      <c r="B12" s="26" t="s">
        <v>121</v>
      </c>
      <c r="C12" s="46"/>
      <c r="D12" s="22"/>
      <c r="E12" s="22"/>
      <c r="F12" s="22"/>
      <c r="G12" s="22"/>
      <c r="I12" s="26" t="s">
        <v>121</v>
      </c>
      <c r="J12" s="46"/>
      <c r="K12" s="22"/>
      <c r="L12" s="22"/>
      <c r="M12" s="22"/>
      <c r="N12" s="22"/>
      <c r="O12" s="22"/>
    </row>
    <row r="13" spans="2:15" x14ac:dyDescent="0.3">
      <c r="B13" s="26" t="s">
        <v>122</v>
      </c>
      <c r="C13" s="46"/>
      <c r="D13" s="22"/>
      <c r="E13" s="22"/>
      <c r="F13" s="22"/>
      <c r="G13" s="22"/>
      <c r="I13" s="26" t="s">
        <v>122</v>
      </c>
      <c r="J13" s="46"/>
      <c r="K13" s="22"/>
      <c r="L13" s="22"/>
      <c r="M13" s="22"/>
      <c r="N13" s="22"/>
      <c r="O13" s="22"/>
    </row>
    <row r="14" spans="2:15" x14ac:dyDescent="0.3">
      <c r="B14" s="26" t="s">
        <v>123</v>
      </c>
      <c r="C14" s="46"/>
      <c r="D14" s="22"/>
      <c r="E14" s="22"/>
      <c r="F14" s="22"/>
      <c r="G14" s="22"/>
      <c r="I14" s="26" t="s">
        <v>123</v>
      </c>
      <c r="J14" s="46"/>
      <c r="K14" s="22"/>
      <c r="L14" s="22"/>
      <c r="M14" s="22"/>
      <c r="N14" s="22"/>
      <c r="O14" s="22"/>
    </row>
    <row r="15" spans="2:15" x14ac:dyDescent="0.3">
      <c r="B15" s="26" t="s">
        <v>124</v>
      </c>
      <c r="C15" s="46"/>
      <c r="D15" s="22"/>
      <c r="E15" s="22"/>
      <c r="F15" s="22"/>
      <c r="G15" s="22"/>
      <c r="I15" s="26" t="s">
        <v>124</v>
      </c>
      <c r="J15" s="46"/>
      <c r="K15" s="22"/>
      <c r="L15" s="22"/>
      <c r="M15" s="22"/>
      <c r="N15" s="22"/>
      <c r="O15" s="22"/>
    </row>
    <row r="16" spans="2:15" x14ac:dyDescent="0.3">
      <c r="B16" s="26" t="s">
        <v>125</v>
      </c>
      <c r="C16" s="46"/>
      <c r="D16" s="22"/>
      <c r="E16" s="22"/>
      <c r="F16" s="22"/>
      <c r="G16" s="22"/>
      <c r="I16" s="26" t="s">
        <v>125</v>
      </c>
      <c r="J16" s="46"/>
      <c r="K16" s="22"/>
      <c r="L16" s="22"/>
      <c r="M16" s="22"/>
      <c r="N16" s="22"/>
      <c r="O16" s="22"/>
    </row>
    <row r="17" spans="2:15" x14ac:dyDescent="0.3">
      <c r="B17" s="26" t="s">
        <v>126</v>
      </c>
      <c r="C17" s="46"/>
      <c r="D17" s="22"/>
      <c r="E17" s="22"/>
      <c r="F17" s="22"/>
      <c r="G17" s="22"/>
      <c r="I17" s="26" t="s">
        <v>126</v>
      </c>
      <c r="J17" s="46"/>
      <c r="K17" s="22"/>
      <c r="L17" s="22"/>
      <c r="M17" s="22"/>
      <c r="N17" s="22"/>
      <c r="O17" s="22"/>
    </row>
    <row r="18" spans="2:15" x14ac:dyDescent="0.3">
      <c r="B18" s="26" t="s">
        <v>127</v>
      </c>
      <c r="C18" s="46"/>
      <c r="D18" s="22"/>
      <c r="E18" s="22"/>
      <c r="F18" s="22"/>
      <c r="G18" s="22"/>
      <c r="I18" s="26" t="s">
        <v>127</v>
      </c>
      <c r="J18" s="46"/>
      <c r="K18" s="22"/>
      <c r="L18" s="22"/>
      <c r="M18" s="22"/>
      <c r="N18" s="22"/>
      <c r="O18" s="22"/>
    </row>
    <row r="19" spans="2:15" x14ac:dyDescent="0.3">
      <c r="B19" s="26" t="s">
        <v>128</v>
      </c>
      <c r="C19" s="46"/>
      <c r="D19" s="22"/>
      <c r="E19" s="22"/>
      <c r="F19" s="22"/>
      <c r="G19" s="22"/>
      <c r="I19" s="26" t="s">
        <v>128</v>
      </c>
      <c r="J19" s="46"/>
      <c r="K19" s="22"/>
      <c r="L19" s="22"/>
      <c r="M19" s="22"/>
      <c r="N19" s="22"/>
      <c r="O19" s="22"/>
    </row>
    <row r="20" spans="2:15" x14ac:dyDescent="0.3">
      <c r="B20" s="26" t="s">
        <v>129</v>
      </c>
      <c r="C20" s="46"/>
      <c r="D20" s="22"/>
      <c r="E20" s="22"/>
      <c r="F20" s="22"/>
      <c r="G20" s="22"/>
      <c r="I20" s="26" t="s">
        <v>129</v>
      </c>
      <c r="J20" s="46"/>
      <c r="K20" s="22"/>
      <c r="L20" s="22"/>
      <c r="M20" s="22"/>
      <c r="N20" s="22"/>
      <c r="O20" s="22"/>
    </row>
    <row r="21" spans="2:15" x14ac:dyDescent="0.3">
      <c r="B21" s="26" t="s">
        <v>130</v>
      </c>
      <c r="C21" s="46"/>
      <c r="D21" s="22"/>
      <c r="E21" s="22"/>
      <c r="F21" s="22"/>
      <c r="G21" s="22"/>
      <c r="I21" s="26" t="s">
        <v>130</v>
      </c>
      <c r="J21" s="46"/>
      <c r="K21" s="22"/>
      <c r="L21" s="22"/>
      <c r="M21" s="22"/>
      <c r="N21" s="22"/>
      <c r="O21" s="22"/>
    </row>
    <row r="22" spans="2:15" x14ac:dyDescent="0.3">
      <c r="B22" s="26" t="s">
        <v>131</v>
      </c>
      <c r="C22" s="46"/>
      <c r="D22" s="22"/>
      <c r="E22" s="22"/>
      <c r="F22" s="22"/>
      <c r="G22" s="22"/>
      <c r="I22" s="26" t="s">
        <v>131</v>
      </c>
      <c r="J22" s="46"/>
      <c r="K22" s="22"/>
      <c r="L22" s="22"/>
      <c r="M22" s="22"/>
      <c r="N22" s="22"/>
      <c r="O22" s="22"/>
    </row>
    <row r="23" spans="2:15" x14ac:dyDescent="0.3">
      <c r="B23" s="26" t="s">
        <v>132</v>
      </c>
      <c r="C23" s="46"/>
      <c r="D23" s="22"/>
      <c r="E23" s="22"/>
      <c r="F23" s="22"/>
      <c r="G23" s="22"/>
      <c r="I23" s="26" t="s">
        <v>132</v>
      </c>
      <c r="J23" s="46"/>
      <c r="K23" s="22"/>
      <c r="L23" s="22"/>
      <c r="M23" s="22"/>
      <c r="N23" s="22"/>
      <c r="O23" s="22"/>
    </row>
    <row r="24" spans="2:15" x14ac:dyDescent="0.3">
      <c r="B24" s="26" t="s">
        <v>133</v>
      </c>
      <c r="C24" s="46"/>
      <c r="D24" s="22"/>
      <c r="E24" s="22"/>
      <c r="F24" s="22"/>
      <c r="G24" s="22"/>
      <c r="I24" s="26" t="s">
        <v>133</v>
      </c>
      <c r="J24" s="46"/>
      <c r="K24" s="22"/>
      <c r="L24" s="22"/>
      <c r="M24" s="22"/>
      <c r="N24" s="22"/>
      <c r="O24" s="22"/>
    </row>
    <row r="25" spans="2:15" x14ac:dyDescent="0.3">
      <c r="B25" s="26" t="s">
        <v>134</v>
      </c>
      <c r="C25" s="46"/>
      <c r="D25" s="22"/>
      <c r="E25" s="22"/>
      <c r="F25" s="22"/>
      <c r="G25" s="22"/>
      <c r="I25" s="26" t="s">
        <v>134</v>
      </c>
      <c r="J25" s="46"/>
      <c r="K25" s="22"/>
      <c r="L25" s="22"/>
      <c r="M25" s="22"/>
      <c r="N25" s="22"/>
      <c r="O25" s="22"/>
    </row>
    <row r="26" spans="2:15" x14ac:dyDescent="0.3">
      <c r="B26" s="26" t="s">
        <v>135</v>
      </c>
      <c r="C26" s="46"/>
      <c r="D26" s="22"/>
      <c r="E26" s="22"/>
      <c r="F26" s="22"/>
      <c r="G26" s="22"/>
      <c r="I26" s="26" t="s">
        <v>135</v>
      </c>
      <c r="J26" s="46"/>
      <c r="K26" s="22"/>
      <c r="L26" s="22"/>
      <c r="M26" s="22"/>
      <c r="N26" s="22"/>
      <c r="O26" s="22"/>
    </row>
    <row r="27" spans="2:15" x14ac:dyDescent="0.3">
      <c r="B27" s="26" t="s">
        <v>136</v>
      </c>
      <c r="C27" s="46"/>
      <c r="D27" s="22"/>
      <c r="E27" s="22"/>
      <c r="F27" s="22"/>
      <c r="G27" s="22"/>
      <c r="I27" s="26" t="s">
        <v>136</v>
      </c>
      <c r="J27" s="46"/>
      <c r="K27" s="22"/>
      <c r="L27" s="22"/>
      <c r="M27" s="22"/>
      <c r="N27" s="22"/>
      <c r="O27" s="22"/>
    </row>
    <row r="28" spans="2:15" x14ac:dyDescent="0.3">
      <c r="B28" s="26" t="s">
        <v>137</v>
      </c>
      <c r="C28" s="46"/>
      <c r="D28" s="22"/>
      <c r="E28" s="22"/>
      <c r="F28" s="22"/>
      <c r="G28" s="22"/>
      <c r="I28" s="26" t="s">
        <v>137</v>
      </c>
      <c r="J28" s="46"/>
      <c r="K28" s="22"/>
      <c r="L28" s="22"/>
      <c r="M28" s="22"/>
      <c r="N28" s="22"/>
      <c r="O28" s="22"/>
    </row>
    <row r="29" spans="2:15" x14ac:dyDescent="0.3">
      <c r="B29" s="26" t="s">
        <v>138</v>
      </c>
      <c r="C29" s="46"/>
      <c r="D29" s="22"/>
      <c r="E29" s="22"/>
      <c r="F29" s="22"/>
      <c r="G29" s="22"/>
      <c r="I29" s="26" t="s">
        <v>138</v>
      </c>
      <c r="J29" s="46"/>
      <c r="K29" s="22"/>
      <c r="L29" s="22"/>
      <c r="M29" s="22"/>
      <c r="N29" s="22"/>
      <c r="O29" s="22"/>
    </row>
    <row r="30" spans="2:15" x14ac:dyDescent="0.3">
      <c r="B30" s="26" t="s">
        <v>139</v>
      </c>
      <c r="C30" s="46"/>
      <c r="D30" s="22"/>
      <c r="E30" s="22"/>
      <c r="F30" s="22"/>
      <c r="G30" s="22"/>
      <c r="I30" s="26" t="s">
        <v>139</v>
      </c>
      <c r="J30" s="46"/>
      <c r="K30" s="22"/>
      <c r="L30" s="22"/>
      <c r="M30" s="22"/>
      <c r="N30" s="22"/>
      <c r="O30" s="22"/>
    </row>
    <row r="31" spans="2:15" x14ac:dyDescent="0.3">
      <c r="B31" s="26" t="s">
        <v>140</v>
      </c>
      <c r="C31" s="46"/>
      <c r="D31" s="22"/>
      <c r="E31" s="22"/>
      <c r="F31" s="22"/>
      <c r="G31" s="22"/>
      <c r="I31" s="26" t="s">
        <v>140</v>
      </c>
      <c r="J31" s="46"/>
      <c r="K31" s="22"/>
      <c r="L31" s="22"/>
      <c r="M31" s="22"/>
      <c r="N31" s="22"/>
      <c r="O31" s="22"/>
    </row>
    <row r="32" spans="2:15" x14ac:dyDescent="0.3">
      <c r="B32" s="26" t="s">
        <v>141</v>
      </c>
      <c r="C32" s="46"/>
      <c r="D32" s="22"/>
      <c r="E32" s="22"/>
      <c r="F32" s="22"/>
      <c r="G32" s="22"/>
      <c r="I32" s="26" t="s">
        <v>141</v>
      </c>
      <c r="J32" s="46"/>
      <c r="K32" s="22"/>
      <c r="L32" s="22"/>
      <c r="M32" s="22"/>
      <c r="N32" s="22"/>
      <c r="O32" s="22"/>
    </row>
    <row r="33" spans="2:15" x14ac:dyDescent="0.3">
      <c r="B33" s="26" t="s">
        <v>142</v>
      </c>
      <c r="C33" s="46"/>
      <c r="D33" s="22"/>
      <c r="E33" s="22"/>
      <c r="F33" s="22"/>
      <c r="G33" s="22"/>
      <c r="I33" s="26" t="s">
        <v>142</v>
      </c>
      <c r="J33" s="46"/>
      <c r="K33" s="22"/>
      <c r="L33" s="22"/>
      <c r="M33" s="22"/>
      <c r="N33" s="22"/>
      <c r="O33" s="22"/>
    </row>
    <row r="34" spans="2:15" x14ac:dyDescent="0.3">
      <c r="B34" s="26" t="s">
        <v>143</v>
      </c>
      <c r="C34" s="46"/>
      <c r="D34" s="22"/>
      <c r="E34" s="22"/>
      <c r="F34" s="22"/>
      <c r="G34" s="22"/>
      <c r="I34" s="26" t="s">
        <v>143</v>
      </c>
      <c r="J34" s="46"/>
      <c r="K34" s="22"/>
      <c r="L34" s="22"/>
      <c r="M34" s="22"/>
      <c r="N34" s="22"/>
      <c r="O34" s="22"/>
    </row>
    <row r="35" spans="2:15" x14ac:dyDescent="0.3">
      <c r="B35" s="26" t="s">
        <v>144</v>
      </c>
      <c r="C35" s="46"/>
      <c r="D35" s="22"/>
      <c r="E35" s="22"/>
      <c r="F35" s="22"/>
      <c r="G35" s="22"/>
      <c r="I35" s="26" t="s">
        <v>144</v>
      </c>
      <c r="J35" s="46"/>
      <c r="K35" s="22"/>
      <c r="L35" s="22"/>
      <c r="M35" s="22"/>
      <c r="N35" s="22"/>
      <c r="O35" s="22"/>
    </row>
    <row r="36" spans="2:15" x14ac:dyDescent="0.3">
      <c r="B36" s="26" t="s">
        <v>145</v>
      </c>
      <c r="C36" s="46"/>
      <c r="D36" s="22"/>
      <c r="E36" s="22"/>
      <c r="F36" s="22"/>
      <c r="G36" s="22"/>
      <c r="I36" s="26" t="s">
        <v>145</v>
      </c>
      <c r="J36" s="46"/>
      <c r="K36" s="22"/>
      <c r="L36" s="22"/>
      <c r="M36" s="22"/>
      <c r="N36" s="22"/>
      <c r="O36" s="22"/>
    </row>
    <row r="37" spans="2:15" x14ac:dyDescent="0.3">
      <c r="B37" s="26" t="s">
        <v>146</v>
      </c>
      <c r="C37" s="46"/>
      <c r="D37" s="22"/>
      <c r="E37" s="22"/>
      <c r="F37" s="22"/>
      <c r="G37" s="22"/>
      <c r="I37" s="26" t="s">
        <v>146</v>
      </c>
      <c r="J37" s="46"/>
      <c r="K37" s="22"/>
      <c r="L37" s="22"/>
      <c r="M37" s="22"/>
      <c r="N37" s="22"/>
      <c r="O37" s="22"/>
    </row>
    <row r="38" spans="2:15" x14ac:dyDescent="0.3">
      <c r="B38" s="26" t="s">
        <v>147</v>
      </c>
      <c r="C38" s="46"/>
      <c r="D38" s="22"/>
      <c r="E38" s="22"/>
      <c r="F38" s="22"/>
      <c r="G38" s="22"/>
      <c r="I38" s="26" t="s">
        <v>147</v>
      </c>
      <c r="J38" s="46"/>
      <c r="K38" s="22"/>
      <c r="L38" s="22"/>
      <c r="M38" s="22"/>
      <c r="N38" s="22"/>
      <c r="O38" s="22"/>
    </row>
    <row r="39" spans="2:15" x14ac:dyDescent="0.3">
      <c r="B39" s="26" t="s">
        <v>148</v>
      </c>
      <c r="C39" s="46"/>
      <c r="D39" s="22"/>
      <c r="E39" s="22"/>
      <c r="F39" s="22"/>
      <c r="G39" s="22"/>
      <c r="I39" s="26" t="s">
        <v>148</v>
      </c>
      <c r="J39" s="46"/>
      <c r="K39" s="22"/>
      <c r="L39" s="22"/>
      <c r="M39" s="22"/>
      <c r="N39" s="22"/>
      <c r="O39" s="22"/>
    </row>
    <row r="40" spans="2:15" x14ac:dyDescent="0.3">
      <c r="B40" s="26" t="s">
        <v>149</v>
      </c>
      <c r="C40" s="46"/>
      <c r="D40" s="22"/>
      <c r="E40" s="22"/>
      <c r="F40" s="22"/>
      <c r="G40" s="22"/>
      <c r="I40" s="26" t="s">
        <v>149</v>
      </c>
      <c r="J40" s="46"/>
      <c r="K40" s="22"/>
      <c r="L40" s="22"/>
      <c r="M40" s="22"/>
      <c r="N40" s="22"/>
      <c r="O40" s="22"/>
    </row>
    <row r="41" spans="2:15" x14ac:dyDescent="0.3">
      <c r="B41" s="26" t="s">
        <v>150</v>
      </c>
      <c r="C41" s="46"/>
      <c r="D41" s="22"/>
      <c r="E41" s="22"/>
      <c r="F41" s="22"/>
      <c r="G41" s="22"/>
      <c r="I41" s="26" t="s">
        <v>150</v>
      </c>
      <c r="J41" s="46"/>
      <c r="K41" s="22"/>
      <c r="L41" s="22"/>
      <c r="M41" s="22"/>
      <c r="N41" s="22"/>
      <c r="O41" s="22"/>
    </row>
    <row r="42" spans="2:15" x14ac:dyDescent="0.3">
      <c r="B42" s="26" t="s">
        <v>151</v>
      </c>
      <c r="C42" s="46"/>
      <c r="D42" s="22"/>
      <c r="E42" s="22"/>
      <c r="F42" s="22"/>
      <c r="G42" s="22"/>
      <c r="I42" s="26" t="s">
        <v>151</v>
      </c>
      <c r="J42" s="46"/>
      <c r="K42" s="22"/>
      <c r="L42" s="22"/>
      <c r="M42" s="22"/>
      <c r="N42" s="22"/>
      <c r="O42" s="22"/>
    </row>
    <row r="43" spans="2:15" x14ac:dyDescent="0.3">
      <c r="B43" s="26" t="s">
        <v>152</v>
      </c>
      <c r="C43" s="46"/>
      <c r="D43" s="22"/>
      <c r="E43" s="22"/>
      <c r="F43" s="22"/>
      <c r="G43" s="22"/>
      <c r="I43" s="26" t="s">
        <v>152</v>
      </c>
      <c r="J43" s="46"/>
      <c r="K43" s="22"/>
      <c r="L43" s="22"/>
      <c r="M43" s="22"/>
      <c r="N43" s="22"/>
      <c r="O43" s="22"/>
    </row>
    <row r="44" spans="2:15" x14ac:dyDescent="0.3">
      <c r="B44" s="26" t="s">
        <v>153</v>
      </c>
      <c r="C44" s="46"/>
      <c r="D44" s="22"/>
      <c r="E44" s="22"/>
      <c r="F44" s="22"/>
      <c r="G44" s="22"/>
      <c r="I44" s="26" t="s">
        <v>153</v>
      </c>
      <c r="J44" s="46"/>
      <c r="K44" s="22"/>
      <c r="L44" s="22"/>
      <c r="M44" s="22"/>
      <c r="N44" s="22"/>
      <c r="O44" s="22"/>
    </row>
    <row r="45" spans="2:15" x14ac:dyDescent="0.3">
      <c r="B45" s="26" t="s">
        <v>154</v>
      </c>
      <c r="C45" s="46"/>
      <c r="D45" s="22"/>
      <c r="E45" s="22"/>
      <c r="F45" s="22"/>
      <c r="G45" s="22"/>
      <c r="I45" s="26" t="s">
        <v>154</v>
      </c>
      <c r="J45" s="46"/>
      <c r="K45" s="22"/>
      <c r="L45" s="22"/>
      <c r="M45" s="22"/>
      <c r="N45" s="22"/>
      <c r="O45" s="22"/>
    </row>
    <row r="46" spans="2:15" x14ac:dyDescent="0.3">
      <c r="B46" s="26" t="s">
        <v>155</v>
      </c>
      <c r="C46" s="46"/>
      <c r="D46" s="22"/>
      <c r="E46" s="22"/>
      <c r="F46" s="22"/>
      <c r="G46" s="22"/>
      <c r="I46" s="26" t="s">
        <v>155</v>
      </c>
      <c r="J46" s="46"/>
      <c r="K46" s="22"/>
      <c r="L46" s="22"/>
      <c r="M46" s="22"/>
      <c r="N46" s="22"/>
      <c r="O46" s="22"/>
    </row>
    <row r="47" spans="2:15" x14ac:dyDescent="0.3">
      <c r="B47" s="26" t="s">
        <v>156</v>
      </c>
      <c r="C47" s="46"/>
      <c r="D47" s="22"/>
      <c r="E47" s="22"/>
      <c r="F47" s="22"/>
      <c r="G47" s="22"/>
      <c r="I47" s="26" t="s">
        <v>156</v>
      </c>
      <c r="J47" s="46"/>
      <c r="K47" s="22"/>
      <c r="L47" s="22"/>
      <c r="M47" s="22"/>
      <c r="N47" s="22"/>
      <c r="O47" s="22"/>
    </row>
    <row r="48" spans="2:15" x14ac:dyDescent="0.3">
      <c r="B48" s="26" t="s">
        <v>157</v>
      </c>
      <c r="C48" s="46"/>
      <c r="D48" s="22"/>
      <c r="E48" s="22"/>
      <c r="F48" s="22"/>
      <c r="G48" s="22"/>
      <c r="I48" s="26" t="s">
        <v>157</v>
      </c>
      <c r="J48" s="46"/>
      <c r="K48" s="22"/>
      <c r="L48" s="22"/>
      <c r="M48" s="22"/>
      <c r="N48" s="22"/>
      <c r="O48" s="22"/>
    </row>
    <row r="49" spans="2:15" x14ac:dyDescent="0.3">
      <c r="B49" s="26" t="s">
        <v>158</v>
      </c>
      <c r="C49" s="46"/>
      <c r="D49" s="22"/>
      <c r="E49" s="22"/>
      <c r="F49" s="22"/>
      <c r="G49" s="22"/>
      <c r="I49" s="26" t="s">
        <v>158</v>
      </c>
      <c r="J49" s="46"/>
      <c r="K49" s="22"/>
      <c r="L49" s="22"/>
      <c r="M49" s="22"/>
      <c r="N49" s="22"/>
      <c r="O49" s="22"/>
    </row>
    <row r="50" spans="2:15" x14ac:dyDescent="0.3">
      <c r="B50" s="26" t="s">
        <v>159</v>
      </c>
      <c r="C50" s="46"/>
      <c r="D50" s="22"/>
      <c r="E50" s="22"/>
      <c r="F50" s="22"/>
      <c r="G50" s="22"/>
      <c r="I50" s="26" t="s">
        <v>159</v>
      </c>
      <c r="J50" s="46"/>
      <c r="K50" s="22"/>
      <c r="L50" s="22"/>
      <c r="M50" s="22"/>
      <c r="N50" s="22"/>
      <c r="O50" s="22"/>
    </row>
    <row r="51" spans="2:15" x14ac:dyDescent="0.3">
      <c r="B51" s="26" t="s">
        <v>160</v>
      </c>
      <c r="C51" s="46"/>
      <c r="D51" s="22"/>
      <c r="E51" s="22"/>
      <c r="F51" s="22"/>
      <c r="G51" s="22"/>
      <c r="I51" s="26" t="s">
        <v>160</v>
      </c>
      <c r="J51" s="46"/>
      <c r="K51" s="22"/>
      <c r="L51" s="22"/>
      <c r="M51" s="22"/>
      <c r="N51" s="22"/>
      <c r="O51" s="22"/>
    </row>
    <row r="52" spans="2:15" x14ac:dyDescent="0.3">
      <c r="B52" s="26" t="s">
        <v>161</v>
      </c>
      <c r="C52" s="46"/>
      <c r="D52" s="22"/>
      <c r="E52" s="22"/>
      <c r="F52" s="22"/>
      <c r="G52" s="22"/>
      <c r="I52" s="26" t="s">
        <v>161</v>
      </c>
      <c r="J52" s="46"/>
      <c r="K52" s="22"/>
      <c r="L52" s="22"/>
      <c r="M52" s="22"/>
      <c r="N52" s="22"/>
      <c r="O52" s="22"/>
    </row>
    <row r="53" spans="2:15" x14ac:dyDescent="0.3">
      <c r="B53" s="26" t="s">
        <v>162</v>
      </c>
      <c r="C53" s="46"/>
      <c r="D53" s="22"/>
      <c r="E53" s="22"/>
      <c r="F53" s="22"/>
      <c r="G53" s="22"/>
      <c r="I53" s="26" t="s">
        <v>162</v>
      </c>
      <c r="J53" s="46"/>
      <c r="K53" s="22"/>
      <c r="L53" s="22"/>
      <c r="M53" s="22"/>
      <c r="N53" s="22"/>
      <c r="O53" s="22"/>
    </row>
    <row r="54" spans="2:15" x14ac:dyDescent="0.3">
      <c r="B54" s="26" t="s">
        <v>163</v>
      </c>
      <c r="C54" s="46"/>
      <c r="D54" s="22"/>
      <c r="E54" s="22"/>
      <c r="F54" s="22"/>
      <c r="G54" s="22"/>
      <c r="I54" s="26" t="s">
        <v>163</v>
      </c>
      <c r="J54" s="46"/>
      <c r="K54" s="22"/>
      <c r="L54" s="22"/>
      <c r="M54" s="22"/>
      <c r="N54" s="22"/>
      <c r="O54" s="22"/>
    </row>
    <row r="55" spans="2:15" x14ac:dyDescent="0.3">
      <c r="B55" s="26" t="s">
        <v>164</v>
      </c>
      <c r="C55" s="46"/>
      <c r="D55" s="22"/>
      <c r="E55" s="22"/>
      <c r="F55" s="22"/>
      <c r="G55" s="22"/>
      <c r="I55" s="26" t="s">
        <v>164</v>
      </c>
      <c r="J55" s="46"/>
      <c r="K55" s="22"/>
      <c r="L55" s="22"/>
      <c r="M55" s="22"/>
      <c r="N55" s="22"/>
      <c r="O55" s="22"/>
    </row>
    <row r="56" spans="2:15" x14ac:dyDescent="0.3">
      <c r="B56" s="26" t="s">
        <v>165</v>
      </c>
      <c r="C56" s="46"/>
      <c r="D56" s="22"/>
      <c r="E56" s="22"/>
      <c r="F56" s="22"/>
      <c r="G56" s="22"/>
      <c r="I56" s="26" t="s">
        <v>165</v>
      </c>
      <c r="J56" s="46"/>
      <c r="K56" s="22"/>
      <c r="L56" s="22"/>
      <c r="M56" s="22"/>
      <c r="N56" s="22"/>
      <c r="O56" s="22"/>
    </row>
    <row r="57" spans="2:15" x14ac:dyDescent="0.3">
      <c r="B57" s="26" t="s">
        <v>166</v>
      </c>
      <c r="C57" s="46"/>
      <c r="D57" s="22"/>
      <c r="E57" s="22"/>
      <c r="F57" s="22"/>
      <c r="G57" s="22"/>
      <c r="I57" s="26" t="s">
        <v>166</v>
      </c>
      <c r="J57" s="46"/>
      <c r="K57" s="22"/>
      <c r="L57" s="22"/>
      <c r="M57" s="22"/>
      <c r="N57" s="22"/>
      <c r="O57" s="22"/>
    </row>
    <row r="58" spans="2:15" x14ac:dyDescent="0.3">
      <c r="B58" s="26" t="s">
        <v>167</v>
      </c>
      <c r="C58" s="46"/>
      <c r="D58" s="22"/>
      <c r="E58" s="22"/>
      <c r="F58" s="22"/>
      <c r="G58" s="22"/>
      <c r="I58" s="26" t="s">
        <v>167</v>
      </c>
      <c r="J58" s="46"/>
      <c r="K58" s="22"/>
      <c r="L58" s="22"/>
      <c r="M58" s="22"/>
      <c r="N58" s="22"/>
      <c r="O58" s="22"/>
    </row>
    <row r="59" spans="2:15" x14ac:dyDescent="0.3">
      <c r="B59" s="26" t="s">
        <v>168</v>
      </c>
      <c r="C59" s="46"/>
      <c r="D59" s="22"/>
      <c r="E59" s="22"/>
      <c r="F59" s="22"/>
      <c r="G59" s="22"/>
      <c r="I59" s="26" t="s">
        <v>168</v>
      </c>
      <c r="J59" s="46"/>
      <c r="K59" s="22"/>
      <c r="L59" s="22"/>
      <c r="M59" s="22"/>
      <c r="N59" s="22"/>
      <c r="O59" s="22"/>
    </row>
    <row r="60" spans="2:15" x14ac:dyDescent="0.3">
      <c r="B60" s="26" t="s">
        <v>169</v>
      </c>
      <c r="C60" s="46"/>
      <c r="D60" s="22"/>
      <c r="E60" s="22"/>
      <c r="F60" s="22"/>
      <c r="G60" s="22"/>
      <c r="I60" s="26" t="s">
        <v>169</v>
      </c>
      <c r="J60" s="46"/>
      <c r="K60" s="22"/>
      <c r="L60" s="22"/>
      <c r="M60" s="22"/>
      <c r="N60" s="22"/>
      <c r="O60" s="22"/>
    </row>
    <row r="61" spans="2:15" x14ac:dyDescent="0.3">
      <c r="B61" s="26" t="s">
        <v>170</v>
      </c>
      <c r="C61" s="46"/>
      <c r="D61" s="22"/>
      <c r="E61" s="22"/>
      <c r="F61" s="22"/>
      <c r="G61" s="22"/>
      <c r="I61" s="26" t="s">
        <v>170</v>
      </c>
      <c r="J61" s="46"/>
      <c r="K61" s="22"/>
      <c r="L61" s="22"/>
      <c r="M61" s="22"/>
      <c r="N61" s="22"/>
      <c r="O61" s="22"/>
    </row>
    <row r="62" spans="2:15" x14ac:dyDescent="0.3">
      <c r="B62" s="26" t="s">
        <v>171</v>
      </c>
      <c r="C62" s="46"/>
      <c r="D62" s="22"/>
      <c r="E62" s="22"/>
      <c r="F62" s="22"/>
      <c r="G62" s="22"/>
      <c r="I62" s="26" t="s">
        <v>171</v>
      </c>
      <c r="J62" s="46"/>
      <c r="K62" s="22"/>
      <c r="L62" s="22"/>
      <c r="M62" s="22"/>
      <c r="N62" s="22"/>
      <c r="O62" s="22"/>
    </row>
    <row r="63" spans="2:15" x14ac:dyDescent="0.3">
      <c r="B63" s="26" t="s">
        <v>172</v>
      </c>
      <c r="C63" s="46"/>
      <c r="D63" s="22"/>
      <c r="E63" s="22"/>
      <c r="F63" s="22"/>
      <c r="G63" s="22"/>
      <c r="I63" s="26" t="s">
        <v>172</v>
      </c>
      <c r="J63" s="46"/>
      <c r="K63" s="22"/>
      <c r="L63" s="22"/>
      <c r="M63" s="22"/>
      <c r="N63" s="22"/>
      <c r="O63" s="22"/>
    </row>
    <row r="64" spans="2:15" x14ac:dyDescent="0.3">
      <c r="B64" s="26" t="s">
        <v>173</v>
      </c>
      <c r="C64" s="46"/>
      <c r="D64" s="22"/>
      <c r="E64" s="22"/>
      <c r="F64" s="22"/>
      <c r="G64" s="22"/>
      <c r="I64" s="26" t="s">
        <v>173</v>
      </c>
      <c r="J64" s="46"/>
      <c r="K64" s="22"/>
      <c r="L64" s="22"/>
      <c r="M64" s="22"/>
      <c r="N64" s="22"/>
      <c r="O64" s="22"/>
    </row>
    <row r="65" spans="2:16" x14ac:dyDescent="0.3">
      <c r="B65" s="26" t="s">
        <v>174</v>
      </c>
      <c r="C65" s="46"/>
      <c r="D65" s="22"/>
      <c r="E65" s="22"/>
      <c r="F65" s="22"/>
      <c r="G65" s="22"/>
      <c r="I65" s="26" t="s">
        <v>174</v>
      </c>
      <c r="J65" s="46"/>
      <c r="K65" s="22"/>
      <c r="L65" s="22"/>
      <c r="M65" s="22"/>
      <c r="N65" s="22"/>
      <c r="O65" s="22"/>
    </row>
    <row r="66" spans="2:16" x14ac:dyDescent="0.3">
      <c r="B66" s="26" t="s">
        <v>175</v>
      </c>
      <c r="C66" s="46"/>
      <c r="D66" s="22"/>
      <c r="E66" s="22"/>
      <c r="F66" s="22"/>
      <c r="G66" s="22"/>
      <c r="I66" s="26" t="s">
        <v>175</v>
      </c>
      <c r="J66" s="46"/>
      <c r="K66" s="22"/>
      <c r="L66" s="22"/>
      <c r="M66" s="22"/>
      <c r="N66" s="22"/>
      <c r="O66" s="22"/>
    </row>
    <row r="67" spans="2:16" x14ac:dyDescent="0.3">
      <c r="B67" s="26" t="s">
        <v>176</v>
      </c>
      <c r="C67" s="46"/>
      <c r="D67" s="22"/>
      <c r="E67" s="22"/>
      <c r="F67" s="22"/>
      <c r="G67" s="22"/>
      <c r="I67" s="26" t="s">
        <v>176</v>
      </c>
      <c r="J67" s="46"/>
      <c r="K67" s="22"/>
      <c r="L67" s="22"/>
      <c r="M67" s="22"/>
      <c r="N67" s="22"/>
      <c r="O67" s="22"/>
    </row>
    <row r="68" spans="2:16" x14ac:dyDescent="0.3">
      <c r="B68" s="26" t="s">
        <v>18</v>
      </c>
      <c r="C68" s="23"/>
      <c r="D68" s="22"/>
      <c r="E68" s="22"/>
      <c r="F68" s="22"/>
      <c r="G68" s="22"/>
      <c r="K68" s="39"/>
      <c r="L68" s="39"/>
      <c r="M68" s="39"/>
      <c r="N68" s="39"/>
      <c r="O68" s="39"/>
      <c r="P68" s="39"/>
    </row>
    <row r="69" spans="2:16" x14ac:dyDescent="0.3">
      <c r="K69" s="39"/>
      <c r="L69" s="39"/>
      <c r="M69" s="39"/>
      <c r="N69" s="39"/>
      <c r="O69" s="39"/>
      <c r="P69" s="39"/>
    </row>
  </sheetData>
  <phoneticPr fontId="20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10"/>
  <sheetViews>
    <sheetView workbookViewId="0">
      <selection activeCell="F13" sqref="F13"/>
    </sheetView>
  </sheetViews>
  <sheetFormatPr defaultRowHeight="15.6" x14ac:dyDescent="0.3"/>
  <cols>
    <col min="1" max="1" width="8.88671875" style="11" customWidth="1"/>
    <col min="2" max="2" width="18.33203125" style="11" bestFit="1" customWidth="1"/>
    <col min="3" max="3" width="24.109375" style="11" bestFit="1" customWidth="1"/>
    <col min="4" max="4" width="20.5546875" style="11" customWidth="1"/>
    <col min="5" max="5" width="16.5546875" style="11" customWidth="1"/>
    <col min="6" max="6" width="24.109375" style="11" bestFit="1" customWidth="1"/>
    <col min="7" max="7" width="16.5546875" style="11" customWidth="1"/>
    <col min="8" max="8" width="8.88671875" style="11" customWidth="1"/>
    <col min="9" max="9" width="12.44140625" style="11" bestFit="1" customWidth="1"/>
    <col min="10" max="10" width="11" style="11" bestFit="1" customWidth="1"/>
    <col min="11" max="11" width="8.88671875" style="11" customWidth="1"/>
    <col min="12" max="16384" width="8.88671875" style="11"/>
  </cols>
  <sheetData>
    <row r="2" spans="1:3" x14ac:dyDescent="0.3">
      <c r="B2" s="19" t="s">
        <v>177</v>
      </c>
      <c r="C2" s="47">
        <v>10000000000</v>
      </c>
    </row>
    <row r="4" spans="1:3" x14ac:dyDescent="0.3">
      <c r="B4" s="24" t="s">
        <v>8</v>
      </c>
      <c r="C4" s="24" t="s">
        <v>178</v>
      </c>
    </row>
    <row r="5" spans="1:3" x14ac:dyDescent="0.3">
      <c r="A5" s="39"/>
      <c r="B5" s="27" t="s">
        <v>179</v>
      </c>
      <c r="C5" s="40"/>
    </row>
    <row r="6" spans="1:3" x14ac:dyDescent="0.3">
      <c r="B6" s="27" t="s">
        <v>180</v>
      </c>
      <c r="C6" s="40"/>
    </row>
    <row r="7" spans="1:3" x14ac:dyDescent="0.3">
      <c r="A7" s="39"/>
      <c r="B7" s="27" t="s">
        <v>181</v>
      </c>
      <c r="C7" s="40"/>
    </row>
    <row r="8" spans="1:3" x14ac:dyDescent="0.3">
      <c r="B8" s="27" t="s">
        <v>182</v>
      </c>
      <c r="C8" s="40"/>
    </row>
    <row r="9" spans="1:3" x14ac:dyDescent="0.3">
      <c r="A9" s="39"/>
      <c r="B9" s="27" t="s">
        <v>183</v>
      </c>
      <c r="C9" s="40"/>
    </row>
    <row r="10" spans="1:3" x14ac:dyDescent="0.3">
      <c r="B10" s="25"/>
      <c r="C10" s="25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Overview</vt:lpstr>
      <vt:lpstr>Description</vt:lpstr>
      <vt:lpstr>Multiplier_Weight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2026-08-06T08:26:25Z</dcterms:modified>
</cp:coreProperties>
</file>