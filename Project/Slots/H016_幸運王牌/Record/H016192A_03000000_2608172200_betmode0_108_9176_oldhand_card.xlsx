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Record\"/>
    </mc:Choice>
  </mc:AlternateContent>
  <xr:revisionPtr revIDLastSave="0" documentId="13_ncr:1_{3403E04E-1F25-4672-907D-10E1E7FCFC0E}" xr6:coauthVersionLast="47" xr6:coauthVersionMax="47" xr10:uidLastSave="{00000000-0000-0000-0000-000000000000}"/>
  <bookViews>
    <workbookView xWindow="-28920" yWindow="60" windowWidth="29040" windowHeight="15720" activeTab="5" xr2:uid="{00000000-000D-0000-FFFF-FFFF00000000}"/>
  </bookViews>
  <sheets>
    <sheet name="Overview" sheetId="1" r:id="rId1"/>
    <sheet name="Base Info" sheetId="2" r:id="rId2"/>
    <sheet name="Feature" sheetId="3" r:id="rId3"/>
    <sheet name="Hits" sheetId="4" r:id="rId4"/>
    <sheet name="Symbol Length" sheetId="5" r:id="rId5"/>
    <sheet name="Eliminate" sheetId="6" r:id="rId6"/>
    <sheet name="Multiplier Line" sheetId="7" r:id="rId7"/>
    <sheet name="Record Data" sheetId="8" r:id="rId8"/>
    <sheet name="Card Selection" sheetId="9" r:id="rId9"/>
    <sheet name="BG Initial Symbol" sheetId="10" r:id="rId10"/>
    <sheet name="BG Drop Symbol" sheetId="11" r:id="rId11"/>
    <sheet name="FG Initial Symbol" sheetId="12" r:id="rId12"/>
    <sheet name="FG Drop Symbol" sheetId="13" r:id="rId13"/>
  </sheets>
  <definedNames>
    <definedName name="_xlnm._FilterDatabase" localSheetId="6" hidden="1">'Multiplier Line'!$A$1:$AF$65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6" l="1" a="1"/>
  <c r="F2" i="6" s="1"/>
  <c r="E2" i="6" a="1"/>
  <c r="E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<sst xmlns="http://schemas.openxmlformats.org/spreadsheetml/2006/main" count="1722" uniqueCount="354">
  <si>
    <t>field</t>
  </si>
  <si>
    <t>value</t>
  </si>
  <si>
    <t>game_name</t>
  </si>
  <si>
    <t>幸運王牌</t>
  </si>
  <si>
    <t>game_id</t>
  </si>
  <si>
    <t>H016</t>
  </si>
  <si>
    <t>config_file</t>
  </si>
  <si>
    <t>config.js</t>
  </si>
  <si>
    <t>config_rtp_file</t>
  </si>
  <si>
    <t>config_92A.js</t>
  </si>
  <si>
    <t>math_version</t>
  </si>
  <si>
    <t>3.0.0.0</t>
  </si>
  <si>
    <t>card_system</t>
  </si>
  <si>
    <t>on</t>
  </si>
  <si>
    <t>bet_mode</t>
  </si>
  <si>
    <t>Normal Bet</t>
  </si>
  <si>
    <t>bet_multi</t>
  </si>
  <si>
    <t>1</t>
  </si>
  <si>
    <t>coin_in</t>
  </si>
  <si>
    <t>100.0</t>
  </si>
  <si>
    <t>total_rounds</t>
  </si>
  <si>
    <t>100,000,000</t>
  </si>
  <si>
    <t>duration</t>
  </si>
  <si>
    <t>533.07 sec</t>
  </si>
  <si>
    <t>rtp_total</t>
  </si>
  <si>
    <t>91.7551%</t>
  </si>
  <si>
    <t>rtp_bg</t>
  </si>
  <si>
    <t>69.7497%</t>
  </si>
  <si>
    <t>rtp_fg</t>
  </si>
  <si>
    <t>22.0054%</t>
  </si>
  <si>
    <t>hit_rate_bg</t>
  </si>
  <si>
    <t>23.6413%</t>
  </si>
  <si>
    <t>hit_rate_fg</t>
  </si>
  <si>
    <t>30.1728%</t>
  </si>
  <si>
    <t>fg_trigger_rate</t>
  </si>
  <si>
    <t>0.8441% (cycle 118.47 spins)</t>
  </si>
  <si>
    <t>retrigger_trigger_rate</t>
  </si>
  <si>
    <t>0.0828% (cycle 1208.42 free spins)</t>
  </si>
  <si>
    <t>avg_fg_spins</t>
  </si>
  <si>
    <t>10.04 spins</t>
  </si>
  <si>
    <t>bg_trigger_fg_cnt</t>
  </si>
  <si>
    <t>844,079</t>
  </si>
  <si>
    <t>bg_trigger_fg_pay</t>
  </si>
  <si>
    <t>286,337,075</t>
  </si>
  <si>
    <t>special_symbol_cnt</t>
  </si>
  <si>
    <t>34,613,418</t>
  </si>
  <si>
    <t>SCR</t>
  </si>
  <si>
    <t>3,461,341,800</t>
  </si>
  <si>
    <t>volatility_std</t>
  </si>
  <si>
    <t>04.84</t>
  </si>
  <si>
    <t>standard_error</t>
  </si>
  <si>
    <t>00.00</t>
  </si>
  <si>
    <t>card_system_profile</t>
  </si>
  <si>
    <t>oldhand</t>
  </si>
  <si>
    <t>card_retry_limit</t>
  </si>
  <si>
    <t>10000</t>
  </si>
  <si>
    <t>retry_total</t>
  </si>
  <si>
    <t>1,011,694,554</t>
  </si>
  <si>
    <t>avg_retry</t>
  </si>
  <si>
    <t>10.12</t>
  </si>
  <si>
    <t>retry_limit_exceeded</t>
  </si>
  <si>
    <t>0</t>
  </si>
  <si>
    <t>retry_limit_bg_range</t>
  </si>
  <si>
    <t>retry_limit_bg_freegame</t>
  </si>
  <si>
    <t>retry_limit_fg</t>
  </si>
  <si>
    <t>avg_cascades_bg</t>
  </si>
  <si>
    <t>0.413965</t>
  </si>
  <si>
    <t>avg_cascades_fg</t>
  </si>
  <si>
    <t>0.633904</t>
  </si>
  <si>
    <t>golden_converted</t>
  </si>
  <si>
    <t>19,296,254</t>
  </si>
  <si>
    <t>w2_events</t>
  </si>
  <si>
    <t>294,093</t>
  </si>
  <si>
    <t>w2_bg_event_rate</t>
  </si>
  <si>
    <t>0.185333%</t>
  </si>
  <si>
    <t>w2_fg_event_rate</t>
  </si>
  <si>
    <t>1.283174%</t>
  </si>
  <si>
    <t>w2_bg_count_2</t>
  </si>
  <si>
    <t>163,301</t>
  </si>
  <si>
    <t>w2_bg_count_3</t>
  </si>
  <si>
    <t>20,933</t>
  </si>
  <si>
    <t>w2_bg_count_4</t>
  </si>
  <si>
    <t>1,099</t>
  </si>
  <si>
    <t>w2_fg_count_2</t>
  </si>
  <si>
    <t>103,293</t>
  </si>
  <si>
    <t>w2_fg_count_3</t>
  </si>
  <si>
    <t>5,243</t>
  </si>
  <si>
    <t>w2_fg_count_4</t>
  </si>
  <si>
    <t>224</t>
  </si>
  <si>
    <t>m1_bg_spin_rate</t>
  </si>
  <si>
    <t>76.082742%</t>
  </si>
  <si>
    <t>parsheet_id</t>
  </si>
  <si>
    <t>H016192</t>
  </si>
  <si>
    <t>duration_sec</t>
  </si>
  <si>
    <t>hit_rate</t>
  </si>
  <si>
    <t>bg_hit_rate</t>
  </si>
  <si>
    <t>fg_hit_rate</t>
  </si>
  <si>
    <t>fg_trigger_cycle</t>
  </si>
  <si>
    <t>retrigger_trigger_cycle</t>
  </si>
  <si>
    <t>m1_fg_spin_rate</t>
  </si>
  <si>
    <t>bg_gold_spin_rate</t>
  </si>
  <si>
    <t>fg_gold_spin_rate</t>
  </si>
  <si>
    <t>avg_bg_gold_symbols</t>
  </si>
  <si>
    <t>avg_fg_gold_symbols</t>
  </si>
  <si>
    <t>max_win_multiplier</t>
  </si>
  <si>
    <t>rounds_per_second</t>
  </si>
  <si>
    <t>Bet_Mode</t>
  </si>
  <si>
    <t>FG_Triggers</t>
  </si>
  <si>
    <t>FG_Trigger_Rate</t>
  </si>
  <si>
    <t>FG_Spins</t>
  </si>
  <si>
    <t>Avg_FG_Spins</t>
  </si>
  <si>
    <t>Retriggers</t>
  </si>
  <si>
    <t>Retrigger_Rate</t>
  </si>
  <si>
    <t>symbol</t>
  </si>
  <si>
    <t>hits</t>
  </si>
  <si>
    <t>pay</t>
  </si>
  <si>
    <t>M1</t>
  </si>
  <si>
    <t>M2</t>
  </si>
  <si>
    <t>M3</t>
  </si>
  <si>
    <t>M4</t>
  </si>
  <si>
    <t>A</t>
  </si>
  <si>
    <t>K</t>
  </si>
  <si>
    <t>Q</t>
  </si>
  <si>
    <t>J</t>
  </si>
  <si>
    <t>scene</t>
  </si>
  <si>
    <t>length</t>
  </si>
  <si>
    <t>BG</t>
  </si>
  <si>
    <t>FG</t>
  </si>
  <si>
    <t>combo</t>
  </si>
  <si>
    <t>2</t>
  </si>
  <si>
    <t>3</t>
  </si>
  <si>
    <t>4</t>
  </si>
  <si>
    <t>5+</t>
  </si>
  <si>
    <t>Interval</t>
  </si>
  <si>
    <t>base_game_cnt</t>
  </si>
  <si>
    <t>base_game_pay</t>
  </si>
  <si>
    <t>free_game_cnt</t>
  </si>
  <si>
    <t>free_game_pay</t>
  </si>
  <si>
    <t>free_game_cnt_BF</t>
  </si>
  <si>
    <t>free_game_pay_BF</t>
  </si>
  <si>
    <t>free_game_cnt_SF</t>
  </si>
  <si>
    <t>free_game_pay_SF</t>
  </si>
  <si>
    <t>Interval_Upper</t>
  </si>
  <si>
    <t>bg_trigger_fg_cnt_lte_upper</t>
  </si>
  <si>
    <t>bg_trigger_fg_pay_lte_upper</t>
  </si>
  <si>
    <t>FG_Hit_Rate</t>
  </si>
  <si>
    <t>FG_Spin_Count</t>
  </si>
  <si>
    <t>BG_Combo_1_Rate</t>
  </si>
  <si>
    <t>BG_Combo_2_Rate</t>
  </si>
  <si>
    <t>BG_Combo_3_Rate</t>
  </si>
  <si>
    <t>BG_Combo_4_Rate</t>
  </si>
  <si>
    <t>BG_Combo_5+_Rate</t>
  </si>
  <si>
    <t>FG_Combo_1_Rate</t>
  </si>
  <si>
    <t>FG_Combo_2_Rate</t>
  </si>
  <si>
    <t>FG_Combo_3_Rate</t>
  </si>
  <si>
    <t>FG_Combo_4_Rate</t>
  </si>
  <si>
    <t>FG_Combo_5+_Rate</t>
  </si>
  <si>
    <t>BG_Big_Ghost_2_Rate</t>
  </si>
  <si>
    <t>BG_Big_Ghost_3_Rate</t>
  </si>
  <si>
    <t>BG_Big_Ghost_4_Rate</t>
  </si>
  <si>
    <t>FG_Big_Ghost_2_Rate</t>
  </si>
  <si>
    <t>FG_Big_Ghost_3_Rate</t>
  </si>
  <si>
    <t>FG_Big_Ghost_4_Rate</t>
  </si>
  <si>
    <t>BG_Avg_Gold_Frames</t>
  </si>
  <si>
    <t>FG_Avg_Gold_Frames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</si>
  <si>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</si>
  <si>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</si>
  <si>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</si>
  <si>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</si>
  <si>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</si>
  <si>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</si>
  <si>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</si>
  <si>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</si>
  <si>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</si>
  <si>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</si>
  <si>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</si>
  <si>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</si>
  <si>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</si>
  <si>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</si>
  <si>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</si>
  <si>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</si>
  <si>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</si>
  <si>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</si>
  <si>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</si>
  <si>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</si>
  <si>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</si>
  <si>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</si>
  <si>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</si>
  <si>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</si>
  <si>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</si>
  <si>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</si>
  <si>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</si>
  <si>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</si>
  <si>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</si>
  <si>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</si>
  <si>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</si>
  <si>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</si>
  <si>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</si>
  <si>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</si>
  <si>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</si>
  <si>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</si>
  <si>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</si>
  <si>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</si>
  <si>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</si>
  <si>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</si>
  <si>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</si>
  <si>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</si>
  <si>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</si>
  <si>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</si>
  <si>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</si>
  <si>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</si>
  <si>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</si>
  <si>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</si>
  <si>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</si>
  <si>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</si>
  <si>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</si>
  <si>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</si>
  <si>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</si>
  <si>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</si>
  <si>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</si>
  <si>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</si>
  <si>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</si>
  <si>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</si>
  <si>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</si>
  <si>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</si>
  <si>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</si>
  <si>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</si>
  <si>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</si>
  <si>
    <t>rounds</t>
  </si>
  <si>
    <t>pay_bg</t>
  </si>
  <si>
    <t>pay_fg</t>
  </si>
  <si>
    <t>hit_rounds</t>
  </si>
  <si>
    <t>fg_triggers</t>
  </si>
  <si>
    <t>fg_spins</t>
  </si>
  <si>
    <t>retriggers</t>
  </si>
  <si>
    <t>cascades_bg</t>
  </si>
  <si>
    <t>cascades_fg</t>
  </si>
  <si>
    <t>bg_w2_events</t>
  </si>
  <si>
    <t>fg_w2_events</t>
  </si>
  <si>
    <t>bg_m1_spins</t>
  </si>
  <si>
    <t>fg_m1_spins</t>
  </si>
  <si>
    <t>bg_hit_spins</t>
  </si>
  <si>
    <t>fg_hit_spins</t>
  </si>
  <si>
    <t>bg_gold_spins</t>
  </si>
  <si>
    <t>fg_gold_spins</t>
  </si>
  <si>
    <t>bg_gold_symbols</t>
  </si>
  <si>
    <t>fg_gold_symbols</t>
  </si>
  <si>
    <t>max_multiplier</t>
  </si>
  <si>
    <t>win_x_sum</t>
  </si>
  <si>
    <t>win_x_square</t>
  </si>
  <si>
    <t>combo_bg</t>
  </si>
  <si>
    <t>{0: 76358724, 1: 13308565, 2: 6014507, 3: 2508833, 4: 1049176, 5: 760195}</t>
  </si>
  <si>
    <t>combo_fg</t>
  </si>
  <si>
    <t>{0: 5918455, 1: 923332, 2: 896391, 3: 449763, 4: 187740, 5: 100179}</t>
  </si>
  <si>
    <t>buckets</t>
  </si>
  <si>
    <t>{'0': 75948869, '(0,1)': 12265797, '[1,10)': 9330059, '[10,100)': 2442100, '100+': 13175}</t>
  </si>
  <si>
    <t>multiplier_bg_count</t>
  </si>
  <si>
    <t>{0: 76358724, 1: 13065046, 2: 3294112, 3: 1842050, 4: 1166294, 5: 942044, 6: 394449, 7: 337013, 8: 294191, 9: 249841, 10: 243627, 11: 908701, 12: 286633, 13: 223855, 14: 175357, 15: 57978, 16: 45687, 17: 38329, 18: 32370, 19: 32215, 20: 11484}</t>
  </si>
  <si>
    <t>multiplier_bg_pay</t>
  </si>
  <si>
    <t>{1: 544920580.0, 2: 493568530.0, 3: 465488240.0, 4: 415905805.0, 5: 426350910.0, 6: 219226370.0, 7: 219439930.0, 8: 221727725.0, 9: 212919205.0, 10: 232181620.0, 11: 1119011100.0, 12: 497317950.0, 13: 501879360.0, 14: 479689870.0, 15: 187939095.0, 16: 170950025.0, 17: 162548870.0, 18: 153714050.0, 19: 175919215.0, 20: 74275190.0}</t>
  </si>
  <si>
    <t>multiplier_fg_count</t>
  </si>
  <si>
    <t>{6: 41145, 7: 35238, 8: 37304, 9: 34691, 10: 36345, 11: 152577, 12: 99235, 13: 88604, 14: 64190, 15: 51879, 16: 45238, 17: 43137, 18: 33536, 19: 35869, 20: 14053, 21: 9458, 22: 6168, 23: 4826, 24: 4869, 25: 2307, 26: 1305, 27: 392, 28: 235, 29: 349, 30: 170, 31: 141, 32: 112, 33: 110, 34: 95, 35: 83, 36: 83, 37: 57, 38: 77, 39: 65, 40: 48, 41: 46, 45: 42}</t>
  </si>
  <si>
    <t>multiplier_fg_pay</t>
  </si>
  <si>
    <t>{6: 22917980.0, 7: 23150070.0, 8: 28244930.0, 9: 29710610.0, 10: 34773680.0, 11: 191462990.0, 12: 174184050.0, 13: 199821190.0, 14: 176911540.0, 15: 168903310.0, 16: 169886820.0, 17: 183555390.0, 18: 159495220.0, 19: 197395770.0, 20: 91451630.0, 21: 70916370.0, 22: 52411040.0, 23: 45871520.0, 24: 53542510.0, 25: 30011310.0, 26: 19562350.0, 27: 6656340.0, 28: 4462950.0, 29: 7809890.0, 30: 4629180.0, 31: 4588390.0, 32: 4157460.0, 33: 4644690.0, 34: 4512520.0, 35: 4366180.0, 36: 4752740.0, 37: 3565670.0, 38: 5173400.0, 39: 4686910.0, 40: 3713180.0, 41: 3793280.0, 45: 4842260.0}</t>
  </si>
  <si>
    <t>multiplier_overall_count</t>
  </si>
  <si>
    <t>{0: 75948869, 1: 12920867, 2: 3239108, 3: 1806146, 4: 1139949, 5: 921027, 6: 401443, 7: 347760, 8: 308939, 9: 266760, 10: 263840, 11: 1013195, 12: 371140, 13: 303446, 14: 238689, 15: 111849, 16: 92426, 17: 82746, 18: 68802, 19: 76968, 20: 33377, 21: 14449, 22: 8907, 23: 6174, 24: 6339, 25: 2902, 26: 1523, 27: 541, 28: 292, 29: 371, 30: 187, 31: 140, 32: 114, 33: 115, 34: 92, 35: 84, 36: 87, 37: 57, 38: 73, 39: 69, 40: 47, 41: 45, 42: 4, 45: 42}</t>
  </si>
  <si>
    <t>multiplier_overall_pay</t>
  </si>
  <si>
    <t>{1: 538687390.0, 2: 485322365.0, 3: 456442580.0, 4: 406554165.0, 5: 416840330.0, 6: 223239040.0, 7: 226568580.0, 8: 232929865.0, 9: 227445185.0, 10: 251541100.0, 11: 1251023710.0, 12: 645570845.0, 13: 681335500.0, 14: 653990935.0, 15: 363089555.0, 16: 346328460.0, 17: 351454250.0, 18: 326785325.0, 19: 421123540.0, 20: 215958930.0, 21: 108085920.0, 22: 75483665.0, 23: 58592655.0, 24: 69259095.0, 25: 37576335.0, 26: 22768565.0, 27: 9139430.0, 28: 5538815.0, 29: 8268760.0, 30: 5098830.0, 31: 4566175.0, 32: 4230490.0, 33: 4859620.0, 34: 4372290.0, 35: 4420595.0, 36: 4990560.0, 37: 3572535.0, 38: 4918055.0, 39: 4984320.0, 40: 3634085.0, 41: 3707560.0, 42: 341605.0, 45: 4867350.0}</t>
  </si>
  <si>
    <t>bg_trigger_fg_bucket_count</t>
  </si>
  <si>
    <t>{0: 409855, 1: 144179, 2: 55004, 3: 35904, 4: 26345, 5: 21017, 6: 16889, 7: 14107, 8: 12700, 9: 10655, 10: 8950, 11: 31539, 12: 18609, 13: 11888, 14: 8053, 15: 5313, 16: 3924, 17: 2739, 18: 2116, 19: 2707, 20: 1586}</t>
  </si>
  <si>
    <t>bg_trigger_fg_bucket_pay</t>
  </si>
  <si>
    <t>{1: 6233190.0, 2: 8246165.0, 3: 9045660.0, 4: 9351640.0, 5: 9510580.0, 6: 9340455.0, 7: 9191355.0, 8: 9565930.0, 9: 9071790.0, 10: 8523970.0, 11: 38839910.0, 12: 32261320.0, 13: 26600855.0, 14: 22008810.0, 15: 17243550.0, 16: 14676890.0, 17: 11605655.0, 18: 10031490.0, 19: 14752165.0, 20: 10235695.0}</t>
  </si>
  <si>
    <t>interval_bg_hits</t>
  </si>
  <si>
    <t>{1: 13065046, 2: 3294112, 3: 1842050, 4: 1166294, 5: 942044, 6: 394449, 7: 337013, 8: 294191, 9: 249841, 10: 243627, 11: 908701, 12: 286633, 13: 223855, 14: 175357, 15: 57978, 16: 45687, 17: 38329, 18: 32370, 19: 32215, 20: 11484}</t>
  </si>
  <si>
    <t>interval_bg_combo</t>
  </si>
  <si>
    <t>{(1, 1): 11028560, (1, 2): 1925801, (1, 3): 109089, (1, 4): 1589, (1, 5): 7, (2, 1): 1390340, (2, 2): 1520612, (2, 3): 358154, (2, 4): 24161, (2, 5): 845, (3, 1): 444304, (3, 2): 930631, (3, 3): 402304, (3, 4): 59929, (3, 5): 4882, (4, 1): 226767, (4, 2): 507639, (4, 3): 339703, (4, 4): 81049, (4, 5): 11136, (5, 1): 84746, (5, 2): 426180, (5, 3): 310836, (5, 4): 100447, (5, 5): 19835, (6, 1): 46473, (6, 2): 135505, (6, 3): 141178, (6, 4): 56342, (6, 5): 14951, (7, 1): 5221, (7, 2): 124494, (7, 3): 127721, (7, 4): 60369, (7, 5): 19208, (8, 1): 35145, (8, 2): 80105, (8, 3): 101628, (8, 4): 55961, (8, 5): 21352, (9, 1): 7997, (9, 2): 74408, (9, 3): 87927, (9, 4): 54859, (9, 5): 24650, (10, 1): 4234, (10, 2): 58691, (10, 3): 89222, (10, 4): 60613, (10, 5): 30867, (11, 1): 27812, (11, 2): 162800, (11, 3): 286607, (11, 4): 254734, (11, 5): 176748, (12, 1): 3789, (12, 2): 33047, (12, 3): 69689, (12, 4): 86199, (12, 5): 93909, (13, 1): 2503, (13, 2): 17732, (13, 3): 39910, (13, 4): 64990, (13, 5): 98720, (14, 1): 230, (14, 2): 10211, (14, 3): 26929, (14, 4): 45523, (14, 5): 92464, (15, 1): 103, (15, 2): 2241, (15, 3): 6093, (15, 4): 13861, (15, 5): 35680, (16, 1): 245, (16, 2): 1890, (16, 3): 4670, (16, 4): 9385, (16, 5): 29497, (17, 1): 5, (17, 2): 806, (17, 3): 2838, (17, 4): 7384, (17, 5): 27296, (18, 1): 66, (18, 2): 930, (18, 3): 2018, (18, 4): 5551, (18, 5): 23805, (19, 1): 25, (19, 2): 649, (19, 3): 1941, (19, 4): 4710, (19, 5): 24890, (20, 2): 135, (20, 3): 376, (20, 4): 1520, (20, 5): 9453}</t>
  </si>
  <si>
    <t>interval_bg_w2</t>
  </si>
  <si>
    <t>{(1, 2): 14705, (1, 3): 1500, (1, 4): 59, (2, 2): 8389, (2, 3): 729, (2, 4): 28, (3, 2): 8540, (3, 3): 702, (3, 4): 23, (4, 2): 7659, (4, 3): 660, (4, 4): 26, (5, 2): 9304, (5, 3): 824, (5, 4): 25, (6, 2): 4500, (6, 3): 375, (6, 4): 16, (7, 2): 5413, (7, 3): 486, (7, 4): 18, (8, 2): 4961, (8, 3): 382, (8, 4): 10, (9, 2): 5289, (9, 3): 519, (9, 4): 18, (10, 2): 6047, (10, 3): 594, (10, 4): 24, (11, 2): 29709, (11, 3): 3479, (11, 4): 175, (12, 2): 12847, (12, 3): 1864, (12, 4): 77, (13, 2): 12838, (13, 3): 2194, (13, 4): 114, (14, 2): 12148, (14, 3): 2215, (14, 4): 124, (15, 2): 4437, (15, 3): 847, (15, 4): 65, (16, 2): 3899, (16, 3): 803, (16, 4): 45, (17, 2): 3734, (17, 3): 779, (17, 4): 61, (18, 2): 3534, (18, 3): 814, (18, 4): 75, (19, 2): 3867, (19, 3): 827, (19, 4): 80, (20, 2): 1481, (20, 3): 340, (20, 4): 36}</t>
  </si>
  <si>
    <t>interval_bg_gold_symbols</t>
  </si>
  <si>
    <t>{0: 106379328, 1: 14970239, 2: 4156348, 3: 2513470, 4: 1696881, 5: 1448750, 6: 634678, 7: 573820, 8: 487656, 9: 438005, 10: 442589, 11: 1700764, 12: 572345, 13: 459425, 14: 371819, 15: 124420, 16: 99144, 17: 84016, 18: 71470, 19: 72907, 20: 25941}</t>
  </si>
  <si>
    <t>interval_fg_spins</t>
  </si>
  <si>
    <t>{6: 412330, 7: 353290, 8: 373955, 9: 347710, 10: 364430, 11: 1530145, 12: 995800, 13: 889490, 14: 644680, 15: 521385, 16: 454760, 17: 433755, 18: 337420, 19: 361315, 20: 141505, 21: 95365, 22: 62185, 23: 48725, 24: 49245, 25: 23410, 26: 13190, 27: 4010, 28: 2400, 29: 3570, 30: 1725, 31: 1465, 32: 1145, 33: 1160, 34: 990, 35: 855, 36: 875, 37: 620, 38: 800, 39: 690, 40: 530, 41: 490, 45: 445}</t>
  </si>
  <si>
    <t>interval_fg_hits</t>
  </si>
  <si>
    <t>{6: 98136, 7: 87937, 8: 93703, 9: 89748, 10: 96225, 11: 424119, 12: 293229, 13: 273864, 14: 205504, 15: 170858, 16: 152369, 17: 148766, 18: 118004, 19: 129051, 20: 52058, 21: 35694, 22: 23941, 23: 19085, 24: 19683, 25: 9568, 26: 5552, 27: 1738, 28: 1016, 29: 1616, 30: 788, 31: 680, 32: 551, 33: 611, 34: 518, 35: 443, 36: 439, 37: 326, 38: 420, 39: 381, 40: 292, 41: 251, 45: 241}</t>
  </si>
  <si>
    <t>interval_fg_combo</t>
  </si>
  <si>
    <t>{(6, 1): 50593, (6, 2): 37146, (6, 3): 8960, (6, 4): 1300, (6, 5): 137, (7, 1): 43156, (7, 2): 33673, (7, 3): 9292, (7, 4): 1608, (7, 5): 208, (8, 1): 44287, (8, 2): 36006, (8, 3): 11082, (8, 4): 2030, (8, 5): 298, (9, 1): 40888, (9, 2): 34664, (9, 3): 11393, (9, 4): 2403, (9, 5): 400, (10, 1): 42555, (10, 2): 37315, (10, 3): 12932, (10, 4): 2888, (10, 5): 535, (11, 1): 172608, (11, 2): 162604, (11, 3): 66351, (11, 4): 18093, (11, 5): 4463, (12, 1): 108632, (12, 2): 109274, (12, 3): 52067, (12, 4): 17578, (12, 5): 5678, (13, 1): 95031, (13, 2): 97880, (13, 3): 52837, (13, 4): 20283, (13, 5): 7833, (14, 1): 67820, (14, 2): 71076, (14, 3): 41080, (14, 4): 17769, (14, 5): 7759, (15, 1): 54120, (15, 2): 57233, (15, 3): 34913, (15, 4): 16625, (15, 5): 7967, (16, 1): 46441, (16, 2): 49630, (16, 3): 31415, (16, 4): 16156, (16, 5): 8727, (17, 1): 43992, (17, 2): 47115, (17, 3): 31144, (17, 4): 16768, (17, 5): 9747, (18, 1): 34031, (18, 2): 36446, (18, 3): 24522, (18, 4): 13941, (18, 5): 9064, (19, 1): 35788, (19, 2): 38719, (19, 3): 26892, (19, 4): 16180, (19, 5): 11472, (20, 1): 13762, (20, 2): 15251, (20, 3): 10653, (20, 4): 6901, (20, 5): 5491, (21, 1): 9287, (21, 2): 9984, (21, 3): 7242, (21, 4): 4775, (21, 5): 4406, (22, 1): 6042, (22, 2): 6489, (22, 3): 4791, (22, 4): 3244, (22, 5): 3375, (23, 1): 4621, (23, 2): 5081, (23, 3): 3809, (23, 4): 2644, (23, 5): 2930, (24, 1): 4617, (24, 2): 5041, (24, 3): 3801, (24, 4): 2898, (24, 5): 3326, (25, 1): 2090, (25, 2): 2403, (25, 3): 1836, (25, 4): 1385, (25, 5): 1854, (26, 1): 1179, (26, 2): 1302, (26, 3): 1040, (26, 4): 842, (26, 5): 1189, (27, 1): 371, (27, 2): 385, (27, 3): 330, (27, 4): 253, (27, 5): 399, (28, 1): 190, (28, 2): 232, (28, 3): 177, (28, 4): 153, (28, 5): 264, (29, 1): 283, (29, 2): 356, (29, 3): 303, (29, 4): 246, (29, 5): 428, (30, 1): 143, (30, 2): 146, (30, 3): 149, (30, 4): 96, (30, 5): 254, (31, 1): 130, (31, 2): 128, (31, 3): 118, (31, 4): 94, (31, 5): 210, (32, 1): 83, (32, 2): 101, (32, 3): 90, (32, 4): 85, (32, 5): 192, (33, 1): 93, (33, 2): 114, (33, 3): 99, (33, 4): 96, (33, 5): 209, (34, 1): 100, (34, 2): 82, (34, 3): 67, (34, 4): 75, (34, 5): 194, (35, 1): 75, (35, 2): 78, (35, 3): 54, (35, 4): 52, (35, 5): 184, (36, 1): 56, (36, 2): 86, (36, 3): 64, (36, 4): 53, (36, 5): 180, (37, 1): 48, (37, 2): 65, (37, 3): 45, (37, 4): 38, (37, 5): 130, (38, 1): 62, (38, 2): 74, (38, 3): 69, (38, 4): 43, (38, 5): 172, (39, 1): 51, (39, 2): 68, (39, 3): 43, (39, 4): 63, (39, 5): 156, (40, 1): 44, (40, 2): 54, (40, 3): 35, (40, 4): 32, (40, 5): 127, (41, 1): 42, (41, 2): 46, (41, 3): 31, (41, 4): 24, (41, 5): 108, (45, 1): 21, (45, 2): 44, (45, 3): 37, (45, 4): 26, (45, 5): 113}</t>
  </si>
  <si>
    <t>interval_fg_w2</t>
  </si>
  <si>
    <t>{(6, 2): 1728, (6, 3): 70, (6, 4): 3, (7, 2): 1719, (7, 3): 63, (7, 4): 3, (8, 2): 1915, (8, 3): 79, (8, 4): 4, (9, 2): 1986, (9, 3): 81, (9, 4): 2, (10, 2): 2286, (10, 3): 116, (10, 4): 5, (11, 2): 11447, (11, 3): 512, (11, 4): 16, (12, 2): 9664, (12, 3): 411, (12, 4): 17, (13, 2): 10408, (13, 3): 475, (13, 4): 20, (14, 2): 8752, (14, 3): 437, (14, 4): 18, (15, 2): 8066, (15, 3): 374, (15, 4): 10, (16, 2): 7792, (16, 3): 355, (16, 4): 15, (17, 2): 8058, (17, 3): 436, (17, 4): 21, (18, 2): 6733, (18, 3): 361, (18, 4): 14, (19, 2): 8118, (19, 3): 434, (19, 4): 14, (20, 2): 3549, (20, 3): 201, (20, 4): 11, (21, 2): 2646, (21, 3): 151, (21, 4): 7, (22, 2): 1860, (22, 3): 128, (22, 4): 5, (23, 2): 1544, (23, 3): 98, (23, 4): 6, (24, 2): 1789, (24, 3): 151, (24, 4): 7, (25, 2): 974, (25, 3): 73, (25, 4): 4, (26, 2): 633, (26, 3): 43, (26, 4): 2, (27, 2): 196, (27, 3): 12, (27, 4): 1, (28, 2): 124, (28, 3): 10, (28, 4): 1, (29, 2): 202, (29, 3): 15, (30, 2): 102, (30, 3): 7, (31, 2): 92, (31, 3): 13, (31, 4): 2, (32, 2): 87, (32, 3): 14, (32, 4): 1, (33, 2): 102, (33, 3): 10, (33, 4): 1, (34, 2): 110, (34, 3): 7, (34, 4): 1, (35, 2): 92, (35, 3): 12, (35, 4): 1, (36, 2): 103, (36, 3): 17, (36, 4): 3, (37, 2): 76, (37, 3): 11, (37, 4): 1, (38, 2): 81, (38, 3): 21, (38, 4): 3, (39, 2): 74, (39, 3): 8, (39, 4): 1, (40, 2): 65, (40, 3): 11, (40, 4): 1, (41, 2): 61, (41, 3): 13, (41, 4): 1, (45, 2): 59, (45, 3): 13, (45, 4): 2}</t>
  </si>
  <si>
    <t>interval_fg_gold_symbols</t>
  </si>
  <si>
    <t>{6: 1719083, 7: 1471540, 8: 1560807, 9: 1450103, 10: 1520051, 11: 6392192, 12: 4166623, 13: 3727387, 14: 2707227, 15: 2190890, 16: 1914184, 17: 1829384, 18: 1425215, 19: 1528348, 20: 600063, 21: 405889, 22: 264717, 23: 208405, 24: 210980, 25: 100881, 26: 57093, 27: 17483, 28: 10517, 29: 15633, 30: 7742, 31: 6541, 32: 5220, 33: 5205, 34: 4337, 35: 3991, 36: 3960, 37: 2778, 38: 3646, 39: 3199, 40: 2355, 41: 2230, 45: 2124}</t>
  </si>
  <si>
    <t>symbol_hits</t>
  </si>
  <si>
    <t>{3: 3308933, 4: 13347565, 5: 9871299, 6: 15101345, 7: 28518171, 8: 16757184, 9: 27121710, 10: 25423622}</t>
  </si>
  <si>
    <t>symbol_pay</t>
  </si>
  <si>
    <t>{3: 658407850.0, 4: 1571900600.0, 5: 1080270900.0, 6: 1562207740.0, 7: 1217785790.0, 8: 1310384770.0, 9: 1069642780.0, 10: 704908530.0}</t>
  </si>
  <si>
    <t>bg_w2_counts</t>
  </si>
  <si>
    <t>{2: 163301, 3: 20933, 4: 1099}</t>
  </si>
  <si>
    <t>fg_w2_counts</t>
  </si>
  <si>
    <t>{2: 103293, 3: 5243, 4: 224}</t>
  </si>
  <si>
    <t>card_draws</t>
  </si>
  <si>
    <t>{(1, 0, 0): 75948869, (1, 0, 1): 12920867, (1, 0, 2): 3239108, (1, 0, 3): 1806146, (1, 0, 4): 1139949, (1, 0, 5): 921027, (1, 0, 6): 377560, (1, 0, 7): 322906, (1, 0, 8): 281491, (1, 0, 9): 239186, (1, 0, 10): 234677, (1, 0, 11): 877162, (1, 0, 12): 268024, (1, 0, 13): 211967, (1, 0, 14): 167304, (1, 0, 15): 52665, (1, 0, 16): 41763, (1, 0, 17): 35590, (1, 0, 18): 30254, (1, 0, 19): 29508, (1, 0, 20): 9898, (1, 0, 21): 844079, (1, 1, 0): 41145, (1, 1, 1): 35238, (1, 1, 2): 37304, (1, 1, 3): 34691, (1, 1, 4): 36345, (1, 1, 5): 152577, (1, 1, 6): 99235, (1, 1, 7): 88604, (1, 1, 8): 64190, (1, 1, 9): 51879, (1, 1, 10): 45238, (1, 1, 11): 43137, (1, 1, 12): 33536, (1, 1, 13): 35869, (1, 1, 14): 14053, (1, 1, 15): 9458, (1, 1, 16): 6168, (1, 1, 17): 4826, (1, 1, 18): 4869, (1, 1, 19): 2307, (1, 1, 20): 1305, (1, 1, 21): 392, (1, 1, 22): 235, (1, 1, 23): 349, (1, 1, 24): 170, (1, 1, 25): 141, (1, 1, 26): 112, (1, 1, 27): 110, (1, 1, 28): 95, (1, 1, 29): 83, (1, 1, 30): 83, (1, 1, 31): 57, (1, 1, 32): 77, (1, 1, 33): 65, (1, 1, 34): 48, (1, 1, 35): 46, (1, 1, 36): 42}</t>
  </si>
  <si>
    <t>bg_symbol_length_hits</t>
  </si>
  <si>
    <t>{(3, 3): 1510998, (3, 4): 349403, (3, 5): 119670, (4, 3): 5121604, (4, 4): 998319, (4, 5): 580897, (5, 3): 3706052, (5, 4): 711143, (5, 5): 554497, (6, 3): 2190962, (6, 4): 1621228, (6, 5): 655187, (7, 3): 7636301, (7, 4): 1232620, (7, 5): 1414260, (8, 3): 2108192, (8, 4): 2108182, (8, 5): 1805936, (9, 3): 3311225, (9, 4): 2143530, (9, 5): 2016266, (10, 3): 5449291, (10, 4): 1400837, (10, 5): 1250462}</t>
  </si>
  <si>
    <t>bg_symbol_length_pay</t>
  </si>
  <si>
    <t>{(3, 3): 215523600.0, (3, 4): 189885000.0, (3, 5): 114505750.0, (4, 3): 541056040.0, (4, 4): 364622880.0, (4, 5): 396035200.0, (5, 3): 313410180.0, (5, 4): 230624370.0, (5, 5): 337910850.0, (6, 3): 166926020.0, (6, 4): 589978020.0, (6, 5): 388794300.0, (7, 3): 266356620.0, (7, 4): 176557170.0, (7, 5): 414117300.0, (8, 3): 83020120.0, (8, 4): 384337650.0, (8, 5): 610670500.0, (9, 3): 72290920.0, (9, 4): 210999345.0, (9, 5): 429701775.0, (10, 3): 118058060.0, (10, 4): 119619870.0, (10, 5): 239972100.0}</t>
  </si>
  <si>
    <t>bg_initial_symbols</t>
  </si>
  <si>
    <t>{(0, 2): 5351529, (0, 3): 29726025, (0, 4): 50973927, (0, 5): 37673834, (0, 6): 38801965, (0, 7): 64334422, (0, 8): 64478635, (0, 9): 40045476, (0, 10): 68614187, (1, 2): 9860921, (1, 3): 19810328, (1, 4): 63639808, (1, 5): 23375522, (1, 6): 76586434, (1, 7): 80495256, (1, 8): 25486874, (1, 9): 24230994, (1, 10): 16924851, (1, 11): 3798623, (1, 12): 9888246, (1, 13): 4037239, (1, 14): 14052315, (1, 15): 14858646, (1, 16): 4523710, (1, 17): 4563519, (1, 18): 3866714, (2, 2): 5231650, (2, 3): 20304710, (2, 4): 29194059, (2, 5): 63066137, (2, 6): 24867635, (2, 7): 30041467, (2, 8): 22009249, (2, 9): 80234137, (2, 10): 78559468, (2, 11): 2245400, (2, 12): 3731842, (2, 13): 7019827, (2, 14): 3228937, (2, 15): 3578874, (2, 16): 1554784, (2, 17): 8648538, (2, 18): 16483286, (3, 2): 9412814, (3, 3): 18935893, (3, 4): 25255720, (3, 5): 27395757, (3, 6): 76546922, (3, 7): 19612517, (3, 8): 90605200, (3, 9): 72792979, (3, 10): 28198683, (3, 11): 2090161, (3, 12): 2095134, (3, 13): 2172647, (3, 14): 6105090, (3, 15): 2178254, (3, 16): 7275181, (3, 17): 7215808, (3, 18): 2111240, (4, 2): 8296023, (4, 3): 30116994, (4, 4): 46273323, (4, 5): 54049515, (4, 6): 29383883, (4, 7): 64255534, (4, 8): 52687208, (4, 9): 59349522, (4, 10): 55587998}</t>
  </si>
  <si>
    <t>bg_drop_symbols</t>
  </si>
  <si>
    <t>{(0, 2): 673045, (0, 3): 2936010, (0, 4): 5913609, (0, 5): 5887916, (0, 6): 5853187, (0, 7): 9186679, (0, 8): 8816367, (0, 9): 10789704, (0, 10): 11037754, (1, 2): 577394, (1, 3): 4451591, (1, 4): 2133233, (1, 5): 3168470, (1, 6): 5916969, (1, 7): 8126014, (1, 8): 7254608, (1, 9): 6854504, (1, 10): 6682837, (1, 11): 847482, (1, 12): 398430, (1, 13): 566821, (1, 14): 1092953, (1, 15): 1437913, (1, 16): 1308054, (1, 17): 1163111, (1, 18): 1143919, (2, 3): 2505770, (2, 4): 4883997, (2, 5): 3897845, (2, 6): 3837371, (2, 7): 8075060, (2, 8): 7364621, (2, 9): 9632518, (2, 10): 9378695, (2, 11): 344339, (2, 12): 607337, (2, 13): 510437, (2, 14): 451817, (2, 15): 926438, (2, 16): 866489, (2, 17): 1147398, (2, 18): 1151380, (3, 2): 254106, (3, 3): 2082190, (3, 4): 1009186, (3, 5): 1496850, (3, 6): 2677917, (3, 7): 3692223, (3, 8): 3562430, (3, 9): 3237567, (3, 10): 3195327, (3, 11): 165118, (3, 12): 101930, (3, 13): 119957, (3, 14): 228561, (3, 15): 315018, (3, 16): 302478, (3, 17): 294249, (3, 18): 300897, (4, 3): 488022, (4, 4): 1013835, (4, 5): 798617, (4, 6): 800858, (4, 7): 1612975, (4, 8): 1586302, (4, 9): 1830923, (4, 10): 1871578}</t>
  </si>
  <si>
    <t>fg_symbol_length_hits</t>
  </si>
  <si>
    <t>{(3, 3): 205507, (3, 4): 50649, (3, 5): 15977, (4, 3): 492271, (4, 4): 102617, (4, 5): 53707, (5, 3): 372210, (5, 4): 87251, (5, 5): 57703, (6, 3): 311186, (6, 4): 290686, (6, 5): 112062, (7, 3): 1179763, (7, 4): 252768, (7, 5): 257284, (8, 3): 269436, (8, 4): 259667, (8, 5): 189346, (9, 3): 486894, (9, 4): 352548, (9, 5): 428737, (10, 3): 855558, (10, 4): 253761, (10, 5): 282823}</t>
  </si>
  <si>
    <t>fg_symbol_length_pay</t>
  </si>
  <si>
    <t>{(3, 3): 62107100.0, (3, 4): 49911900.0, (3, 5): 26474500.0, (4, 3): 122015840.0, (4, 4): 80065440.0, (4, 5): 68105200.0, (5, 3): 72552480.0, (5, 4): 60003720.0, (5, 5): 65769300.0, (6, 3): 60225520.0, (6, 4): 222752280.0, (6, 5): 133531600.0, (7, 3): 100382380.0, (7, 4): 89485320.0, (7, 5): 170887000.0, (8, 3): 23038500.0, (8, 4): 93515100.0, (8, 5): 115802900.0, (9, 3): 30085510.0, (9, 4): 95003130.0, (9, 5): 231562100.0, (10, 3): 45257990.0, (10, 4): 53155410.0, (10, 5): 128845100.0}</t>
  </si>
  <si>
    <t>fg_initial_symbols</t>
  </si>
  <si>
    <t>{(0, 2): 322770, (0, 3): 2284089, (0, 4): 3688210, (0, 5): 2805664, (0, 6): 3601356, (0, 7): 5988758, (0, 8): 4880308, (0, 9): 4003786, (0, 10): 6328499, (1, 2): 515584, (1, 3): 1179690, (1, 4): 3249258, (1, 5): 1167754, (1, 6): 4858993, (1, 7): 5036157, (1, 8): 1400983, (1, 9): 1572322, (1, 10): 1665575, (1, 11): 687542, (1, 12): 1935741, (1, 13): 953524, (1, 14): 3252401, (1, 15): 3659496, (1, 16): 880811, (1, 17): 1025351, (1, 18): 862258, (2, 2): 339798, (2, 3): 1058005, (2, 4): 1674179, (2, 5): 3146618, (2, 6): 2111487, (2, 7): 2428384, (2, 8): 1221104, (2, 9): 5954975, (2, 10): 5175986, (2, 11): 593567, (2, 12): 789578, (2, 13): 1688405, (2, 14): 1041315, (2, 15): 1215069, (2, 16): 562581, (2, 17): 2351448, (2, 18): 2550941, (3, 2): 348750, (3, 3): 908280, (3, 4): 1363070, (3, 5): 1635163, (3, 6): 5286180, (3, 7): 1325424, (3, 8): 4052042, (3, 9): 5679064, (3, 10): 1807472, (3, 11): 596480, (3, 12): 649663, (3, 13): 544236, (3, 14): 2837615, (3, 15): 654476, (3, 16): 2589843, (3, 17): 2615583, (3, 18): 1010099, (4, 2): 543454, (4, 3): 2341419, (4, 4): 3391246, (4, 5): 4026611, (4, 6): 2504874, (4, 7): 5254096, (4, 8): 3824916, (4, 9): 6055051, (4, 10): 5961773}</t>
  </si>
  <si>
    <t>fg_drop_symbols</t>
  </si>
  <si>
    <t>{(0, 2): 61198, (0, 3): 328509, (0, 4): 666914, (0, 5): 679618, (0, 6): 968154, (0, 7): 1664687, (0, 8): 962346, (0, 9): 1972160, (0, 10): 1829201, (1, 2): 43156, (1, 3): 385517, (1, 4): 188929, (1, 5): 299265, (1, 6): 837157, (1, 7): 1175420, (1, 8): 645019, (1, 9): 986564, (1, 10): 906576, (1, 11): 75371, (1, 12): 34885, (1, 13): 55707, (1, 14): 154656, (1, 15): 197814, (1, 16): 110697, (1, 17): 160165, (1, 18): 151659, (2, 2): 57203, (2, 3): 223822, (2, 4): 426743, (2, 5): 332904, (2, 6): 520755, (2, 7): 1184804, (2, 8): 613438, (2, 9): 1441443, (2, 10): 1249986, (2, 11): 36953, (2, 12): 61680, (2, 13): 50706, (2, 14): 72512, (2, 15): 149142, (2, 16): 82307, (2, 17): 190416, (2, 18): 158139, (3, 2): 20483, (3, 3): 192707, (3, 4): 97964, (3, 5): 144557, (3, 6): 402024, (3, 7): 562757, (3, 8): 308367, (3, 9): 507255, (3, 10): 432622, (3, 11): 21802, (3, 12): 10363, (3, 13): 18690, (3, 14): 38204, (3, 15): 53674, (3, 16): 33383, (3, 17): 54032, (3, 18): 53980, (4, 2): 13348, (4, 3): 58622, (4, 4): 129344, (4, 5): 99157, (4, 6): 164789, (4, 7): 318122, (4, 8): 162287, (4, 9): 412113, (4, 10): 364659}</t>
  </si>
  <si>
    <t>Profile</t>
  </si>
  <si>
    <t>Config_Profile</t>
  </si>
  <si>
    <t>Section</t>
  </si>
  <si>
    <t>Card_Index</t>
  </si>
  <si>
    <t>Type</t>
  </si>
  <si>
    <t>Min</t>
  </si>
  <si>
    <t>Max</t>
  </si>
  <si>
    <t>Table</t>
  </si>
  <si>
    <t>Weight</t>
  </si>
  <si>
    <t>Expected_Rate</t>
  </si>
  <si>
    <t>Draw_Count</t>
  </si>
  <si>
    <t>Actual_Rate</t>
  </si>
  <si>
    <t>newbie</t>
  </si>
  <si>
    <t>weight_1</t>
  </si>
  <si>
    <t>base_game</t>
  </si>
  <si>
    <t>range</t>
  </si>
  <si>
    <t>B</t>
  </si>
  <si>
    <t>free_game</t>
  </si>
  <si>
    <t>E</t>
  </si>
  <si>
    <t>buy_feature</t>
  </si>
  <si>
    <t>super_feature</t>
  </si>
  <si>
    <t>G</t>
  </si>
  <si>
    <t>weight_2</t>
  </si>
  <si>
    <t>Symbol</t>
  </si>
  <si>
    <t>R1</t>
  </si>
  <si>
    <t>R2</t>
  </si>
  <si>
    <t>R3</t>
  </si>
  <si>
    <t>R4</t>
  </si>
  <si>
    <t>R5</t>
  </si>
  <si>
    <t>C1</t>
  </si>
  <si>
    <t>M1G</t>
  </si>
  <si>
    <t>M2G</t>
  </si>
  <si>
    <t>M3G</t>
  </si>
  <si>
    <t>M4G</t>
  </si>
  <si>
    <t>AG</t>
  </si>
  <si>
    <t>KG</t>
  </si>
  <si>
    <t>QG</t>
  </si>
  <si>
    <t>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</si>
</sst>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%"/>
    <numFmt numFmtId="177" formatCode="0.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3" fontId="0" fillId="0" borderId="0" xfId="0" applyNumberFormat="1"/>
    <xf numFmtId="177" fontId="0" fillId="0" borderId="0" xfId="0" applyNumberFormat="1"/>
    <xf numFmtId="10" fontId="0" fillId="0" borderId="0" xfId="0" applyNumberFormat="1"/>
  </cellXfs>
  <cellStyles count="1">
    <cellStyle name="一般" xfId="0" builtinId="0"/>
  </cellStyles>
  <dxfs count="1">
    <dxf>
      <font>
        <color theme="0" tint="-0.24994659260841701"/>
      </font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workbookViewId="0">
      <pane ySplit="1" topLeftCell="A20" activePane="bottomLeft" state="frozen"/>
      <selection pane="bottomLeft"/>
    </sheetView>
  </sheetViews>
  <sheetFormatPr defaultRowHeight="15" x14ac:dyDescent="0.3"/>
  <cols>
    <col min="1" max="1" width="28" customWidth="1"/>
    <col min="2" max="2" width="44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61</v>
      </c>
    </row>
    <row r="33" spans="1:2" x14ac:dyDescent="0.3">
      <c r="A33" t="s">
        <v>63</v>
      </c>
      <c r="B33" t="s">
        <v>61</v>
      </c>
    </row>
    <row r="34" spans="1:2" x14ac:dyDescent="0.3">
      <c r="A34" t="s">
        <v>64</v>
      </c>
      <c r="B34" t="s">
        <v>61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80</v>
      </c>
    </row>
    <row r="43" spans="1:2" x14ac:dyDescent="0.3">
      <c r="A43" t="s">
        <v>81</v>
      </c>
      <c r="B43" t="s">
        <v>82</v>
      </c>
    </row>
    <row r="44" spans="1:2" x14ac:dyDescent="0.3">
      <c r="A44" t="s">
        <v>83</v>
      </c>
      <c r="B44" t="s">
        <v>84</v>
      </c>
    </row>
    <row r="45" spans="1:2" x14ac:dyDescent="0.3">
      <c r="A45" t="s">
        <v>85</v>
      </c>
      <c r="B45" t="s">
        <v>86</v>
      </c>
    </row>
    <row r="46" spans="1:2" x14ac:dyDescent="0.3">
      <c r="A46" t="s">
        <v>87</v>
      </c>
      <c r="B46" t="s">
        <v>88</v>
      </c>
    </row>
    <row r="47" spans="1:2" x14ac:dyDescent="0.3">
      <c r="A47" t="s">
        <v>89</v>
      </c>
      <c r="B47" t="s">
        <v>90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28" customWidth="1"/>
    <col min="2" max="2" width="44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91</v>
      </c>
      <c r="B2" t="s">
        <v>92</v>
      </c>
    </row>
    <row r="3" spans="1:2" x14ac:dyDescent="0.3">
      <c r="A3" t="s">
        <v>4</v>
      </c>
      <c r="B3" t="s">
        <v>5</v>
      </c>
    </row>
    <row r="4" spans="1:2" x14ac:dyDescent="0.3">
      <c r="A4" t="s">
        <v>2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52</v>
      </c>
      <c r="B9" t="s">
        <v>53</v>
      </c>
    </row>
    <row r="10" spans="1:2" x14ac:dyDescent="0.3">
      <c r="A10" t="s">
        <v>54</v>
      </c>
      <c r="B10">
        <v>10000</v>
      </c>
    </row>
    <row r="11" spans="1:2" x14ac:dyDescent="0.3">
      <c r="A11" t="s">
        <v>56</v>
      </c>
      <c r="B11">
        <v>1011694554</v>
      </c>
    </row>
    <row r="12" spans="1:2" x14ac:dyDescent="0.3">
      <c r="A12" t="s">
        <v>58</v>
      </c>
      <c r="B12">
        <v>10.11694554</v>
      </c>
    </row>
    <row r="13" spans="1:2" x14ac:dyDescent="0.3">
      <c r="A13" t="s">
        <v>60</v>
      </c>
      <c r="B13">
        <v>0</v>
      </c>
    </row>
    <row r="14" spans="1:2" x14ac:dyDescent="0.3">
      <c r="A14" t="s">
        <v>62</v>
      </c>
      <c r="B14">
        <v>0</v>
      </c>
    </row>
    <row r="15" spans="1:2" x14ac:dyDescent="0.3">
      <c r="A15" t="s">
        <v>63</v>
      </c>
      <c r="B15">
        <v>0</v>
      </c>
    </row>
    <row r="16" spans="1:2" x14ac:dyDescent="0.3">
      <c r="A16" t="s">
        <v>64</v>
      </c>
      <c r="B16">
        <v>0</v>
      </c>
    </row>
    <row r="17" spans="1:2" x14ac:dyDescent="0.3">
      <c r="A17" t="s">
        <v>14</v>
      </c>
      <c r="B17" t="s">
        <v>15</v>
      </c>
    </row>
    <row r="18" spans="1:2" x14ac:dyDescent="0.3">
      <c r="A18" t="s">
        <v>16</v>
      </c>
      <c r="B18">
        <v>1</v>
      </c>
    </row>
    <row r="19" spans="1:2" x14ac:dyDescent="0.3">
      <c r="A19" t="s">
        <v>18</v>
      </c>
      <c r="B19">
        <v>100</v>
      </c>
    </row>
    <row r="20" spans="1:2" x14ac:dyDescent="0.3">
      <c r="A20" t="s">
        <v>20</v>
      </c>
      <c r="B20">
        <v>100000000</v>
      </c>
    </row>
    <row r="21" spans="1:2" x14ac:dyDescent="0.3">
      <c r="A21" t="s">
        <v>93</v>
      </c>
      <c r="B21">
        <v>533.07000000000005</v>
      </c>
    </row>
    <row r="22" spans="1:2" x14ac:dyDescent="0.3">
      <c r="A22" t="s">
        <v>24</v>
      </c>
      <c r="B22">
        <v>0.91755089599999995</v>
      </c>
    </row>
    <row r="23" spans="1:2" x14ac:dyDescent="0.3">
      <c r="A23" t="s">
        <v>26</v>
      </c>
      <c r="B23">
        <v>0.69749736399999995</v>
      </c>
    </row>
    <row r="24" spans="1:2" x14ac:dyDescent="0.3">
      <c r="A24" t="s">
        <v>28</v>
      </c>
      <c r="B24">
        <v>0.220053532</v>
      </c>
    </row>
    <row r="25" spans="1:2" x14ac:dyDescent="0.3">
      <c r="A25" t="s">
        <v>94</v>
      </c>
      <c r="B25">
        <v>0.24051131000000001</v>
      </c>
    </row>
    <row r="26" spans="1:2" x14ac:dyDescent="0.3">
      <c r="A26" t="s">
        <v>95</v>
      </c>
      <c r="B26">
        <v>0.23641276</v>
      </c>
    </row>
    <row r="27" spans="1:2" x14ac:dyDescent="0.3">
      <c r="A27" t="s">
        <v>96</v>
      </c>
      <c r="B27">
        <v>0.30172808422980091</v>
      </c>
    </row>
    <row r="28" spans="1:2" x14ac:dyDescent="0.3">
      <c r="A28" t="s">
        <v>34</v>
      </c>
      <c r="B28">
        <v>8.4407900000000001E-3</v>
      </c>
    </row>
    <row r="29" spans="1:2" x14ac:dyDescent="0.3">
      <c r="A29" t="s">
        <v>97</v>
      </c>
      <c r="B29">
        <v>118.47232308824169</v>
      </c>
    </row>
    <row r="30" spans="1:2" x14ac:dyDescent="0.3">
      <c r="A30" t="s">
        <v>36</v>
      </c>
      <c r="B30">
        <v>8.2752664626362397E-4</v>
      </c>
    </row>
    <row r="31" spans="1:2" x14ac:dyDescent="0.3">
      <c r="A31" t="s">
        <v>98</v>
      </c>
      <c r="B31">
        <v>1208.4203022526381</v>
      </c>
    </row>
    <row r="32" spans="1:2" x14ac:dyDescent="0.3">
      <c r="A32" t="s">
        <v>38</v>
      </c>
      <c r="B32">
        <v>10.04154824370705</v>
      </c>
    </row>
    <row r="33" spans="1:2" x14ac:dyDescent="0.3">
      <c r="A33" t="s">
        <v>40</v>
      </c>
      <c r="B33">
        <v>844079</v>
      </c>
    </row>
    <row r="34" spans="1:2" x14ac:dyDescent="0.3">
      <c r="A34" t="s">
        <v>42</v>
      </c>
      <c r="B34">
        <v>286337075</v>
      </c>
    </row>
    <row r="35" spans="1:2" x14ac:dyDescent="0.3">
      <c r="A35" t="s">
        <v>44</v>
      </c>
      <c r="B35">
        <v>34613418</v>
      </c>
    </row>
    <row r="36" spans="1:2" x14ac:dyDescent="0.3">
      <c r="A36" t="s">
        <v>46</v>
      </c>
      <c r="B36">
        <v>3461341800</v>
      </c>
    </row>
    <row r="37" spans="1:2" x14ac:dyDescent="0.3">
      <c r="A37" t="s">
        <v>48</v>
      </c>
      <c r="B37">
        <v>4.8365964214129571</v>
      </c>
    </row>
    <row r="38" spans="1:2" x14ac:dyDescent="0.3">
      <c r="A38" t="s">
        <v>50</v>
      </c>
      <c r="B38">
        <v>4.836596421412957E-4</v>
      </c>
    </row>
    <row r="39" spans="1:2" x14ac:dyDescent="0.3">
      <c r="A39" t="s">
        <v>65</v>
      </c>
      <c r="B39">
        <v>0.41396494</v>
      </c>
    </row>
    <row r="40" spans="1:2" x14ac:dyDescent="0.3">
      <c r="A40" t="s">
        <v>67</v>
      </c>
      <c r="B40">
        <v>0.6339035802856583</v>
      </c>
    </row>
    <row r="41" spans="1:2" x14ac:dyDescent="0.3">
      <c r="A41" t="s">
        <v>69</v>
      </c>
      <c r="B41">
        <v>19296254</v>
      </c>
    </row>
    <row r="42" spans="1:2" x14ac:dyDescent="0.3">
      <c r="A42" t="s">
        <v>71</v>
      </c>
      <c r="B42">
        <v>294093</v>
      </c>
    </row>
    <row r="43" spans="1:2" x14ac:dyDescent="0.3">
      <c r="A43" t="s">
        <v>73</v>
      </c>
      <c r="B43">
        <v>1.85333E-3</v>
      </c>
    </row>
    <row r="44" spans="1:2" x14ac:dyDescent="0.3">
      <c r="A44" t="s">
        <v>75</v>
      </c>
      <c r="B44">
        <v>1.2831736248593059E-2</v>
      </c>
    </row>
    <row r="45" spans="1:2" x14ac:dyDescent="0.3">
      <c r="A45" t="s">
        <v>77</v>
      </c>
      <c r="B45">
        <v>163301</v>
      </c>
    </row>
    <row r="46" spans="1:2" x14ac:dyDescent="0.3">
      <c r="A46" t="s">
        <v>79</v>
      </c>
      <c r="B46">
        <v>20933</v>
      </c>
    </row>
    <row r="47" spans="1:2" x14ac:dyDescent="0.3">
      <c r="A47" t="s">
        <v>81</v>
      </c>
      <c r="B47">
        <v>1099</v>
      </c>
    </row>
    <row r="48" spans="1:2" x14ac:dyDescent="0.3">
      <c r="A48" t="s">
        <v>83</v>
      </c>
      <c r="B48">
        <v>103293</v>
      </c>
    </row>
    <row r="49" spans="1:2" x14ac:dyDescent="0.3">
      <c r="A49" t="s">
        <v>85</v>
      </c>
      <c r="B49">
        <v>5243</v>
      </c>
    </row>
    <row r="50" spans="1:2" x14ac:dyDescent="0.3">
      <c r="A50" t="s">
        <v>87</v>
      </c>
      <c r="B50">
        <v>224</v>
      </c>
    </row>
    <row r="51" spans="1:2" x14ac:dyDescent="0.3">
      <c r="A51" t="s">
        <v>89</v>
      </c>
      <c r="B51">
        <v>0.76082742000000003</v>
      </c>
    </row>
    <row r="52" spans="1:2" x14ac:dyDescent="0.3">
      <c r="A52" t="s">
        <v>99</v>
      </c>
      <c r="B52">
        <v>0.72057891470600033</v>
      </c>
    </row>
    <row r="53" spans="1:2" x14ac:dyDescent="0.3">
      <c r="A53" t="s">
        <v>100</v>
      </c>
      <c r="B53">
        <v>0.71182690000000004</v>
      </c>
    </row>
    <row r="54" spans="1:2" x14ac:dyDescent="0.3">
      <c r="A54" t="s">
        <v>101</v>
      </c>
      <c r="B54">
        <v>0.99394326947354017</v>
      </c>
    </row>
    <row r="55" spans="1:2" x14ac:dyDescent="0.3">
      <c r="A55" t="s">
        <v>102</v>
      </c>
      <c r="B55">
        <v>1.37324015</v>
      </c>
    </row>
    <row r="56" spans="1:2" x14ac:dyDescent="0.3">
      <c r="A56" t="s">
        <v>103</v>
      </c>
      <c r="B56">
        <v>4.1940314021232066</v>
      </c>
    </row>
    <row r="57" spans="1:2" x14ac:dyDescent="0.3">
      <c r="A57" t="s">
        <v>104</v>
      </c>
      <c r="B57">
        <v>10</v>
      </c>
    </row>
    <row r="58" spans="1:2" x14ac:dyDescent="0.3">
      <c r="A58" t="s">
        <v>105</v>
      </c>
      <c r="B58">
        <v>187592.7832350595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5" x14ac:dyDescent="0.3"/>
  <sheetData>
    <row r="1" spans="1:7" x14ac:dyDescent="0.3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</row>
    <row r="2" spans="1:7" x14ac:dyDescent="0.3">
      <c r="A2" t="s">
        <v>15</v>
      </c>
      <c r="B2">
        <v>844079</v>
      </c>
      <c r="C2" s="1">
        <v>8.4407900000000001E-3</v>
      </c>
      <c r="D2">
        <v>8475860</v>
      </c>
      <c r="E2">
        <v>10.04154824370705</v>
      </c>
      <c r="F2">
        <v>7014</v>
      </c>
      <c r="G2" s="1">
        <v>8.2752664626362397E-4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3"/>
  <sheetData>
    <row r="1" spans="1:3" x14ac:dyDescent="0.3">
      <c r="A1" t="s">
        <v>113</v>
      </c>
      <c r="B1" t="s">
        <v>114</v>
      </c>
      <c r="C1" t="s">
        <v>115</v>
      </c>
    </row>
    <row r="2" spans="1:3" x14ac:dyDescent="0.3">
      <c r="A2" t="s">
        <v>116</v>
      </c>
      <c r="B2">
        <v>3308933</v>
      </c>
      <c r="C2">
        <v>658407850</v>
      </c>
    </row>
    <row r="3" spans="1:3" x14ac:dyDescent="0.3">
      <c r="A3" t="s">
        <v>117</v>
      </c>
      <c r="B3">
        <v>13347565</v>
      </c>
      <c r="C3">
        <v>1571900600</v>
      </c>
    </row>
    <row r="4" spans="1:3" x14ac:dyDescent="0.3">
      <c r="A4" t="s">
        <v>118</v>
      </c>
      <c r="B4">
        <v>9871299</v>
      </c>
      <c r="C4">
        <v>1080270900</v>
      </c>
    </row>
    <row r="5" spans="1:3" x14ac:dyDescent="0.3">
      <c r="A5" t="s">
        <v>119</v>
      </c>
      <c r="B5">
        <v>15101345</v>
      </c>
      <c r="C5">
        <v>1562207740</v>
      </c>
    </row>
    <row r="6" spans="1:3" x14ac:dyDescent="0.3">
      <c r="A6" t="s">
        <v>120</v>
      </c>
      <c r="B6">
        <v>28518171</v>
      </c>
      <c r="C6">
        <v>1217785790</v>
      </c>
    </row>
    <row r="7" spans="1:3" x14ac:dyDescent="0.3">
      <c r="A7" t="s">
        <v>121</v>
      </c>
      <c r="B7">
        <v>16757184</v>
      </c>
      <c r="C7">
        <v>1310384770</v>
      </c>
    </row>
    <row r="8" spans="1:3" x14ac:dyDescent="0.3">
      <c r="A8" t="s">
        <v>122</v>
      </c>
      <c r="B8">
        <v>27121710</v>
      </c>
      <c r="C8">
        <v>1069642780</v>
      </c>
    </row>
    <row r="9" spans="1:3" x14ac:dyDescent="0.3">
      <c r="A9" t="s">
        <v>123</v>
      </c>
      <c r="B9">
        <v>25423622</v>
      </c>
      <c r="C9">
        <v>704908530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"/>
  <sheetViews>
    <sheetView workbookViewId="0"/>
  </sheetViews>
  <sheetFormatPr defaultRowHeight="15" x14ac:dyDescent="0.3"/>
  <sheetData>
    <row r="1" spans="1:5" x14ac:dyDescent="0.3">
      <c r="A1" t="s">
        <v>124</v>
      </c>
      <c r="B1" t="s">
        <v>113</v>
      </c>
      <c r="C1" t="s">
        <v>125</v>
      </c>
      <c r="D1" t="s">
        <v>114</v>
      </c>
      <c r="E1" t="s">
        <v>115</v>
      </c>
    </row>
    <row r="2" spans="1:5" x14ac:dyDescent="0.3">
      <c r="A2" t="s">
        <v>126</v>
      </c>
      <c r="B2" t="s">
        <v>116</v>
      </c>
      <c r="C2">
        <v>3</v>
      </c>
      <c r="D2">
        <v>1510998</v>
      </c>
      <c r="E2">
        <v>215523600</v>
      </c>
    </row>
    <row r="3" spans="1:5" x14ac:dyDescent="0.3">
      <c r="A3" t="s">
        <v>126</v>
      </c>
      <c r="B3" t="s">
        <v>116</v>
      </c>
      <c r="C3">
        <v>4</v>
      </c>
      <c r="D3">
        <v>349403</v>
      </c>
      <c r="E3">
        <v>189885000</v>
      </c>
    </row>
    <row r="4" spans="1:5" x14ac:dyDescent="0.3">
      <c r="A4" t="s">
        <v>126</v>
      </c>
      <c r="B4" t="s">
        <v>116</v>
      </c>
      <c r="C4">
        <v>5</v>
      </c>
      <c r="D4">
        <v>119670</v>
      </c>
      <c r="E4">
        <v>114505750</v>
      </c>
    </row>
    <row r="5" spans="1:5" x14ac:dyDescent="0.3">
      <c r="A5" t="s">
        <v>126</v>
      </c>
      <c r="B5" t="s">
        <v>117</v>
      </c>
      <c r="C5">
        <v>3</v>
      </c>
      <c r="D5">
        <v>5121604</v>
      </c>
      <c r="E5">
        <v>541056040</v>
      </c>
    </row>
    <row r="6" spans="1:5" x14ac:dyDescent="0.3">
      <c r="A6" t="s">
        <v>126</v>
      </c>
      <c r="B6" t="s">
        <v>117</v>
      </c>
      <c r="C6">
        <v>4</v>
      </c>
      <c r="D6">
        <v>998319</v>
      </c>
      <c r="E6">
        <v>364622880</v>
      </c>
    </row>
    <row r="7" spans="1:5" x14ac:dyDescent="0.3">
      <c r="A7" t="s">
        <v>126</v>
      </c>
      <c r="B7" t="s">
        <v>117</v>
      </c>
      <c r="C7">
        <v>5</v>
      </c>
      <c r="D7">
        <v>580897</v>
      </c>
      <c r="E7">
        <v>396035200</v>
      </c>
    </row>
    <row r="8" spans="1:5" x14ac:dyDescent="0.3">
      <c r="A8" t="s">
        <v>126</v>
      </c>
      <c r="B8" t="s">
        <v>118</v>
      </c>
      <c r="C8">
        <v>3</v>
      </c>
      <c r="D8">
        <v>3706052</v>
      </c>
      <c r="E8">
        <v>313410180</v>
      </c>
    </row>
    <row r="9" spans="1:5" x14ac:dyDescent="0.3">
      <c r="A9" t="s">
        <v>126</v>
      </c>
      <c r="B9" t="s">
        <v>118</v>
      </c>
      <c r="C9">
        <v>4</v>
      </c>
      <c r="D9">
        <v>711143</v>
      </c>
      <c r="E9">
        <v>230624370</v>
      </c>
    </row>
    <row r="10" spans="1:5" x14ac:dyDescent="0.3">
      <c r="A10" t="s">
        <v>126</v>
      </c>
      <c r="B10" t="s">
        <v>118</v>
      </c>
      <c r="C10">
        <v>5</v>
      </c>
      <c r="D10">
        <v>554497</v>
      </c>
      <c r="E10">
        <v>337910850</v>
      </c>
    </row>
    <row r="11" spans="1:5" x14ac:dyDescent="0.3">
      <c r="A11" t="s">
        <v>126</v>
      </c>
      <c r="B11" t="s">
        <v>119</v>
      </c>
      <c r="C11">
        <v>3</v>
      </c>
      <c r="D11">
        <v>2190962</v>
      </c>
      <c r="E11">
        <v>166926020</v>
      </c>
    </row>
    <row r="12" spans="1:5" x14ac:dyDescent="0.3">
      <c r="A12" t="s">
        <v>126</v>
      </c>
      <c r="B12" t="s">
        <v>119</v>
      </c>
      <c r="C12">
        <v>4</v>
      </c>
      <c r="D12">
        <v>1621228</v>
      </c>
      <c r="E12">
        <v>589978020</v>
      </c>
    </row>
    <row r="13" spans="1:5" x14ac:dyDescent="0.3">
      <c r="A13" t="s">
        <v>126</v>
      </c>
      <c r="B13" t="s">
        <v>119</v>
      </c>
      <c r="C13">
        <v>5</v>
      </c>
      <c r="D13">
        <v>655187</v>
      </c>
      <c r="E13">
        <v>388794300</v>
      </c>
    </row>
    <row r="14" spans="1:5" x14ac:dyDescent="0.3">
      <c r="A14" t="s">
        <v>126</v>
      </c>
      <c r="B14" t="s">
        <v>120</v>
      </c>
      <c r="C14">
        <v>3</v>
      </c>
      <c r="D14">
        <v>7636301</v>
      </c>
      <c r="E14">
        <v>266356620</v>
      </c>
    </row>
    <row r="15" spans="1:5" x14ac:dyDescent="0.3">
      <c r="A15" t="s">
        <v>126</v>
      </c>
      <c r="B15" t="s">
        <v>120</v>
      </c>
      <c r="C15">
        <v>4</v>
      </c>
      <c r="D15">
        <v>1232620</v>
      </c>
      <c r="E15">
        <v>176557170</v>
      </c>
    </row>
    <row r="16" spans="1:5" x14ac:dyDescent="0.3">
      <c r="A16" t="s">
        <v>126</v>
      </c>
      <c r="B16" t="s">
        <v>120</v>
      </c>
      <c r="C16">
        <v>5</v>
      </c>
      <c r="D16">
        <v>1414260</v>
      </c>
      <c r="E16">
        <v>414117300</v>
      </c>
    </row>
    <row r="17" spans="1:5" x14ac:dyDescent="0.3">
      <c r="A17" t="s">
        <v>126</v>
      </c>
      <c r="B17" t="s">
        <v>121</v>
      </c>
      <c r="C17">
        <v>3</v>
      </c>
      <c r="D17">
        <v>2108192</v>
      </c>
      <c r="E17">
        <v>83020120</v>
      </c>
    </row>
    <row r="18" spans="1:5" x14ac:dyDescent="0.3">
      <c r="A18" t="s">
        <v>126</v>
      </c>
      <c r="B18" t="s">
        <v>121</v>
      </c>
      <c r="C18">
        <v>4</v>
      </c>
      <c r="D18">
        <v>2108182</v>
      </c>
      <c r="E18">
        <v>384337650</v>
      </c>
    </row>
    <row r="19" spans="1:5" x14ac:dyDescent="0.3">
      <c r="A19" t="s">
        <v>126</v>
      </c>
      <c r="B19" t="s">
        <v>121</v>
      </c>
      <c r="C19">
        <v>5</v>
      </c>
      <c r="D19">
        <v>1805936</v>
      </c>
      <c r="E19">
        <v>610670500</v>
      </c>
    </row>
    <row r="20" spans="1:5" x14ac:dyDescent="0.3">
      <c r="A20" t="s">
        <v>126</v>
      </c>
      <c r="B20" t="s">
        <v>122</v>
      </c>
      <c r="C20">
        <v>3</v>
      </c>
      <c r="D20">
        <v>3311225</v>
      </c>
      <c r="E20">
        <v>72290920</v>
      </c>
    </row>
    <row r="21" spans="1:5" x14ac:dyDescent="0.3">
      <c r="A21" t="s">
        <v>126</v>
      </c>
      <c r="B21" t="s">
        <v>122</v>
      </c>
      <c r="C21">
        <v>4</v>
      </c>
      <c r="D21">
        <v>2143530</v>
      </c>
      <c r="E21">
        <v>210999345</v>
      </c>
    </row>
    <row r="22" spans="1:5" x14ac:dyDescent="0.3">
      <c r="A22" t="s">
        <v>126</v>
      </c>
      <c r="B22" t="s">
        <v>122</v>
      </c>
      <c r="C22">
        <v>5</v>
      </c>
      <c r="D22">
        <v>2016266</v>
      </c>
      <c r="E22">
        <v>429701775</v>
      </c>
    </row>
    <row r="23" spans="1:5" x14ac:dyDescent="0.3">
      <c r="A23" t="s">
        <v>126</v>
      </c>
      <c r="B23" t="s">
        <v>123</v>
      </c>
      <c r="C23">
        <v>3</v>
      </c>
      <c r="D23">
        <v>5449291</v>
      </c>
      <c r="E23">
        <v>118058060</v>
      </c>
    </row>
    <row r="24" spans="1:5" x14ac:dyDescent="0.3">
      <c r="A24" t="s">
        <v>126</v>
      </c>
      <c r="B24" t="s">
        <v>123</v>
      </c>
      <c r="C24">
        <v>4</v>
      </c>
      <c r="D24">
        <v>1400837</v>
      </c>
      <c r="E24">
        <v>119619870</v>
      </c>
    </row>
    <row r="25" spans="1:5" x14ac:dyDescent="0.3">
      <c r="A25" t="s">
        <v>126</v>
      </c>
      <c r="B25" t="s">
        <v>123</v>
      </c>
      <c r="C25">
        <v>5</v>
      </c>
      <c r="D25">
        <v>1250462</v>
      </c>
      <c r="E25">
        <v>239972100</v>
      </c>
    </row>
    <row r="26" spans="1:5" x14ac:dyDescent="0.3">
      <c r="A26" t="s">
        <v>127</v>
      </c>
      <c r="B26" t="s">
        <v>116</v>
      </c>
      <c r="C26">
        <v>3</v>
      </c>
      <c r="D26">
        <v>205507</v>
      </c>
      <c r="E26">
        <v>62107100</v>
      </c>
    </row>
    <row r="27" spans="1:5" x14ac:dyDescent="0.3">
      <c r="A27" t="s">
        <v>127</v>
      </c>
      <c r="B27" t="s">
        <v>116</v>
      </c>
      <c r="C27">
        <v>4</v>
      </c>
      <c r="D27">
        <v>50649</v>
      </c>
      <c r="E27">
        <v>49911900</v>
      </c>
    </row>
    <row r="28" spans="1:5" x14ac:dyDescent="0.3">
      <c r="A28" t="s">
        <v>127</v>
      </c>
      <c r="B28" t="s">
        <v>116</v>
      </c>
      <c r="C28">
        <v>5</v>
      </c>
      <c r="D28">
        <v>15977</v>
      </c>
      <c r="E28">
        <v>26474500</v>
      </c>
    </row>
    <row r="29" spans="1:5" x14ac:dyDescent="0.3">
      <c r="A29" t="s">
        <v>127</v>
      </c>
      <c r="B29" t="s">
        <v>117</v>
      </c>
      <c r="C29">
        <v>3</v>
      </c>
      <c r="D29">
        <v>492271</v>
      </c>
      <c r="E29">
        <v>122015840</v>
      </c>
    </row>
    <row r="30" spans="1:5" x14ac:dyDescent="0.3">
      <c r="A30" t="s">
        <v>127</v>
      </c>
      <c r="B30" t="s">
        <v>117</v>
      </c>
      <c r="C30">
        <v>4</v>
      </c>
      <c r="D30">
        <v>102617</v>
      </c>
      <c r="E30">
        <v>80065440</v>
      </c>
    </row>
    <row r="31" spans="1:5" x14ac:dyDescent="0.3">
      <c r="A31" t="s">
        <v>127</v>
      </c>
      <c r="B31" t="s">
        <v>117</v>
      </c>
      <c r="C31">
        <v>5</v>
      </c>
      <c r="D31">
        <v>53707</v>
      </c>
      <c r="E31">
        <v>68105200</v>
      </c>
    </row>
    <row r="32" spans="1:5" x14ac:dyDescent="0.3">
      <c r="A32" t="s">
        <v>127</v>
      </c>
      <c r="B32" t="s">
        <v>118</v>
      </c>
      <c r="C32">
        <v>3</v>
      </c>
      <c r="D32">
        <v>372210</v>
      </c>
      <c r="E32">
        <v>72552480</v>
      </c>
    </row>
    <row r="33" spans="1:5" x14ac:dyDescent="0.3">
      <c r="A33" t="s">
        <v>127</v>
      </c>
      <c r="B33" t="s">
        <v>118</v>
      </c>
      <c r="C33">
        <v>4</v>
      </c>
      <c r="D33">
        <v>87251</v>
      </c>
      <c r="E33">
        <v>60003720</v>
      </c>
    </row>
    <row r="34" spans="1:5" x14ac:dyDescent="0.3">
      <c r="A34" t="s">
        <v>127</v>
      </c>
      <c r="B34" t="s">
        <v>118</v>
      </c>
      <c r="C34">
        <v>5</v>
      </c>
      <c r="D34">
        <v>57703</v>
      </c>
      <c r="E34">
        <v>65769300</v>
      </c>
    </row>
    <row r="35" spans="1:5" x14ac:dyDescent="0.3">
      <c r="A35" t="s">
        <v>127</v>
      </c>
      <c r="B35" t="s">
        <v>119</v>
      </c>
      <c r="C35">
        <v>3</v>
      </c>
      <c r="D35">
        <v>311186</v>
      </c>
      <c r="E35">
        <v>60225520</v>
      </c>
    </row>
    <row r="36" spans="1:5" x14ac:dyDescent="0.3">
      <c r="A36" t="s">
        <v>127</v>
      </c>
      <c r="B36" t="s">
        <v>119</v>
      </c>
      <c r="C36">
        <v>4</v>
      </c>
      <c r="D36">
        <v>290686</v>
      </c>
      <c r="E36">
        <v>222752280</v>
      </c>
    </row>
    <row r="37" spans="1:5" x14ac:dyDescent="0.3">
      <c r="A37" t="s">
        <v>127</v>
      </c>
      <c r="B37" t="s">
        <v>119</v>
      </c>
      <c r="C37">
        <v>5</v>
      </c>
      <c r="D37">
        <v>112062</v>
      </c>
      <c r="E37">
        <v>133531600</v>
      </c>
    </row>
    <row r="38" spans="1:5" x14ac:dyDescent="0.3">
      <c r="A38" t="s">
        <v>127</v>
      </c>
      <c r="B38" t="s">
        <v>120</v>
      </c>
      <c r="C38">
        <v>3</v>
      </c>
      <c r="D38">
        <v>1179763</v>
      </c>
      <c r="E38">
        <v>100382380</v>
      </c>
    </row>
    <row r="39" spans="1:5" x14ac:dyDescent="0.3">
      <c r="A39" t="s">
        <v>127</v>
      </c>
      <c r="B39" t="s">
        <v>120</v>
      </c>
      <c r="C39">
        <v>4</v>
      </c>
      <c r="D39">
        <v>252768</v>
      </c>
      <c r="E39">
        <v>89485320</v>
      </c>
    </row>
    <row r="40" spans="1:5" x14ac:dyDescent="0.3">
      <c r="A40" t="s">
        <v>127</v>
      </c>
      <c r="B40" t="s">
        <v>120</v>
      </c>
      <c r="C40">
        <v>5</v>
      </c>
      <c r="D40">
        <v>257284</v>
      </c>
      <c r="E40">
        <v>170887000</v>
      </c>
    </row>
    <row r="41" spans="1:5" x14ac:dyDescent="0.3">
      <c r="A41" t="s">
        <v>127</v>
      </c>
      <c r="B41" t="s">
        <v>121</v>
      </c>
      <c r="C41">
        <v>3</v>
      </c>
      <c r="D41">
        <v>269436</v>
      </c>
      <c r="E41">
        <v>23038500</v>
      </c>
    </row>
    <row r="42" spans="1:5" x14ac:dyDescent="0.3">
      <c r="A42" t="s">
        <v>127</v>
      </c>
      <c r="B42" t="s">
        <v>121</v>
      </c>
      <c r="C42">
        <v>4</v>
      </c>
      <c r="D42">
        <v>259667</v>
      </c>
      <c r="E42">
        <v>93515100</v>
      </c>
    </row>
    <row r="43" spans="1:5" x14ac:dyDescent="0.3">
      <c r="A43" t="s">
        <v>127</v>
      </c>
      <c r="B43" t="s">
        <v>121</v>
      </c>
      <c r="C43">
        <v>5</v>
      </c>
      <c r="D43">
        <v>189346</v>
      </c>
      <c r="E43">
        <v>115802900</v>
      </c>
    </row>
    <row r="44" spans="1:5" x14ac:dyDescent="0.3">
      <c r="A44" t="s">
        <v>127</v>
      </c>
      <c r="B44" t="s">
        <v>122</v>
      </c>
      <c r="C44">
        <v>3</v>
      </c>
      <c r="D44">
        <v>486894</v>
      </c>
      <c r="E44">
        <v>30085510</v>
      </c>
    </row>
    <row r="45" spans="1:5" x14ac:dyDescent="0.3">
      <c r="A45" t="s">
        <v>127</v>
      </c>
      <c r="B45" t="s">
        <v>122</v>
      </c>
      <c r="C45">
        <v>4</v>
      </c>
      <c r="D45">
        <v>352548</v>
      </c>
      <c r="E45">
        <v>95003130</v>
      </c>
    </row>
    <row r="46" spans="1:5" x14ac:dyDescent="0.3">
      <c r="A46" t="s">
        <v>127</v>
      </c>
      <c r="B46" t="s">
        <v>122</v>
      </c>
      <c r="C46">
        <v>5</v>
      </c>
      <c r="D46">
        <v>428737</v>
      </c>
      <c r="E46">
        <v>231562100</v>
      </c>
    </row>
    <row r="47" spans="1:5" x14ac:dyDescent="0.3">
      <c r="A47" t="s">
        <v>127</v>
      </c>
      <c r="B47" t="s">
        <v>123</v>
      </c>
      <c r="C47">
        <v>3</v>
      </c>
      <c r="D47">
        <v>855558</v>
      </c>
      <c r="E47">
        <v>45257990</v>
      </c>
    </row>
    <row r="48" spans="1:5" x14ac:dyDescent="0.3">
      <c r="A48" t="s">
        <v>127</v>
      </c>
      <c r="B48" t="s">
        <v>123</v>
      </c>
      <c r="C48">
        <v>4</v>
      </c>
      <c r="D48">
        <v>253761</v>
      </c>
      <c r="E48">
        <v>53155410</v>
      </c>
    </row>
    <row r="49" spans="1:5" x14ac:dyDescent="0.3">
      <c r="A49" t="s">
        <v>127</v>
      </c>
      <c r="B49" t="s">
        <v>123</v>
      </c>
      <c r="C49">
        <v>5</v>
      </c>
      <c r="D49">
        <v>282823</v>
      </c>
      <c r="E49">
        <v>128845100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tabSelected="1" workbookViewId="0">
      <selection activeCell="E2" sqref="E2:F7"/>
    </sheetView>
  </sheetViews>
  <sheetFormatPr defaultRowHeight="15" x14ac:dyDescent="0.3"/>
  <sheetData>
    <row r="1" spans="1:6" x14ac:dyDescent="0.3">
      <c r="A1" t="s">
        <v>128</v>
      </c>
      <c r="B1" t="s">
        <v>126</v>
      </c>
      <c r="C1" t="s">
        <v>127</v>
      </c>
    </row>
    <row r="2" spans="1:6" x14ac:dyDescent="0.3">
      <c r="A2" t="s">
        <v>61</v>
      </c>
      <c r="B2">
        <v>76358724</v>
      </c>
      <c r="C2">
        <v>5918455</v>
      </c>
      <c r="E2" s="4" cm="1">
        <f t="array" ref="E2:E7">B2:B7/SUM(B2:B7)</f>
        <v>0.76358724</v>
      </c>
      <c r="F2" s="4" cm="1">
        <f t="array" ref="F2:F7">C2:C7/SUM(C2:C7)</f>
        <v>0.69827191577019909</v>
      </c>
    </row>
    <row r="3" spans="1:6" x14ac:dyDescent="0.3">
      <c r="A3" t="s">
        <v>17</v>
      </c>
      <c r="B3">
        <v>13308565</v>
      </c>
      <c r="C3">
        <v>923332</v>
      </c>
      <c r="E3" s="4">
        <v>0.13308565</v>
      </c>
      <c r="F3" s="4">
        <v>0.10893667427258119</v>
      </c>
    </row>
    <row r="4" spans="1:6" x14ac:dyDescent="0.3">
      <c r="A4" t="s">
        <v>129</v>
      </c>
      <c r="B4">
        <v>6014507</v>
      </c>
      <c r="C4">
        <v>896391</v>
      </c>
      <c r="E4" s="4">
        <v>6.0145070000000002E-2</v>
      </c>
      <c r="F4" s="4">
        <v>0.10575811776032167</v>
      </c>
    </row>
    <row r="5" spans="1:6" x14ac:dyDescent="0.3">
      <c r="A5" t="s">
        <v>130</v>
      </c>
      <c r="B5">
        <v>2508833</v>
      </c>
      <c r="C5">
        <v>449763</v>
      </c>
      <c r="E5" s="4">
        <v>2.5088329999999999E-2</v>
      </c>
      <c r="F5" s="4">
        <v>5.3063995865906231E-2</v>
      </c>
    </row>
    <row r="6" spans="1:6" x14ac:dyDescent="0.3">
      <c r="A6" t="s">
        <v>131</v>
      </c>
      <c r="B6">
        <v>1049176</v>
      </c>
      <c r="C6">
        <v>187740</v>
      </c>
      <c r="E6" s="4">
        <v>1.0491759999999999E-2</v>
      </c>
      <c r="F6" s="4">
        <v>2.2149964723343709E-2</v>
      </c>
    </row>
    <row r="7" spans="1:6" x14ac:dyDescent="0.3">
      <c r="A7" t="s">
        <v>132</v>
      </c>
      <c r="B7">
        <v>760195</v>
      </c>
      <c r="C7">
        <v>100179</v>
      </c>
      <c r="E7" s="4">
        <v>7.6019499999999997E-3</v>
      </c>
      <c r="F7" s="4">
        <v>1.1819331607648073E-2</v>
      </c>
    </row>
  </sheetData>
  <phoneticPr fontId="1" type="noConversion"/>
  <conditionalFormatting sqref="E2:F7">
    <cfRule type="cellIs" dxfId="0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3"/>
  <cols>
    <col min="1" max="1" width="14" customWidth="1"/>
    <col min="2" max="5" width="16" customWidth="1"/>
    <col min="6" max="9" width="19" customWidth="1"/>
    <col min="10" max="10" width="17" customWidth="1"/>
    <col min="11" max="12" width="28" customWidth="1"/>
    <col min="13" max="13" width="14" customWidth="1"/>
    <col min="14" max="14" width="16" customWidth="1"/>
    <col min="15" max="18" width="18" customWidth="1"/>
    <col min="19" max="19" width="19" customWidth="1"/>
    <col min="20" max="23" width="18" customWidth="1"/>
    <col min="24" max="24" width="19" customWidth="1"/>
    <col min="25" max="30" width="22" customWidth="1"/>
    <col min="31" max="32" width="21" customWidth="1"/>
  </cols>
  <sheetData>
    <row r="1" spans="1:32" x14ac:dyDescent="0.3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</row>
    <row r="2" spans="1:32" x14ac:dyDescent="0.3">
      <c r="A2" t="s">
        <v>61</v>
      </c>
      <c r="B2" s="2">
        <v>76358724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>
        <v>0</v>
      </c>
      <c r="K2" s="2">
        <v>409855</v>
      </c>
      <c r="L2" s="2">
        <v>0</v>
      </c>
      <c r="M2" s="1">
        <v>0</v>
      </c>
      <c r="N2" s="2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3">
        <v>1.3931522480653289</v>
      </c>
      <c r="AF2" s="3">
        <v>0</v>
      </c>
    </row>
    <row r="3" spans="1:32" x14ac:dyDescent="0.3">
      <c r="A3" t="s">
        <v>165</v>
      </c>
      <c r="B3" s="2">
        <v>13065046</v>
      </c>
      <c r="C3" s="2">
        <v>544920580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>
        <v>1</v>
      </c>
      <c r="K3" s="2">
        <v>554034</v>
      </c>
      <c r="L3" s="2">
        <v>6233190</v>
      </c>
      <c r="M3" s="1">
        <v>0</v>
      </c>
      <c r="N3" s="2">
        <v>0</v>
      </c>
      <c r="O3" s="1">
        <v>0.84412714658639554</v>
      </c>
      <c r="P3" s="1">
        <v>0.14740101182957949</v>
      </c>
      <c r="Q3" s="1">
        <v>8.3496835755495994E-3</v>
      </c>
      <c r="R3" s="1">
        <v>1.216222277365116E-4</v>
      </c>
      <c r="S3" s="1">
        <v>5.3578073892736389E-7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1.1255222522752689E-3</v>
      </c>
      <c r="Z3" s="1">
        <v>1.14810158341578E-4</v>
      </c>
      <c r="AA3" s="1">
        <v>4.5158662281020668E-6</v>
      </c>
      <c r="AB3" s="1">
        <v>0</v>
      </c>
      <c r="AC3" s="1">
        <v>0</v>
      </c>
      <c r="AD3" s="1">
        <v>0</v>
      </c>
      <c r="AE3" s="3">
        <v>1.1458236733341769</v>
      </c>
      <c r="AF3" s="3">
        <v>0</v>
      </c>
    </row>
    <row r="4" spans="1:32" x14ac:dyDescent="0.3">
      <c r="A4" t="s">
        <v>166</v>
      </c>
      <c r="B4" s="2">
        <v>3294112</v>
      </c>
      <c r="C4" s="2">
        <v>493568530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>
        <v>2</v>
      </c>
      <c r="K4" s="2">
        <v>609038</v>
      </c>
      <c r="L4" s="2">
        <v>14479355</v>
      </c>
      <c r="M4" s="1">
        <v>0</v>
      </c>
      <c r="N4" s="2">
        <v>0</v>
      </c>
      <c r="O4" s="1">
        <v>0.42206822354552609</v>
      </c>
      <c r="P4" s="1">
        <v>0.46161514848311169</v>
      </c>
      <c r="Q4" s="1">
        <v>0.1087255078151563</v>
      </c>
      <c r="R4" s="1">
        <v>7.3346018593174727E-3</v>
      </c>
      <c r="S4" s="1">
        <v>2.5651829688850902E-4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2.5466650799972801E-3</v>
      </c>
      <c r="Z4" s="1">
        <v>2.2130395080677281E-4</v>
      </c>
      <c r="AA4" s="1">
        <v>8.5000145714535509E-6</v>
      </c>
      <c r="AB4" s="1">
        <v>0</v>
      </c>
      <c r="AC4" s="1">
        <v>0</v>
      </c>
      <c r="AD4" s="1">
        <v>0</v>
      </c>
      <c r="AE4" s="3">
        <v>1.261750663001137</v>
      </c>
      <c r="AF4" s="3">
        <v>0</v>
      </c>
    </row>
    <row r="5" spans="1:32" x14ac:dyDescent="0.3">
      <c r="A5" t="s">
        <v>167</v>
      </c>
      <c r="B5" s="2">
        <v>1842050</v>
      </c>
      <c r="C5" s="2">
        <v>465488240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>
        <v>3</v>
      </c>
      <c r="K5" s="2">
        <v>644942</v>
      </c>
      <c r="L5" s="2">
        <v>23525015</v>
      </c>
      <c r="M5" s="1">
        <v>0</v>
      </c>
      <c r="N5" s="2">
        <v>0</v>
      </c>
      <c r="O5" s="1">
        <v>0.24120083602508069</v>
      </c>
      <c r="P5" s="1">
        <v>0.50521484215955048</v>
      </c>
      <c r="Q5" s="1">
        <v>0.21840015200456009</v>
      </c>
      <c r="R5" s="1">
        <v>3.2533861730137621E-2</v>
      </c>
      <c r="S5" s="1">
        <v>2.6503080806709921E-3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4.6361390841725249E-3</v>
      </c>
      <c r="Z5" s="1">
        <v>3.8109714720013029E-4</v>
      </c>
      <c r="AA5" s="1">
        <v>1.248608886838034E-5</v>
      </c>
      <c r="AB5" s="1">
        <v>0</v>
      </c>
      <c r="AC5" s="1">
        <v>0</v>
      </c>
      <c r="AD5" s="1">
        <v>0</v>
      </c>
      <c r="AE5" s="3">
        <v>1.364496077739475</v>
      </c>
      <c r="AF5" s="3">
        <v>0</v>
      </c>
    </row>
    <row r="6" spans="1:32" x14ac:dyDescent="0.3">
      <c r="A6" t="s">
        <v>168</v>
      </c>
      <c r="B6" s="2">
        <v>1166294</v>
      </c>
      <c r="C6" s="2">
        <v>415905805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>
        <v>4</v>
      </c>
      <c r="K6" s="2">
        <v>671287</v>
      </c>
      <c r="L6" s="2">
        <v>32876655</v>
      </c>
      <c r="M6" s="1">
        <v>0</v>
      </c>
      <c r="N6" s="2">
        <v>0</v>
      </c>
      <c r="O6" s="1">
        <v>0.19443382200371431</v>
      </c>
      <c r="P6" s="1">
        <v>0.43525817675474621</v>
      </c>
      <c r="Q6" s="1">
        <v>0.29126703901417661</v>
      </c>
      <c r="R6" s="1">
        <v>6.9492769404626967E-2</v>
      </c>
      <c r="S6" s="1">
        <v>9.5481928227359476E-3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6.5669548158526067E-3</v>
      </c>
      <c r="Z6" s="1">
        <v>5.6589504876129E-4</v>
      </c>
      <c r="AA6" s="1">
        <v>2.229283525423264E-5</v>
      </c>
      <c r="AB6" s="1">
        <v>0</v>
      </c>
      <c r="AC6" s="1">
        <v>0</v>
      </c>
      <c r="AD6" s="1">
        <v>0</v>
      </c>
      <c r="AE6" s="3">
        <v>1.454934176116828</v>
      </c>
      <c r="AF6" s="3">
        <v>0</v>
      </c>
    </row>
    <row r="7" spans="1:32" x14ac:dyDescent="0.3">
      <c r="A7" t="s">
        <v>169</v>
      </c>
      <c r="B7" s="2">
        <v>942044</v>
      </c>
      <c r="C7" s="2">
        <v>426350910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>
        <v>5</v>
      </c>
      <c r="K7" s="2">
        <v>692304</v>
      </c>
      <c r="L7" s="2">
        <v>42387235</v>
      </c>
      <c r="M7" s="1">
        <v>0</v>
      </c>
      <c r="N7" s="2">
        <v>0</v>
      </c>
      <c r="O7" s="1">
        <v>8.9959704642246008E-2</v>
      </c>
      <c r="P7" s="1">
        <v>0.45239925099039963</v>
      </c>
      <c r="Q7" s="1">
        <v>0.3299591101901822</v>
      </c>
      <c r="R7" s="1">
        <v>0.106626654381324</v>
      </c>
      <c r="S7" s="1">
        <v>2.1055279795848179E-2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9.8763964315891819E-3</v>
      </c>
      <c r="Z7" s="1">
        <v>8.7469375103498351E-4</v>
      </c>
      <c r="AA7" s="1">
        <v>2.65380385629546E-5</v>
      </c>
      <c r="AB7" s="1">
        <v>0</v>
      </c>
      <c r="AC7" s="1">
        <v>0</v>
      </c>
      <c r="AD7" s="1">
        <v>0</v>
      </c>
      <c r="AE7" s="3">
        <v>1.5378793347232189</v>
      </c>
      <c r="AF7" s="3">
        <v>0</v>
      </c>
    </row>
    <row r="8" spans="1:32" x14ac:dyDescent="0.3">
      <c r="A8" t="s">
        <v>170</v>
      </c>
      <c r="B8" s="2">
        <v>394449</v>
      </c>
      <c r="C8" s="2">
        <v>219226370</v>
      </c>
      <c r="D8" s="2">
        <v>41145</v>
      </c>
      <c r="E8" s="2">
        <v>22917980</v>
      </c>
      <c r="F8" s="2">
        <v>0</v>
      </c>
      <c r="G8" s="2">
        <v>0</v>
      </c>
      <c r="H8" s="2">
        <v>0</v>
      </c>
      <c r="I8" s="2">
        <v>0</v>
      </c>
      <c r="J8">
        <v>6</v>
      </c>
      <c r="K8" s="2">
        <v>709193</v>
      </c>
      <c r="L8" s="2">
        <v>51727690</v>
      </c>
      <c r="M8" s="1">
        <v>0.23800354085320011</v>
      </c>
      <c r="N8" s="2">
        <v>412330</v>
      </c>
      <c r="O8" s="1">
        <v>0.117817512530137</v>
      </c>
      <c r="P8" s="1">
        <v>0.34352983528922632</v>
      </c>
      <c r="Q8" s="1">
        <v>0.35791192270737149</v>
      </c>
      <c r="R8" s="1">
        <v>0.14283722357009401</v>
      </c>
      <c r="S8" s="1">
        <v>3.7903505903171257E-2</v>
      </c>
      <c r="T8" s="1">
        <v>0.12270026435136901</v>
      </c>
      <c r="U8" s="1">
        <v>9.0088036281619085E-2</v>
      </c>
      <c r="V8" s="1">
        <v>2.1730167584216521E-2</v>
      </c>
      <c r="W8" s="1">
        <v>3.1528144932457011E-3</v>
      </c>
      <c r="X8" s="1">
        <v>3.3225814274973932E-4</v>
      </c>
      <c r="Y8" s="1">
        <v>1.140831894617555E-2</v>
      </c>
      <c r="Z8" s="1">
        <v>9.5069324551462931E-4</v>
      </c>
      <c r="AA8" s="1">
        <v>4.0562911808624192E-5</v>
      </c>
      <c r="AB8" s="1">
        <v>4.1908180340989006E-3</v>
      </c>
      <c r="AC8" s="1">
        <v>1.6976693425169159E-4</v>
      </c>
      <c r="AD8" s="1">
        <v>7.2757257536439257E-6</v>
      </c>
      <c r="AE8" s="3">
        <v>1.6090242338046239</v>
      </c>
      <c r="AF8" s="3">
        <v>4.1691921519171533</v>
      </c>
    </row>
    <row r="9" spans="1:32" x14ac:dyDescent="0.3">
      <c r="A9" t="s">
        <v>171</v>
      </c>
      <c r="B9" s="2">
        <v>337013</v>
      </c>
      <c r="C9" s="2">
        <v>219439930</v>
      </c>
      <c r="D9" s="2">
        <v>35238</v>
      </c>
      <c r="E9" s="2">
        <v>23150070</v>
      </c>
      <c r="F9" s="2">
        <v>0</v>
      </c>
      <c r="G9" s="2">
        <v>0</v>
      </c>
      <c r="H9" s="2">
        <v>0</v>
      </c>
      <c r="I9" s="2">
        <v>0</v>
      </c>
      <c r="J9">
        <v>7</v>
      </c>
      <c r="K9" s="2">
        <v>723300</v>
      </c>
      <c r="L9" s="2">
        <v>60919045</v>
      </c>
      <c r="M9" s="1">
        <v>0.24890882844122389</v>
      </c>
      <c r="N9" s="2">
        <v>353290</v>
      </c>
      <c r="O9" s="1">
        <v>1.5491983988748209E-2</v>
      </c>
      <c r="P9" s="1">
        <v>0.3694041476144837</v>
      </c>
      <c r="Q9" s="1">
        <v>0.37897944589674581</v>
      </c>
      <c r="R9" s="1">
        <v>0.17912958847284821</v>
      </c>
      <c r="S9" s="1">
        <v>5.6994834027174028E-2</v>
      </c>
      <c r="T9" s="1">
        <v>0.1221546038665119</v>
      </c>
      <c r="U9" s="1">
        <v>9.5312632681366583E-2</v>
      </c>
      <c r="V9" s="1">
        <v>2.6301338843443059E-2</v>
      </c>
      <c r="W9" s="1">
        <v>4.5515015992527389E-3</v>
      </c>
      <c r="X9" s="1">
        <v>5.88751450649608E-4</v>
      </c>
      <c r="Y9" s="1">
        <v>1.606169494945299E-2</v>
      </c>
      <c r="Z9" s="1">
        <v>1.4420808692839739E-3</v>
      </c>
      <c r="AA9" s="1">
        <v>5.341040256607312E-5</v>
      </c>
      <c r="AB9" s="1">
        <v>4.8656910753205581E-3</v>
      </c>
      <c r="AC9" s="1">
        <v>1.783237566871409E-4</v>
      </c>
      <c r="AD9" s="1">
        <v>8.4916074612924229E-6</v>
      </c>
      <c r="AE9" s="3">
        <v>1.702664288914671</v>
      </c>
      <c r="AF9" s="3">
        <v>4.1652466811967503</v>
      </c>
    </row>
    <row r="10" spans="1:32" x14ac:dyDescent="0.3">
      <c r="A10" t="s">
        <v>172</v>
      </c>
      <c r="B10" s="2">
        <v>294191</v>
      </c>
      <c r="C10" s="2">
        <v>221727725</v>
      </c>
      <c r="D10" s="2">
        <v>37304</v>
      </c>
      <c r="E10" s="2">
        <v>28244930</v>
      </c>
      <c r="F10" s="2">
        <v>0</v>
      </c>
      <c r="G10" s="2">
        <v>0</v>
      </c>
      <c r="H10" s="2">
        <v>0</v>
      </c>
      <c r="I10" s="2">
        <v>0</v>
      </c>
      <c r="J10">
        <v>8</v>
      </c>
      <c r="K10" s="2">
        <v>736000</v>
      </c>
      <c r="L10" s="2">
        <v>70484975</v>
      </c>
      <c r="M10" s="1">
        <v>0.25057292989798241</v>
      </c>
      <c r="N10" s="2">
        <v>373955</v>
      </c>
      <c r="O10" s="1">
        <v>0.1194632058764544</v>
      </c>
      <c r="P10" s="1">
        <v>0.2722890911006795</v>
      </c>
      <c r="Q10" s="1">
        <v>0.34544904500817503</v>
      </c>
      <c r="R10" s="1">
        <v>0.19021995914218989</v>
      </c>
      <c r="S10" s="1">
        <v>7.2578698872501193E-2</v>
      </c>
      <c r="T10" s="1">
        <v>0.11842868794373659</v>
      </c>
      <c r="U10" s="1">
        <v>9.6284312283563531E-2</v>
      </c>
      <c r="V10" s="1">
        <v>2.9634581701006801E-2</v>
      </c>
      <c r="W10" s="1">
        <v>5.4284606436603338E-3</v>
      </c>
      <c r="X10" s="1">
        <v>7.9688732601516227E-4</v>
      </c>
      <c r="Y10" s="1">
        <v>1.686319431933676E-2</v>
      </c>
      <c r="Z10" s="1">
        <v>1.2984761600456851E-3</v>
      </c>
      <c r="AA10" s="1">
        <v>3.3991522514284939E-5</v>
      </c>
      <c r="AB10" s="1">
        <v>5.1209370111377026E-3</v>
      </c>
      <c r="AC10" s="1">
        <v>2.1125536495032819E-4</v>
      </c>
      <c r="AD10" s="1">
        <v>1.069647417470016E-5</v>
      </c>
      <c r="AE10" s="3">
        <v>1.657616990322613</v>
      </c>
      <c r="AF10" s="3">
        <v>4.1737829417978096</v>
      </c>
    </row>
    <row r="11" spans="1:32" x14ac:dyDescent="0.3">
      <c r="A11" t="s">
        <v>173</v>
      </c>
      <c r="B11" s="2">
        <v>249841</v>
      </c>
      <c r="C11" s="2">
        <v>212919205</v>
      </c>
      <c r="D11" s="2">
        <v>34691</v>
      </c>
      <c r="E11" s="2">
        <v>29710610</v>
      </c>
      <c r="F11" s="2">
        <v>0</v>
      </c>
      <c r="G11" s="2">
        <v>0</v>
      </c>
      <c r="H11" s="2">
        <v>0</v>
      </c>
      <c r="I11" s="2">
        <v>0</v>
      </c>
      <c r="J11">
        <v>9</v>
      </c>
      <c r="K11" s="2">
        <v>746655</v>
      </c>
      <c r="L11" s="2">
        <v>79556765</v>
      </c>
      <c r="M11" s="1">
        <v>0.25811164476143911</v>
      </c>
      <c r="N11" s="2">
        <v>347710</v>
      </c>
      <c r="O11" s="1">
        <v>3.2008357315252499E-2</v>
      </c>
      <c r="P11" s="1">
        <v>0.29782141441957077</v>
      </c>
      <c r="Q11" s="1">
        <v>0.35193182864301698</v>
      </c>
      <c r="R11" s="1">
        <v>0.21957565011347219</v>
      </c>
      <c r="S11" s="1">
        <v>9.8662749508687531E-2</v>
      </c>
      <c r="T11" s="1">
        <v>0.1175922464122401</v>
      </c>
      <c r="U11" s="1">
        <v>9.969227229587875E-2</v>
      </c>
      <c r="V11" s="1">
        <v>3.2765810589284183E-2</v>
      </c>
      <c r="W11" s="1">
        <v>6.9109315233959337E-3</v>
      </c>
      <c r="X11" s="1">
        <v>1.1503839406401891E-3</v>
      </c>
      <c r="Y11" s="1">
        <v>2.1169463778963421E-2</v>
      </c>
      <c r="Z11" s="1">
        <v>2.077321176268106E-3</v>
      </c>
      <c r="AA11" s="1">
        <v>7.2045821142246462E-5</v>
      </c>
      <c r="AB11" s="1">
        <v>5.7116562652785368E-3</v>
      </c>
      <c r="AC11" s="1">
        <v>2.3295274797963819E-4</v>
      </c>
      <c r="AD11" s="1">
        <v>5.7519197032009433E-6</v>
      </c>
      <c r="AE11" s="3">
        <v>1.7531349938560929</v>
      </c>
      <c r="AF11" s="3">
        <v>4.1704380086853989</v>
      </c>
    </row>
    <row r="12" spans="1:32" x14ac:dyDescent="0.3">
      <c r="A12" t="s">
        <v>174</v>
      </c>
      <c r="B12" s="2">
        <v>243627</v>
      </c>
      <c r="C12" s="2">
        <v>232181620</v>
      </c>
      <c r="D12" s="2">
        <v>36345</v>
      </c>
      <c r="E12" s="2">
        <v>34773680</v>
      </c>
      <c r="F12" s="2">
        <v>0</v>
      </c>
      <c r="G12" s="2">
        <v>0</v>
      </c>
      <c r="H12" s="2">
        <v>0</v>
      </c>
      <c r="I12" s="2">
        <v>0</v>
      </c>
      <c r="J12">
        <v>10</v>
      </c>
      <c r="K12" s="2">
        <v>755605</v>
      </c>
      <c r="L12" s="2">
        <v>88080735</v>
      </c>
      <c r="M12" s="1">
        <v>0.26404247729330738</v>
      </c>
      <c r="N12" s="2">
        <v>364430</v>
      </c>
      <c r="O12" s="1">
        <v>1.7379026134213368E-2</v>
      </c>
      <c r="P12" s="1">
        <v>0.2409051541906275</v>
      </c>
      <c r="Q12" s="1">
        <v>0.36622377651081373</v>
      </c>
      <c r="R12" s="1">
        <v>0.24879426336161431</v>
      </c>
      <c r="S12" s="1">
        <v>0.1266977798027312</v>
      </c>
      <c r="T12" s="1">
        <v>0.11677139642729741</v>
      </c>
      <c r="U12" s="1">
        <v>0.1023927777625333</v>
      </c>
      <c r="V12" s="1">
        <v>3.5485552781055349E-2</v>
      </c>
      <c r="W12" s="1">
        <v>7.9247043327936775E-3</v>
      </c>
      <c r="X12" s="1">
        <v>1.4680459896276379E-3</v>
      </c>
      <c r="Y12" s="1">
        <v>2.482073005044597E-2</v>
      </c>
      <c r="Z12" s="1">
        <v>2.4381534066421212E-3</v>
      </c>
      <c r="AA12" s="1">
        <v>9.8511248753217005E-5</v>
      </c>
      <c r="AB12" s="1">
        <v>6.2728095930631401E-3</v>
      </c>
      <c r="AC12" s="1">
        <v>3.1830529868561862E-4</v>
      </c>
      <c r="AD12" s="1">
        <v>1.372005597782839E-5</v>
      </c>
      <c r="AE12" s="3">
        <v>1.816666461434898</v>
      </c>
      <c r="AF12" s="3">
        <v>4.1710369618308043</v>
      </c>
    </row>
    <row r="13" spans="1:32" x14ac:dyDescent="0.3">
      <c r="A13" t="s">
        <v>175</v>
      </c>
      <c r="B13" s="2">
        <v>908701</v>
      </c>
      <c r="C13" s="2">
        <v>1119011100</v>
      </c>
      <c r="D13" s="2">
        <v>152577</v>
      </c>
      <c r="E13" s="2">
        <v>191462990</v>
      </c>
      <c r="F13" s="2">
        <v>0</v>
      </c>
      <c r="G13" s="2">
        <v>0</v>
      </c>
      <c r="H13" s="2">
        <v>0</v>
      </c>
      <c r="I13" s="2">
        <v>0</v>
      </c>
      <c r="J13">
        <v>15</v>
      </c>
      <c r="K13" s="2">
        <v>787144</v>
      </c>
      <c r="L13" s="2">
        <v>126920645</v>
      </c>
      <c r="M13" s="1">
        <v>0.2771756924997304</v>
      </c>
      <c r="N13" s="2">
        <v>1530145</v>
      </c>
      <c r="O13" s="1">
        <v>3.0606327053673318E-2</v>
      </c>
      <c r="P13" s="1">
        <v>0.1791568403688342</v>
      </c>
      <c r="Q13" s="1">
        <v>0.31540297633655068</v>
      </c>
      <c r="R13" s="1">
        <v>0.28032763252158849</v>
      </c>
      <c r="S13" s="1">
        <v>0.19450622371935319</v>
      </c>
      <c r="T13" s="1">
        <v>0.1128049956049917</v>
      </c>
      <c r="U13" s="1">
        <v>0.10626705312241649</v>
      </c>
      <c r="V13" s="1">
        <v>4.3362557143277268E-2</v>
      </c>
      <c r="W13" s="1">
        <v>1.182436958588892E-2</v>
      </c>
      <c r="X13" s="1">
        <v>2.9167170431560409E-3</v>
      </c>
      <c r="Y13" s="1">
        <v>3.2693922423327373E-2</v>
      </c>
      <c r="Z13" s="1">
        <v>3.8285420616902591E-3</v>
      </c>
      <c r="AA13" s="1">
        <v>1.9258259867657241E-4</v>
      </c>
      <c r="AB13" s="1">
        <v>7.4809903636583464E-3</v>
      </c>
      <c r="AC13" s="1">
        <v>3.3460881158321602E-4</v>
      </c>
      <c r="AD13" s="1">
        <v>1.04565253619755E-5</v>
      </c>
      <c r="AE13" s="3">
        <v>1.871643147746068</v>
      </c>
      <c r="AF13" s="3">
        <v>4.1775073604135553</v>
      </c>
    </row>
    <row r="14" spans="1:32" x14ac:dyDescent="0.3">
      <c r="A14" t="s">
        <v>176</v>
      </c>
      <c r="B14" s="2">
        <v>286633</v>
      </c>
      <c r="C14" s="2">
        <v>497317950</v>
      </c>
      <c r="D14" s="2">
        <v>99235</v>
      </c>
      <c r="E14" s="2">
        <v>174184050</v>
      </c>
      <c r="F14" s="2">
        <v>0</v>
      </c>
      <c r="G14" s="2">
        <v>0</v>
      </c>
      <c r="H14" s="2">
        <v>0</v>
      </c>
      <c r="I14" s="2">
        <v>0</v>
      </c>
      <c r="J14">
        <v>20</v>
      </c>
      <c r="K14" s="2">
        <v>805753</v>
      </c>
      <c r="L14" s="2">
        <v>159181965</v>
      </c>
      <c r="M14" s="1">
        <v>0.29446575617593901</v>
      </c>
      <c r="N14" s="2">
        <v>995800</v>
      </c>
      <c r="O14" s="1">
        <v>1.321899432375198E-2</v>
      </c>
      <c r="P14" s="1">
        <v>0.1152937728733258</v>
      </c>
      <c r="Q14" s="1">
        <v>0.24312971639692571</v>
      </c>
      <c r="R14" s="1">
        <v>0.30072950427899092</v>
      </c>
      <c r="S14" s="1">
        <v>0.3276280121270056</v>
      </c>
      <c r="T14" s="1">
        <v>0.10909017875075321</v>
      </c>
      <c r="U14" s="1">
        <v>0.1097348865233983</v>
      </c>
      <c r="V14" s="1">
        <v>5.2286603735689899E-2</v>
      </c>
      <c r="W14" s="1">
        <v>1.765213898373167E-2</v>
      </c>
      <c r="X14" s="1">
        <v>5.7019481823659367E-3</v>
      </c>
      <c r="Y14" s="1">
        <v>4.4820380067891692E-2</v>
      </c>
      <c r="Z14" s="1">
        <v>6.5030893163034263E-3</v>
      </c>
      <c r="AA14" s="1">
        <v>2.6863620029794202E-4</v>
      </c>
      <c r="AB14" s="1">
        <v>9.7047599919662577E-3</v>
      </c>
      <c r="AC14" s="1">
        <v>4.1273348061859812E-4</v>
      </c>
      <c r="AD14" s="1">
        <v>1.7071701144808191E-5</v>
      </c>
      <c r="AE14" s="3">
        <v>1.9967868319418911</v>
      </c>
      <c r="AF14" s="3">
        <v>4.1841966258284797</v>
      </c>
    </row>
    <row r="15" spans="1:32" x14ac:dyDescent="0.3">
      <c r="A15" t="s">
        <v>177</v>
      </c>
      <c r="B15" s="2">
        <v>223855</v>
      </c>
      <c r="C15" s="2">
        <v>501879360</v>
      </c>
      <c r="D15" s="2">
        <v>88604</v>
      </c>
      <c r="E15" s="2">
        <v>199821190</v>
      </c>
      <c r="F15" s="2">
        <v>0</v>
      </c>
      <c r="G15" s="2">
        <v>0</v>
      </c>
      <c r="H15" s="2">
        <v>0</v>
      </c>
      <c r="I15" s="2">
        <v>0</v>
      </c>
      <c r="J15">
        <v>25</v>
      </c>
      <c r="K15" s="2">
        <v>817641</v>
      </c>
      <c r="L15" s="2">
        <v>185782820</v>
      </c>
      <c r="M15" s="1">
        <v>0.30788879020562337</v>
      </c>
      <c r="N15" s="2">
        <v>889490</v>
      </c>
      <c r="O15" s="1">
        <v>1.118134506711934E-2</v>
      </c>
      <c r="P15" s="1">
        <v>7.9211989904179048E-2</v>
      </c>
      <c r="Q15" s="1">
        <v>0.1782850505907842</v>
      </c>
      <c r="R15" s="1">
        <v>0.29032186013267519</v>
      </c>
      <c r="S15" s="1">
        <v>0.44099975430524219</v>
      </c>
      <c r="T15" s="1">
        <v>0.10683762605538009</v>
      </c>
      <c r="U15" s="1">
        <v>0.110040585054357</v>
      </c>
      <c r="V15" s="1">
        <v>5.9401454766214348E-2</v>
      </c>
      <c r="W15" s="1">
        <v>2.2802954502018011E-2</v>
      </c>
      <c r="X15" s="1">
        <v>8.8061698276540486E-3</v>
      </c>
      <c r="Y15" s="1">
        <v>5.7349623640302883E-2</v>
      </c>
      <c r="Z15" s="1">
        <v>9.800987246208483E-3</v>
      </c>
      <c r="AA15" s="1">
        <v>5.0925822519041347E-4</v>
      </c>
      <c r="AB15" s="1">
        <v>1.170108713982169E-2</v>
      </c>
      <c r="AC15" s="1">
        <v>5.3401387311830374E-4</v>
      </c>
      <c r="AD15" s="1">
        <v>2.2484794657612791E-5</v>
      </c>
      <c r="AE15" s="3">
        <v>2.0523329834044359</v>
      </c>
      <c r="AF15" s="3">
        <v>4.1904765652227676</v>
      </c>
    </row>
    <row r="16" spans="1:32" x14ac:dyDescent="0.3">
      <c r="A16" t="s">
        <v>178</v>
      </c>
      <c r="B16" s="2">
        <v>175357</v>
      </c>
      <c r="C16" s="2">
        <v>479689870</v>
      </c>
      <c r="D16" s="2">
        <v>64190</v>
      </c>
      <c r="E16" s="2">
        <v>176911540</v>
      </c>
      <c r="F16" s="2">
        <v>0</v>
      </c>
      <c r="G16" s="2">
        <v>0</v>
      </c>
      <c r="H16" s="2">
        <v>0</v>
      </c>
      <c r="I16" s="2">
        <v>0</v>
      </c>
      <c r="J16">
        <v>30</v>
      </c>
      <c r="K16" s="2">
        <v>825694</v>
      </c>
      <c r="L16" s="2">
        <v>207791630</v>
      </c>
      <c r="M16" s="1">
        <v>0.31876900167524969</v>
      </c>
      <c r="N16" s="2">
        <v>644680</v>
      </c>
      <c r="O16" s="1">
        <v>1.311610029824871E-3</v>
      </c>
      <c r="P16" s="1">
        <v>5.8229782671920707E-2</v>
      </c>
      <c r="Q16" s="1">
        <v>0.15356672388327811</v>
      </c>
      <c r="R16" s="1">
        <v>0.25960184081616361</v>
      </c>
      <c r="S16" s="1">
        <v>0.52729004259881274</v>
      </c>
      <c r="T16" s="1">
        <v>0.10519947881119319</v>
      </c>
      <c r="U16" s="1">
        <v>0.1102500465347149</v>
      </c>
      <c r="V16" s="1">
        <v>6.3721536266054479E-2</v>
      </c>
      <c r="W16" s="1">
        <v>2.7562511633678729E-2</v>
      </c>
      <c r="X16" s="1">
        <v>1.203542842960849E-2</v>
      </c>
      <c r="Y16" s="1">
        <v>6.9275820183967565E-2</v>
      </c>
      <c r="Z16" s="1">
        <v>1.263137485244387E-2</v>
      </c>
      <c r="AA16" s="1">
        <v>7.0712888564471339E-4</v>
      </c>
      <c r="AB16" s="1">
        <v>1.357572749270956E-2</v>
      </c>
      <c r="AC16" s="1">
        <v>6.7785568033753175E-4</v>
      </c>
      <c r="AD16" s="1">
        <v>2.7920828938388041E-5</v>
      </c>
      <c r="AE16" s="3">
        <v>2.1203544768671909</v>
      </c>
      <c r="AF16" s="3">
        <v>4.1993345535769686</v>
      </c>
    </row>
    <row r="17" spans="1:32" x14ac:dyDescent="0.3">
      <c r="A17" t="s">
        <v>179</v>
      </c>
      <c r="B17" s="2">
        <v>57978</v>
      </c>
      <c r="C17" s="2">
        <v>187939095</v>
      </c>
      <c r="D17" s="2">
        <v>51879</v>
      </c>
      <c r="E17" s="2">
        <v>168903310</v>
      </c>
      <c r="F17" s="2">
        <v>0</v>
      </c>
      <c r="G17" s="2">
        <v>0</v>
      </c>
      <c r="H17" s="2">
        <v>0</v>
      </c>
      <c r="I17" s="2">
        <v>0</v>
      </c>
      <c r="J17">
        <v>35</v>
      </c>
      <c r="K17" s="2">
        <v>831007</v>
      </c>
      <c r="L17" s="2">
        <v>225035180</v>
      </c>
      <c r="M17" s="1">
        <v>0.32770025988473012</v>
      </c>
      <c r="N17" s="2">
        <v>521385</v>
      </c>
      <c r="O17" s="1">
        <v>1.776535927420746E-3</v>
      </c>
      <c r="P17" s="1">
        <v>3.8652592362620301E-2</v>
      </c>
      <c r="Q17" s="1">
        <v>0.1050915864638311</v>
      </c>
      <c r="R17" s="1">
        <v>0.2390734416502811</v>
      </c>
      <c r="S17" s="1">
        <v>0.61540584359584671</v>
      </c>
      <c r="T17" s="1">
        <v>0.1038004545585316</v>
      </c>
      <c r="U17" s="1">
        <v>0.1097710904609837</v>
      </c>
      <c r="V17" s="1">
        <v>6.6962033813784433E-2</v>
      </c>
      <c r="W17" s="1">
        <v>3.1886226109305027E-2</v>
      </c>
      <c r="X17" s="1">
        <v>1.52804549421253E-2</v>
      </c>
      <c r="Y17" s="1">
        <v>7.6529028252095621E-2</v>
      </c>
      <c r="Z17" s="1">
        <v>1.4608989616751181E-2</v>
      </c>
      <c r="AA17" s="1">
        <v>1.1211149056538691E-3</v>
      </c>
      <c r="AB17" s="1">
        <v>1.54703338224153E-2</v>
      </c>
      <c r="AC17" s="1">
        <v>7.1732021442887691E-4</v>
      </c>
      <c r="AD17" s="1">
        <v>1.917968487777746E-5</v>
      </c>
      <c r="AE17" s="3">
        <v>2.1459864086377589</v>
      </c>
      <c r="AF17" s="3">
        <v>4.2020579801873854</v>
      </c>
    </row>
    <row r="18" spans="1:32" x14ac:dyDescent="0.3">
      <c r="A18" t="s">
        <v>180</v>
      </c>
      <c r="B18" s="2">
        <v>45687</v>
      </c>
      <c r="C18" s="2">
        <v>170950025</v>
      </c>
      <c r="D18" s="2">
        <v>45238</v>
      </c>
      <c r="E18" s="2">
        <v>169886820</v>
      </c>
      <c r="F18" s="2">
        <v>0</v>
      </c>
      <c r="G18" s="2">
        <v>0</v>
      </c>
      <c r="H18" s="2">
        <v>0</v>
      </c>
      <c r="I18" s="2">
        <v>0</v>
      </c>
      <c r="J18">
        <v>40</v>
      </c>
      <c r="K18" s="2">
        <v>834931</v>
      </c>
      <c r="L18" s="2">
        <v>239712070</v>
      </c>
      <c r="M18" s="1">
        <v>0.33505365467499337</v>
      </c>
      <c r="N18" s="2">
        <v>454760</v>
      </c>
      <c r="O18" s="1">
        <v>5.3625757874231194E-3</v>
      </c>
      <c r="P18" s="1">
        <v>4.1368441788692617E-2</v>
      </c>
      <c r="Q18" s="1">
        <v>0.1022172609276162</v>
      </c>
      <c r="R18" s="1">
        <v>0.20541948475496311</v>
      </c>
      <c r="S18" s="1">
        <v>0.64563223674130499</v>
      </c>
      <c r="T18" s="1">
        <v>0.10212199841674729</v>
      </c>
      <c r="U18" s="1">
        <v>0.1091344885214179</v>
      </c>
      <c r="V18" s="1">
        <v>6.9080394054006511E-2</v>
      </c>
      <c r="W18" s="1">
        <v>3.5526431524320522E-2</v>
      </c>
      <c r="X18" s="1">
        <v>1.919034215850119E-2</v>
      </c>
      <c r="Y18" s="1">
        <v>8.5341563245562191E-2</v>
      </c>
      <c r="Z18" s="1">
        <v>1.7576115744084748E-2</v>
      </c>
      <c r="AA18" s="1">
        <v>9.8496289973077689E-4</v>
      </c>
      <c r="AB18" s="1">
        <v>1.71343126044507E-2</v>
      </c>
      <c r="AC18" s="1">
        <v>7.8063154191221741E-4</v>
      </c>
      <c r="AD18" s="1">
        <v>3.2984431348403551E-5</v>
      </c>
      <c r="AE18" s="3">
        <v>2.1700702606868481</v>
      </c>
      <c r="AF18" s="3">
        <v>4.2092180490808344</v>
      </c>
    </row>
    <row r="19" spans="1:32" x14ac:dyDescent="0.3">
      <c r="A19" t="s">
        <v>181</v>
      </c>
      <c r="B19" s="2">
        <v>38329</v>
      </c>
      <c r="C19" s="2">
        <v>162548870</v>
      </c>
      <c r="D19" s="2">
        <v>43137</v>
      </c>
      <c r="E19" s="2">
        <v>183555390</v>
      </c>
      <c r="F19" s="2">
        <v>0</v>
      </c>
      <c r="G19" s="2">
        <v>0</v>
      </c>
      <c r="H19" s="2">
        <v>0</v>
      </c>
      <c r="I19" s="2">
        <v>0</v>
      </c>
      <c r="J19">
        <v>45</v>
      </c>
      <c r="K19" s="2">
        <v>837670</v>
      </c>
      <c r="L19" s="2">
        <v>251317725</v>
      </c>
      <c r="M19" s="1">
        <v>0.34297241530356998</v>
      </c>
      <c r="N19" s="2">
        <v>433755</v>
      </c>
      <c r="O19" s="1">
        <v>1.304495290772E-4</v>
      </c>
      <c r="P19" s="1">
        <v>2.1028464087244649E-2</v>
      </c>
      <c r="Q19" s="1">
        <v>7.404315270421874E-2</v>
      </c>
      <c r="R19" s="1">
        <v>0.192647864541209</v>
      </c>
      <c r="S19" s="1">
        <v>0.71215006913825041</v>
      </c>
      <c r="T19" s="1">
        <v>0.10142130926444649</v>
      </c>
      <c r="U19" s="1">
        <v>0.1086212262682851</v>
      </c>
      <c r="V19" s="1">
        <v>7.1800901430531056E-2</v>
      </c>
      <c r="W19" s="1">
        <v>3.8657767633802492E-2</v>
      </c>
      <c r="X19" s="1">
        <v>2.2471210706504829E-2</v>
      </c>
      <c r="Y19" s="1">
        <v>9.7419708314852985E-2</v>
      </c>
      <c r="Z19" s="1">
        <v>2.0324036630227769E-2</v>
      </c>
      <c r="AA19" s="1">
        <v>1.59148425474184E-3</v>
      </c>
      <c r="AB19" s="1">
        <v>1.857730746619635E-2</v>
      </c>
      <c r="AC19" s="1">
        <v>1.0051757328445781E-3</v>
      </c>
      <c r="AD19" s="1">
        <v>4.8414427499394819E-5</v>
      </c>
      <c r="AE19" s="3">
        <v>2.191969526990007</v>
      </c>
      <c r="AF19" s="3">
        <v>4.2175513826929949</v>
      </c>
    </row>
    <row r="20" spans="1:32" x14ac:dyDescent="0.3">
      <c r="A20" t="s">
        <v>182</v>
      </c>
      <c r="B20" s="2">
        <v>32370</v>
      </c>
      <c r="C20" s="2">
        <v>153714050</v>
      </c>
      <c r="D20" s="2">
        <v>33536</v>
      </c>
      <c r="E20" s="2">
        <v>159495220</v>
      </c>
      <c r="F20" s="2">
        <v>0</v>
      </c>
      <c r="G20" s="2">
        <v>0</v>
      </c>
      <c r="H20" s="2">
        <v>0</v>
      </c>
      <c r="I20" s="2">
        <v>0</v>
      </c>
      <c r="J20">
        <v>50</v>
      </c>
      <c r="K20" s="2">
        <v>839786</v>
      </c>
      <c r="L20" s="2">
        <v>261349215</v>
      </c>
      <c r="M20" s="1">
        <v>0.34972437911208581</v>
      </c>
      <c r="N20" s="2">
        <v>337420</v>
      </c>
      <c r="O20" s="1">
        <v>2.0389249304911951E-3</v>
      </c>
      <c r="P20" s="1">
        <v>2.8730305838739569E-2</v>
      </c>
      <c r="Q20" s="1">
        <v>6.2341674389867159E-2</v>
      </c>
      <c r="R20" s="1">
        <v>0.1714859437751004</v>
      </c>
      <c r="S20" s="1">
        <v>0.73540315106580167</v>
      </c>
      <c r="T20" s="1">
        <v>0.1008564993183569</v>
      </c>
      <c r="U20" s="1">
        <v>0.1080137514077411</v>
      </c>
      <c r="V20" s="1">
        <v>7.2675004445498195E-2</v>
      </c>
      <c r="W20" s="1">
        <v>4.1316460197972853E-2</v>
      </c>
      <c r="X20" s="1">
        <v>2.6862663742516741E-2</v>
      </c>
      <c r="Y20" s="1">
        <v>0.10917516218721041</v>
      </c>
      <c r="Z20" s="1">
        <v>2.5146740809391409E-2</v>
      </c>
      <c r="AA20" s="1">
        <v>2.3169601482854489E-3</v>
      </c>
      <c r="AB20" s="1">
        <v>1.9954359551893779E-2</v>
      </c>
      <c r="AC20" s="1">
        <v>1.069883231580819E-3</v>
      </c>
      <c r="AD20" s="1">
        <v>4.1491316460197971E-5</v>
      </c>
      <c r="AE20" s="3">
        <v>2.2079085573061481</v>
      </c>
      <c r="AF20" s="3">
        <v>4.2238604706300764</v>
      </c>
    </row>
    <row r="21" spans="1:32" x14ac:dyDescent="0.3">
      <c r="A21" t="s">
        <v>183</v>
      </c>
      <c r="B21" s="2">
        <v>32215</v>
      </c>
      <c r="C21" s="2">
        <v>175919215</v>
      </c>
      <c r="D21" s="2">
        <v>35869</v>
      </c>
      <c r="E21" s="2">
        <v>197395770</v>
      </c>
      <c r="F21" s="2">
        <v>0</v>
      </c>
      <c r="G21" s="2">
        <v>0</v>
      </c>
      <c r="H21" s="2">
        <v>0</v>
      </c>
      <c r="I21" s="2">
        <v>0</v>
      </c>
      <c r="J21">
        <v>60</v>
      </c>
      <c r="K21" s="2">
        <v>842493</v>
      </c>
      <c r="L21" s="2">
        <v>276101380</v>
      </c>
      <c r="M21" s="1">
        <v>0.35717033613329091</v>
      </c>
      <c r="N21" s="2">
        <v>361315</v>
      </c>
      <c r="O21" s="1">
        <v>7.7603600807077443E-4</v>
      </c>
      <c r="P21" s="1">
        <v>2.0145894769517309E-2</v>
      </c>
      <c r="Q21" s="1">
        <v>6.0251435666614929E-2</v>
      </c>
      <c r="R21" s="1">
        <v>0.14620518392053389</v>
      </c>
      <c r="S21" s="1">
        <v>0.77262144963526302</v>
      </c>
      <c r="T21" s="1">
        <v>9.9049306007223614E-2</v>
      </c>
      <c r="U21" s="1">
        <v>0.1071613412119619</v>
      </c>
      <c r="V21" s="1">
        <v>7.4428130578581012E-2</v>
      </c>
      <c r="W21" s="1">
        <v>4.4780869878084217E-2</v>
      </c>
      <c r="X21" s="1">
        <v>3.1750688457440182E-2</v>
      </c>
      <c r="Y21" s="1">
        <v>0.1200372497283874</v>
      </c>
      <c r="Z21" s="1">
        <v>2.5671271146981221E-2</v>
      </c>
      <c r="AA21" s="1">
        <v>2.483315225826478E-3</v>
      </c>
      <c r="AB21" s="1">
        <v>2.246792964587687E-2</v>
      </c>
      <c r="AC21" s="1">
        <v>1.201167955938724E-3</v>
      </c>
      <c r="AD21" s="1">
        <v>3.8747353417378188E-5</v>
      </c>
      <c r="AE21" s="3">
        <v>2.2631382896166379</v>
      </c>
      <c r="AF21" s="3">
        <v>4.2299600071959373</v>
      </c>
    </row>
    <row r="22" spans="1:32" x14ac:dyDescent="0.3">
      <c r="A22" t="s">
        <v>184</v>
      </c>
      <c r="B22" s="2">
        <v>11484</v>
      </c>
      <c r="C22" s="2">
        <v>74275190</v>
      </c>
      <c r="D22" s="2">
        <v>14053</v>
      </c>
      <c r="E22" s="2">
        <v>91451630</v>
      </c>
      <c r="F22" s="2">
        <v>0</v>
      </c>
      <c r="G22" s="2">
        <v>0</v>
      </c>
      <c r="H22" s="2">
        <v>0</v>
      </c>
      <c r="I22" s="2">
        <v>0</v>
      </c>
      <c r="J22">
        <v>70</v>
      </c>
      <c r="K22" s="2">
        <v>844079</v>
      </c>
      <c r="L22" s="2">
        <v>286337075</v>
      </c>
      <c r="M22" s="1">
        <v>0.36788806049256212</v>
      </c>
      <c r="N22" s="2">
        <v>141505</v>
      </c>
      <c r="O22" s="1">
        <v>0</v>
      </c>
      <c r="P22" s="1">
        <v>1.175548589341693E-2</v>
      </c>
      <c r="Q22" s="1">
        <v>3.274120515499826E-2</v>
      </c>
      <c r="R22" s="1">
        <v>0.13235806339254619</v>
      </c>
      <c r="S22" s="1">
        <v>0.82314524555903867</v>
      </c>
      <c r="T22" s="1">
        <v>9.7254513974771209E-2</v>
      </c>
      <c r="U22" s="1">
        <v>0.1077771103494576</v>
      </c>
      <c r="V22" s="1">
        <v>7.5283558884845059E-2</v>
      </c>
      <c r="W22" s="1">
        <v>4.8768594749302147E-2</v>
      </c>
      <c r="X22" s="1">
        <v>3.8804282534186073E-2</v>
      </c>
      <c r="Y22" s="1">
        <v>0.1289620341344479</v>
      </c>
      <c r="Z22" s="1">
        <v>2.960640891675374E-2</v>
      </c>
      <c r="AA22" s="1">
        <v>3.134796238244514E-3</v>
      </c>
      <c r="AB22" s="1">
        <v>2.5080385852090031E-2</v>
      </c>
      <c r="AC22" s="1">
        <v>1.420444507261227E-3</v>
      </c>
      <c r="AD22" s="1">
        <v>7.773576905409703E-5</v>
      </c>
      <c r="AE22" s="3">
        <v>2.2588819226750259</v>
      </c>
      <c r="AF22" s="3">
        <v>4.2405780714462384</v>
      </c>
    </row>
    <row r="23" spans="1:32" x14ac:dyDescent="0.3">
      <c r="A23" t="s">
        <v>185</v>
      </c>
      <c r="B23" s="2">
        <v>0</v>
      </c>
      <c r="C23" s="2">
        <v>0</v>
      </c>
      <c r="D23" s="2">
        <v>9458</v>
      </c>
      <c r="E23" s="2">
        <v>70916370</v>
      </c>
      <c r="F23" s="2">
        <v>0</v>
      </c>
      <c r="G23" s="2">
        <v>0</v>
      </c>
      <c r="H23" s="2">
        <v>0</v>
      </c>
      <c r="I23" s="2">
        <v>0</v>
      </c>
      <c r="J23">
        <v>80</v>
      </c>
      <c r="K23" s="2">
        <v>844079</v>
      </c>
      <c r="L23" s="2">
        <v>286337075</v>
      </c>
      <c r="M23" s="1">
        <v>0.37428826089236089</v>
      </c>
      <c r="N23" s="2">
        <v>95365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9.738373617155141E-2</v>
      </c>
      <c r="U23" s="1">
        <v>0.1046924972474178</v>
      </c>
      <c r="V23" s="1">
        <v>7.5939810202904634E-2</v>
      </c>
      <c r="W23" s="1">
        <v>5.0070780684737588E-2</v>
      </c>
      <c r="X23" s="1">
        <v>4.6201436585749489E-2</v>
      </c>
      <c r="Y23" s="1">
        <v>0</v>
      </c>
      <c r="Z23" s="1">
        <v>0</v>
      </c>
      <c r="AA23" s="1">
        <v>0</v>
      </c>
      <c r="AB23" s="1">
        <v>2.774602841713417E-2</v>
      </c>
      <c r="AC23" s="1">
        <v>1.583390132648246E-3</v>
      </c>
      <c r="AD23" s="1">
        <v>7.3402191579720024E-5</v>
      </c>
      <c r="AE23" s="3">
        <v>0</v>
      </c>
      <c r="AF23" s="3">
        <v>4.256163162585854</v>
      </c>
    </row>
    <row r="24" spans="1:32" x14ac:dyDescent="0.3">
      <c r="A24" t="s">
        <v>186</v>
      </c>
      <c r="B24" s="2">
        <v>0</v>
      </c>
      <c r="C24" s="2">
        <v>0</v>
      </c>
      <c r="D24" s="2">
        <v>6168</v>
      </c>
      <c r="E24" s="2">
        <v>52411040</v>
      </c>
      <c r="F24" s="2">
        <v>0</v>
      </c>
      <c r="G24" s="2">
        <v>0</v>
      </c>
      <c r="H24" s="2">
        <v>0</v>
      </c>
      <c r="I24" s="2">
        <v>0</v>
      </c>
      <c r="J24">
        <v>90</v>
      </c>
      <c r="K24" s="2">
        <v>844079</v>
      </c>
      <c r="L24" s="2">
        <v>286337075</v>
      </c>
      <c r="M24" s="1">
        <v>0.38499638176409101</v>
      </c>
      <c r="N24" s="2">
        <v>62185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9.7161694942510257E-2</v>
      </c>
      <c r="U24" s="1">
        <v>0.1043499236150197</v>
      </c>
      <c r="V24" s="1">
        <v>7.7044303288574409E-2</v>
      </c>
      <c r="W24" s="1">
        <v>5.2166921283267671E-2</v>
      </c>
      <c r="X24" s="1">
        <v>5.4273538634718982E-2</v>
      </c>
      <c r="Y24" s="1">
        <v>0</v>
      </c>
      <c r="Z24" s="1">
        <v>0</v>
      </c>
      <c r="AA24" s="1">
        <v>0</v>
      </c>
      <c r="AB24" s="1">
        <v>2.9910750180911799E-2</v>
      </c>
      <c r="AC24" s="1">
        <v>2.058374205998231E-3</v>
      </c>
      <c r="AD24" s="1">
        <v>8.0405242421805896E-5</v>
      </c>
      <c r="AE24" s="3">
        <v>0</v>
      </c>
      <c r="AF24" s="3">
        <v>4.2569269116346389</v>
      </c>
    </row>
    <row r="25" spans="1:32" x14ac:dyDescent="0.3">
      <c r="A25" t="s">
        <v>187</v>
      </c>
      <c r="B25" s="2">
        <v>0</v>
      </c>
      <c r="C25" s="2">
        <v>0</v>
      </c>
      <c r="D25" s="2">
        <v>4826</v>
      </c>
      <c r="E25" s="2">
        <v>45871520</v>
      </c>
      <c r="F25" s="2">
        <v>0</v>
      </c>
      <c r="G25" s="2">
        <v>0</v>
      </c>
      <c r="H25" s="2">
        <v>0</v>
      </c>
      <c r="I25" s="2">
        <v>0</v>
      </c>
      <c r="J25">
        <v>100</v>
      </c>
      <c r="K25" s="2">
        <v>844079</v>
      </c>
      <c r="L25" s="2">
        <v>286337075</v>
      </c>
      <c r="M25" s="1">
        <v>0.39168804515135969</v>
      </c>
      <c r="N25" s="2">
        <v>48725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9.4838378655720881E-2</v>
      </c>
      <c r="U25" s="1">
        <v>0.1042791174961519</v>
      </c>
      <c r="V25" s="1">
        <v>7.8173422267829654E-2</v>
      </c>
      <c r="W25" s="1">
        <v>5.4263724987172912E-2</v>
      </c>
      <c r="X25" s="1">
        <v>6.0133401744484352E-2</v>
      </c>
      <c r="Y25" s="1">
        <v>0</v>
      </c>
      <c r="Z25" s="1">
        <v>0</v>
      </c>
      <c r="AA25" s="1">
        <v>0</v>
      </c>
      <c r="AB25" s="1">
        <v>3.1688045151359673E-2</v>
      </c>
      <c r="AC25" s="1">
        <v>2.011287839917907E-3</v>
      </c>
      <c r="AD25" s="1">
        <v>1.2314007183170859E-4</v>
      </c>
      <c r="AE25" s="3">
        <v>0</v>
      </c>
      <c r="AF25" s="3">
        <v>4.277167778347871</v>
      </c>
    </row>
    <row r="26" spans="1:32" x14ac:dyDescent="0.3">
      <c r="A26" t="s">
        <v>188</v>
      </c>
      <c r="B26" s="2">
        <v>0</v>
      </c>
      <c r="C26" s="2">
        <v>0</v>
      </c>
      <c r="D26" s="2">
        <v>4869</v>
      </c>
      <c r="E26" s="2">
        <v>53542510</v>
      </c>
      <c r="F26" s="2">
        <v>0</v>
      </c>
      <c r="G26" s="2">
        <v>0</v>
      </c>
      <c r="H26" s="2">
        <v>0</v>
      </c>
      <c r="I26" s="2">
        <v>0</v>
      </c>
      <c r="J26">
        <v>120</v>
      </c>
      <c r="K26" s="2">
        <v>844079</v>
      </c>
      <c r="L26" s="2">
        <v>286337075</v>
      </c>
      <c r="M26" s="1">
        <v>0.39969540054827901</v>
      </c>
      <c r="N26" s="2">
        <v>49245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9.3755711239719763E-2</v>
      </c>
      <c r="U26" s="1">
        <v>0.10236572240836631</v>
      </c>
      <c r="V26" s="1">
        <v>7.7185501066098075E-2</v>
      </c>
      <c r="W26" s="1">
        <v>5.884861407249467E-2</v>
      </c>
      <c r="X26" s="1">
        <v>6.7539851761600156E-2</v>
      </c>
      <c r="Y26" s="1">
        <v>0</v>
      </c>
      <c r="Z26" s="1">
        <v>0</v>
      </c>
      <c r="AA26" s="1">
        <v>0</v>
      </c>
      <c r="AB26" s="1">
        <v>3.6328561275256369E-2</v>
      </c>
      <c r="AC26" s="1">
        <v>3.0663011473246009E-3</v>
      </c>
      <c r="AD26" s="1">
        <v>1.421464108031272E-4</v>
      </c>
      <c r="AE26" s="3">
        <v>0</v>
      </c>
      <c r="AF26" s="3">
        <v>4.2842928216062548</v>
      </c>
    </row>
    <row r="27" spans="1:32" x14ac:dyDescent="0.3">
      <c r="A27" t="s">
        <v>189</v>
      </c>
      <c r="B27" s="2">
        <v>0</v>
      </c>
      <c r="C27" s="2">
        <v>0</v>
      </c>
      <c r="D27" s="2">
        <v>2307</v>
      </c>
      <c r="E27" s="2">
        <v>30011310</v>
      </c>
      <c r="F27" s="2">
        <v>0</v>
      </c>
      <c r="G27" s="2">
        <v>0</v>
      </c>
      <c r="H27" s="2">
        <v>0</v>
      </c>
      <c r="I27" s="2">
        <v>0</v>
      </c>
      <c r="J27">
        <v>140</v>
      </c>
      <c r="K27" s="2">
        <v>844079</v>
      </c>
      <c r="L27" s="2">
        <v>286337075</v>
      </c>
      <c r="M27" s="1">
        <v>0.40871422469030327</v>
      </c>
      <c r="N27" s="2">
        <v>23410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8.9278086287911146E-2</v>
      </c>
      <c r="U27" s="1">
        <v>0.102648440837249</v>
      </c>
      <c r="V27" s="1">
        <v>7.8428022212729598E-2</v>
      </c>
      <c r="W27" s="1">
        <v>5.9162750961127733E-2</v>
      </c>
      <c r="X27" s="1">
        <v>7.919692439128577E-2</v>
      </c>
      <c r="Y27" s="1">
        <v>0</v>
      </c>
      <c r="Z27" s="1">
        <v>0</v>
      </c>
      <c r="AA27" s="1">
        <v>0</v>
      </c>
      <c r="AB27" s="1">
        <v>4.1606151217428451E-2</v>
      </c>
      <c r="AC27" s="1">
        <v>3.118325501922255E-3</v>
      </c>
      <c r="AD27" s="1">
        <v>1.708671507902606E-4</v>
      </c>
      <c r="AE27" s="3">
        <v>0</v>
      </c>
      <c r="AF27" s="3">
        <v>4.3093122597180704</v>
      </c>
    </row>
    <row r="28" spans="1:32" x14ac:dyDescent="0.3">
      <c r="A28" t="s">
        <v>190</v>
      </c>
      <c r="B28" s="2">
        <v>0</v>
      </c>
      <c r="C28" s="2">
        <v>0</v>
      </c>
      <c r="D28" s="2">
        <v>1305</v>
      </c>
      <c r="E28" s="2">
        <v>19562350</v>
      </c>
      <c r="F28" s="2">
        <v>0</v>
      </c>
      <c r="G28" s="2">
        <v>0</v>
      </c>
      <c r="H28" s="2">
        <v>0</v>
      </c>
      <c r="I28" s="2">
        <v>0</v>
      </c>
      <c r="J28">
        <v>160</v>
      </c>
      <c r="K28" s="2">
        <v>844079</v>
      </c>
      <c r="L28" s="2">
        <v>286337075</v>
      </c>
      <c r="M28" s="1">
        <v>0.42092494313874151</v>
      </c>
      <c r="N28" s="2">
        <v>13190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8.9385898407884759E-2</v>
      </c>
      <c r="U28" s="1">
        <v>9.8711144806671716E-2</v>
      </c>
      <c r="V28" s="1">
        <v>7.884761182714177E-2</v>
      </c>
      <c r="W28" s="1">
        <v>6.3836239575435938E-2</v>
      </c>
      <c r="X28" s="1">
        <v>9.0144048521607276E-2</v>
      </c>
      <c r="Y28" s="1">
        <v>0</v>
      </c>
      <c r="Z28" s="1">
        <v>0</v>
      </c>
      <c r="AA28" s="1">
        <v>0</v>
      </c>
      <c r="AB28" s="1">
        <v>4.7990902198635332E-2</v>
      </c>
      <c r="AC28" s="1">
        <v>3.2600454890068229E-3</v>
      </c>
      <c r="AD28" s="1">
        <v>1.5163002274450339E-4</v>
      </c>
      <c r="AE28" s="3">
        <v>0</v>
      </c>
      <c r="AF28" s="3">
        <v>4.3285064442759662</v>
      </c>
    </row>
    <row r="29" spans="1:32" x14ac:dyDescent="0.3">
      <c r="A29" t="s">
        <v>191</v>
      </c>
      <c r="B29" s="2">
        <v>0</v>
      </c>
      <c r="C29" s="2">
        <v>0</v>
      </c>
      <c r="D29" s="2">
        <v>392</v>
      </c>
      <c r="E29" s="2">
        <v>6656340</v>
      </c>
      <c r="F29" s="2">
        <v>0</v>
      </c>
      <c r="G29" s="2">
        <v>0</v>
      </c>
      <c r="H29" s="2">
        <v>0</v>
      </c>
      <c r="I29" s="2">
        <v>0</v>
      </c>
      <c r="J29">
        <v>180</v>
      </c>
      <c r="K29" s="2">
        <v>844079</v>
      </c>
      <c r="L29" s="2">
        <v>286337075</v>
      </c>
      <c r="M29" s="1">
        <v>0.43341645885286778</v>
      </c>
      <c r="N29" s="2">
        <v>4010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9.2518703241895262E-2</v>
      </c>
      <c r="U29" s="1">
        <v>9.6009975062344141E-2</v>
      </c>
      <c r="V29" s="1">
        <v>8.2294264339152115E-2</v>
      </c>
      <c r="W29" s="1">
        <v>6.3092269326683298E-2</v>
      </c>
      <c r="X29" s="1">
        <v>9.9501246882793021E-2</v>
      </c>
      <c r="Y29" s="1">
        <v>0</v>
      </c>
      <c r="Z29" s="1">
        <v>0</v>
      </c>
      <c r="AA29" s="1">
        <v>0</v>
      </c>
      <c r="AB29" s="1">
        <v>4.8877805486284287E-2</v>
      </c>
      <c r="AC29" s="1">
        <v>2.9925187032418948E-3</v>
      </c>
      <c r="AD29" s="1">
        <v>2.4937655860349131E-4</v>
      </c>
      <c r="AE29" s="3">
        <v>0</v>
      </c>
      <c r="AF29" s="3">
        <v>4.3598503740648384</v>
      </c>
    </row>
    <row r="30" spans="1:32" x14ac:dyDescent="0.3">
      <c r="A30" t="s">
        <v>192</v>
      </c>
      <c r="B30" s="2">
        <v>0</v>
      </c>
      <c r="C30" s="2">
        <v>0</v>
      </c>
      <c r="D30" s="2">
        <v>235</v>
      </c>
      <c r="E30" s="2">
        <v>4462950</v>
      </c>
      <c r="F30" s="2">
        <v>0</v>
      </c>
      <c r="G30" s="2">
        <v>0</v>
      </c>
      <c r="H30" s="2">
        <v>0</v>
      </c>
      <c r="I30" s="2">
        <v>0</v>
      </c>
      <c r="J30">
        <v>200</v>
      </c>
      <c r="K30" s="2">
        <v>844079</v>
      </c>
      <c r="L30" s="2">
        <v>286337075</v>
      </c>
      <c r="M30" s="1">
        <v>0.42333333333333328</v>
      </c>
      <c r="N30" s="2">
        <v>2400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7.9166666666666663E-2</v>
      </c>
      <c r="U30" s="1">
        <v>9.6666666666666665E-2</v>
      </c>
      <c r="V30" s="1">
        <v>7.3749999999999996E-2</v>
      </c>
      <c r="W30" s="1">
        <v>6.3750000000000001E-2</v>
      </c>
      <c r="X30" s="1">
        <v>0.11</v>
      </c>
      <c r="Y30" s="1">
        <v>0</v>
      </c>
      <c r="Z30" s="1">
        <v>0</v>
      </c>
      <c r="AA30" s="1">
        <v>0</v>
      </c>
      <c r="AB30" s="1">
        <v>5.1666666666666673E-2</v>
      </c>
      <c r="AC30" s="1">
        <v>4.1666666666666666E-3</v>
      </c>
      <c r="AD30" s="1">
        <v>4.1666666666666669E-4</v>
      </c>
      <c r="AE30" s="3">
        <v>0</v>
      </c>
      <c r="AF30" s="3">
        <v>4.3820833333333331</v>
      </c>
    </row>
    <row r="31" spans="1:32" x14ac:dyDescent="0.3">
      <c r="A31" t="s">
        <v>193</v>
      </c>
      <c r="B31" s="2">
        <v>0</v>
      </c>
      <c r="C31" s="2">
        <v>0</v>
      </c>
      <c r="D31" s="2">
        <v>349</v>
      </c>
      <c r="E31" s="2">
        <v>7809890</v>
      </c>
      <c r="F31" s="2">
        <v>0</v>
      </c>
      <c r="G31" s="2">
        <v>0</v>
      </c>
      <c r="H31" s="2">
        <v>0</v>
      </c>
      <c r="I31" s="2">
        <v>0</v>
      </c>
      <c r="J31">
        <v>250</v>
      </c>
      <c r="K31" s="2">
        <v>844079</v>
      </c>
      <c r="L31" s="2">
        <v>286337075</v>
      </c>
      <c r="M31" s="1">
        <v>0.45266106442577031</v>
      </c>
      <c r="N31" s="2">
        <v>3570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7.9271708683473385E-2</v>
      </c>
      <c r="U31" s="1">
        <v>9.9719887955182079E-2</v>
      </c>
      <c r="V31" s="1">
        <v>8.4873949579831937E-2</v>
      </c>
      <c r="W31" s="1">
        <v>6.8907563025210089E-2</v>
      </c>
      <c r="X31" s="1">
        <v>0.11988795518207281</v>
      </c>
      <c r="Y31" s="1">
        <v>0</v>
      </c>
      <c r="Z31" s="1">
        <v>0</v>
      </c>
      <c r="AA31" s="1">
        <v>0</v>
      </c>
      <c r="AB31" s="1">
        <v>5.6582633053221289E-2</v>
      </c>
      <c r="AC31" s="1">
        <v>4.2016806722689074E-3</v>
      </c>
      <c r="AD31" s="1">
        <v>0</v>
      </c>
      <c r="AE31" s="3">
        <v>0</v>
      </c>
      <c r="AF31" s="3">
        <v>4.3789915966386559</v>
      </c>
    </row>
    <row r="32" spans="1:32" x14ac:dyDescent="0.3">
      <c r="A32" t="s">
        <v>194</v>
      </c>
      <c r="B32" s="2">
        <v>0</v>
      </c>
      <c r="C32" s="2">
        <v>0</v>
      </c>
      <c r="D32" s="2">
        <v>170</v>
      </c>
      <c r="E32" s="2">
        <v>4629180</v>
      </c>
      <c r="F32" s="2">
        <v>0</v>
      </c>
      <c r="G32" s="2">
        <v>0</v>
      </c>
      <c r="H32" s="2">
        <v>0</v>
      </c>
      <c r="I32" s="2">
        <v>0</v>
      </c>
      <c r="J32">
        <v>300</v>
      </c>
      <c r="K32" s="2">
        <v>844079</v>
      </c>
      <c r="L32" s="2">
        <v>286337075</v>
      </c>
      <c r="M32" s="1">
        <v>0.45681159420289857</v>
      </c>
      <c r="N32" s="2">
        <v>1725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8.2898550724637685E-2</v>
      </c>
      <c r="U32" s="1">
        <v>8.4637681159420289E-2</v>
      </c>
      <c r="V32" s="1">
        <v>8.6376811594202893E-2</v>
      </c>
      <c r="W32" s="1">
        <v>5.565217391304348E-2</v>
      </c>
      <c r="X32" s="1">
        <v>0.14724637681159419</v>
      </c>
      <c r="Y32" s="1">
        <v>0</v>
      </c>
      <c r="Z32" s="1">
        <v>0</v>
      </c>
      <c r="AA32" s="1">
        <v>0</v>
      </c>
      <c r="AB32" s="1">
        <v>5.9130434782608703E-2</v>
      </c>
      <c r="AC32" s="1">
        <v>4.0579710144927538E-3</v>
      </c>
      <c r="AD32" s="1">
        <v>0</v>
      </c>
      <c r="AE32" s="3">
        <v>0</v>
      </c>
      <c r="AF32" s="3">
        <v>4.4881159420289851</v>
      </c>
    </row>
    <row r="33" spans="1:32" x14ac:dyDescent="0.3">
      <c r="A33" t="s">
        <v>195</v>
      </c>
      <c r="B33" s="2">
        <v>0</v>
      </c>
      <c r="C33" s="2">
        <v>0</v>
      </c>
      <c r="D33" s="2">
        <v>141</v>
      </c>
      <c r="E33" s="2">
        <v>4588390</v>
      </c>
      <c r="F33" s="2">
        <v>0</v>
      </c>
      <c r="G33" s="2">
        <v>0</v>
      </c>
      <c r="H33" s="2">
        <v>0</v>
      </c>
      <c r="I33" s="2">
        <v>0</v>
      </c>
      <c r="J33">
        <v>350</v>
      </c>
      <c r="K33" s="2">
        <v>844079</v>
      </c>
      <c r="L33" s="2">
        <v>286337075</v>
      </c>
      <c r="M33" s="1">
        <v>0.46416382252559729</v>
      </c>
      <c r="N33" s="2">
        <v>1465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8.8737201365187715E-2</v>
      </c>
      <c r="U33" s="1">
        <v>8.7372013651877134E-2</v>
      </c>
      <c r="V33" s="1">
        <v>8.0546075085324229E-2</v>
      </c>
      <c r="W33" s="1">
        <v>6.4163822525597269E-2</v>
      </c>
      <c r="X33" s="1">
        <v>0.14334470989761089</v>
      </c>
      <c r="Y33" s="1">
        <v>0</v>
      </c>
      <c r="Z33" s="1">
        <v>0</v>
      </c>
      <c r="AA33" s="1">
        <v>0</v>
      </c>
      <c r="AB33" s="1">
        <v>6.2798634812286688E-2</v>
      </c>
      <c r="AC33" s="1">
        <v>8.8737201365187719E-3</v>
      </c>
      <c r="AD33" s="1">
        <v>1.36518771331058E-3</v>
      </c>
      <c r="AE33" s="3">
        <v>0</v>
      </c>
      <c r="AF33" s="3">
        <v>4.4648464163822528</v>
      </c>
    </row>
    <row r="34" spans="1:32" x14ac:dyDescent="0.3">
      <c r="A34" t="s">
        <v>196</v>
      </c>
      <c r="B34" s="2">
        <v>0</v>
      </c>
      <c r="C34" s="2">
        <v>0</v>
      </c>
      <c r="D34" s="2">
        <v>112</v>
      </c>
      <c r="E34" s="2">
        <v>4157460</v>
      </c>
      <c r="F34" s="2">
        <v>0</v>
      </c>
      <c r="G34" s="2">
        <v>0</v>
      </c>
      <c r="H34" s="2">
        <v>0</v>
      </c>
      <c r="I34" s="2">
        <v>0</v>
      </c>
      <c r="J34">
        <v>400</v>
      </c>
      <c r="K34" s="2">
        <v>844079</v>
      </c>
      <c r="L34" s="2">
        <v>286337075</v>
      </c>
      <c r="M34" s="1">
        <v>0.48122270742358081</v>
      </c>
      <c r="N34" s="2">
        <v>1145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7.2489082969432309E-2</v>
      </c>
      <c r="U34" s="1">
        <v>8.8209606986899558E-2</v>
      </c>
      <c r="V34" s="1">
        <v>7.8602620087336247E-2</v>
      </c>
      <c r="W34" s="1">
        <v>7.4235807860262015E-2</v>
      </c>
      <c r="X34" s="1">
        <v>0.16768558951965071</v>
      </c>
      <c r="Y34" s="1">
        <v>0</v>
      </c>
      <c r="Z34" s="1">
        <v>0</v>
      </c>
      <c r="AA34" s="1">
        <v>0</v>
      </c>
      <c r="AB34" s="1">
        <v>7.5982532751091708E-2</v>
      </c>
      <c r="AC34" s="1">
        <v>1.222707423580786E-2</v>
      </c>
      <c r="AD34" s="1">
        <v>8.7336244541484718E-4</v>
      </c>
      <c r="AE34" s="3">
        <v>0</v>
      </c>
      <c r="AF34" s="3">
        <v>4.5589519650655026</v>
      </c>
    </row>
    <row r="35" spans="1:32" x14ac:dyDescent="0.3">
      <c r="A35" t="s">
        <v>197</v>
      </c>
      <c r="B35" s="2">
        <v>0</v>
      </c>
      <c r="C35" s="2">
        <v>0</v>
      </c>
      <c r="D35" s="2">
        <v>110</v>
      </c>
      <c r="E35" s="2">
        <v>4644690</v>
      </c>
      <c r="F35" s="2">
        <v>0</v>
      </c>
      <c r="G35" s="2">
        <v>0</v>
      </c>
      <c r="H35" s="2">
        <v>0</v>
      </c>
      <c r="I35" s="2">
        <v>0</v>
      </c>
      <c r="J35">
        <v>450</v>
      </c>
      <c r="K35" s="2">
        <v>844079</v>
      </c>
      <c r="L35" s="2">
        <v>286337075</v>
      </c>
      <c r="M35" s="1">
        <v>0.52672413793103445</v>
      </c>
      <c r="N35" s="2">
        <v>1160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8.0172413793103442E-2</v>
      </c>
      <c r="U35" s="1">
        <v>9.8275862068965519E-2</v>
      </c>
      <c r="V35" s="1">
        <v>8.5344827586206901E-2</v>
      </c>
      <c r="W35" s="1">
        <v>8.2758620689655171E-2</v>
      </c>
      <c r="X35" s="1">
        <v>0.18017241379310339</v>
      </c>
      <c r="Y35" s="1">
        <v>0</v>
      </c>
      <c r="Z35" s="1">
        <v>0</v>
      </c>
      <c r="AA35" s="1">
        <v>0</v>
      </c>
      <c r="AB35" s="1">
        <v>8.7931034482758616E-2</v>
      </c>
      <c r="AC35" s="1">
        <v>8.6206896551724137E-3</v>
      </c>
      <c r="AD35" s="1">
        <v>8.6206896551724137E-4</v>
      </c>
      <c r="AE35" s="3">
        <v>0</v>
      </c>
      <c r="AF35" s="3">
        <v>4.4870689655172411</v>
      </c>
    </row>
    <row r="36" spans="1:32" x14ac:dyDescent="0.3">
      <c r="A36" t="s">
        <v>198</v>
      </c>
      <c r="B36" s="2">
        <v>0</v>
      </c>
      <c r="C36" s="2">
        <v>0</v>
      </c>
      <c r="D36" s="2">
        <v>95</v>
      </c>
      <c r="E36" s="2">
        <v>4512520</v>
      </c>
      <c r="F36" s="2">
        <v>0</v>
      </c>
      <c r="G36" s="2">
        <v>0</v>
      </c>
      <c r="H36" s="2">
        <v>0</v>
      </c>
      <c r="I36" s="2">
        <v>0</v>
      </c>
      <c r="J36">
        <v>500</v>
      </c>
      <c r="K36" s="2">
        <v>844079</v>
      </c>
      <c r="L36" s="2">
        <v>286337075</v>
      </c>
      <c r="M36" s="1">
        <v>0.52323232323232327</v>
      </c>
      <c r="N36" s="2">
        <v>990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0.10101010101010099</v>
      </c>
      <c r="U36" s="1">
        <v>8.2828282828282834E-2</v>
      </c>
      <c r="V36" s="1">
        <v>6.7676767676767682E-2</v>
      </c>
      <c r="W36" s="1">
        <v>7.575757575757576E-2</v>
      </c>
      <c r="X36" s="1">
        <v>0.195959595959596</v>
      </c>
      <c r="Y36" s="1">
        <v>0</v>
      </c>
      <c r="Z36" s="1">
        <v>0</v>
      </c>
      <c r="AA36" s="1">
        <v>0</v>
      </c>
      <c r="AB36" s="1">
        <v>0.1111111111111111</v>
      </c>
      <c r="AC36" s="1">
        <v>7.0707070707070711E-3</v>
      </c>
      <c r="AD36" s="1">
        <v>1.0101010101010101E-3</v>
      </c>
      <c r="AE36" s="3">
        <v>0</v>
      </c>
      <c r="AF36" s="3">
        <v>4.3808080808080812</v>
      </c>
    </row>
    <row r="37" spans="1:32" x14ac:dyDescent="0.3">
      <c r="A37" t="s">
        <v>199</v>
      </c>
      <c r="B37" s="2">
        <v>0</v>
      </c>
      <c r="C37" s="2">
        <v>0</v>
      </c>
      <c r="D37" s="2">
        <v>83</v>
      </c>
      <c r="E37" s="2">
        <v>4366180</v>
      </c>
      <c r="F37" s="2">
        <v>0</v>
      </c>
      <c r="G37" s="2">
        <v>0</v>
      </c>
      <c r="H37" s="2">
        <v>0</v>
      </c>
      <c r="I37" s="2">
        <v>0</v>
      </c>
      <c r="J37">
        <v>550</v>
      </c>
      <c r="K37" s="2">
        <v>844079</v>
      </c>
      <c r="L37" s="2">
        <v>286337075</v>
      </c>
      <c r="M37" s="1">
        <v>0.51812865497076022</v>
      </c>
      <c r="N37" s="2">
        <v>855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8.771929824561403E-2</v>
      </c>
      <c r="U37" s="1">
        <v>9.1228070175438603E-2</v>
      </c>
      <c r="V37" s="1">
        <v>6.3157894736842107E-2</v>
      </c>
      <c r="W37" s="1">
        <v>6.0818713450292397E-2</v>
      </c>
      <c r="X37" s="1">
        <v>0.21520467836257309</v>
      </c>
      <c r="Y37" s="1">
        <v>0</v>
      </c>
      <c r="Z37" s="1">
        <v>0</v>
      </c>
      <c r="AA37" s="1">
        <v>0</v>
      </c>
      <c r="AB37" s="1">
        <v>0.1076023391812865</v>
      </c>
      <c r="AC37" s="1">
        <v>1.4035087719298249E-2</v>
      </c>
      <c r="AD37" s="1">
        <v>1.169590643274854E-3</v>
      </c>
      <c r="AE37" s="3">
        <v>0</v>
      </c>
      <c r="AF37" s="3">
        <v>4.6678362573099417</v>
      </c>
    </row>
    <row r="38" spans="1:32" x14ac:dyDescent="0.3">
      <c r="A38" t="s">
        <v>200</v>
      </c>
      <c r="B38" s="2">
        <v>0</v>
      </c>
      <c r="C38" s="2">
        <v>0</v>
      </c>
      <c r="D38" s="2">
        <v>83</v>
      </c>
      <c r="E38" s="2">
        <v>4752740</v>
      </c>
      <c r="F38" s="2">
        <v>0</v>
      </c>
      <c r="G38" s="2">
        <v>0</v>
      </c>
      <c r="H38" s="2">
        <v>0</v>
      </c>
      <c r="I38" s="2">
        <v>0</v>
      </c>
      <c r="J38">
        <v>600</v>
      </c>
      <c r="K38" s="2">
        <v>844079</v>
      </c>
      <c r="L38" s="2">
        <v>286337075</v>
      </c>
      <c r="M38" s="1">
        <v>0.50171428571428567</v>
      </c>
      <c r="N38" s="2">
        <v>875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6.4000000000000001E-2</v>
      </c>
      <c r="U38" s="1">
        <v>9.8285714285714282E-2</v>
      </c>
      <c r="V38" s="1">
        <v>7.3142857142857148E-2</v>
      </c>
      <c r="W38" s="1">
        <v>6.0571428571428568E-2</v>
      </c>
      <c r="X38" s="1">
        <v>0.20571428571428571</v>
      </c>
      <c r="Y38" s="1">
        <v>0</v>
      </c>
      <c r="Z38" s="1">
        <v>0</v>
      </c>
      <c r="AA38" s="1">
        <v>0</v>
      </c>
      <c r="AB38" s="1">
        <v>0.1177142857142857</v>
      </c>
      <c r="AC38" s="1">
        <v>1.942857142857143E-2</v>
      </c>
      <c r="AD38" s="1">
        <v>3.428571428571428E-3</v>
      </c>
      <c r="AE38" s="3">
        <v>0</v>
      </c>
      <c r="AF38" s="3">
        <v>4.5257142857142858</v>
      </c>
    </row>
    <row r="39" spans="1:32" x14ac:dyDescent="0.3">
      <c r="A39" t="s">
        <v>201</v>
      </c>
      <c r="B39" s="2">
        <v>0</v>
      </c>
      <c r="C39" s="2">
        <v>0</v>
      </c>
      <c r="D39" s="2">
        <v>57</v>
      </c>
      <c r="E39" s="2">
        <v>3565670</v>
      </c>
      <c r="F39" s="2">
        <v>0</v>
      </c>
      <c r="G39" s="2">
        <v>0</v>
      </c>
      <c r="H39" s="2">
        <v>0</v>
      </c>
      <c r="I39" s="2">
        <v>0</v>
      </c>
      <c r="J39">
        <v>650</v>
      </c>
      <c r="K39" s="2">
        <v>844079</v>
      </c>
      <c r="L39" s="2">
        <v>286337075</v>
      </c>
      <c r="M39" s="1">
        <v>0.52580645161290318</v>
      </c>
      <c r="N39" s="2">
        <v>620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7.7419354838709681E-2</v>
      </c>
      <c r="U39" s="1">
        <v>0.1048387096774194</v>
      </c>
      <c r="V39" s="1">
        <v>7.2580645161290328E-2</v>
      </c>
      <c r="W39" s="1">
        <v>6.1290322580645158E-2</v>
      </c>
      <c r="X39" s="1">
        <v>0.20967741935483869</v>
      </c>
      <c r="Y39" s="1">
        <v>0</v>
      </c>
      <c r="Z39" s="1">
        <v>0</v>
      </c>
      <c r="AA39" s="1">
        <v>0</v>
      </c>
      <c r="AB39" s="1">
        <v>0.1225806451612903</v>
      </c>
      <c r="AC39" s="1">
        <v>1.7741935483870971E-2</v>
      </c>
      <c r="AD39" s="1">
        <v>1.612903225806452E-3</v>
      </c>
      <c r="AE39" s="3">
        <v>0</v>
      </c>
      <c r="AF39" s="3">
        <v>4.4806451612903224</v>
      </c>
    </row>
    <row r="40" spans="1:32" x14ac:dyDescent="0.3">
      <c r="A40" t="s">
        <v>202</v>
      </c>
      <c r="B40" s="2">
        <v>0</v>
      </c>
      <c r="C40" s="2">
        <v>0</v>
      </c>
      <c r="D40" s="2">
        <v>77</v>
      </c>
      <c r="E40" s="2">
        <v>5173400</v>
      </c>
      <c r="F40" s="2">
        <v>0</v>
      </c>
      <c r="G40" s="2">
        <v>0</v>
      </c>
      <c r="H40" s="2">
        <v>0</v>
      </c>
      <c r="I40" s="2">
        <v>0</v>
      </c>
      <c r="J40">
        <v>700</v>
      </c>
      <c r="K40" s="2">
        <v>844079</v>
      </c>
      <c r="L40" s="2">
        <v>286337075</v>
      </c>
      <c r="M40" s="1">
        <v>0.52500000000000002</v>
      </c>
      <c r="N40" s="2">
        <v>800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7.7499999999999999E-2</v>
      </c>
      <c r="U40" s="1">
        <v>9.2499999999999999E-2</v>
      </c>
      <c r="V40" s="1">
        <v>8.6249999999999993E-2</v>
      </c>
      <c r="W40" s="1">
        <v>5.3749999999999999E-2</v>
      </c>
      <c r="X40" s="1">
        <v>0.215</v>
      </c>
      <c r="Y40" s="1">
        <v>0</v>
      </c>
      <c r="Z40" s="1">
        <v>0</v>
      </c>
      <c r="AA40" s="1">
        <v>0</v>
      </c>
      <c r="AB40" s="1">
        <v>0.10125000000000001</v>
      </c>
      <c r="AC40" s="1">
        <v>2.6249999999999999E-2</v>
      </c>
      <c r="AD40" s="1">
        <v>3.7499999999999999E-3</v>
      </c>
      <c r="AE40" s="3">
        <v>0</v>
      </c>
      <c r="AF40" s="3">
        <v>4.5575000000000001</v>
      </c>
    </row>
    <row r="41" spans="1:32" x14ac:dyDescent="0.3">
      <c r="A41" t="s">
        <v>203</v>
      </c>
      <c r="B41" s="2">
        <v>0</v>
      </c>
      <c r="C41" s="2">
        <v>0</v>
      </c>
      <c r="D41" s="2">
        <v>65</v>
      </c>
      <c r="E41" s="2">
        <v>4686910</v>
      </c>
      <c r="F41" s="2">
        <v>0</v>
      </c>
      <c r="G41" s="2">
        <v>0</v>
      </c>
      <c r="H41" s="2">
        <v>0</v>
      </c>
      <c r="I41" s="2">
        <v>0</v>
      </c>
      <c r="J41">
        <v>750</v>
      </c>
      <c r="K41" s="2">
        <v>844079</v>
      </c>
      <c r="L41" s="2">
        <v>286337075</v>
      </c>
      <c r="M41" s="1">
        <v>0.55217391304347829</v>
      </c>
      <c r="N41" s="2">
        <v>690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7.3913043478260873E-2</v>
      </c>
      <c r="U41" s="1">
        <v>9.8550724637681164E-2</v>
      </c>
      <c r="V41" s="1">
        <v>6.2318840579710148E-2</v>
      </c>
      <c r="W41" s="1">
        <v>9.1304347826086957E-2</v>
      </c>
      <c r="X41" s="1">
        <v>0.2260869565217391</v>
      </c>
      <c r="Y41" s="1">
        <v>0</v>
      </c>
      <c r="Z41" s="1">
        <v>0</v>
      </c>
      <c r="AA41" s="1">
        <v>0</v>
      </c>
      <c r="AB41" s="1">
        <v>0.1072463768115942</v>
      </c>
      <c r="AC41" s="1">
        <v>1.159420289855072E-2</v>
      </c>
      <c r="AD41" s="1">
        <v>1.449275362318841E-3</v>
      </c>
      <c r="AE41" s="3">
        <v>0</v>
      </c>
      <c r="AF41" s="3">
        <v>4.6362318840579713</v>
      </c>
    </row>
    <row r="42" spans="1:32" x14ac:dyDescent="0.3">
      <c r="A42" t="s">
        <v>204</v>
      </c>
      <c r="B42" s="2">
        <v>0</v>
      </c>
      <c r="C42" s="2">
        <v>0</v>
      </c>
      <c r="D42" s="2">
        <v>48</v>
      </c>
      <c r="E42" s="2">
        <v>3713180</v>
      </c>
      <c r="F42" s="2">
        <v>0</v>
      </c>
      <c r="G42" s="2">
        <v>0</v>
      </c>
      <c r="H42" s="2">
        <v>0</v>
      </c>
      <c r="I42" s="2">
        <v>0</v>
      </c>
      <c r="J42">
        <v>800</v>
      </c>
      <c r="K42" s="2">
        <v>844079</v>
      </c>
      <c r="L42" s="2">
        <v>286337075</v>
      </c>
      <c r="M42" s="1">
        <v>0.55094339622641508</v>
      </c>
      <c r="N42" s="2">
        <v>530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8.3018867924528297E-2</v>
      </c>
      <c r="U42" s="1">
        <v>0.10188679245283019</v>
      </c>
      <c r="V42" s="1">
        <v>6.6037735849056603E-2</v>
      </c>
      <c r="W42" s="1">
        <v>6.0377358490566038E-2</v>
      </c>
      <c r="X42" s="1">
        <v>0.23962264150943399</v>
      </c>
      <c r="Y42" s="1">
        <v>0</v>
      </c>
      <c r="Z42" s="1">
        <v>0</v>
      </c>
      <c r="AA42" s="1">
        <v>0</v>
      </c>
      <c r="AB42" s="1">
        <v>0.12264150943396231</v>
      </c>
      <c r="AC42" s="1">
        <v>2.0754716981132071E-2</v>
      </c>
      <c r="AD42" s="1">
        <v>1.8867924528301889E-3</v>
      </c>
      <c r="AE42" s="3">
        <v>0</v>
      </c>
      <c r="AF42" s="3">
        <v>4.4433962264150946</v>
      </c>
    </row>
    <row r="43" spans="1:32" x14ac:dyDescent="0.3">
      <c r="A43" t="s">
        <v>205</v>
      </c>
      <c r="B43" s="2">
        <v>0</v>
      </c>
      <c r="C43" s="2">
        <v>0</v>
      </c>
      <c r="D43" s="2">
        <v>46</v>
      </c>
      <c r="E43" s="2">
        <v>3793280</v>
      </c>
      <c r="F43" s="2">
        <v>0</v>
      </c>
      <c r="G43" s="2">
        <v>0</v>
      </c>
      <c r="H43" s="2">
        <v>0</v>
      </c>
      <c r="I43" s="2">
        <v>0</v>
      </c>
      <c r="J43">
        <v>850</v>
      </c>
      <c r="K43" s="2">
        <v>844079</v>
      </c>
      <c r="L43" s="2">
        <v>286337075</v>
      </c>
      <c r="M43" s="1">
        <v>0.51224489795918371</v>
      </c>
      <c r="N43" s="2">
        <v>490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8.5714285714285715E-2</v>
      </c>
      <c r="U43" s="1">
        <v>9.3877551020408165E-2</v>
      </c>
      <c r="V43" s="1">
        <v>6.3265306122448975E-2</v>
      </c>
      <c r="W43" s="1">
        <v>4.8979591836734691E-2</v>
      </c>
      <c r="X43" s="1">
        <v>0.2204081632653061</v>
      </c>
      <c r="Y43" s="1">
        <v>0</v>
      </c>
      <c r="Z43" s="1">
        <v>0</v>
      </c>
      <c r="AA43" s="1">
        <v>0</v>
      </c>
      <c r="AB43" s="1">
        <v>0.1244897959183673</v>
      </c>
      <c r="AC43" s="1">
        <v>2.6530612244897962E-2</v>
      </c>
      <c r="AD43" s="1">
        <v>2.040816326530612E-3</v>
      </c>
      <c r="AE43" s="3">
        <v>0</v>
      </c>
      <c r="AF43" s="3">
        <v>4.5510204081632653</v>
      </c>
    </row>
    <row r="44" spans="1:32" x14ac:dyDescent="0.3">
      <c r="A44" t="s">
        <v>206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>
        <v>900</v>
      </c>
      <c r="K44" s="2">
        <v>844079</v>
      </c>
      <c r="L44" s="2">
        <v>286337075</v>
      </c>
      <c r="M44" s="1">
        <v>0</v>
      </c>
      <c r="N44" s="2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3">
        <v>0</v>
      </c>
      <c r="AF44" s="3">
        <v>0</v>
      </c>
    </row>
    <row r="45" spans="1:32" x14ac:dyDescent="0.3">
      <c r="A45" t="s">
        <v>207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>
        <v>950</v>
      </c>
      <c r="K45" s="2">
        <v>844079</v>
      </c>
      <c r="L45" s="2">
        <v>286337075</v>
      </c>
      <c r="M45" s="1">
        <v>0</v>
      </c>
      <c r="N45" s="2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3">
        <v>0</v>
      </c>
      <c r="AF45" s="3">
        <v>0</v>
      </c>
    </row>
    <row r="46" spans="1:32" x14ac:dyDescent="0.3">
      <c r="A46" t="s">
        <v>208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>
        <v>1000</v>
      </c>
      <c r="K46" s="2">
        <v>844079</v>
      </c>
      <c r="L46" s="2">
        <v>286337075</v>
      </c>
      <c r="M46" s="1">
        <v>0</v>
      </c>
      <c r="N46" s="2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3">
        <v>0</v>
      </c>
      <c r="AF46" s="3">
        <v>0</v>
      </c>
    </row>
    <row r="47" spans="1:32" x14ac:dyDescent="0.3">
      <c r="A47" t="s">
        <v>209</v>
      </c>
      <c r="B47" s="2">
        <v>0</v>
      </c>
      <c r="C47" s="2">
        <v>0</v>
      </c>
      <c r="D47" s="2">
        <v>42</v>
      </c>
      <c r="E47" s="2">
        <v>4842260</v>
      </c>
      <c r="F47" s="2">
        <v>0</v>
      </c>
      <c r="G47" s="2">
        <v>0</v>
      </c>
      <c r="H47" s="2">
        <v>0</v>
      </c>
      <c r="I47" s="2">
        <v>0</v>
      </c>
      <c r="J47">
        <v>2000</v>
      </c>
      <c r="K47" s="2">
        <v>844079</v>
      </c>
      <c r="L47" s="2">
        <v>286337075</v>
      </c>
      <c r="M47" s="1">
        <v>0.54157303370786514</v>
      </c>
      <c r="N47" s="2">
        <v>445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4.7191011235955059E-2</v>
      </c>
      <c r="U47" s="1">
        <v>9.8876404494382023E-2</v>
      </c>
      <c r="V47" s="1">
        <v>8.3146067415730343E-2</v>
      </c>
      <c r="W47" s="1">
        <v>5.8426966292134827E-2</v>
      </c>
      <c r="X47" s="1">
        <v>0.25393258426966292</v>
      </c>
      <c r="Y47" s="1">
        <v>0</v>
      </c>
      <c r="Z47" s="1">
        <v>0</v>
      </c>
      <c r="AA47" s="1">
        <v>0</v>
      </c>
      <c r="AB47" s="1">
        <v>0.13258426966292139</v>
      </c>
      <c r="AC47" s="1">
        <v>2.921348314606742E-2</v>
      </c>
      <c r="AD47" s="1">
        <v>4.4943820224719114E-3</v>
      </c>
      <c r="AE47" s="3">
        <v>0</v>
      </c>
      <c r="AF47" s="3">
        <v>4.7730337078651681</v>
      </c>
    </row>
    <row r="48" spans="1:32" x14ac:dyDescent="0.3">
      <c r="A48" t="s">
        <v>210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>
        <v>3000</v>
      </c>
      <c r="K48" s="2">
        <v>844079</v>
      </c>
      <c r="L48" s="2">
        <v>286337075</v>
      </c>
      <c r="M48" s="1">
        <v>0</v>
      </c>
      <c r="N48" s="2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3">
        <v>0</v>
      </c>
      <c r="AF48" s="3">
        <v>0</v>
      </c>
    </row>
    <row r="49" spans="1:32" x14ac:dyDescent="0.3">
      <c r="A49" t="s">
        <v>211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>
        <v>4000</v>
      </c>
      <c r="K49" s="2">
        <v>844079</v>
      </c>
      <c r="L49" s="2">
        <v>286337075</v>
      </c>
      <c r="M49" s="1">
        <v>0</v>
      </c>
      <c r="N49" s="2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3">
        <v>0</v>
      </c>
      <c r="AF49" s="3">
        <v>0</v>
      </c>
    </row>
    <row r="50" spans="1:32" x14ac:dyDescent="0.3">
      <c r="A50" t="s">
        <v>212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>
        <v>5000</v>
      </c>
      <c r="K50" s="2">
        <v>844079</v>
      </c>
      <c r="L50" s="2">
        <v>286337075</v>
      </c>
      <c r="M50" s="1">
        <v>0</v>
      </c>
      <c r="N50" s="2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3">
        <v>0</v>
      </c>
      <c r="AF50" s="3">
        <v>0</v>
      </c>
    </row>
    <row r="51" spans="1:32" x14ac:dyDescent="0.3">
      <c r="A51" t="s">
        <v>213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>
        <v>6000</v>
      </c>
      <c r="K51" s="2">
        <v>844079</v>
      </c>
      <c r="L51" s="2">
        <v>286337075</v>
      </c>
      <c r="M51" s="1">
        <v>0</v>
      </c>
      <c r="N51" s="2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3">
        <v>0</v>
      </c>
      <c r="AF51" s="3">
        <v>0</v>
      </c>
    </row>
    <row r="52" spans="1:32" x14ac:dyDescent="0.3">
      <c r="A52" t="s">
        <v>214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>
        <v>7000</v>
      </c>
      <c r="K52" s="2">
        <v>844079</v>
      </c>
      <c r="L52" s="2">
        <v>286337075</v>
      </c>
      <c r="M52" s="1">
        <v>0</v>
      </c>
      <c r="N52" s="2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3">
        <v>0</v>
      </c>
      <c r="AF52" s="3">
        <v>0</v>
      </c>
    </row>
    <row r="53" spans="1:32" x14ac:dyDescent="0.3">
      <c r="A53" t="s">
        <v>215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>
        <v>8000</v>
      </c>
      <c r="K53" s="2">
        <v>844079</v>
      </c>
      <c r="L53" s="2">
        <v>286337075</v>
      </c>
      <c r="M53" s="1">
        <v>0</v>
      </c>
      <c r="N53" s="2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3">
        <v>0</v>
      </c>
      <c r="AF53" s="3">
        <v>0</v>
      </c>
    </row>
    <row r="54" spans="1:32" x14ac:dyDescent="0.3">
      <c r="A54" t="s">
        <v>216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>
        <v>9000</v>
      </c>
      <c r="K54" s="2">
        <v>844079</v>
      </c>
      <c r="L54" s="2">
        <v>286337075</v>
      </c>
      <c r="M54" s="1">
        <v>0</v>
      </c>
      <c r="N54" s="2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3">
        <v>0</v>
      </c>
      <c r="AF54" s="3">
        <v>0</v>
      </c>
    </row>
    <row r="55" spans="1:32" x14ac:dyDescent="0.3">
      <c r="A55" t="s">
        <v>217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>
        <v>10000</v>
      </c>
      <c r="K55" s="2">
        <v>844079</v>
      </c>
      <c r="L55" s="2">
        <v>286337075</v>
      </c>
      <c r="M55" s="1">
        <v>0</v>
      </c>
      <c r="N55" s="2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3">
        <v>0</v>
      </c>
      <c r="AF55" s="3">
        <v>0</v>
      </c>
    </row>
    <row r="56" spans="1:32" x14ac:dyDescent="0.3">
      <c r="A56" t="s">
        <v>218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>
        <v>20000</v>
      </c>
      <c r="K56" s="2">
        <v>844079</v>
      </c>
      <c r="L56" s="2">
        <v>286337075</v>
      </c>
      <c r="M56" s="1">
        <v>0</v>
      </c>
      <c r="N56" s="2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3">
        <v>0</v>
      </c>
      <c r="AF56" s="3">
        <v>0</v>
      </c>
    </row>
    <row r="57" spans="1:32" x14ac:dyDescent="0.3">
      <c r="A57" t="s">
        <v>219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>
        <v>30000</v>
      </c>
      <c r="K57" s="2">
        <v>844079</v>
      </c>
      <c r="L57" s="2">
        <v>286337075</v>
      </c>
      <c r="M57" s="1">
        <v>0</v>
      </c>
      <c r="N57" s="2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3">
        <v>0</v>
      </c>
      <c r="AF57" s="3">
        <v>0</v>
      </c>
    </row>
    <row r="58" spans="1:32" x14ac:dyDescent="0.3">
      <c r="A58" t="s">
        <v>220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>
        <v>40000</v>
      </c>
      <c r="K58" s="2">
        <v>844079</v>
      </c>
      <c r="L58" s="2">
        <v>286337075</v>
      </c>
      <c r="M58" s="1">
        <v>0</v>
      </c>
      <c r="N58" s="2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3">
        <v>0</v>
      </c>
      <c r="AF58" s="3">
        <v>0</v>
      </c>
    </row>
    <row r="59" spans="1:32" x14ac:dyDescent="0.3">
      <c r="A59" t="s">
        <v>221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>
        <v>50000</v>
      </c>
      <c r="K59" s="2">
        <v>844079</v>
      </c>
      <c r="L59" s="2">
        <v>286337075</v>
      </c>
      <c r="M59" s="1">
        <v>0</v>
      </c>
      <c r="N59" s="2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3">
        <v>0</v>
      </c>
      <c r="AF59" s="3">
        <v>0</v>
      </c>
    </row>
    <row r="60" spans="1:32" x14ac:dyDescent="0.3">
      <c r="A60" t="s">
        <v>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>
        <v>60000</v>
      </c>
      <c r="K60" s="2">
        <v>844079</v>
      </c>
      <c r="L60" s="2">
        <v>286337075</v>
      </c>
      <c r="M60" s="1">
        <v>0</v>
      </c>
      <c r="N60" s="2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3">
        <v>0</v>
      </c>
      <c r="AF60" s="3">
        <v>0</v>
      </c>
    </row>
    <row r="61" spans="1:32" x14ac:dyDescent="0.3">
      <c r="A61" t="s">
        <v>223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>
        <v>70000</v>
      </c>
      <c r="K61" s="2">
        <v>844079</v>
      </c>
      <c r="L61" s="2">
        <v>286337075</v>
      </c>
      <c r="M61" s="1">
        <v>0</v>
      </c>
      <c r="N61" s="2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3">
        <v>0</v>
      </c>
      <c r="AF61" s="3">
        <v>0</v>
      </c>
    </row>
    <row r="62" spans="1:32" x14ac:dyDescent="0.3">
      <c r="A62" t="s">
        <v>224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>
        <v>80000</v>
      </c>
      <c r="K62" s="2">
        <v>844079</v>
      </c>
      <c r="L62" s="2">
        <v>286337075</v>
      </c>
      <c r="M62" s="1">
        <v>0</v>
      </c>
      <c r="N62" s="2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3">
        <v>0</v>
      </c>
      <c r="AF62" s="3">
        <v>0</v>
      </c>
    </row>
    <row r="63" spans="1:32" x14ac:dyDescent="0.3">
      <c r="A63" t="s">
        <v>225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>
        <v>90000</v>
      </c>
      <c r="K63" s="2">
        <v>844079</v>
      </c>
      <c r="L63" s="2">
        <v>286337075</v>
      </c>
      <c r="M63" s="1">
        <v>0</v>
      </c>
      <c r="N63" s="2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3">
        <v>0</v>
      </c>
      <c r="AF63" s="3">
        <v>0</v>
      </c>
    </row>
    <row r="64" spans="1:32" x14ac:dyDescent="0.3">
      <c r="A64" t="s">
        <v>226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>
        <v>100000</v>
      </c>
      <c r="K64" s="2">
        <v>844079</v>
      </c>
      <c r="L64" s="2">
        <v>286337075</v>
      </c>
      <c r="M64" s="1">
        <v>0</v>
      </c>
      <c r="N64" s="2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3">
        <v>0</v>
      </c>
      <c r="AF64" s="3">
        <v>0</v>
      </c>
    </row>
    <row r="65" spans="1:32" x14ac:dyDescent="0.3">
      <c r="A65" t="s">
        <v>227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>
        <v>9999999</v>
      </c>
      <c r="K65" s="2">
        <v>844079</v>
      </c>
      <c r="L65" s="2">
        <v>286337075</v>
      </c>
      <c r="M65" s="1">
        <v>0</v>
      </c>
      <c r="N65" s="2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3">
        <v>0</v>
      </c>
      <c r="AF65" s="3">
        <v>0</v>
      </c>
    </row>
  </sheetData>
  <autoFilter ref="A1:AF65" xr:uid="{00000000-0009-0000-0000-000006000000}"/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7"/>
  <sheetViews>
    <sheetView workbookViewId="0"/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228</v>
      </c>
      <c r="B2">
        <v>100000000</v>
      </c>
    </row>
    <row r="3" spans="1:2" x14ac:dyDescent="0.3">
      <c r="A3" t="s">
        <v>18</v>
      </c>
      <c r="B3">
        <v>10000000000</v>
      </c>
    </row>
    <row r="4" spans="1:2" x14ac:dyDescent="0.3">
      <c r="A4" t="s">
        <v>229</v>
      </c>
      <c r="B4">
        <v>6974973640</v>
      </c>
    </row>
    <row r="5" spans="1:2" x14ac:dyDescent="0.3">
      <c r="A5" t="s">
        <v>230</v>
      </c>
      <c r="B5">
        <v>2200535320</v>
      </c>
    </row>
    <row r="6" spans="1:2" x14ac:dyDescent="0.3">
      <c r="A6" t="s">
        <v>231</v>
      </c>
      <c r="B6">
        <v>24051131</v>
      </c>
    </row>
    <row r="7" spans="1:2" x14ac:dyDescent="0.3">
      <c r="A7" t="s">
        <v>232</v>
      </c>
      <c r="B7">
        <v>844079</v>
      </c>
    </row>
    <row r="8" spans="1:2" x14ac:dyDescent="0.3">
      <c r="A8" t="s">
        <v>233</v>
      </c>
      <c r="B8">
        <v>8475860</v>
      </c>
    </row>
    <row r="9" spans="1:2" x14ac:dyDescent="0.3">
      <c r="A9" t="s">
        <v>234</v>
      </c>
      <c r="B9">
        <v>7014</v>
      </c>
    </row>
    <row r="10" spans="1:2" x14ac:dyDescent="0.3">
      <c r="A10" t="s">
        <v>235</v>
      </c>
      <c r="B10">
        <v>41396494</v>
      </c>
    </row>
    <row r="11" spans="1:2" x14ac:dyDescent="0.3">
      <c r="A11" t="s">
        <v>236</v>
      </c>
      <c r="B11">
        <v>5372878</v>
      </c>
    </row>
    <row r="12" spans="1:2" x14ac:dyDescent="0.3">
      <c r="A12" t="s">
        <v>69</v>
      </c>
      <c r="B12">
        <v>19296254</v>
      </c>
    </row>
    <row r="13" spans="1:2" x14ac:dyDescent="0.3">
      <c r="A13" t="s">
        <v>71</v>
      </c>
      <c r="B13">
        <v>294093</v>
      </c>
    </row>
    <row r="14" spans="1:2" x14ac:dyDescent="0.3">
      <c r="A14" t="s">
        <v>237</v>
      </c>
      <c r="B14">
        <v>185333</v>
      </c>
    </row>
    <row r="15" spans="1:2" x14ac:dyDescent="0.3">
      <c r="A15" t="s">
        <v>238</v>
      </c>
      <c r="B15">
        <v>108760</v>
      </c>
    </row>
    <row r="16" spans="1:2" x14ac:dyDescent="0.3">
      <c r="A16" t="s">
        <v>239</v>
      </c>
      <c r="B16">
        <v>76082742</v>
      </c>
    </row>
    <row r="17" spans="1:2" x14ac:dyDescent="0.3">
      <c r="A17" t="s">
        <v>240</v>
      </c>
      <c r="B17">
        <v>6107526</v>
      </c>
    </row>
    <row r="18" spans="1:2" x14ac:dyDescent="0.3">
      <c r="A18" t="s">
        <v>241</v>
      </c>
      <c r="B18">
        <v>23641276</v>
      </c>
    </row>
    <row r="19" spans="1:2" x14ac:dyDescent="0.3">
      <c r="A19" t="s">
        <v>242</v>
      </c>
      <c r="B19">
        <v>2557405</v>
      </c>
    </row>
    <row r="20" spans="1:2" x14ac:dyDescent="0.3">
      <c r="A20" t="s">
        <v>243</v>
      </c>
      <c r="B20">
        <v>71182690</v>
      </c>
    </row>
    <row r="21" spans="1:2" x14ac:dyDescent="0.3">
      <c r="A21" t="s">
        <v>244</v>
      </c>
      <c r="B21">
        <v>8424524</v>
      </c>
    </row>
    <row r="22" spans="1:2" x14ac:dyDescent="0.3">
      <c r="A22" t="s">
        <v>245</v>
      </c>
      <c r="B22">
        <v>137324015</v>
      </c>
    </row>
    <row r="23" spans="1:2" x14ac:dyDescent="0.3">
      <c r="A23" t="s">
        <v>246</v>
      </c>
      <c r="B23">
        <v>35548023</v>
      </c>
    </row>
    <row r="24" spans="1:2" x14ac:dyDescent="0.3">
      <c r="A24" t="s">
        <v>247</v>
      </c>
      <c r="B24">
        <v>10</v>
      </c>
    </row>
    <row r="25" spans="1:2" x14ac:dyDescent="0.3">
      <c r="A25" t="s">
        <v>248</v>
      </c>
      <c r="B25">
        <v>91755089.599996045</v>
      </c>
    </row>
    <row r="26" spans="1:2" x14ac:dyDescent="0.3">
      <c r="A26" t="s">
        <v>249</v>
      </c>
      <c r="B26">
        <v>2423456459.0374961</v>
      </c>
    </row>
    <row r="27" spans="1:2" x14ac:dyDescent="0.3">
      <c r="A27" t="s">
        <v>56</v>
      </c>
      <c r="B27">
        <v>1011694554</v>
      </c>
    </row>
    <row r="28" spans="1:2" x14ac:dyDescent="0.3">
      <c r="A28" t="s">
        <v>60</v>
      </c>
      <c r="B28">
        <v>0</v>
      </c>
    </row>
    <row r="29" spans="1:2" x14ac:dyDescent="0.3">
      <c r="A29" t="s">
        <v>62</v>
      </c>
      <c r="B29">
        <v>0</v>
      </c>
    </row>
    <row r="30" spans="1:2" x14ac:dyDescent="0.3">
      <c r="A30" t="s">
        <v>63</v>
      </c>
      <c r="B30">
        <v>0</v>
      </c>
    </row>
    <row r="31" spans="1:2" x14ac:dyDescent="0.3">
      <c r="A31" t="s">
        <v>64</v>
      </c>
      <c r="B31">
        <v>0</v>
      </c>
    </row>
    <row r="32" spans="1:2" x14ac:dyDescent="0.3">
      <c r="A32" t="s">
        <v>44</v>
      </c>
      <c r="B32">
        <v>34613418</v>
      </c>
    </row>
    <row r="33" spans="1:2" x14ac:dyDescent="0.3">
      <c r="A33" t="s">
        <v>40</v>
      </c>
      <c r="B33">
        <v>844079</v>
      </c>
    </row>
    <row r="34" spans="1:2" x14ac:dyDescent="0.3">
      <c r="A34" t="s">
        <v>42</v>
      </c>
      <c r="B34">
        <v>286337075</v>
      </c>
    </row>
    <row r="35" spans="1:2" x14ac:dyDescent="0.3">
      <c r="A35" t="s">
        <v>250</v>
      </c>
      <c r="B35" t="s">
        <v>251</v>
      </c>
    </row>
    <row r="36" spans="1:2" x14ac:dyDescent="0.3">
      <c r="A36" t="s">
        <v>252</v>
      </c>
      <c r="B36" t="s">
        <v>253</v>
      </c>
    </row>
    <row r="37" spans="1:2" x14ac:dyDescent="0.3">
      <c r="A37" t="s">
        <v>254</v>
      </c>
      <c r="B37" t="s">
        <v>255</v>
      </c>
    </row>
    <row r="38" spans="1:2" x14ac:dyDescent="0.3">
      <c r="A38" t="s">
        <v>256</v>
      </c>
      <c r="B38" t="s">
        <v>257</v>
      </c>
    </row>
    <row r="39" spans="1:2" x14ac:dyDescent="0.3">
      <c r="A39" t="s">
        <v>258</v>
      </c>
      <c r="B39" t="s">
        <v>259</v>
      </c>
    </row>
    <row r="40" spans="1:2" x14ac:dyDescent="0.3">
      <c r="A40" t="s">
        <v>260</v>
      </c>
      <c r="B40" t="s">
        <v>261</v>
      </c>
    </row>
    <row r="41" spans="1:2" x14ac:dyDescent="0.3">
      <c r="A41" t="s">
        <v>262</v>
      </c>
      <c r="B41" t="s">
        <v>263</v>
      </c>
    </row>
    <row r="42" spans="1:2" x14ac:dyDescent="0.3">
      <c r="A42" t="s">
        <v>264</v>
      </c>
      <c r="B42" t="s">
        <v>265</v>
      </c>
    </row>
    <row r="43" spans="1:2" x14ac:dyDescent="0.3">
      <c r="A43" t="s">
        <v>266</v>
      </c>
      <c r="B43" t="s">
        <v>267</v>
      </c>
    </row>
    <row r="44" spans="1:2" x14ac:dyDescent="0.3">
      <c r="A44" t="s">
        <v>268</v>
      </c>
      <c r="B44" t="s">
        <v>269</v>
      </c>
    </row>
    <row r="45" spans="1:2" x14ac:dyDescent="0.3">
      <c r="A45" t="s">
        <v>270</v>
      </c>
      <c r="B45" t="s">
        <v>271</v>
      </c>
    </row>
    <row r="46" spans="1:2" x14ac:dyDescent="0.3">
      <c r="A46" t="s">
        <v>272</v>
      </c>
      <c r="B46" t="s">
        <v>273</v>
      </c>
    </row>
    <row r="47" spans="1:2" x14ac:dyDescent="0.3">
      <c r="A47" t="s">
        <v>274</v>
      </c>
      <c r="B47" t="s">
        <v>275</v>
      </c>
    </row>
    <row r="48" spans="1:2" x14ac:dyDescent="0.3">
      <c r="A48" t="s">
        <v>276</v>
      </c>
      <c r="B48" t="s">
        <v>277</v>
      </c>
    </row>
    <row r="49" spans="1:2" x14ac:dyDescent="0.3">
      <c r="A49" t="s">
        <v>278</v>
      </c>
      <c r="B49" t="s">
        <v>279</v>
      </c>
    </row>
    <row r="50" spans="1:2" x14ac:dyDescent="0.3">
      <c r="A50" t="s">
        <v>280</v>
      </c>
      <c r="B50" t="s">
        <v>281</v>
      </c>
    </row>
    <row r="51" spans="1:2" x14ac:dyDescent="0.3">
      <c r="A51" t="s">
        <v>282</v>
      </c>
      <c r="B51" t="s">
        <v>283</v>
      </c>
    </row>
    <row r="52" spans="1:2" x14ac:dyDescent="0.3">
      <c r="A52" t="s">
        <v>284</v>
      </c>
      <c r="B52" t="s">
        <v>285</v>
      </c>
    </row>
    <row r="53" spans="1:2" x14ac:dyDescent="0.3">
      <c r="A53" t="s">
        <v>286</v>
      </c>
      <c r="B53" t="s">
        <v>287</v>
      </c>
    </row>
    <row r="54" spans="1:2" x14ac:dyDescent="0.3">
      <c r="A54" t="s">
        <v>288</v>
      </c>
      <c r="B54" t="s">
        <v>289</v>
      </c>
    </row>
    <row r="55" spans="1:2" x14ac:dyDescent="0.3">
      <c r="A55" t="s">
        <v>290</v>
      </c>
      <c r="B55" t="s">
        <v>291</v>
      </c>
    </row>
    <row r="56" spans="1:2" x14ac:dyDescent="0.3">
      <c r="A56" t="s">
        <v>292</v>
      </c>
      <c r="B56" t="s">
        <v>293</v>
      </c>
    </row>
    <row r="57" spans="1:2" x14ac:dyDescent="0.3">
      <c r="A57" t="s">
        <v>294</v>
      </c>
      <c r="B57" t="s">
        <v>295</v>
      </c>
    </row>
    <row r="58" spans="1:2" x14ac:dyDescent="0.3">
      <c r="A58" t="s">
        <v>296</v>
      </c>
      <c r="B58" t="s">
        <v>297</v>
      </c>
    </row>
    <row r="59" spans="1:2" x14ac:dyDescent="0.3">
      <c r="A59" t="s">
        <v>298</v>
      </c>
      <c r="B59" t="s">
        <v>299</v>
      </c>
    </row>
    <row r="60" spans="1:2" x14ac:dyDescent="0.3">
      <c r="A60" t="s">
        <v>300</v>
      </c>
      <c r="B60" t="s">
        <v>301</v>
      </c>
    </row>
    <row r="61" spans="1:2" x14ac:dyDescent="0.3">
      <c r="A61" t="s">
        <v>302</v>
      </c>
      <c r="B61" t="s">
        <v>303</v>
      </c>
    </row>
    <row r="62" spans="1:2" x14ac:dyDescent="0.3">
      <c r="A62" t="s">
        <v>304</v>
      </c>
      <c r="B62" t="s">
        <v>305</v>
      </c>
    </row>
    <row r="63" spans="1:2" x14ac:dyDescent="0.3">
      <c r="A63" t="s">
        <v>306</v>
      </c>
      <c r="B63" t="s">
        <v>307</v>
      </c>
    </row>
    <row r="64" spans="1:2" x14ac:dyDescent="0.3">
      <c r="A64" t="s">
        <v>308</v>
      </c>
      <c r="B64" t="s">
        <v>309</v>
      </c>
    </row>
    <row r="65" spans="1:2" x14ac:dyDescent="0.3">
      <c r="A65" t="s">
        <v>310</v>
      </c>
      <c r="B65" t="s">
        <v>311</v>
      </c>
    </row>
    <row r="66" spans="1:2" x14ac:dyDescent="0.3">
      <c r="A66" t="s">
        <v>312</v>
      </c>
      <c r="B66" t="s">
        <v>313</v>
      </c>
    </row>
    <row r="67" spans="1:2" x14ac:dyDescent="0.3">
      <c r="A67" t="s">
        <v>314</v>
      </c>
      <c r="B67" t="s">
        <v>315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27"/>
  <sheetViews>
    <sheetView workbookViewId="0">
      <pane ySplit="1" topLeftCell="A2" activePane="bottomLeft" state="frozen"/>
      <selection pane="bottomLeft"/>
    </sheetView>
  </sheetViews>
  <sheetFormatPr defaultRowHeight="15" x14ac:dyDescent="0.3"/>
  <sheetData>
    <row r="1" spans="1:12" x14ac:dyDescent="0.3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  <c r="K1" t="s">
        <v>326</v>
      </c>
      <c r="L1" t="s">
        <v>327</v>
      </c>
    </row>
    <row r="2" spans="1:12" x14ac:dyDescent="0.3">
      <c r="A2" t="s">
        <v>328</v>
      </c>
      <c r="B2" t="s">
        <v>329</v>
      </c>
      <c r="C2" t="s">
        <v>330</v>
      </c>
      <c r="D2">
        <v>0</v>
      </c>
      <c r="E2" t="s">
        <v>331</v>
      </c>
      <c r="F2">
        <v>-1</v>
      </c>
      <c r="G2">
        <v>0</v>
      </c>
      <c r="H2" t="s">
        <v>332</v>
      </c>
      <c r="I2">
        <v>734440364</v>
      </c>
      <c r="J2" s="1">
        <v>0.72824373081208271</v>
      </c>
      <c r="K2">
        <v>0</v>
      </c>
      <c r="L2" s="1">
        <v>0</v>
      </c>
    </row>
    <row r="3" spans="1:12" x14ac:dyDescent="0.3">
      <c r="A3" t="s">
        <v>328</v>
      </c>
      <c r="B3" t="s">
        <v>329</v>
      </c>
      <c r="C3" t="s">
        <v>330</v>
      </c>
      <c r="D3">
        <v>1</v>
      </c>
      <c r="E3" t="s">
        <v>331</v>
      </c>
      <c r="F3">
        <v>0</v>
      </c>
      <c r="G3">
        <v>1</v>
      </c>
      <c r="H3" t="s">
        <v>332</v>
      </c>
      <c r="I3">
        <v>149157156</v>
      </c>
      <c r="J3" s="1">
        <v>0.1478986846136357</v>
      </c>
      <c r="K3">
        <v>0</v>
      </c>
      <c r="L3" s="1">
        <v>0</v>
      </c>
    </row>
    <row r="4" spans="1:12" x14ac:dyDescent="0.3">
      <c r="A4" t="s">
        <v>328</v>
      </c>
      <c r="B4" t="s">
        <v>329</v>
      </c>
      <c r="C4" t="s">
        <v>330</v>
      </c>
      <c r="D4">
        <v>2</v>
      </c>
      <c r="E4" t="s">
        <v>331</v>
      </c>
      <c r="F4">
        <v>1</v>
      </c>
      <c r="G4">
        <v>2</v>
      </c>
      <c r="H4" t="s">
        <v>332</v>
      </c>
      <c r="I4">
        <v>37378866</v>
      </c>
      <c r="J4" s="1">
        <v>3.7063492372765218E-2</v>
      </c>
      <c r="K4">
        <v>0</v>
      </c>
      <c r="L4" s="1">
        <v>0</v>
      </c>
    </row>
    <row r="5" spans="1:12" x14ac:dyDescent="0.3">
      <c r="A5" t="s">
        <v>328</v>
      </c>
      <c r="B5" t="s">
        <v>329</v>
      </c>
      <c r="C5" t="s">
        <v>330</v>
      </c>
      <c r="D5">
        <v>3</v>
      </c>
      <c r="E5" t="s">
        <v>331</v>
      </c>
      <c r="F5">
        <v>2</v>
      </c>
      <c r="G5">
        <v>3</v>
      </c>
      <c r="H5" t="s">
        <v>332</v>
      </c>
      <c r="I5">
        <v>20822374</v>
      </c>
      <c r="J5" s="1">
        <v>2.064669109897194E-2</v>
      </c>
      <c r="K5">
        <v>0</v>
      </c>
      <c r="L5" s="1">
        <v>0</v>
      </c>
    </row>
    <row r="6" spans="1:12" x14ac:dyDescent="0.3">
      <c r="A6" t="s">
        <v>328</v>
      </c>
      <c r="B6" t="s">
        <v>329</v>
      </c>
      <c r="C6" t="s">
        <v>330</v>
      </c>
      <c r="D6">
        <v>4</v>
      </c>
      <c r="E6" t="s">
        <v>331</v>
      </c>
      <c r="F6">
        <v>3</v>
      </c>
      <c r="G6">
        <v>4</v>
      </c>
      <c r="H6" t="s">
        <v>332</v>
      </c>
      <c r="I6">
        <v>13142434</v>
      </c>
      <c r="J6" s="1">
        <v>1.3031548424143479E-2</v>
      </c>
      <c r="K6">
        <v>0</v>
      </c>
      <c r="L6" s="1">
        <v>0</v>
      </c>
    </row>
    <row r="7" spans="1:12" x14ac:dyDescent="0.3">
      <c r="A7" t="s">
        <v>328</v>
      </c>
      <c r="B7" t="s">
        <v>329</v>
      </c>
      <c r="C7" t="s">
        <v>330</v>
      </c>
      <c r="D7">
        <v>5</v>
      </c>
      <c r="E7" t="s">
        <v>331</v>
      </c>
      <c r="F7">
        <v>4</v>
      </c>
      <c r="G7">
        <v>5</v>
      </c>
      <c r="H7" t="s">
        <v>332</v>
      </c>
      <c r="I7">
        <v>10641044</v>
      </c>
      <c r="J7" s="1">
        <v>1.0551263195953E-2</v>
      </c>
      <c r="K7">
        <v>0</v>
      </c>
      <c r="L7" s="1">
        <v>0</v>
      </c>
    </row>
    <row r="8" spans="1:12" x14ac:dyDescent="0.3">
      <c r="A8" t="s">
        <v>328</v>
      </c>
      <c r="B8" t="s">
        <v>329</v>
      </c>
      <c r="C8" t="s">
        <v>330</v>
      </c>
      <c r="D8">
        <v>6</v>
      </c>
      <c r="E8" t="s">
        <v>331</v>
      </c>
      <c r="F8">
        <v>5</v>
      </c>
      <c r="G8">
        <v>6</v>
      </c>
      <c r="H8" t="s">
        <v>332</v>
      </c>
      <c r="I8">
        <v>4360530</v>
      </c>
      <c r="J8" s="1">
        <v>4.3237392594043357E-3</v>
      </c>
      <c r="K8">
        <v>0</v>
      </c>
      <c r="L8" s="1">
        <v>0</v>
      </c>
    </row>
    <row r="9" spans="1:12" x14ac:dyDescent="0.3">
      <c r="A9" t="s">
        <v>328</v>
      </c>
      <c r="B9" t="s">
        <v>329</v>
      </c>
      <c r="C9" t="s">
        <v>330</v>
      </c>
      <c r="D9">
        <v>7</v>
      </c>
      <c r="E9" t="s">
        <v>331</v>
      </c>
      <c r="F9">
        <v>6</v>
      </c>
      <c r="G9">
        <v>7</v>
      </c>
      <c r="H9" t="s">
        <v>332</v>
      </c>
      <c r="I9">
        <v>3731802</v>
      </c>
      <c r="J9" s="1">
        <v>3.7003159743709182E-3</v>
      </c>
      <c r="K9">
        <v>0</v>
      </c>
      <c r="L9" s="1">
        <v>0</v>
      </c>
    </row>
    <row r="10" spans="1:12" x14ac:dyDescent="0.3">
      <c r="A10" t="s">
        <v>328</v>
      </c>
      <c r="B10" t="s">
        <v>329</v>
      </c>
      <c r="C10" t="s">
        <v>330</v>
      </c>
      <c r="D10">
        <v>8</v>
      </c>
      <c r="E10" t="s">
        <v>331</v>
      </c>
      <c r="F10">
        <v>7</v>
      </c>
      <c r="G10">
        <v>8</v>
      </c>
      <c r="H10" t="s">
        <v>332</v>
      </c>
      <c r="I10">
        <v>3245045</v>
      </c>
      <c r="J10" s="1">
        <v>3.2176658491132369E-3</v>
      </c>
      <c r="K10">
        <v>0</v>
      </c>
      <c r="L10" s="1">
        <v>0</v>
      </c>
    </row>
    <row r="11" spans="1:12" x14ac:dyDescent="0.3">
      <c r="A11" t="s">
        <v>328</v>
      </c>
      <c r="B11" t="s">
        <v>329</v>
      </c>
      <c r="C11" t="s">
        <v>330</v>
      </c>
      <c r="D11">
        <v>9</v>
      </c>
      <c r="E11" t="s">
        <v>331</v>
      </c>
      <c r="F11">
        <v>8</v>
      </c>
      <c r="G11">
        <v>9</v>
      </c>
      <c r="H11" t="s">
        <v>332</v>
      </c>
      <c r="I11">
        <v>2765049</v>
      </c>
      <c r="J11" s="1">
        <v>2.7417196798271539E-3</v>
      </c>
      <c r="K11">
        <v>0</v>
      </c>
      <c r="L11" s="1">
        <v>0</v>
      </c>
    </row>
    <row r="12" spans="1:12" x14ac:dyDescent="0.3">
      <c r="A12" t="s">
        <v>328</v>
      </c>
      <c r="B12" t="s">
        <v>329</v>
      </c>
      <c r="C12" t="s">
        <v>330</v>
      </c>
      <c r="D12">
        <v>10</v>
      </c>
      <c r="E12" t="s">
        <v>331</v>
      </c>
      <c r="F12">
        <v>9</v>
      </c>
      <c r="G12">
        <v>10</v>
      </c>
      <c r="H12" t="s">
        <v>332</v>
      </c>
      <c r="I12">
        <v>2717726</v>
      </c>
      <c r="J12" s="1">
        <v>2.6947959542770968E-3</v>
      </c>
      <c r="K12">
        <v>0</v>
      </c>
      <c r="L12" s="1">
        <v>0</v>
      </c>
    </row>
    <row r="13" spans="1:12" x14ac:dyDescent="0.3">
      <c r="A13" t="s">
        <v>328</v>
      </c>
      <c r="B13" t="s">
        <v>329</v>
      </c>
      <c r="C13" t="s">
        <v>330</v>
      </c>
      <c r="D13">
        <v>11</v>
      </c>
      <c r="E13" t="s">
        <v>331</v>
      </c>
      <c r="F13">
        <v>10</v>
      </c>
      <c r="G13">
        <v>15</v>
      </c>
      <c r="H13" t="s">
        <v>332</v>
      </c>
      <c r="I13">
        <v>10127246</v>
      </c>
      <c r="J13" s="1">
        <v>1.0041800221497281E-2</v>
      </c>
      <c r="K13">
        <v>0</v>
      </c>
      <c r="L13" s="1">
        <v>0</v>
      </c>
    </row>
    <row r="14" spans="1:12" x14ac:dyDescent="0.3">
      <c r="A14" t="s">
        <v>328</v>
      </c>
      <c r="B14" t="s">
        <v>329</v>
      </c>
      <c r="C14" t="s">
        <v>330</v>
      </c>
      <c r="D14">
        <v>12</v>
      </c>
      <c r="E14" t="s">
        <v>331</v>
      </c>
      <c r="F14">
        <v>15</v>
      </c>
      <c r="G14">
        <v>20</v>
      </c>
      <c r="H14" t="s">
        <v>332</v>
      </c>
      <c r="I14">
        <v>3089553</v>
      </c>
      <c r="J14" s="1">
        <v>3.0634857689570858E-3</v>
      </c>
      <c r="K14">
        <v>0</v>
      </c>
      <c r="L14" s="1">
        <v>0</v>
      </c>
    </row>
    <row r="15" spans="1:12" x14ac:dyDescent="0.3">
      <c r="A15" t="s">
        <v>328</v>
      </c>
      <c r="B15" t="s">
        <v>329</v>
      </c>
      <c r="C15" t="s">
        <v>330</v>
      </c>
      <c r="D15">
        <v>13</v>
      </c>
      <c r="E15" t="s">
        <v>331</v>
      </c>
      <c r="F15">
        <v>20</v>
      </c>
      <c r="G15">
        <v>25</v>
      </c>
      <c r="H15" t="s">
        <v>332</v>
      </c>
      <c r="I15">
        <v>2454066</v>
      </c>
      <c r="J15" s="1">
        <v>2.4333605110776349E-3</v>
      </c>
      <c r="K15">
        <v>0</v>
      </c>
      <c r="L15" s="1">
        <v>0</v>
      </c>
    </row>
    <row r="16" spans="1:12" x14ac:dyDescent="0.3">
      <c r="A16" t="s">
        <v>328</v>
      </c>
      <c r="B16" t="s">
        <v>329</v>
      </c>
      <c r="C16" t="s">
        <v>330</v>
      </c>
      <c r="D16">
        <v>14</v>
      </c>
      <c r="E16" t="s">
        <v>331</v>
      </c>
      <c r="F16">
        <v>25</v>
      </c>
      <c r="G16">
        <v>30</v>
      </c>
      <c r="H16" t="s">
        <v>332</v>
      </c>
      <c r="I16">
        <v>1926745</v>
      </c>
      <c r="J16" s="1">
        <v>1.91048863311593E-3</v>
      </c>
      <c r="K16">
        <v>0</v>
      </c>
      <c r="L16" s="1">
        <v>0</v>
      </c>
    </row>
    <row r="17" spans="1:12" x14ac:dyDescent="0.3">
      <c r="A17" t="s">
        <v>328</v>
      </c>
      <c r="B17" t="s">
        <v>329</v>
      </c>
      <c r="C17" t="s">
        <v>330</v>
      </c>
      <c r="D17">
        <v>15</v>
      </c>
      <c r="E17" t="s">
        <v>333</v>
      </c>
      <c r="H17" t="s">
        <v>120</v>
      </c>
      <c r="I17">
        <v>8509010</v>
      </c>
      <c r="J17" s="1">
        <v>8.4372176308072852E-3</v>
      </c>
      <c r="K17">
        <v>0</v>
      </c>
      <c r="L17" s="1">
        <v>0</v>
      </c>
    </row>
    <row r="18" spans="1:12" x14ac:dyDescent="0.3">
      <c r="A18" t="s">
        <v>328</v>
      </c>
      <c r="B18" t="s">
        <v>329</v>
      </c>
      <c r="C18" t="s">
        <v>333</v>
      </c>
      <c r="D18">
        <v>0</v>
      </c>
      <c r="E18" t="s">
        <v>331</v>
      </c>
      <c r="F18">
        <v>5</v>
      </c>
      <c r="G18">
        <v>6</v>
      </c>
      <c r="H18" t="s">
        <v>334</v>
      </c>
      <c r="I18">
        <v>43012479</v>
      </c>
      <c r="J18" s="1">
        <v>4.3012478999999999E-2</v>
      </c>
      <c r="K18">
        <v>0</v>
      </c>
      <c r="L18" s="1">
        <v>0</v>
      </c>
    </row>
    <row r="19" spans="1:12" x14ac:dyDescent="0.3">
      <c r="A19" t="s">
        <v>328</v>
      </c>
      <c r="B19" t="s">
        <v>329</v>
      </c>
      <c r="C19" t="s">
        <v>333</v>
      </c>
      <c r="D19">
        <v>1</v>
      </c>
      <c r="E19" t="s">
        <v>331</v>
      </c>
      <c r="F19">
        <v>6</v>
      </c>
      <c r="G19">
        <v>7</v>
      </c>
      <c r="H19" t="s">
        <v>334</v>
      </c>
      <c r="I19">
        <v>36711253</v>
      </c>
      <c r="J19" s="1">
        <v>3.6711252999999999E-2</v>
      </c>
      <c r="K19">
        <v>0</v>
      </c>
      <c r="L19" s="1">
        <v>0</v>
      </c>
    </row>
    <row r="20" spans="1:12" x14ac:dyDescent="0.3">
      <c r="A20" t="s">
        <v>328</v>
      </c>
      <c r="B20" t="s">
        <v>329</v>
      </c>
      <c r="C20" t="s">
        <v>333</v>
      </c>
      <c r="D20">
        <v>2</v>
      </c>
      <c r="E20" t="s">
        <v>331</v>
      </c>
      <c r="F20">
        <v>7</v>
      </c>
      <c r="G20">
        <v>8</v>
      </c>
      <c r="H20" t="s">
        <v>334</v>
      </c>
      <c r="I20">
        <v>38972084</v>
      </c>
      <c r="J20" s="1">
        <v>3.8972083999999997E-2</v>
      </c>
      <c r="K20">
        <v>0</v>
      </c>
      <c r="L20" s="1">
        <v>0</v>
      </c>
    </row>
    <row r="21" spans="1:12" x14ac:dyDescent="0.3">
      <c r="A21" t="s">
        <v>328</v>
      </c>
      <c r="B21" t="s">
        <v>329</v>
      </c>
      <c r="C21" t="s">
        <v>333</v>
      </c>
      <c r="D21">
        <v>3</v>
      </c>
      <c r="E21" t="s">
        <v>331</v>
      </c>
      <c r="F21">
        <v>8</v>
      </c>
      <c r="G21">
        <v>9</v>
      </c>
      <c r="H21" t="s">
        <v>334</v>
      </c>
      <c r="I21">
        <v>36995633</v>
      </c>
      <c r="J21" s="1">
        <v>3.6995633E-2</v>
      </c>
      <c r="K21">
        <v>0</v>
      </c>
      <c r="L21" s="1">
        <v>0</v>
      </c>
    </row>
    <row r="22" spans="1:12" x14ac:dyDescent="0.3">
      <c r="A22" t="s">
        <v>328</v>
      </c>
      <c r="B22" t="s">
        <v>329</v>
      </c>
      <c r="C22" t="s">
        <v>333</v>
      </c>
      <c r="D22">
        <v>4</v>
      </c>
      <c r="E22" t="s">
        <v>331</v>
      </c>
      <c r="F22">
        <v>9</v>
      </c>
      <c r="G22">
        <v>10</v>
      </c>
      <c r="H22" t="s">
        <v>334</v>
      </c>
      <c r="I22">
        <v>39217960</v>
      </c>
      <c r="J22" s="1">
        <v>3.9217960000000003E-2</v>
      </c>
      <c r="K22">
        <v>0</v>
      </c>
      <c r="L22" s="1">
        <v>0</v>
      </c>
    </row>
    <row r="23" spans="1:12" x14ac:dyDescent="0.3">
      <c r="A23" t="s">
        <v>328</v>
      </c>
      <c r="B23" t="s">
        <v>329</v>
      </c>
      <c r="C23" t="s">
        <v>333</v>
      </c>
      <c r="D23">
        <v>5</v>
      </c>
      <c r="E23" t="s">
        <v>331</v>
      </c>
      <c r="F23">
        <v>10</v>
      </c>
      <c r="G23">
        <v>15</v>
      </c>
      <c r="H23" t="s">
        <v>334</v>
      </c>
      <c r="I23">
        <v>166401998</v>
      </c>
      <c r="J23" s="1">
        <v>0.166401998</v>
      </c>
      <c r="K23">
        <v>0</v>
      </c>
      <c r="L23" s="1">
        <v>0</v>
      </c>
    </row>
    <row r="24" spans="1:12" x14ac:dyDescent="0.3">
      <c r="A24" t="s">
        <v>328</v>
      </c>
      <c r="B24" t="s">
        <v>329</v>
      </c>
      <c r="C24" t="s">
        <v>333</v>
      </c>
      <c r="D24">
        <v>6</v>
      </c>
      <c r="E24" t="s">
        <v>331</v>
      </c>
      <c r="F24">
        <v>15</v>
      </c>
      <c r="G24">
        <v>20</v>
      </c>
      <c r="H24" t="s">
        <v>334</v>
      </c>
      <c r="I24">
        <v>112267439</v>
      </c>
      <c r="J24" s="1">
        <v>0.112267439</v>
      </c>
      <c r="K24">
        <v>0</v>
      </c>
      <c r="L24" s="1">
        <v>0</v>
      </c>
    </row>
    <row r="25" spans="1:12" x14ac:dyDescent="0.3">
      <c r="A25" t="s">
        <v>328</v>
      </c>
      <c r="B25" t="s">
        <v>329</v>
      </c>
      <c r="C25" t="s">
        <v>333</v>
      </c>
      <c r="D25">
        <v>7</v>
      </c>
      <c r="E25" t="s">
        <v>331</v>
      </c>
      <c r="F25">
        <v>20</v>
      </c>
      <c r="G25">
        <v>25</v>
      </c>
      <c r="H25" t="s">
        <v>334</v>
      </c>
      <c r="I25">
        <v>103526890</v>
      </c>
      <c r="J25" s="1">
        <v>0.10352689</v>
      </c>
      <c r="K25">
        <v>0</v>
      </c>
      <c r="L25" s="1">
        <v>0</v>
      </c>
    </row>
    <row r="26" spans="1:12" x14ac:dyDescent="0.3">
      <c r="A26" t="s">
        <v>328</v>
      </c>
      <c r="B26" t="s">
        <v>329</v>
      </c>
      <c r="C26" t="s">
        <v>333</v>
      </c>
      <c r="D26">
        <v>8</v>
      </c>
      <c r="E26" t="s">
        <v>331</v>
      </c>
      <c r="F26">
        <v>25</v>
      </c>
      <c r="G26">
        <v>30</v>
      </c>
      <c r="H26" t="s">
        <v>334</v>
      </c>
      <c r="I26">
        <v>77107303</v>
      </c>
      <c r="J26" s="1">
        <v>7.7107303000000002E-2</v>
      </c>
      <c r="K26">
        <v>0</v>
      </c>
      <c r="L26" s="1">
        <v>0</v>
      </c>
    </row>
    <row r="27" spans="1:12" x14ac:dyDescent="0.3">
      <c r="A27" t="s">
        <v>328</v>
      </c>
      <c r="B27" t="s">
        <v>329</v>
      </c>
      <c r="C27" t="s">
        <v>333</v>
      </c>
      <c r="D27">
        <v>9</v>
      </c>
      <c r="E27" t="s">
        <v>331</v>
      </c>
      <c r="F27">
        <v>30</v>
      </c>
      <c r="G27">
        <v>35</v>
      </c>
      <c r="H27" t="s">
        <v>334</v>
      </c>
      <c r="I27">
        <v>64415486</v>
      </c>
      <c r="J27" s="1">
        <v>6.4415485999999994E-2</v>
      </c>
      <c r="K27">
        <v>0</v>
      </c>
      <c r="L27" s="1">
        <v>0</v>
      </c>
    </row>
    <row r="28" spans="1:12" x14ac:dyDescent="0.3">
      <c r="A28" t="s">
        <v>328</v>
      </c>
      <c r="B28" t="s">
        <v>329</v>
      </c>
      <c r="C28" t="s">
        <v>333</v>
      </c>
      <c r="D28">
        <v>10</v>
      </c>
      <c r="E28" t="s">
        <v>331</v>
      </c>
      <c r="F28">
        <v>35</v>
      </c>
      <c r="G28">
        <v>40</v>
      </c>
      <c r="H28" t="s">
        <v>334</v>
      </c>
      <c r="I28">
        <v>57960402</v>
      </c>
      <c r="J28" s="1">
        <v>5.7960402000000001E-2</v>
      </c>
      <c r="K28">
        <v>0</v>
      </c>
      <c r="L28" s="1">
        <v>0</v>
      </c>
    </row>
    <row r="29" spans="1:12" x14ac:dyDescent="0.3">
      <c r="A29" t="s">
        <v>328</v>
      </c>
      <c r="B29" t="s">
        <v>329</v>
      </c>
      <c r="C29" t="s">
        <v>333</v>
      </c>
      <c r="D29">
        <v>11</v>
      </c>
      <c r="E29" t="s">
        <v>331</v>
      </c>
      <c r="F29">
        <v>40</v>
      </c>
      <c r="G29">
        <v>45</v>
      </c>
      <c r="H29" t="s">
        <v>334</v>
      </c>
      <c r="I29">
        <v>57735281</v>
      </c>
      <c r="J29" s="1">
        <v>5.7735280999999999E-2</v>
      </c>
      <c r="K29">
        <v>0</v>
      </c>
      <c r="L29" s="1">
        <v>0</v>
      </c>
    </row>
    <row r="30" spans="1:12" x14ac:dyDescent="0.3">
      <c r="A30" t="s">
        <v>328</v>
      </c>
      <c r="B30" t="s">
        <v>329</v>
      </c>
      <c r="C30" t="s">
        <v>333</v>
      </c>
      <c r="D30">
        <v>12</v>
      </c>
      <c r="E30" t="s">
        <v>331</v>
      </c>
      <c r="F30">
        <v>45</v>
      </c>
      <c r="G30">
        <v>50</v>
      </c>
      <c r="H30" t="s">
        <v>334</v>
      </c>
      <c r="I30">
        <v>46210235</v>
      </c>
      <c r="J30" s="1">
        <v>4.6210235000000002E-2</v>
      </c>
      <c r="K30">
        <v>0</v>
      </c>
      <c r="L30" s="1">
        <v>0</v>
      </c>
    </row>
    <row r="31" spans="1:12" x14ac:dyDescent="0.3">
      <c r="A31" t="s">
        <v>328</v>
      </c>
      <c r="B31" t="s">
        <v>329</v>
      </c>
      <c r="C31" t="s">
        <v>333</v>
      </c>
      <c r="D31">
        <v>13</v>
      </c>
      <c r="E31" t="s">
        <v>331</v>
      </c>
      <c r="F31">
        <v>50</v>
      </c>
      <c r="G31">
        <v>60</v>
      </c>
      <c r="H31" t="s">
        <v>334</v>
      </c>
      <c r="I31">
        <v>51903338</v>
      </c>
      <c r="J31" s="1">
        <v>5.1903338E-2</v>
      </c>
      <c r="K31">
        <v>0</v>
      </c>
      <c r="L31" s="1">
        <v>0</v>
      </c>
    </row>
    <row r="32" spans="1:12" x14ac:dyDescent="0.3">
      <c r="A32" t="s">
        <v>328</v>
      </c>
      <c r="B32" t="s">
        <v>329</v>
      </c>
      <c r="C32" t="s">
        <v>333</v>
      </c>
      <c r="D32">
        <v>14</v>
      </c>
      <c r="E32" t="s">
        <v>331</v>
      </c>
      <c r="F32">
        <v>60</v>
      </c>
      <c r="G32">
        <v>70</v>
      </c>
      <c r="H32" t="s">
        <v>334</v>
      </c>
      <c r="I32">
        <v>21858901</v>
      </c>
      <c r="J32" s="1">
        <v>2.1858901E-2</v>
      </c>
      <c r="K32">
        <v>0</v>
      </c>
      <c r="L32" s="1">
        <v>0</v>
      </c>
    </row>
    <row r="33" spans="1:12" x14ac:dyDescent="0.3">
      <c r="A33" t="s">
        <v>328</v>
      </c>
      <c r="B33" t="s">
        <v>329</v>
      </c>
      <c r="C33" t="s">
        <v>333</v>
      </c>
      <c r="D33">
        <v>15</v>
      </c>
      <c r="E33" t="s">
        <v>331</v>
      </c>
      <c r="F33">
        <v>70</v>
      </c>
      <c r="G33">
        <v>80</v>
      </c>
      <c r="H33" t="s">
        <v>334</v>
      </c>
      <c r="I33">
        <v>15695989</v>
      </c>
      <c r="J33" s="1">
        <v>1.5695989E-2</v>
      </c>
      <c r="K33">
        <v>0</v>
      </c>
      <c r="L33" s="1">
        <v>0</v>
      </c>
    </row>
    <row r="34" spans="1:12" x14ac:dyDescent="0.3">
      <c r="A34" t="s">
        <v>328</v>
      </c>
      <c r="B34" t="s">
        <v>329</v>
      </c>
      <c r="C34" t="s">
        <v>333</v>
      </c>
      <c r="D34">
        <v>16</v>
      </c>
      <c r="E34" t="s">
        <v>331</v>
      </c>
      <c r="F34">
        <v>80</v>
      </c>
      <c r="G34">
        <v>90</v>
      </c>
      <c r="H34" t="s">
        <v>334</v>
      </c>
      <c r="I34">
        <v>10790170</v>
      </c>
      <c r="J34" s="1">
        <v>1.079017E-2</v>
      </c>
      <c r="K34">
        <v>0</v>
      </c>
      <c r="L34" s="1">
        <v>0</v>
      </c>
    </row>
    <row r="35" spans="1:12" x14ac:dyDescent="0.3">
      <c r="A35" t="s">
        <v>328</v>
      </c>
      <c r="B35" t="s">
        <v>329</v>
      </c>
      <c r="C35" t="s">
        <v>333</v>
      </c>
      <c r="D35">
        <v>17</v>
      </c>
      <c r="E35" t="s">
        <v>331</v>
      </c>
      <c r="F35">
        <v>90</v>
      </c>
      <c r="G35">
        <v>100</v>
      </c>
      <c r="H35" t="s">
        <v>334</v>
      </c>
      <c r="I35">
        <v>9128446</v>
      </c>
      <c r="J35" s="1">
        <v>9.1284460000000001E-3</v>
      </c>
      <c r="K35">
        <v>0</v>
      </c>
      <c r="L35" s="1">
        <v>0</v>
      </c>
    </row>
    <row r="36" spans="1:12" x14ac:dyDescent="0.3">
      <c r="A36" t="s">
        <v>328</v>
      </c>
      <c r="B36" t="s">
        <v>329</v>
      </c>
      <c r="C36" t="s">
        <v>333</v>
      </c>
      <c r="D36">
        <v>18</v>
      </c>
      <c r="E36" t="s">
        <v>331</v>
      </c>
      <c r="F36">
        <v>100</v>
      </c>
      <c r="G36">
        <v>120</v>
      </c>
      <c r="H36" t="s">
        <v>334</v>
      </c>
      <c r="I36">
        <v>10088713</v>
      </c>
      <c r="J36" s="1">
        <v>1.0088712999999999E-2</v>
      </c>
      <c r="K36">
        <v>0</v>
      </c>
      <c r="L36" s="1">
        <v>0</v>
      </c>
    </row>
    <row r="37" spans="1:12" x14ac:dyDescent="0.3">
      <c r="A37" t="s">
        <v>328</v>
      </c>
      <c r="B37" t="s">
        <v>329</v>
      </c>
      <c r="C37" t="s">
        <v>335</v>
      </c>
      <c r="D37">
        <v>0</v>
      </c>
      <c r="E37" t="s">
        <v>331</v>
      </c>
      <c r="F37">
        <v>5</v>
      </c>
      <c r="G37">
        <v>6</v>
      </c>
      <c r="H37" t="s">
        <v>334</v>
      </c>
      <c r="I37">
        <v>34462987</v>
      </c>
      <c r="J37" s="1">
        <v>3.4462987E-2</v>
      </c>
      <c r="K37">
        <v>0</v>
      </c>
      <c r="L37" s="1">
        <v>0</v>
      </c>
    </row>
    <row r="38" spans="1:12" x14ac:dyDescent="0.3">
      <c r="A38" t="s">
        <v>328</v>
      </c>
      <c r="B38" t="s">
        <v>329</v>
      </c>
      <c r="C38" t="s">
        <v>335</v>
      </c>
      <c r="D38">
        <v>1</v>
      </c>
      <c r="E38" t="s">
        <v>331</v>
      </c>
      <c r="F38">
        <v>6</v>
      </c>
      <c r="G38">
        <v>7</v>
      </c>
      <c r="H38" t="s">
        <v>334</v>
      </c>
      <c r="I38">
        <v>29644161</v>
      </c>
      <c r="J38" s="1">
        <v>2.9644160999999999E-2</v>
      </c>
      <c r="K38">
        <v>0</v>
      </c>
      <c r="L38" s="1">
        <v>0</v>
      </c>
    </row>
    <row r="39" spans="1:12" x14ac:dyDescent="0.3">
      <c r="A39" t="s">
        <v>328</v>
      </c>
      <c r="B39" t="s">
        <v>329</v>
      </c>
      <c r="C39" t="s">
        <v>335</v>
      </c>
      <c r="D39">
        <v>2</v>
      </c>
      <c r="E39" t="s">
        <v>331</v>
      </c>
      <c r="F39">
        <v>7</v>
      </c>
      <c r="G39">
        <v>8</v>
      </c>
      <c r="H39" t="s">
        <v>334</v>
      </c>
      <c r="I39">
        <v>31718851</v>
      </c>
      <c r="J39" s="1">
        <v>3.1718850999999999E-2</v>
      </c>
      <c r="K39">
        <v>0</v>
      </c>
      <c r="L39" s="1">
        <v>0</v>
      </c>
    </row>
    <row r="40" spans="1:12" x14ac:dyDescent="0.3">
      <c r="A40" t="s">
        <v>328</v>
      </c>
      <c r="B40" t="s">
        <v>329</v>
      </c>
      <c r="C40" t="s">
        <v>335</v>
      </c>
      <c r="D40">
        <v>3</v>
      </c>
      <c r="E40" t="s">
        <v>331</v>
      </c>
      <c r="F40">
        <v>8</v>
      </c>
      <c r="G40">
        <v>9</v>
      </c>
      <c r="H40" t="s">
        <v>334</v>
      </c>
      <c r="I40">
        <v>30345913</v>
      </c>
      <c r="J40" s="1">
        <v>3.0345912999999999E-2</v>
      </c>
      <c r="K40">
        <v>0</v>
      </c>
      <c r="L40" s="1">
        <v>0</v>
      </c>
    </row>
    <row r="41" spans="1:12" x14ac:dyDescent="0.3">
      <c r="A41" t="s">
        <v>328</v>
      </c>
      <c r="B41" t="s">
        <v>329</v>
      </c>
      <c r="C41" t="s">
        <v>335</v>
      </c>
      <c r="D41">
        <v>4</v>
      </c>
      <c r="E41" t="s">
        <v>331</v>
      </c>
      <c r="F41">
        <v>9</v>
      </c>
      <c r="G41">
        <v>10</v>
      </c>
      <c r="H41" t="s">
        <v>334</v>
      </c>
      <c r="I41">
        <v>32421541</v>
      </c>
      <c r="J41" s="1">
        <v>3.2421540999999998E-2</v>
      </c>
      <c r="K41">
        <v>0</v>
      </c>
      <c r="L41" s="1">
        <v>0</v>
      </c>
    </row>
    <row r="42" spans="1:12" x14ac:dyDescent="0.3">
      <c r="A42" t="s">
        <v>328</v>
      </c>
      <c r="B42" t="s">
        <v>329</v>
      </c>
      <c r="C42" t="s">
        <v>335</v>
      </c>
      <c r="D42">
        <v>5</v>
      </c>
      <c r="E42" t="s">
        <v>331</v>
      </c>
      <c r="F42">
        <v>10</v>
      </c>
      <c r="G42">
        <v>15</v>
      </c>
      <c r="H42" t="s">
        <v>334</v>
      </c>
      <c r="I42">
        <v>140808471</v>
      </c>
      <c r="J42" s="1">
        <v>0.14080847099999999</v>
      </c>
      <c r="K42">
        <v>0</v>
      </c>
      <c r="L42" s="1">
        <v>0</v>
      </c>
    </row>
    <row r="43" spans="1:12" x14ac:dyDescent="0.3">
      <c r="A43" t="s">
        <v>328</v>
      </c>
      <c r="B43" t="s">
        <v>329</v>
      </c>
      <c r="C43" t="s">
        <v>335</v>
      </c>
      <c r="D43">
        <v>6</v>
      </c>
      <c r="E43" t="s">
        <v>331</v>
      </c>
      <c r="F43">
        <v>15</v>
      </c>
      <c r="G43">
        <v>20</v>
      </c>
      <c r="H43" t="s">
        <v>334</v>
      </c>
      <c r="I43">
        <v>98804669</v>
      </c>
      <c r="J43" s="1">
        <v>9.8804668999999998E-2</v>
      </c>
      <c r="K43">
        <v>0</v>
      </c>
      <c r="L43" s="1">
        <v>0</v>
      </c>
    </row>
    <row r="44" spans="1:12" x14ac:dyDescent="0.3">
      <c r="A44" t="s">
        <v>328</v>
      </c>
      <c r="B44" t="s">
        <v>329</v>
      </c>
      <c r="C44" t="s">
        <v>335</v>
      </c>
      <c r="D44">
        <v>7</v>
      </c>
      <c r="E44" t="s">
        <v>331</v>
      </c>
      <c r="F44">
        <v>20</v>
      </c>
      <c r="G44">
        <v>25</v>
      </c>
      <c r="H44" t="s">
        <v>334</v>
      </c>
      <c r="I44">
        <v>94755436</v>
      </c>
      <c r="J44" s="1">
        <v>9.4755435999999998E-2</v>
      </c>
      <c r="K44">
        <v>0</v>
      </c>
      <c r="L44" s="1">
        <v>0</v>
      </c>
    </row>
    <row r="45" spans="1:12" x14ac:dyDescent="0.3">
      <c r="A45" t="s">
        <v>328</v>
      </c>
      <c r="B45" t="s">
        <v>329</v>
      </c>
      <c r="C45" t="s">
        <v>335</v>
      </c>
      <c r="D45">
        <v>8</v>
      </c>
      <c r="E45" t="s">
        <v>331</v>
      </c>
      <c r="F45">
        <v>25</v>
      </c>
      <c r="G45">
        <v>30</v>
      </c>
      <c r="H45" t="s">
        <v>334</v>
      </c>
      <c r="I45">
        <v>73388911</v>
      </c>
      <c r="J45" s="1">
        <v>7.3388911000000001E-2</v>
      </c>
      <c r="K45">
        <v>0</v>
      </c>
      <c r="L45" s="1">
        <v>0</v>
      </c>
    </row>
    <row r="46" spans="1:12" x14ac:dyDescent="0.3">
      <c r="A46" t="s">
        <v>328</v>
      </c>
      <c r="B46" t="s">
        <v>329</v>
      </c>
      <c r="C46" t="s">
        <v>335</v>
      </c>
      <c r="D46">
        <v>9</v>
      </c>
      <c r="E46" t="s">
        <v>331</v>
      </c>
      <c r="F46">
        <v>30</v>
      </c>
      <c r="G46">
        <v>35</v>
      </c>
      <c r="H46" t="s">
        <v>334</v>
      </c>
      <c r="I46">
        <v>63760923</v>
      </c>
      <c r="J46" s="1">
        <v>6.3760922999999997E-2</v>
      </c>
      <c r="K46">
        <v>0</v>
      </c>
      <c r="L46" s="1">
        <v>0</v>
      </c>
    </row>
    <row r="47" spans="1:12" x14ac:dyDescent="0.3">
      <c r="A47" t="s">
        <v>328</v>
      </c>
      <c r="B47" t="s">
        <v>329</v>
      </c>
      <c r="C47" t="s">
        <v>335</v>
      </c>
      <c r="D47">
        <v>10</v>
      </c>
      <c r="E47" t="s">
        <v>331</v>
      </c>
      <c r="F47">
        <v>35</v>
      </c>
      <c r="G47">
        <v>40</v>
      </c>
      <c r="H47" t="s">
        <v>334</v>
      </c>
      <c r="I47">
        <v>59663254</v>
      </c>
      <c r="J47" s="1">
        <v>5.9663253999999999E-2</v>
      </c>
      <c r="K47">
        <v>0</v>
      </c>
      <c r="L47" s="1">
        <v>0</v>
      </c>
    </row>
    <row r="48" spans="1:12" x14ac:dyDescent="0.3">
      <c r="A48" t="s">
        <v>328</v>
      </c>
      <c r="B48" t="s">
        <v>329</v>
      </c>
      <c r="C48" t="s">
        <v>335</v>
      </c>
      <c r="D48">
        <v>11</v>
      </c>
      <c r="E48" t="s">
        <v>331</v>
      </c>
      <c r="F48">
        <v>40</v>
      </c>
      <c r="G48">
        <v>45</v>
      </c>
      <c r="H48" t="s">
        <v>334</v>
      </c>
      <c r="I48">
        <v>61807408</v>
      </c>
      <c r="J48" s="1">
        <v>6.1807408000000001E-2</v>
      </c>
      <c r="K48">
        <v>0</v>
      </c>
      <c r="L48" s="1">
        <v>0</v>
      </c>
    </row>
    <row r="49" spans="1:12" x14ac:dyDescent="0.3">
      <c r="A49" t="s">
        <v>328</v>
      </c>
      <c r="B49" t="s">
        <v>329</v>
      </c>
      <c r="C49" t="s">
        <v>335</v>
      </c>
      <c r="D49">
        <v>12</v>
      </c>
      <c r="E49" t="s">
        <v>331</v>
      </c>
      <c r="F49">
        <v>45</v>
      </c>
      <c r="G49">
        <v>50</v>
      </c>
      <c r="H49" t="s">
        <v>334</v>
      </c>
      <c r="I49">
        <v>51442647</v>
      </c>
      <c r="J49" s="1">
        <v>5.1442647000000001E-2</v>
      </c>
      <c r="K49">
        <v>0</v>
      </c>
      <c r="L49" s="1">
        <v>0</v>
      </c>
    </row>
    <row r="50" spans="1:12" x14ac:dyDescent="0.3">
      <c r="A50" t="s">
        <v>328</v>
      </c>
      <c r="B50" t="s">
        <v>329</v>
      </c>
      <c r="C50" t="s">
        <v>335</v>
      </c>
      <c r="D50">
        <v>13</v>
      </c>
      <c r="E50" t="s">
        <v>331</v>
      </c>
      <c r="F50">
        <v>50</v>
      </c>
      <c r="G50">
        <v>60</v>
      </c>
      <c r="H50" t="s">
        <v>334</v>
      </c>
      <c r="I50">
        <v>61268215</v>
      </c>
      <c r="J50" s="1">
        <v>6.1268215000000001E-2</v>
      </c>
      <c r="K50">
        <v>0</v>
      </c>
      <c r="L50" s="1">
        <v>0</v>
      </c>
    </row>
    <row r="51" spans="1:12" x14ac:dyDescent="0.3">
      <c r="A51" t="s">
        <v>328</v>
      </c>
      <c r="B51" t="s">
        <v>329</v>
      </c>
      <c r="C51" t="s">
        <v>335</v>
      </c>
      <c r="D51">
        <v>14</v>
      </c>
      <c r="E51" t="s">
        <v>331</v>
      </c>
      <c r="F51">
        <v>60</v>
      </c>
      <c r="G51">
        <v>70</v>
      </c>
      <c r="H51" t="s">
        <v>334</v>
      </c>
      <c r="I51">
        <v>27905906</v>
      </c>
      <c r="J51" s="1">
        <v>2.7905906000000001E-2</v>
      </c>
      <c r="K51">
        <v>0</v>
      </c>
      <c r="L51" s="1">
        <v>0</v>
      </c>
    </row>
    <row r="52" spans="1:12" x14ac:dyDescent="0.3">
      <c r="A52" t="s">
        <v>328</v>
      </c>
      <c r="B52" t="s">
        <v>329</v>
      </c>
      <c r="C52" t="s">
        <v>335</v>
      </c>
      <c r="D52">
        <v>15</v>
      </c>
      <c r="E52" t="s">
        <v>331</v>
      </c>
      <c r="F52">
        <v>70</v>
      </c>
      <c r="G52">
        <v>80</v>
      </c>
      <c r="H52" t="s">
        <v>334</v>
      </c>
      <c r="I52">
        <v>21671118</v>
      </c>
      <c r="J52" s="1">
        <v>2.1671118E-2</v>
      </c>
      <c r="K52">
        <v>0</v>
      </c>
      <c r="L52" s="1">
        <v>0</v>
      </c>
    </row>
    <row r="53" spans="1:12" x14ac:dyDescent="0.3">
      <c r="A53" t="s">
        <v>328</v>
      </c>
      <c r="B53" t="s">
        <v>329</v>
      </c>
      <c r="C53" t="s">
        <v>335</v>
      </c>
      <c r="D53">
        <v>16</v>
      </c>
      <c r="E53" t="s">
        <v>331</v>
      </c>
      <c r="F53">
        <v>80</v>
      </c>
      <c r="G53">
        <v>90</v>
      </c>
      <c r="H53" t="s">
        <v>334</v>
      </c>
      <c r="I53">
        <v>16111299</v>
      </c>
      <c r="J53" s="1">
        <v>1.6111298999999999E-2</v>
      </c>
      <c r="K53">
        <v>0</v>
      </c>
      <c r="L53" s="1">
        <v>0</v>
      </c>
    </row>
    <row r="54" spans="1:12" x14ac:dyDescent="0.3">
      <c r="A54" t="s">
        <v>328</v>
      </c>
      <c r="B54" t="s">
        <v>329</v>
      </c>
      <c r="C54" t="s">
        <v>335</v>
      </c>
      <c r="D54">
        <v>17</v>
      </c>
      <c r="E54" t="s">
        <v>331</v>
      </c>
      <c r="F54">
        <v>90</v>
      </c>
      <c r="G54">
        <v>100</v>
      </c>
      <c r="H54" t="s">
        <v>334</v>
      </c>
      <c r="I54">
        <v>14740256</v>
      </c>
      <c r="J54" s="1">
        <v>1.4740256E-2</v>
      </c>
      <c r="K54">
        <v>0</v>
      </c>
      <c r="L54" s="1">
        <v>0</v>
      </c>
    </row>
    <row r="55" spans="1:12" x14ac:dyDescent="0.3">
      <c r="A55" t="s">
        <v>328</v>
      </c>
      <c r="B55" t="s">
        <v>329</v>
      </c>
      <c r="C55" t="s">
        <v>335</v>
      </c>
      <c r="D55">
        <v>18</v>
      </c>
      <c r="E55" t="s">
        <v>331</v>
      </c>
      <c r="F55">
        <v>100</v>
      </c>
      <c r="G55">
        <v>120</v>
      </c>
      <c r="H55" t="s">
        <v>334</v>
      </c>
      <c r="I55">
        <v>18305170</v>
      </c>
      <c r="J55" s="1">
        <v>1.8305169999999999E-2</v>
      </c>
      <c r="K55">
        <v>0</v>
      </c>
      <c r="L55" s="1">
        <v>0</v>
      </c>
    </row>
    <row r="56" spans="1:12" x14ac:dyDescent="0.3">
      <c r="A56" t="s">
        <v>328</v>
      </c>
      <c r="B56" t="s">
        <v>329</v>
      </c>
      <c r="C56" t="s">
        <v>335</v>
      </c>
      <c r="D56">
        <v>19</v>
      </c>
      <c r="E56" t="s">
        <v>331</v>
      </c>
      <c r="F56">
        <v>120</v>
      </c>
      <c r="G56">
        <v>140</v>
      </c>
      <c r="H56" t="s">
        <v>334</v>
      </c>
      <c r="I56">
        <v>11310632</v>
      </c>
      <c r="J56" s="1">
        <v>1.1310631999999999E-2</v>
      </c>
      <c r="K56">
        <v>0</v>
      </c>
      <c r="L56" s="1">
        <v>0</v>
      </c>
    </row>
    <row r="57" spans="1:12" x14ac:dyDescent="0.3">
      <c r="A57" t="s">
        <v>328</v>
      </c>
      <c r="B57" t="s">
        <v>329</v>
      </c>
      <c r="C57" t="s">
        <v>335</v>
      </c>
      <c r="D57">
        <v>20</v>
      </c>
      <c r="E57" t="s">
        <v>331</v>
      </c>
      <c r="F57">
        <v>140</v>
      </c>
      <c r="G57">
        <v>160</v>
      </c>
      <c r="H57" t="s">
        <v>334</v>
      </c>
      <c r="I57">
        <v>8517535</v>
      </c>
      <c r="J57" s="1">
        <v>8.5175349999999997E-3</v>
      </c>
      <c r="K57">
        <v>0</v>
      </c>
      <c r="L57" s="1">
        <v>0</v>
      </c>
    </row>
    <row r="58" spans="1:12" x14ac:dyDescent="0.3">
      <c r="A58" t="s">
        <v>328</v>
      </c>
      <c r="B58" t="s">
        <v>329</v>
      </c>
      <c r="C58" t="s">
        <v>335</v>
      </c>
      <c r="D58">
        <v>21</v>
      </c>
      <c r="E58" t="s">
        <v>331</v>
      </c>
      <c r="F58">
        <v>160</v>
      </c>
      <c r="G58">
        <v>180</v>
      </c>
      <c r="H58" t="s">
        <v>334</v>
      </c>
      <c r="I58">
        <v>3563442</v>
      </c>
      <c r="J58" s="1">
        <v>3.563442E-3</v>
      </c>
      <c r="K58">
        <v>0</v>
      </c>
      <c r="L58" s="1">
        <v>0</v>
      </c>
    </row>
    <row r="59" spans="1:12" x14ac:dyDescent="0.3">
      <c r="A59" t="s">
        <v>328</v>
      </c>
      <c r="B59" t="s">
        <v>329</v>
      </c>
      <c r="C59" t="s">
        <v>335</v>
      </c>
      <c r="D59">
        <v>22</v>
      </c>
      <c r="E59" t="s">
        <v>331</v>
      </c>
      <c r="F59">
        <v>180</v>
      </c>
      <c r="G59">
        <v>200</v>
      </c>
      <c r="H59" t="s">
        <v>334</v>
      </c>
      <c r="I59">
        <v>2146776</v>
      </c>
      <c r="J59" s="1">
        <v>2.146776E-3</v>
      </c>
      <c r="K59">
        <v>0</v>
      </c>
      <c r="L59" s="1">
        <v>0</v>
      </c>
    </row>
    <row r="60" spans="1:12" x14ac:dyDescent="0.3">
      <c r="A60" t="s">
        <v>328</v>
      </c>
      <c r="B60" t="s">
        <v>329</v>
      </c>
      <c r="C60" t="s">
        <v>335</v>
      </c>
      <c r="D60">
        <v>23</v>
      </c>
      <c r="E60" t="s">
        <v>331</v>
      </c>
      <c r="F60">
        <v>200</v>
      </c>
      <c r="G60">
        <v>250</v>
      </c>
      <c r="H60" t="s">
        <v>334</v>
      </c>
      <c r="I60">
        <v>6484849</v>
      </c>
      <c r="J60" s="1">
        <v>6.484849E-3</v>
      </c>
      <c r="K60">
        <v>0</v>
      </c>
      <c r="L60" s="1">
        <v>0</v>
      </c>
    </row>
    <row r="61" spans="1:12" x14ac:dyDescent="0.3">
      <c r="A61" t="s">
        <v>328</v>
      </c>
      <c r="B61" t="s">
        <v>329</v>
      </c>
      <c r="C61" t="s">
        <v>335</v>
      </c>
      <c r="D61">
        <v>24</v>
      </c>
      <c r="E61" t="s">
        <v>331</v>
      </c>
      <c r="F61">
        <v>250</v>
      </c>
      <c r="G61">
        <v>300</v>
      </c>
      <c r="H61" t="s">
        <v>334</v>
      </c>
      <c r="I61">
        <v>727894</v>
      </c>
      <c r="J61" s="1">
        <v>7.2789399999999998E-4</v>
      </c>
      <c r="K61">
        <v>0</v>
      </c>
      <c r="L61" s="1">
        <v>0</v>
      </c>
    </row>
    <row r="62" spans="1:12" x14ac:dyDescent="0.3">
      <c r="A62" t="s">
        <v>328</v>
      </c>
      <c r="B62" t="s">
        <v>329</v>
      </c>
      <c r="C62" t="s">
        <v>335</v>
      </c>
      <c r="D62">
        <v>25</v>
      </c>
      <c r="E62" t="s">
        <v>331</v>
      </c>
      <c r="F62">
        <v>300</v>
      </c>
      <c r="G62">
        <v>350</v>
      </c>
      <c r="H62" t="s">
        <v>334</v>
      </c>
      <c r="I62">
        <v>231554</v>
      </c>
      <c r="J62" s="1">
        <v>2.31554E-4</v>
      </c>
      <c r="K62">
        <v>0</v>
      </c>
      <c r="L62" s="1">
        <v>0</v>
      </c>
    </row>
    <row r="63" spans="1:12" x14ac:dyDescent="0.3">
      <c r="A63" t="s">
        <v>328</v>
      </c>
      <c r="B63" t="s">
        <v>329</v>
      </c>
      <c r="C63" t="s">
        <v>335</v>
      </c>
      <c r="D63">
        <v>26</v>
      </c>
      <c r="E63" t="s">
        <v>331</v>
      </c>
      <c r="F63">
        <v>350</v>
      </c>
      <c r="G63">
        <v>400</v>
      </c>
      <c r="H63" t="s">
        <v>334</v>
      </c>
      <c r="I63">
        <v>1485699</v>
      </c>
      <c r="J63" s="1">
        <v>1.485699E-3</v>
      </c>
      <c r="K63">
        <v>0</v>
      </c>
      <c r="L63" s="1">
        <v>0</v>
      </c>
    </row>
    <row r="64" spans="1:12" x14ac:dyDescent="0.3">
      <c r="A64" t="s">
        <v>328</v>
      </c>
      <c r="B64" t="s">
        <v>329</v>
      </c>
      <c r="C64" t="s">
        <v>335</v>
      </c>
      <c r="D64">
        <v>27</v>
      </c>
      <c r="E64" t="s">
        <v>331</v>
      </c>
      <c r="F64">
        <v>400</v>
      </c>
      <c r="G64">
        <v>450</v>
      </c>
      <c r="H64" t="s">
        <v>334</v>
      </c>
      <c r="I64">
        <v>176911</v>
      </c>
      <c r="J64" s="1">
        <v>1.76911E-4</v>
      </c>
      <c r="K64">
        <v>0</v>
      </c>
      <c r="L64" s="1">
        <v>0</v>
      </c>
    </row>
    <row r="65" spans="1:12" x14ac:dyDescent="0.3">
      <c r="A65" t="s">
        <v>328</v>
      </c>
      <c r="B65" t="s">
        <v>329</v>
      </c>
      <c r="C65" t="s">
        <v>335</v>
      </c>
      <c r="D65">
        <v>28</v>
      </c>
      <c r="E65" t="s">
        <v>331</v>
      </c>
      <c r="F65">
        <v>450</v>
      </c>
      <c r="G65">
        <v>500</v>
      </c>
      <c r="H65" t="s">
        <v>334</v>
      </c>
      <c r="I65">
        <v>758113</v>
      </c>
      <c r="J65" s="1">
        <v>7.5811300000000004E-4</v>
      </c>
      <c r="K65">
        <v>0</v>
      </c>
      <c r="L65" s="1">
        <v>0</v>
      </c>
    </row>
    <row r="66" spans="1:12" x14ac:dyDescent="0.3">
      <c r="A66" t="s">
        <v>328</v>
      </c>
      <c r="B66" t="s">
        <v>329</v>
      </c>
      <c r="C66" t="s">
        <v>335</v>
      </c>
      <c r="D66">
        <v>29</v>
      </c>
      <c r="E66" t="s">
        <v>331</v>
      </c>
      <c r="F66">
        <v>500</v>
      </c>
      <c r="G66">
        <v>550</v>
      </c>
      <c r="H66" t="s">
        <v>334</v>
      </c>
      <c r="I66">
        <v>143135</v>
      </c>
      <c r="J66" s="1">
        <v>1.4313499999999999E-4</v>
      </c>
      <c r="K66">
        <v>0</v>
      </c>
      <c r="L66" s="1">
        <v>0</v>
      </c>
    </row>
    <row r="67" spans="1:12" x14ac:dyDescent="0.3">
      <c r="A67" t="s">
        <v>328</v>
      </c>
      <c r="B67" t="s">
        <v>329</v>
      </c>
      <c r="C67" t="s">
        <v>335</v>
      </c>
      <c r="D67">
        <v>30</v>
      </c>
      <c r="E67" t="s">
        <v>331</v>
      </c>
      <c r="F67">
        <v>550</v>
      </c>
      <c r="G67">
        <v>600</v>
      </c>
      <c r="H67" t="s">
        <v>334</v>
      </c>
      <c r="I67">
        <v>130663</v>
      </c>
      <c r="J67" s="1">
        <v>1.3066299999999999E-4</v>
      </c>
      <c r="K67">
        <v>0</v>
      </c>
      <c r="L67" s="1">
        <v>0</v>
      </c>
    </row>
    <row r="68" spans="1:12" x14ac:dyDescent="0.3">
      <c r="A68" t="s">
        <v>328</v>
      </c>
      <c r="B68" t="s">
        <v>329</v>
      </c>
      <c r="C68" t="s">
        <v>335</v>
      </c>
      <c r="D68">
        <v>31</v>
      </c>
      <c r="E68" t="s">
        <v>331</v>
      </c>
      <c r="F68">
        <v>600</v>
      </c>
      <c r="G68">
        <v>650</v>
      </c>
      <c r="H68" t="s">
        <v>334</v>
      </c>
      <c r="I68">
        <v>120163</v>
      </c>
      <c r="J68" s="1">
        <v>1.2016299999999999E-4</v>
      </c>
      <c r="K68">
        <v>0</v>
      </c>
      <c r="L68" s="1">
        <v>0</v>
      </c>
    </row>
    <row r="69" spans="1:12" x14ac:dyDescent="0.3">
      <c r="A69" t="s">
        <v>328</v>
      </c>
      <c r="B69" t="s">
        <v>329</v>
      </c>
      <c r="C69" t="s">
        <v>335</v>
      </c>
      <c r="D69">
        <v>32</v>
      </c>
      <c r="E69" t="s">
        <v>331</v>
      </c>
      <c r="F69">
        <v>650</v>
      </c>
      <c r="G69">
        <v>700</v>
      </c>
      <c r="H69" t="s">
        <v>334</v>
      </c>
      <c r="I69">
        <v>111257</v>
      </c>
      <c r="J69" s="1">
        <v>1.11257E-4</v>
      </c>
      <c r="K69">
        <v>0</v>
      </c>
      <c r="L69" s="1">
        <v>0</v>
      </c>
    </row>
    <row r="70" spans="1:12" x14ac:dyDescent="0.3">
      <c r="A70" t="s">
        <v>328</v>
      </c>
      <c r="B70" t="s">
        <v>329</v>
      </c>
      <c r="C70" t="s">
        <v>335</v>
      </c>
      <c r="D70">
        <v>33</v>
      </c>
      <c r="E70" t="s">
        <v>331</v>
      </c>
      <c r="F70">
        <v>700</v>
      </c>
      <c r="G70">
        <v>750</v>
      </c>
      <c r="H70" t="s">
        <v>334</v>
      </c>
      <c r="I70">
        <v>103568</v>
      </c>
      <c r="J70" s="1">
        <v>1.03568E-4</v>
      </c>
      <c r="K70">
        <v>0</v>
      </c>
      <c r="L70" s="1">
        <v>0</v>
      </c>
    </row>
    <row r="71" spans="1:12" x14ac:dyDescent="0.3">
      <c r="A71" t="s">
        <v>328</v>
      </c>
      <c r="B71" t="s">
        <v>329</v>
      </c>
      <c r="C71" t="s">
        <v>335</v>
      </c>
      <c r="D71">
        <v>34</v>
      </c>
      <c r="E71" t="s">
        <v>331</v>
      </c>
      <c r="F71">
        <v>750</v>
      </c>
      <c r="G71">
        <v>800</v>
      </c>
      <c r="H71" t="s">
        <v>334</v>
      </c>
      <c r="I71">
        <v>805797</v>
      </c>
      <c r="J71" s="1">
        <v>8.0579700000000002E-4</v>
      </c>
      <c r="K71">
        <v>0</v>
      </c>
      <c r="L71" s="1">
        <v>0</v>
      </c>
    </row>
    <row r="72" spans="1:12" x14ac:dyDescent="0.3">
      <c r="A72" t="s">
        <v>328</v>
      </c>
      <c r="B72" t="s">
        <v>329</v>
      </c>
      <c r="C72" t="s">
        <v>335</v>
      </c>
      <c r="D72">
        <v>35</v>
      </c>
      <c r="E72" t="s">
        <v>331</v>
      </c>
      <c r="F72">
        <v>800</v>
      </c>
      <c r="G72">
        <v>850</v>
      </c>
      <c r="H72" t="s">
        <v>334</v>
      </c>
      <c r="I72">
        <v>90957</v>
      </c>
      <c r="J72" s="1">
        <v>9.0957000000000003E-5</v>
      </c>
      <c r="K72">
        <v>0</v>
      </c>
      <c r="L72" s="1">
        <v>0</v>
      </c>
    </row>
    <row r="73" spans="1:12" x14ac:dyDescent="0.3">
      <c r="A73" t="s">
        <v>328</v>
      </c>
      <c r="B73" t="s">
        <v>329</v>
      </c>
      <c r="C73" t="s">
        <v>335</v>
      </c>
      <c r="D73">
        <v>36</v>
      </c>
      <c r="E73" t="s">
        <v>331</v>
      </c>
      <c r="F73">
        <v>1000</v>
      </c>
      <c r="G73">
        <v>2000</v>
      </c>
      <c r="H73" t="s">
        <v>334</v>
      </c>
      <c r="I73">
        <v>63919</v>
      </c>
      <c r="J73" s="1">
        <v>6.3918999999999996E-5</v>
      </c>
      <c r="K73">
        <v>0</v>
      </c>
      <c r="L73" s="1">
        <v>0</v>
      </c>
    </row>
    <row r="74" spans="1:12" x14ac:dyDescent="0.3">
      <c r="A74" t="s">
        <v>328</v>
      </c>
      <c r="B74" t="s">
        <v>329</v>
      </c>
      <c r="C74" t="s">
        <v>336</v>
      </c>
      <c r="D74">
        <v>0</v>
      </c>
      <c r="E74" t="s">
        <v>331</v>
      </c>
      <c r="F74">
        <v>50</v>
      </c>
      <c r="G74">
        <v>60</v>
      </c>
      <c r="H74" t="s">
        <v>337</v>
      </c>
      <c r="I74">
        <v>73762218</v>
      </c>
      <c r="J74" s="1">
        <v>7.3762218000000004E-2</v>
      </c>
      <c r="K74">
        <v>0</v>
      </c>
      <c r="L74" s="1">
        <v>0</v>
      </c>
    </row>
    <row r="75" spans="1:12" x14ac:dyDescent="0.3">
      <c r="A75" t="s">
        <v>328</v>
      </c>
      <c r="B75" t="s">
        <v>329</v>
      </c>
      <c r="C75" t="s">
        <v>336</v>
      </c>
      <c r="D75">
        <v>1</v>
      </c>
      <c r="E75" t="s">
        <v>331</v>
      </c>
      <c r="F75">
        <v>60</v>
      </c>
      <c r="G75">
        <v>70</v>
      </c>
      <c r="H75" t="s">
        <v>337</v>
      </c>
      <c r="I75">
        <v>71549352</v>
      </c>
      <c r="J75" s="1">
        <v>7.1549351999999997E-2</v>
      </c>
      <c r="K75">
        <v>0</v>
      </c>
      <c r="L75" s="1">
        <v>0</v>
      </c>
    </row>
    <row r="76" spans="1:12" x14ac:dyDescent="0.3">
      <c r="A76" t="s">
        <v>328</v>
      </c>
      <c r="B76" t="s">
        <v>329</v>
      </c>
      <c r="C76" t="s">
        <v>336</v>
      </c>
      <c r="D76">
        <v>2</v>
      </c>
      <c r="E76" t="s">
        <v>331</v>
      </c>
      <c r="F76">
        <v>70</v>
      </c>
      <c r="G76">
        <v>80</v>
      </c>
      <c r="H76" t="s">
        <v>337</v>
      </c>
      <c r="I76">
        <v>69402871</v>
      </c>
      <c r="J76" s="1">
        <v>6.9402871000000005E-2</v>
      </c>
      <c r="K76">
        <v>0</v>
      </c>
      <c r="L76" s="1">
        <v>0</v>
      </c>
    </row>
    <row r="77" spans="1:12" x14ac:dyDescent="0.3">
      <c r="A77" t="s">
        <v>328</v>
      </c>
      <c r="B77" t="s">
        <v>329</v>
      </c>
      <c r="C77" t="s">
        <v>336</v>
      </c>
      <c r="D77">
        <v>3</v>
      </c>
      <c r="E77" t="s">
        <v>331</v>
      </c>
      <c r="F77">
        <v>80</v>
      </c>
      <c r="G77">
        <v>90</v>
      </c>
      <c r="H77" t="s">
        <v>337</v>
      </c>
      <c r="I77">
        <v>67320785</v>
      </c>
      <c r="J77" s="1">
        <v>6.7320784999999994E-2</v>
      </c>
      <c r="K77">
        <v>0</v>
      </c>
      <c r="L77" s="1">
        <v>0</v>
      </c>
    </row>
    <row r="78" spans="1:12" x14ac:dyDescent="0.3">
      <c r="A78" t="s">
        <v>328</v>
      </c>
      <c r="B78" t="s">
        <v>329</v>
      </c>
      <c r="C78" t="s">
        <v>336</v>
      </c>
      <c r="D78">
        <v>4</v>
      </c>
      <c r="E78" t="s">
        <v>331</v>
      </c>
      <c r="F78">
        <v>90</v>
      </c>
      <c r="G78">
        <v>100</v>
      </c>
      <c r="H78" t="s">
        <v>337</v>
      </c>
      <c r="I78">
        <v>65301161</v>
      </c>
      <c r="J78" s="1">
        <v>6.5301160999999996E-2</v>
      </c>
      <c r="K78">
        <v>0</v>
      </c>
      <c r="L78" s="1">
        <v>0</v>
      </c>
    </row>
    <row r="79" spans="1:12" x14ac:dyDescent="0.3">
      <c r="A79" t="s">
        <v>328</v>
      </c>
      <c r="B79" t="s">
        <v>329</v>
      </c>
      <c r="C79" t="s">
        <v>336</v>
      </c>
      <c r="D79">
        <v>5</v>
      </c>
      <c r="E79" t="s">
        <v>331</v>
      </c>
      <c r="F79">
        <v>100</v>
      </c>
      <c r="G79">
        <v>120</v>
      </c>
      <c r="H79" t="s">
        <v>337</v>
      </c>
      <c r="I79">
        <v>63342126</v>
      </c>
      <c r="J79" s="1">
        <v>6.3342125999999999E-2</v>
      </c>
      <c r="K79">
        <v>0</v>
      </c>
      <c r="L79" s="1">
        <v>0</v>
      </c>
    </row>
    <row r="80" spans="1:12" x14ac:dyDescent="0.3">
      <c r="A80" t="s">
        <v>328</v>
      </c>
      <c r="B80" t="s">
        <v>329</v>
      </c>
      <c r="C80" t="s">
        <v>336</v>
      </c>
      <c r="D80">
        <v>6</v>
      </c>
      <c r="E80" t="s">
        <v>331</v>
      </c>
      <c r="F80">
        <v>120</v>
      </c>
      <c r="G80">
        <v>140</v>
      </c>
      <c r="H80" t="s">
        <v>337</v>
      </c>
      <c r="I80">
        <v>61441863</v>
      </c>
      <c r="J80" s="1">
        <v>6.1441862999999999E-2</v>
      </c>
      <c r="K80">
        <v>0</v>
      </c>
      <c r="L80" s="1">
        <v>0</v>
      </c>
    </row>
    <row r="81" spans="1:12" x14ac:dyDescent="0.3">
      <c r="A81" t="s">
        <v>328</v>
      </c>
      <c r="B81" t="s">
        <v>329</v>
      </c>
      <c r="C81" t="s">
        <v>336</v>
      </c>
      <c r="D81">
        <v>7</v>
      </c>
      <c r="E81" t="s">
        <v>331</v>
      </c>
      <c r="F81">
        <v>140</v>
      </c>
      <c r="G81">
        <v>160</v>
      </c>
      <c r="H81" t="s">
        <v>337</v>
      </c>
      <c r="I81">
        <v>59598607</v>
      </c>
      <c r="J81" s="1">
        <v>5.9598606999999998E-2</v>
      </c>
      <c r="K81">
        <v>0</v>
      </c>
      <c r="L81" s="1">
        <v>0</v>
      </c>
    </row>
    <row r="82" spans="1:12" x14ac:dyDescent="0.3">
      <c r="A82" t="s">
        <v>328</v>
      </c>
      <c r="B82" t="s">
        <v>329</v>
      </c>
      <c r="C82" t="s">
        <v>336</v>
      </c>
      <c r="D82">
        <v>8</v>
      </c>
      <c r="E82" t="s">
        <v>331</v>
      </c>
      <c r="F82">
        <v>160</v>
      </c>
      <c r="G82">
        <v>180</v>
      </c>
      <c r="H82" t="s">
        <v>337</v>
      </c>
      <c r="I82">
        <v>57810649</v>
      </c>
      <c r="J82" s="1">
        <v>5.7810648999999999E-2</v>
      </c>
      <c r="K82">
        <v>0</v>
      </c>
      <c r="L82" s="1">
        <v>0</v>
      </c>
    </row>
    <row r="83" spans="1:12" x14ac:dyDescent="0.3">
      <c r="A83" t="s">
        <v>328</v>
      </c>
      <c r="B83" t="s">
        <v>329</v>
      </c>
      <c r="C83" t="s">
        <v>336</v>
      </c>
      <c r="D83">
        <v>9</v>
      </c>
      <c r="E83" t="s">
        <v>331</v>
      </c>
      <c r="F83">
        <v>180</v>
      </c>
      <c r="G83">
        <v>200</v>
      </c>
      <c r="H83" t="s">
        <v>337</v>
      </c>
      <c r="I83">
        <v>56076329</v>
      </c>
      <c r="J83" s="1">
        <v>5.6076329000000001E-2</v>
      </c>
      <c r="K83">
        <v>0</v>
      </c>
      <c r="L83" s="1">
        <v>0</v>
      </c>
    </row>
    <row r="84" spans="1:12" x14ac:dyDescent="0.3">
      <c r="A84" t="s">
        <v>328</v>
      </c>
      <c r="B84" t="s">
        <v>329</v>
      </c>
      <c r="C84" t="s">
        <v>336</v>
      </c>
      <c r="D84">
        <v>10</v>
      </c>
      <c r="E84" t="s">
        <v>331</v>
      </c>
      <c r="F84">
        <v>200</v>
      </c>
      <c r="G84">
        <v>250</v>
      </c>
      <c r="H84" t="s">
        <v>337</v>
      </c>
      <c r="I84">
        <v>54394039</v>
      </c>
      <c r="J84" s="1">
        <v>5.4394038999999998E-2</v>
      </c>
      <c r="K84">
        <v>0</v>
      </c>
      <c r="L84" s="1">
        <v>0</v>
      </c>
    </row>
    <row r="85" spans="1:12" x14ac:dyDescent="0.3">
      <c r="A85" t="s">
        <v>328</v>
      </c>
      <c r="B85" t="s">
        <v>329</v>
      </c>
      <c r="C85" t="s">
        <v>336</v>
      </c>
      <c r="D85">
        <v>11</v>
      </c>
      <c r="E85" t="s">
        <v>331</v>
      </c>
      <c r="F85">
        <v>250</v>
      </c>
      <c r="G85">
        <v>300</v>
      </c>
      <c r="H85" t="s">
        <v>337</v>
      </c>
      <c r="I85">
        <v>50967687</v>
      </c>
      <c r="J85" s="1">
        <v>5.0967686999999998E-2</v>
      </c>
      <c r="K85">
        <v>0</v>
      </c>
      <c r="L85" s="1">
        <v>0</v>
      </c>
    </row>
    <row r="86" spans="1:12" x14ac:dyDescent="0.3">
      <c r="A86" t="s">
        <v>328</v>
      </c>
      <c r="B86" t="s">
        <v>329</v>
      </c>
      <c r="C86" t="s">
        <v>336</v>
      </c>
      <c r="D86">
        <v>12</v>
      </c>
      <c r="E86" t="s">
        <v>331</v>
      </c>
      <c r="F86">
        <v>300</v>
      </c>
      <c r="G86">
        <v>350</v>
      </c>
      <c r="H86" t="s">
        <v>337</v>
      </c>
      <c r="I86">
        <v>49438657</v>
      </c>
      <c r="J86" s="1">
        <v>4.9438656999999997E-2</v>
      </c>
      <c r="K86">
        <v>0</v>
      </c>
      <c r="L86" s="1">
        <v>0</v>
      </c>
    </row>
    <row r="87" spans="1:12" x14ac:dyDescent="0.3">
      <c r="A87" t="s">
        <v>328</v>
      </c>
      <c r="B87" t="s">
        <v>329</v>
      </c>
      <c r="C87" t="s">
        <v>336</v>
      </c>
      <c r="D87">
        <v>13</v>
      </c>
      <c r="E87" t="s">
        <v>331</v>
      </c>
      <c r="F87">
        <v>350</v>
      </c>
      <c r="G87">
        <v>400</v>
      </c>
      <c r="H87" t="s">
        <v>337</v>
      </c>
      <c r="I87">
        <v>47955497</v>
      </c>
      <c r="J87" s="1">
        <v>4.7955497E-2</v>
      </c>
      <c r="K87">
        <v>0</v>
      </c>
      <c r="L87" s="1">
        <v>0</v>
      </c>
    </row>
    <row r="88" spans="1:12" x14ac:dyDescent="0.3">
      <c r="A88" t="s">
        <v>328</v>
      </c>
      <c r="B88" t="s">
        <v>329</v>
      </c>
      <c r="C88" t="s">
        <v>336</v>
      </c>
      <c r="D88">
        <v>14</v>
      </c>
      <c r="E88" t="s">
        <v>331</v>
      </c>
      <c r="F88">
        <v>400</v>
      </c>
      <c r="G88">
        <v>450</v>
      </c>
      <c r="H88" t="s">
        <v>337</v>
      </c>
      <c r="I88">
        <v>46516832</v>
      </c>
      <c r="J88" s="1">
        <v>4.6516832000000001E-2</v>
      </c>
      <c r="K88">
        <v>0</v>
      </c>
      <c r="L88" s="1">
        <v>0</v>
      </c>
    </row>
    <row r="89" spans="1:12" x14ac:dyDescent="0.3">
      <c r="A89" t="s">
        <v>328</v>
      </c>
      <c r="B89" t="s">
        <v>329</v>
      </c>
      <c r="C89" t="s">
        <v>336</v>
      </c>
      <c r="D89">
        <v>15</v>
      </c>
      <c r="E89" t="s">
        <v>331</v>
      </c>
      <c r="F89">
        <v>450</v>
      </c>
      <c r="G89">
        <v>500</v>
      </c>
      <c r="H89" t="s">
        <v>337</v>
      </c>
      <c r="I89">
        <v>45121327</v>
      </c>
      <c r="J89" s="1">
        <v>4.5121327000000003E-2</v>
      </c>
      <c r="K89">
        <v>0</v>
      </c>
      <c r="L89" s="1">
        <v>0</v>
      </c>
    </row>
    <row r="90" spans="1:12" x14ac:dyDescent="0.3">
      <c r="A90" t="s">
        <v>328</v>
      </c>
      <c r="B90" t="s">
        <v>329</v>
      </c>
      <c r="C90" t="s">
        <v>336</v>
      </c>
      <c r="D90">
        <v>16</v>
      </c>
      <c r="E90" t="s">
        <v>331</v>
      </c>
      <c r="F90">
        <v>500</v>
      </c>
      <c r="G90">
        <v>550</v>
      </c>
      <c r="H90" t="s">
        <v>337</v>
      </c>
      <c r="I90">
        <v>6458480</v>
      </c>
      <c r="J90" s="1">
        <v>6.45848E-3</v>
      </c>
      <c r="K90">
        <v>0</v>
      </c>
      <c r="L90" s="1">
        <v>0</v>
      </c>
    </row>
    <row r="91" spans="1:12" x14ac:dyDescent="0.3">
      <c r="A91" t="s">
        <v>328</v>
      </c>
      <c r="B91" t="s">
        <v>329</v>
      </c>
      <c r="C91" t="s">
        <v>336</v>
      </c>
      <c r="D91">
        <v>17</v>
      </c>
      <c r="E91" t="s">
        <v>331</v>
      </c>
      <c r="F91">
        <v>550</v>
      </c>
      <c r="G91">
        <v>600</v>
      </c>
      <c r="H91" t="s">
        <v>337</v>
      </c>
      <c r="I91">
        <v>6081107</v>
      </c>
      <c r="J91" s="1">
        <v>6.0811069999999997E-3</v>
      </c>
      <c r="K91">
        <v>0</v>
      </c>
      <c r="L91" s="1">
        <v>0</v>
      </c>
    </row>
    <row r="92" spans="1:12" x14ac:dyDescent="0.3">
      <c r="A92" t="s">
        <v>328</v>
      </c>
      <c r="B92" t="s">
        <v>329</v>
      </c>
      <c r="C92" t="s">
        <v>336</v>
      </c>
      <c r="D92">
        <v>18</v>
      </c>
      <c r="E92" t="s">
        <v>331</v>
      </c>
      <c r="F92">
        <v>600</v>
      </c>
      <c r="G92">
        <v>650</v>
      </c>
      <c r="H92" t="s">
        <v>337</v>
      </c>
      <c r="I92">
        <v>5725783</v>
      </c>
      <c r="J92" s="1">
        <v>5.7257829999999999E-3</v>
      </c>
      <c r="K92">
        <v>0</v>
      </c>
      <c r="L92" s="1">
        <v>0</v>
      </c>
    </row>
    <row r="93" spans="1:12" x14ac:dyDescent="0.3">
      <c r="A93" t="s">
        <v>328</v>
      </c>
      <c r="B93" t="s">
        <v>329</v>
      </c>
      <c r="C93" t="s">
        <v>336</v>
      </c>
      <c r="D93">
        <v>19</v>
      </c>
      <c r="E93" t="s">
        <v>331</v>
      </c>
      <c r="F93">
        <v>650</v>
      </c>
      <c r="G93">
        <v>700</v>
      </c>
      <c r="H93" t="s">
        <v>337</v>
      </c>
      <c r="I93">
        <v>5391221</v>
      </c>
      <c r="J93" s="1">
        <v>5.3912209999999999E-3</v>
      </c>
      <c r="K93">
        <v>0</v>
      </c>
      <c r="L93" s="1">
        <v>0</v>
      </c>
    </row>
    <row r="94" spans="1:12" x14ac:dyDescent="0.3">
      <c r="A94" t="s">
        <v>328</v>
      </c>
      <c r="B94" t="s">
        <v>329</v>
      </c>
      <c r="C94" t="s">
        <v>336</v>
      </c>
      <c r="D94">
        <v>20</v>
      </c>
      <c r="E94" t="s">
        <v>331</v>
      </c>
      <c r="F94">
        <v>700</v>
      </c>
      <c r="G94">
        <v>750</v>
      </c>
      <c r="H94" t="s">
        <v>337</v>
      </c>
      <c r="I94">
        <v>5076208</v>
      </c>
      <c r="J94" s="1">
        <v>5.0762079999999996E-3</v>
      </c>
      <c r="K94">
        <v>0</v>
      </c>
      <c r="L94" s="1">
        <v>0</v>
      </c>
    </row>
    <row r="95" spans="1:12" x14ac:dyDescent="0.3">
      <c r="A95" t="s">
        <v>328</v>
      </c>
      <c r="B95" t="s">
        <v>329</v>
      </c>
      <c r="C95" t="s">
        <v>336</v>
      </c>
      <c r="D95">
        <v>21</v>
      </c>
      <c r="E95" t="s">
        <v>331</v>
      </c>
      <c r="F95">
        <v>750</v>
      </c>
      <c r="G95">
        <v>800</v>
      </c>
      <c r="H95" t="s">
        <v>337</v>
      </c>
      <c r="I95">
        <v>4779601</v>
      </c>
      <c r="J95" s="1">
        <v>4.7796009999999996E-3</v>
      </c>
      <c r="K95">
        <v>0</v>
      </c>
      <c r="L95" s="1">
        <v>0</v>
      </c>
    </row>
    <row r="96" spans="1:12" x14ac:dyDescent="0.3">
      <c r="A96" t="s">
        <v>328</v>
      </c>
      <c r="B96" t="s">
        <v>329</v>
      </c>
      <c r="C96" t="s">
        <v>336</v>
      </c>
      <c r="D96">
        <v>22</v>
      </c>
      <c r="E96" t="s">
        <v>331</v>
      </c>
      <c r="F96">
        <v>800</v>
      </c>
      <c r="G96">
        <v>850</v>
      </c>
      <c r="H96" t="s">
        <v>337</v>
      </c>
      <c r="I96">
        <v>4500326</v>
      </c>
      <c r="J96" s="1">
        <v>4.5003259999999998E-3</v>
      </c>
      <c r="K96">
        <v>0</v>
      </c>
      <c r="L96" s="1">
        <v>0</v>
      </c>
    </row>
    <row r="97" spans="1:12" x14ac:dyDescent="0.3">
      <c r="A97" t="s">
        <v>328</v>
      </c>
      <c r="B97" t="s">
        <v>329</v>
      </c>
      <c r="C97" t="s">
        <v>336</v>
      </c>
      <c r="D97">
        <v>23</v>
      </c>
      <c r="E97" t="s">
        <v>331</v>
      </c>
      <c r="F97">
        <v>850</v>
      </c>
      <c r="G97">
        <v>900</v>
      </c>
      <c r="H97" t="s">
        <v>337</v>
      </c>
      <c r="I97">
        <v>4237368</v>
      </c>
      <c r="J97" s="1">
        <v>4.237368E-3</v>
      </c>
      <c r="K97">
        <v>0</v>
      </c>
      <c r="L97" s="1">
        <v>0</v>
      </c>
    </row>
    <row r="98" spans="1:12" x14ac:dyDescent="0.3">
      <c r="A98" t="s">
        <v>328</v>
      </c>
      <c r="B98" t="s">
        <v>329</v>
      </c>
      <c r="C98" t="s">
        <v>336</v>
      </c>
      <c r="D98">
        <v>24</v>
      </c>
      <c r="E98" t="s">
        <v>331</v>
      </c>
      <c r="F98">
        <v>900</v>
      </c>
      <c r="G98">
        <v>950</v>
      </c>
      <c r="H98" t="s">
        <v>337</v>
      </c>
      <c r="I98">
        <v>3989776</v>
      </c>
      <c r="J98" s="1">
        <v>3.9897760000000004E-3</v>
      </c>
      <c r="K98">
        <v>0</v>
      </c>
      <c r="L98" s="1">
        <v>0</v>
      </c>
    </row>
    <row r="99" spans="1:12" x14ac:dyDescent="0.3">
      <c r="A99" t="s">
        <v>328</v>
      </c>
      <c r="B99" t="s">
        <v>329</v>
      </c>
      <c r="C99" t="s">
        <v>336</v>
      </c>
      <c r="D99">
        <v>25</v>
      </c>
      <c r="E99" t="s">
        <v>331</v>
      </c>
      <c r="F99">
        <v>950</v>
      </c>
      <c r="G99">
        <v>1000</v>
      </c>
      <c r="H99" t="s">
        <v>337</v>
      </c>
      <c r="I99">
        <v>3756650</v>
      </c>
      <c r="J99" s="1">
        <v>3.7566499999999998E-3</v>
      </c>
      <c r="K99">
        <v>0</v>
      </c>
      <c r="L99" s="1">
        <v>0</v>
      </c>
    </row>
    <row r="100" spans="1:12" x14ac:dyDescent="0.3">
      <c r="A100" t="s">
        <v>328</v>
      </c>
      <c r="B100" t="s">
        <v>329</v>
      </c>
      <c r="C100" t="s">
        <v>336</v>
      </c>
      <c r="D100">
        <v>26</v>
      </c>
      <c r="E100" t="s">
        <v>331</v>
      </c>
      <c r="F100">
        <v>1000</v>
      </c>
      <c r="G100">
        <v>2000</v>
      </c>
      <c r="H100" t="s">
        <v>337</v>
      </c>
      <c r="I100">
        <v>3537146</v>
      </c>
      <c r="J100" s="1">
        <v>3.5371460000000001E-3</v>
      </c>
      <c r="K100">
        <v>0</v>
      </c>
      <c r="L100" s="1">
        <v>0</v>
      </c>
    </row>
    <row r="101" spans="1:12" x14ac:dyDescent="0.3">
      <c r="A101" t="s">
        <v>328</v>
      </c>
      <c r="B101" t="s">
        <v>329</v>
      </c>
      <c r="C101" t="s">
        <v>336</v>
      </c>
      <c r="D101">
        <v>27</v>
      </c>
      <c r="E101" t="s">
        <v>331</v>
      </c>
      <c r="F101">
        <v>2000</v>
      </c>
      <c r="G101">
        <v>3000</v>
      </c>
      <c r="H101" t="s">
        <v>337</v>
      </c>
      <c r="I101">
        <v>3330468</v>
      </c>
      <c r="J101" s="1">
        <v>3.3304680000000001E-3</v>
      </c>
      <c r="K101">
        <v>0</v>
      </c>
      <c r="L101" s="1">
        <v>0</v>
      </c>
    </row>
    <row r="102" spans="1:12" x14ac:dyDescent="0.3">
      <c r="A102" t="s">
        <v>328</v>
      </c>
      <c r="B102" t="s">
        <v>329</v>
      </c>
      <c r="C102" t="s">
        <v>336</v>
      </c>
      <c r="D102">
        <v>28</v>
      </c>
      <c r="E102" t="s">
        <v>331</v>
      </c>
      <c r="F102">
        <v>3000</v>
      </c>
      <c r="G102">
        <v>4000</v>
      </c>
      <c r="H102" t="s">
        <v>337</v>
      </c>
      <c r="I102">
        <v>3135866</v>
      </c>
      <c r="J102" s="1">
        <v>3.1358660000000002E-3</v>
      </c>
      <c r="K102">
        <v>0</v>
      </c>
      <c r="L102" s="1">
        <v>0</v>
      </c>
    </row>
    <row r="103" spans="1:12" x14ac:dyDescent="0.3">
      <c r="A103" t="s">
        <v>53</v>
      </c>
      <c r="B103" t="s">
        <v>338</v>
      </c>
      <c r="C103" t="s">
        <v>330</v>
      </c>
      <c r="D103">
        <v>0</v>
      </c>
      <c r="E103" t="s">
        <v>331</v>
      </c>
      <c r="F103">
        <v>-1</v>
      </c>
      <c r="G103">
        <v>0</v>
      </c>
      <c r="H103" t="s">
        <v>332</v>
      </c>
      <c r="I103">
        <v>766048009</v>
      </c>
      <c r="J103" s="1">
        <v>0.75958469523242034</v>
      </c>
      <c r="K103">
        <v>75948869</v>
      </c>
      <c r="L103" s="1">
        <v>0.75948868999999997</v>
      </c>
    </row>
    <row r="104" spans="1:12" x14ac:dyDescent="0.3">
      <c r="A104" t="s">
        <v>53</v>
      </c>
      <c r="B104" t="s">
        <v>338</v>
      </c>
      <c r="C104" t="s">
        <v>330</v>
      </c>
      <c r="D104">
        <v>1</v>
      </c>
      <c r="E104" t="s">
        <v>331</v>
      </c>
      <c r="F104">
        <v>0</v>
      </c>
      <c r="G104">
        <v>1</v>
      </c>
      <c r="H104" t="s">
        <v>332</v>
      </c>
      <c r="I104">
        <v>130273152</v>
      </c>
      <c r="J104" s="1">
        <v>0.1291740090651248</v>
      </c>
      <c r="K104">
        <v>12920867</v>
      </c>
      <c r="L104" s="1">
        <v>0.12920867</v>
      </c>
    </row>
    <row r="105" spans="1:12" x14ac:dyDescent="0.3">
      <c r="A105" t="s">
        <v>53</v>
      </c>
      <c r="B105" t="s">
        <v>338</v>
      </c>
      <c r="C105" t="s">
        <v>330</v>
      </c>
      <c r="D105">
        <v>2</v>
      </c>
      <c r="E105" t="s">
        <v>331</v>
      </c>
      <c r="F105">
        <v>1</v>
      </c>
      <c r="G105">
        <v>2</v>
      </c>
      <c r="H105" t="s">
        <v>332</v>
      </c>
      <c r="I105">
        <v>32646524</v>
      </c>
      <c r="J105" s="1">
        <v>3.2371078172122633E-2</v>
      </c>
      <c r="K105">
        <v>3239108</v>
      </c>
      <c r="L105" s="1">
        <v>3.2391080000000003E-2</v>
      </c>
    </row>
    <row r="106" spans="1:12" x14ac:dyDescent="0.3">
      <c r="A106" t="s">
        <v>53</v>
      </c>
      <c r="B106" t="s">
        <v>338</v>
      </c>
      <c r="C106" t="s">
        <v>330</v>
      </c>
      <c r="D106">
        <v>3</v>
      </c>
      <c r="E106" t="s">
        <v>331</v>
      </c>
      <c r="F106">
        <v>2</v>
      </c>
      <c r="G106">
        <v>3</v>
      </c>
      <c r="H106" t="s">
        <v>332</v>
      </c>
      <c r="I106">
        <v>18186163</v>
      </c>
      <c r="J106" s="1">
        <v>1.8032722384899669E-2</v>
      </c>
      <c r="K106">
        <v>1806146</v>
      </c>
      <c r="L106" s="1">
        <v>1.8061460000000001E-2</v>
      </c>
    </row>
    <row r="107" spans="1:12" x14ac:dyDescent="0.3">
      <c r="A107" t="s">
        <v>53</v>
      </c>
      <c r="B107" t="s">
        <v>338</v>
      </c>
      <c r="C107" t="s">
        <v>330</v>
      </c>
      <c r="D107">
        <v>4</v>
      </c>
      <c r="E107" t="s">
        <v>331</v>
      </c>
      <c r="F107">
        <v>3</v>
      </c>
      <c r="G107">
        <v>4</v>
      </c>
      <c r="H107" t="s">
        <v>332</v>
      </c>
      <c r="I107">
        <v>11478540</v>
      </c>
      <c r="J107" s="1">
        <v>1.138169305993607E-2</v>
      </c>
      <c r="K107">
        <v>1139949</v>
      </c>
      <c r="L107" s="1">
        <v>1.139949E-2</v>
      </c>
    </row>
    <row r="108" spans="1:12" x14ac:dyDescent="0.3">
      <c r="A108" t="s">
        <v>53</v>
      </c>
      <c r="B108" t="s">
        <v>338</v>
      </c>
      <c r="C108" t="s">
        <v>330</v>
      </c>
      <c r="D108">
        <v>5</v>
      </c>
      <c r="E108" t="s">
        <v>331</v>
      </c>
      <c r="F108">
        <v>4</v>
      </c>
      <c r="G108">
        <v>5</v>
      </c>
      <c r="H108" t="s">
        <v>332</v>
      </c>
      <c r="I108">
        <v>9293837</v>
      </c>
      <c r="J108" s="1">
        <v>9.2154228746057516E-3</v>
      </c>
      <c r="K108">
        <v>921027</v>
      </c>
      <c r="L108" s="1">
        <v>9.2102699999999996E-3</v>
      </c>
    </row>
    <row r="109" spans="1:12" x14ac:dyDescent="0.3">
      <c r="A109" t="s">
        <v>53</v>
      </c>
      <c r="B109" t="s">
        <v>338</v>
      </c>
      <c r="C109" t="s">
        <v>330</v>
      </c>
      <c r="D109">
        <v>6</v>
      </c>
      <c r="E109" t="s">
        <v>331</v>
      </c>
      <c r="F109">
        <v>5</v>
      </c>
      <c r="G109">
        <v>6</v>
      </c>
      <c r="H109" t="s">
        <v>332</v>
      </c>
      <c r="I109">
        <v>3808466</v>
      </c>
      <c r="J109" s="1">
        <v>3.7763331435184699E-3</v>
      </c>
      <c r="K109">
        <v>377560</v>
      </c>
      <c r="L109" s="1">
        <v>3.7756E-3</v>
      </c>
    </row>
    <row r="110" spans="1:12" x14ac:dyDescent="0.3">
      <c r="A110" t="s">
        <v>53</v>
      </c>
      <c r="B110" t="s">
        <v>338</v>
      </c>
      <c r="C110" t="s">
        <v>330</v>
      </c>
      <c r="D110">
        <v>7</v>
      </c>
      <c r="E110" t="s">
        <v>331</v>
      </c>
      <c r="F110">
        <v>6</v>
      </c>
      <c r="G110">
        <v>7</v>
      </c>
      <c r="H110" t="s">
        <v>332</v>
      </c>
      <c r="I110">
        <v>3259338</v>
      </c>
      <c r="J110" s="1">
        <v>3.2318382559616398E-3</v>
      </c>
      <c r="K110">
        <v>322906</v>
      </c>
      <c r="L110" s="1">
        <v>3.2290600000000002E-3</v>
      </c>
    </row>
    <row r="111" spans="1:12" x14ac:dyDescent="0.3">
      <c r="A111" t="s">
        <v>53</v>
      </c>
      <c r="B111" t="s">
        <v>338</v>
      </c>
      <c r="C111" t="s">
        <v>330</v>
      </c>
      <c r="D111">
        <v>8</v>
      </c>
      <c r="E111" t="s">
        <v>331</v>
      </c>
      <c r="F111">
        <v>7</v>
      </c>
      <c r="G111">
        <v>8</v>
      </c>
      <c r="H111" t="s">
        <v>332</v>
      </c>
      <c r="I111">
        <v>2834207</v>
      </c>
      <c r="J111" s="1">
        <v>2.8102941787302421E-3</v>
      </c>
      <c r="K111">
        <v>281491</v>
      </c>
      <c r="L111" s="1">
        <v>2.8149099999999999E-3</v>
      </c>
    </row>
    <row r="112" spans="1:12" x14ac:dyDescent="0.3">
      <c r="A112" t="s">
        <v>53</v>
      </c>
      <c r="B112" t="s">
        <v>338</v>
      </c>
      <c r="C112" t="s">
        <v>330</v>
      </c>
      <c r="D112">
        <v>9</v>
      </c>
      <c r="E112" t="s">
        <v>331</v>
      </c>
      <c r="F112">
        <v>8</v>
      </c>
      <c r="G112">
        <v>9</v>
      </c>
      <c r="H112" t="s">
        <v>332</v>
      </c>
      <c r="I112">
        <v>2414980</v>
      </c>
      <c r="J112" s="1">
        <v>2.3946042881659532E-3</v>
      </c>
      <c r="K112">
        <v>239186</v>
      </c>
      <c r="L112" s="1">
        <v>2.39186E-3</v>
      </c>
    </row>
    <row r="113" spans="1:12" x14ac:dyDescent="0.3">
      <c r="A113" t="s">
        <v>53</v>
      </c>
      <c r="B113" t="s">
        <v>338</v>
      </c>
      <c r="C113" t="s">
        <v>330</v>
      </c>
      <c r="D113">
        <v>10</v>
      </c>
      <c r="E113" t="s">
        <v>331</v>
      </c>
      <c r="F113">
        <v>9</v>
      </c>
      <c r="G113">
        <v>10</v>
      </c>
      <c r="H113" t="s">
        <v>332</v>
      </c>
      <c r="I113">
        <v>2373648</v>
      </c>
      <c r="J113" s="1">
        <v>2.3536210152450701E-3</v>
      </c>
      <c r="K113">
        <v>234677</v>
      </c>
      <c r="L113" s="1">
        <v>2.3467700000000002E-3</v>
      </c>
    </row>
    <row r="114" spans="1:12" x14ac:dyDescent="0.3">
      <c r="A114" t="s">
        <v>53</v>
      </c>
      <c r="B114" t="s">
        <v>338</v>
      </c>
      <c r="C114" t="s">
        <v>330</v>
      </c>
      <c r="D114">
        <v>11</v>
      </c>
      <c r="E114" t="s">
        <v>331</v>
      </c>
      <c r="F114">
        <v>10</v>
      </c>
      <c r="G114">
        <v>15</v>
      </c>
      <c r="H114" t="s">
        <v>332</v>
      </c>
      <c r="I114">
        <v>8845088</v>
      </c>
      <c r="J114" s="1">
        <v>8.7704600675803587E-3</v>
      </c>
      <c r="K114">
        <v>877162</v>
      </c>
      <c r="L114" s="1">
        <v>8.7716200000000008E-3</v>
      </c>
    </row>
    <row r="115" spans="1:12" x14ac:dyDescent="0.3">
      <c r="A115" t="s">
        <v>53</v>
      </c>
      <c r="B115" t="s">
        <v>338</v>
      </c>
      <c r="C115" t="s">
        <v>330</v>
      </c>
      <c r="D115">
        <v>12</v>
      </c>
      <c r="E115" t="s">
        <v>331</v>
      </c>
      <c r="F115">
        <v>15</v>
      </c>
      <c r="G115">
        <v>20</v>
      </c>
      <c r="H115" t="s">
        <v>332</v>
      </c>
      <c r="I115">
        <v>2698401</v>
      </c>
      <c r="J115" s="1">
        <v>2.6756340035078122E-3</v>
      </c>
      <c r="K115">
        <v>268024</v>
      </c>
      <c r="L115" s="1">
        <v>2.68024E-3</v>
      </c>
    </row>
    <row r="116" spans="1:12" x14ac:dyDescent="0.3">
      <c r="A116" t="s">
        <v>53</v>
      </c>
      <c r="B116" t="s">
        <v>338</v>
      </c>
      <c r="C116" t="s">
        <v>330</v>
      </c>
      <c r="D116">
        <v>13</v>
      </c>
      <c r="E116" t="s">
        <v>331</v>
      </c>
      <c r="F116">
        <v>20</v>
      </c>
      <c r="G116">
        <v>25</v>
      </c>
      <c r="H116" t="s">
        <v>332</v>
      </c>
      <c r="I116">
        <v>2143369</v>
      </c>
      <c r="J116" s="1">
        <v>2.1252849292838741E-3</v>
      </c>
      <c r="K116">
        <v>211967</v>
      </c>
      <c r="L116" s="1">
        <v>2.1196700000000001E-3</v>
      </c>
    </row>
    <row r="117" spans="1:12" x14ac:dyDescent="0.3">
      <c r="A117" t="s">
        <v>53</v>
      </c>
      <c r="B117" t="s">
        <v>338</v>
      </c>
      <c r="C117" t="s">
        <v>330</v>
      </c>
      <c r="D117">
        <v>14</v>
      </c>
      <c r="E117" t="s">
        <v>331</v>
      </c>
      <c r="F117">
        <v>25</v>
      </c>
      <c r="G117">
        <v>30</v>
      </c>
      <c r="H117" t="s">
        <v>332</v>
      </c>
      <c r="I117">
        <v>1682810</v>
      </c>
      <c r="J117" s="1">
        <v>1.6686117657987009E-3</v>
      </c>
      <c r="K117">
        <v>167304</v>
      </c>
      <c r="L117" s="1">
        <v>1.67304E-3</v>
      </c>
    </row>
    <row r="118" spans="1:12" x14ac:dyDescent="0.3">
      <c r="A118" t="s">
        <v>53</v>
      </c>
      <c r="B118" t="s">
        <v>338</v>
      </c>
      <c r="C118" t="s">
        <v>330</v>
      </c>
      <c r="D118">
        <v>15</v>
      </c>
      <c r="E118" t="s">
        <v>331</v>
      </c>
      <c r="F118">
        <v>30</v>
      </c>
      <c r="G118">
        <v>35</v>
      </c>
      <c r="H118" t="s">
        <v>332</v>
      </c>
      <c r="I118">
        <v>531414</v>
      </c>
      <c r="J118" s="1">
        <v>5.2693034442994214E-4</v>
      </c>
      <c r="K118">
        <v>52665</v>
      </c>
      <c r="L118" s="1">
        <v>5.2665000000000003E-4</v>
      </c>
    </row>
    <row r="119" spans="1:12" x14ac:dyDescent="0.3">
      <c r="A119" t="s">
        <v>53</v>
      </c>
      <c r="B119" t="s">
        <v>338</v>
      </c>
      <c r="C119" t="s">
        <v>330</v>
      </c>
      <c r="D119">
        <v>16</v>
      </c>
      <c r="E119" t="s">
        <v>331</v>
      </c>
      <c r="F119">
        <v>35</v>
      </c>
      <c r="G119">
        <v>40</v>
      </c>
      <c r="H119" t="s">
        <v>332</v>
      </c>
      <c r="I119">
        <v>419226</v>
      </c>
      <c r="J119" s="1">
        <v>4.1568889900150718E-4</v>
      </c>
      <c r="K119">
        <v>41763</v>
      </c>
      <c r="L119" s="1">
        <v>4.1763E-4</v>
      </c>
    </row>
    <row r="120" spans="1:12" x14ac:dyDescent="0.3">
      <c r="A120" t="s">
        <v>53</v>
      </c>
      <c r="B120" t="s">
        <v>338</v>
      </c>
      <c r="C120" t="s">
        <v>330</v>
      </c>
      <c r="D120">
        <v>17</v>
      </c>
      <c r="E120" t="s">
        <v>331</v>
      </c>
      <c r="F120">
        <v>40</v>
      </c>
      <c r="G120">
        <v>45</v>
      </c>
      <c r="H120" t="s">
        <v>332</v>
      </c>
      <c r="I120">
        <v>360181</v>
      </c>
      <c r="J120" s="1">
        <v>3.5714207451651819E-4</v>
      </c>
      <c r="K120">
        <v>35590</v>
      </c>
      <c r="L120" s="1">
        <v>3.5589999999999998E-4</v>
      </c>
    </row>
    <row r="121" spans="1:12" x14ac:dyDescent="0.3">
      <c r="A121" t="s">
        <v>53</v>
      </c>
      <c r="B121" t="s">
        <v>338</v>
      </c>
      <c r="C121" t="s">
        <v>330</v>
      </c>
      <c r="D121">
        <v>18</v>
      </c>
      <c r="E121" t="s">
        <v>331</v>
      </c>
      <c r="F121">
        <v>45</v>
      </c>
      <c r="G121">
        <v>50</v>
      </c>
      <c r="H121" t="s">
        <v>332</v>
      </c>
      <c r="I121">
        <v>307039</v>
      </c>
      <c r="J121" s="1">
        <v>3.0444844513585458E-4</v>
      </c>
      <c r="K121">
        <v>30254</v>
      </c>
      <c r="L121" s="1">
        <v>3.0254000000000001E-4</v>
      </c>
    </row>
    <row r="122" spans="1:12" x14ac:dyDescent="0.3">
      <c r="A122" t="s">
        <v>53</v>
      </c>
      <c r="B122" t="s">
        <v>338</v>
      </c>
      <c r="C122" t="s">
        <v>330</v>
      </c>
      <c r="D122">
        <v>19</v>
      </c>
      <c r="E122" t="s">
        <v>331</v>
      </c>
      <c r="F122">
        <v>50</v>
      </c>
      <c r="G122">
        <v>60</v>
      </c>
      <c r="H122" t="s">
        <v>332</v>
      </c>
      <c r="I122">
        <v>295230</v>
      </c>
      <c r="J122" s="1">
        <v>2.9273908023885682E-4</v>
      </c>
      <c r="K122">
        <v>29508</v>
      </c>
      <c r="L122" s="1">
        <v>2.9507999999999997E-4</v>
      </c>
    </row>
    <row r="123" spans="1:12" x14ac:dyDescent="0.3">
      <c r="A123" t="s">
        <v>53</v>
      </c>
      <c r="B123" t="s">
        <v>338</v>
      </c>
      <c r="C123" t="s">
        <v>330</v>
      </c>
      <c r="D123">
        <v>20</v>
      </c>
      <c r="E123" t="s">
        <v>331</v>
      </c>
      <c r="F123">
        <v>60</v>
      </c>
      <c r="G123">
        <v>70</v>
      </c>
      <c r="H123" t="s">
        <v>332</v>
      </c>
      <c r="I123">
        <v>100378</v>
      </c>
      <c r="J123" s="1">
        <v>9.9531088968654824E-5</v>
      </c>
      <c r="K123">
        <v>9898</v>
      </c>
      <c r="L123" s="1">
        <v>9.8980000000000004E-5</v>
      </c>
    </row>
    <row r="124" spans="1:12" x14ac:dyDescent="0.3">
      <c r="A124" t="s">
        <v>53</v>
      </c>
      <c r="B124" t="s">
        <v>338</v>
      </c>
      <c r="C124" t="s">
        <v>330</v>
      </c>
      <c r="D124">
        <v>21</v>
      </c>
      <c r="E124" t="s">
        <v>333</v>
      </c>
      <c r="H124" t="s">
        <v>120</v>
      </c>
      <c r="I124">
        <v>8509010</v>
      </c>
      <c r="J124" s="1">
        <v>8.4372176308072852E-3</v>
      </c>
      <c r="K124">
        <v>844079</v>
      </c>
      <c r="L124" s="1">
        <v>8.4407900000000001E-3</v>
      </c>
    </row>
    <row r="125" spans="1:12" x14ac:dyDescent="0.3">
      <c r="A125" t="s">
        <v>53</v>
      </c>
      <c r="B125" t="s">
        <v>338</v>
      </c>
      <c r="C125" t="s">
        <v>333</v>
      </c>
      <c r="D125">
        <v>0</v>
      </c>
      <c r="E125" t="s">
        <v>331</v>
      </c>
      <c r="F125">
        <v>5</v>
      </c>
      <c r="G125">
        <v>6</v>
      </c>
      <c r="H125" t="s">
        <v>334</v>
      </c>
      <c r="I125">
        <v>48852997</v>
      </c>
      <c r="J125" s="1">
        <v>4.8852997000000002E-2</v>
      </c>
      <c r="K125">
        <v>41145</v>
      </c>
      <c r="L125" s="1">
        <v>4.8745437334657062E-2</v>
      </c>
    </row>
    <row r="126" spans="1:12" x14ac:dyDescent="0.3">
      <c r="A126" t="s">
        <v>53</v>
      </c>
      <c r="B126" t="s">
        <v>338</v>
      </c>
      <c r="C126" t="s">
        <v>333</v>
      </c>
      <c r="D126">
        <v>1</v>
      </c>
      <c r="E126" t="s">
        <v>331</v>
      </c>
      <c r="F126">
        <v>6</v>
      </c>
      <c r="G126">
        <v>7</v>
      </c>
      <c r="H126" t="s">
        <v>334</v>
      </c>
      <c r="I126">
        <v>41424845</v>
      </c>
      <c r="J126" s="1">
        <v>4.1424845000000002E-2</v>
      </c>
      <c r="K126">
        <v>35238</v>
      </c>
      <c r="L126" s="1">
        <v>4.1747277209834621E-2</v>
      </c>
    </row>
    <row r="127" spans="1:12" x14ac:dyDescent="0.3">
      <c r="A127" t="s">
        <v>53</v>
      </c>
      <c r="B127" t="s">
        <v>338</v>
      </c>
      <c r="C127" t="s">
        <v>333</v>
      </c>
      <c r="D127">
        <v>2</v>
      </c>
      <c r="E127" t="s">
        <v>331</v>
      </c>
      <c r="F127">
        <v>7</v>
      </c>
      <c r="G127">
        <v>8</v>
      </c>
      <c r="H127" t="s">
        <v>334</v>
      </c>
      <c r="I127">
        <v>43686249</v>
      </c>
      <c r="J127" s="1">
        <v>4.3686249000000003E-2</v>
      </c>
      <c r="K127">
        <v>37304</v>
      </c>
      <c r="L127" s="1">
        <v>4.4194915404837699E-2</v>
      </c>
    </row>
    <row r="128" spans="1:12" x14ac:dyDescent="0.3">
      <c r="A128" t="s">
        <v>53</v>
      </c>
      <c r="B128" t="s">
        <v>338</v>
      </c>
      <c r="C128" t="s">
        <v>333</v>
      </c>
      <c r="D128">
        <v>3</v>
      </c>
      <c r="E128" t="s">
        <v>331</v>
      </c>
      <c r="F128">
        <v>8</v>
      </c>
      <c r="G128">
        <v>9</v>
      </c>
      <c r="H128" t="s">
        <v>334</v>
      </c>
      <c r="I128">
        <v>41200534</v>
      </c>
      <c r="J128" s="1">
        <v>4.1200533999999997E-2</v>
      </c>
      <c r="K128">
        <v>34691</v>
      </c>
      <c r="L128" s="1">
        <v>4.1099233602541939E-2</v>
      </c>
    </row>
    <row r="129" spans="1:12" x14ac:dyDescent="0.3">
      <c r="A129" t="s">
        <v>53</v>
      </c>
      <c r="B129" t="s">
        <v>338</v>
      </c>
      <c r="C129" t="s">
        <v>333</v>
      </c>
      <c r="D129">
        <v>4</v>
      </c>
      <c r="E129" t="s">
        <v>331</v>
      </c>
      <c r="F129">
        <v>9</v>
      </c>
      <c r="G129">
        <v>10</v>
      </c>
      <c r="H129" t="s">
        <v>334</v>
      </c>
      <c r="I129">
        <v>43389812</v>
      </c>
      <c r="J129" s="1">
        <v>4.3389812E-2</v>
      </c>
      <c r="K129">
        <v>36345</v>
      </c>
      <c r="L129" s="1">
        <v>4.3058765826421458E-2</v>
      </c>
    </row>
    <row r="130" spans="1:12" x14ac:dyDescent="0.3">
      <c r="A130" t="s">
        <v>53</v>
      </c>
      <c r="B130" t="s">
        <v>338</v>
      </c>
      <c r="C130" t="s">
        <v>333</v>
      </c>
      <c r="D130">
        <v>5</v>
      </c>
      <c r="E130" t="s">
        <v>331</v>
      </c>
      <c r="F130">
        <v>10</v>
      </c>
      <c r="G130">
        <v>15</v>
      </c>
      <c r="H130" t="s">
        <v>334</v>
      </c>
      <c r="I130">
        <v>180540829</v>
      </c>
      <c r="J130" s="1">
        <v>0.18054082900000001</v>
      </c>
      <c r="K130">
        <v>152577</v>
      </c>
      <c r="L130" s="1">
        <v>0.18076151639834659</v>
      </c>
    </row>
    <row r="131" spans="1:12" x14ac:dyDescent="0.3">
      <c r="A131" t="s">
        <v>53</v>
      </c>
      <c r="B131" t="s">
        <v>338</v>
      </c>
      <c r="C131" t="s">
        <v>333</v>
      </c>
      <c r="D131">
        <v>6</v>
      </c>
      <c r="E131" t="s">
        <v>331</v>
      </c>
      <c r="F131">
        <v>15</v>
      </c>
      <c r="G131">
        <v>20</v>
      </c>
      <c r="H131" t="s">
        <v>334</v>
      </c>
      <c r="I131">
        <v>117861847</v>
      </c>
      <c r="J131" s="1">
        <v>0.11786184700000001</v>
      </c>
      <c r="K131">
        <v>99235</v>
      </c>
      <c r="L131" s="1">
        <v>0.1175660098166167</v>
      </c>
    </row>
    <row r="132" spans="1:12" x14ac:dyDescent="0.3">
      <c r="A132" t="s">
        <v>53</v>
      </c>
      <c r="B132" t="s">
        <v>338</v>
      </c>
      <c r="C132" t="s">
        <v>333</v>
      </c>
      <c r="D132">
        <v>7</v>
      </c>
      <c r="E132" t="s">
        <v>331</v>
      </c>
      <c r="F132">
        <v>20</v>
      </c>
      <c r="G132">
        <v>25</v>
      </c>
      <c r="H132" t="s">
        <v>334</v>
      </c>
      <c r="I132">
        <v>105171241</v>
      </c>
      <c r="J132" s="1">
        <v>0.105171241</v>
      </c>
      <c r="K132">
        <v>88604</v>
      </c>
      <c r="L132" s="1">
        <v>0.10497121714910571</v>
      </c>
    </row>
    <row r="133" spans="1:12" x14ac:dyDescent="0.3">
      <c r="A133" t="s">
        <v>53</v>
      </c>
      <c r="B133" t="s">
        <v>338</v>
      </c>
      <c r="C133" t="s">
        <v>333</v>
      </c>
      <c r="D133">
        <v>8</v>
      </c>
      <c r="E133" t="s">
        <v>331</v>
      </c>
      <c r="F133">
        <v>25</v>
      </c>
      <c r="G133">
        <v>30</v>
      </c>
      <c r="H133" t="s">
        <v>334</v>
      </c>
      <c r="I133">
        <v>75805391</v>
      </c>
      <c r="J133" s="1">
        <v>7.5805391E-2</v>
      </c>
      <c r="K133">
        <v>64190</v>
      </c>
      <c r="L133" s="1">
        <v>7.6047384190342376E-2</v>
      </c>
    </row>
    <row r="134" spans="1:12" x14ac:dyDescent="0.3">
      <c r="A134" t="s">
        <v>53</v>
      </c>
      <c r="B134" t="s">
        <v>338</v>
      </c>
      <c r="C134" t="s">
        <v>333</v>
      </c>
      <c r="D134">
        <v>9</v>
      </c>
      <c r="E134" t="s">
        <v>331</v>
      </c>
      <c r="F134">
        <v>30</v>
      </c>
      <c r="G134">
        <v>35</v>
      </c>
      <c r="H134" t="s">
        <v>334</v>
      </c>
      <c r="I134">
        <v>61279828</v>
      </c>
      <c r="J134" s="1">
        <v>6.1279828000000001E-2</v>
      </c>
      <c r="K134">
        <v>51879</v>
      </c>
      <c r="L134" s="1">
        <v>6.1462256494948943E-2</v>
      </c>
    </row>
    <row r="135" spans="1:12" x14ac:dyDescent="0.3">
      <c r="A135" t="s">
        <v>53</v>
      </c>
      <c r="B135" t="s">
        <v>338</v>
      </c>
      <c r="C135" t="s">
        <v>333</v>
      </c>
      <c r="D135">
        <v>10</v>
      </c>
      <c r="E135" t="s">
        <v>331</v>
      </c>
      <c r="F135">
        <v>35</v>
      </c>
      <c r="G135">
        <v>40</v>
      </c>
      <c r="H135" t="s">
        <v>334</v>
      </c>
      <c r="I135">
        <v>53357629</v>
      </c>
      <c r="J135" s="1">
        <v>5.3357628999999997E-2</v>
      </c>
      <c r="K135">
        <v>45238</v>
      </c>
      <c r="L135" s="1">
        <v>5.3594509518658802E-2</v>
      </c>
    </row>
    <row r="136" spans="1:12" x14ac:dyDescent="0.3">
      <c r="A136" t="s">
        <v>53</v>
      </c>
      <c r="B136" t="s">
        <v>338</v>
      </c>
      <c r="C136" t="s">
        <v>333</v>
      </c>
      <c r="D136">
        <v>11</v>
      </c>
      <c r="E136" t="s">
        <v>331</v>
      </c>
      <c r="F136">
        <v>40</v>
      </c>
      <c r="G136">
        <v>45</v>
      </c>
      <c r="H136" t="s">
        <v>334</v>
      </c>
      <c r="I136">
        <v>51432051</v>
      </c>
      <c r="J136" s="1">
        <v>5.1432050999999999E-2</v>
      </c>
      <c r="K136">
        <v>43137</v>
      </c>
      <c r="L136" s="1">
        <v>5.1105406010574839E-2</v>
      </c>
    </row>
    <row r="137" spans="1:12" x14ac:dyDescent="0.3">
      <c r="A137" t="s">
        <v>53</v>
      </c>
      <c r="B137" t="s">
        <v>338</v>
      </c>
      <c r="C137" t="s">
        <v>333</v>
      </c>
      <c r="D137">
        <v>12</v>
      </c>
      <c r="E137" t="s">
        <v>331</v>
      </c>
      <c r="F137">
        <v>45</v>
      </c>
      <c r="G137">
        <v>50</v>
      </c>
      <c r="H137" t="s">
        <v>334</v>
      </c>
      <c r="I137">
        <v>39837299</v>
      </c>
      <c r="J137" s="1">
        <v>3.9837299E-2</v>
      </c>
      <c r="K137">
        <v>33536</v>
      </c>
      <c r="L137" s="1">
        <v>3.9730878270872752E-2</v>
      </c>
    </row>
    <row r="138" spans="1:12" x14ac:dyDescent="0.3">
      <c r="A138" t="s">
        <v>53</v>
      </c>
      <c r="B138" t="s">
        <v>338</v>
      </c>
      <c r="C138" t="s">
        <v>333</v>
      </c>
      <c r="D138">
        <v>13</v>
      </c>
      <c r="E138" t="s">
        <v>331</v>
      </c>
      <c r="F138">
        <v>50</v>
      </c>
      <c r="G138">
        <v>60</v>
      </c>
      <c r="H138" t="s">
        <v>334</v>
      </c>
      <c r="I138">
        <v>42599631</v>
      </c>
      <c r="J138" s="1">
        <v>4.2599630999999999E-2</v>
      </c>
      <c r="K138">
        <v>35869</v>
      </c>
      <c r="L138" s="1">
        <v>4.2494837568521432E-2</v>
      </c>
    </row>
    <row r="139" spans="1:12" x14ac:dyDescent="0.3">
      <c r="A139" t="s">
        <v>53</v>
      </c>
      <c r="B139" t="s">
        <v>338</v>
      </c>
      <c r="C139" t="s">
        <v>333</v>
      </c>
      <c r="D139">
        <v>14</v>
      </c>
      <c r="E139" t="s">
        <v>331</v>
      </c>
      <c r="F139">
        <v>60</v>
      </c>
      <c r="G139">
        <v>70</v>
      </c>
      <c r="H139" t="s">
        <v>334</v>
      </c>
      <c r="I139">
        <v>16800032</v>
      </c>
      <c r="J139" s="1">
        <v>1.6800031999999999E-2</v>
      </c>
      <c r="K139">
        <v>14053</v>
      </c>
      <c r="L139" s="1">
        <v>1.6648915563590608E-2</v>
      </c>
    </row>
    <row r="140" spans="1:12" x14ac:dyDescent="0.3">
      <c r="A140" t="s">
        <v>53</v>
      </c>
      <c r="B140" t="s">
        <v>338</v>
      </c>
      <c r="C140" t="s">
        <v>333</v>
      </c>
      <c r="D140">
        <v>15</v>
      </c>
      <c r="E140" t="s">
        <v>331</v>
      </c>
      <c r="F140">
        <v>70</v>
      </c>
      <c r="G140">
        <v>80</v>
      </c>
      <c r="H140" t="s">
        <v>334</v>
      </c>
      <c r="I140">
        <v>11296509</v>
      </c>
      <c r="J140" s="1">
        <v>1.1296509E-2</v>
      </c>
      <c r="K140">
        <v>9458</v>
      </c>
      <c r="L140" s="1">
        <v>1.12051123176859E-2</v>
      </c>
    </row>
    <row r="141" spans="1:12" x14ac:dyDescent="0.3">
      <c r="A141" t="s">
        <v>53</v>
      </c>
      <c r="B141" t="s">
        <v>338</v>
      </c>
      <c r="C141" t="s">
        <v>333</v>
      </c>
      <c r="D141">
        <v>16</v>
      </c>
      <c r="E141" t="s">
        <v>331</v>
      </c>
      <c r="F141">
        <v>80</v>
      </c>
      <c r="G141">
        <v>90</v>
      </c>
      <c r="H141" t="s">
        <v>334</v>
      </c>
      <c r="I141">
        <v>7272277</v>
      </c>
      <c r="J141" s="1">
        <v>7.2722769999999997E-3</v>
      </c>
      <c r="K141">
        <v>6168</v>
      </c>
      <c r="L141" s="1">
        <v>7.3073728880827509E-3</v>
      </c>
    </row>
    <row r="142" spans="1:12" x14ac:dyDescent="0.3">
      <c r="A142" t="s">
        <v>53</v>
      </c>
      <c r="B142" t="s">
        <v>338</v>
      </c>
      <c r="C142" t="s">
        <v>333</v>
      </c>
      <c r="D142">
        <v>17</v>
      </c>
      <c r="E142" t="s">
        <v>331</v>
      </c>
      <c r="F142">
        <v>90</v>
      </c>
      <c r="G142">
        <v>100</v>
      </c>
      <c r="H142" t="s">
        <v>334</v>
      </c>
      <c r="I142">
        <v>5761408</v>
      </c>
      <c r="J142" s="1">
        <v>5.761408E-3</v>
      </c>
      <c r="K142">
        <v>4826</v>
      </c>
      <c r="L142" s="1">
        <v>5.7174743122385468E-3</v>
      </c>
    </row>
    <row r="143" spans="1:12" x14ac:dyDescent="0.3">
      <c r="A143" t="s">
        <v>53</v>
      </c>
      <c r="B143" t="s">
        <v>338</v>
      </c>
      <c r="C143" t="s">
        <v>333</v>
      </c>
      <c r="D143">
        <v>18</v>
      </c>
      <c r="E143" t="s">
        <v>331</v>
      </c>
      <c r="F143">
        <v>100</v>
      </c>
      <c r="G143">
        <v>120</v>
      </c>
      <c r="H143" t="s">
        <v>334</v>
      </c>
      <c r="I143">
        <v>5774572</v>
      </c>
      <c r="J143" s="1">
        <v>5.7745720000000004E-3</v>
      </c>
      <c r="K143">
        <v>4869</v>
      </c>
      <c r="L143" s="1">
        <v>5.7684174111664903E-3</v>
      </c>
    </row>
    <row r="144" spans="1:12" x14ac:dyDescent="0.3">
      <c r="A144" t="s">
        <v>53</v>
      </c>
      <c r="B144" t="s">
        <v>338</v>
      </c>
      <c r="C144" t="s">
        <v>333</v>
      </c>
      <c r="D144">
        <v>19</v>
      </c>
      <c r="E144" t="s">
        <v>331</v>
      </c>
      <c r="F144">
        <v>120</v>
      </c>
      <c r="G144">
        <v>140</v>
      </c>
      <c r="H144" t="s">
        <v>334</v>
      </c>
      <c r="I144">
        <v>2675262</v>
      </c>
      <c r="J144" s="1">
        <v>2.6752619999999999E-3</v>
      </c>
      <c r="K144">
        <v>2307</v>
      </c>
      <c r="L144" s="1">
        <v>2.7331564936457372E-3</v>
      </c>
    </row>
    <row r="145" spans="1:12" x14ac:dyDescent="0.3">
      <c r="A145" t="s">
        <v>53</v>
      </c>
      <c r="B145" t="s">
        <v>338</v>
      </c>
      <c r="C145" t="s">
        <v>333</v>
      </c>
      <c r="D145">
        <v>20</v>
      </c>
      <c r="E145" t="s">
        <v>331</v>
      </c>
      <c r="F145">
        <v>140</v>
      </c>
      <c r="G145">
        <v>160</v>
      </c>
      <c r="H145" t="s">
        <v>334</v>
      </c>
      <c r="I145">
        <v>1510702</v>
      </c>
      <c r="J145" s="1">
        <v>1.5107020000000001E-3</v>
      </c>
      <c r="K145">
        <v>1305</v>
      </c>
      <c r="L145" s="1">
        <v>1.5460638163015551E-3</v>
      </c>
    </row>
    <row r="146" spans="1:12" x14ac:dyDescent="0.3">
      <c r="A146" t="s">
        <v>53</v>
      </c>
      <c r="B146" t="s">
        <v>338</v>
      </c>
      <c r="C146" t="s">
        <v>333</v>
      </c>
      <c r="D146">
        <v>21</v>
      </c>
      <c r="E146" t="s">
        <v>331</v>
      </c>
      <c r="F146">
        <v>160</v>
      </c>
      <c r="G146">
        <v>180</v>
      </c>
      <c r="H146" t="s">
        <v>334</v>
      </c>
      <c r="I146">
        <v>473838</v>
      </c>
      <c r="J146" s="1">
        <v>4.7383800000000003E-4</v>
      </c>
      <c r="K146">
        <v>392</v>
      </c>
      <c r="L146" s="1">
        <v>4.6441150650590761E-4</v>
      </c>
    </row>
    <row r="147" spans="1:12" x14ac:dyDescent="0.3">
      <c r="A147" t="s">
        <v>53</v>
      </c>
      <c r="B147" t="s">
        <v>338</v>
      </c>
      <c r="C147" t="s">
        <v>333</v>
      </c>
      <c r="D147">
        <v>22</v>
      </c>
      <c r="E147" t="s">
        <v>331</v>
      </c>
      <c r="F147">
        <v>180</v>
      </c>
      <c r="G147">
        <v>200</v>
      </c>
      <c r="H147" t="s">
        <v>334</v>
      </c>
      <c r="I147">
        <v>274669</v>
      </c>
      <c r="J147" s="1">
        <v>2.7466900000000001E-4</v>
      </c>
      <c r="K147">
        <v>235</v>
      </c>
      <c r="L147" s="1">
        <v>2.7840995925736812E-4</v>
      </c>
    </row>
    <row r="148" spans="1:12" x14ac:dyDescent="0.3">
      <c r="A148" t="s">
        <v>53</v>
      </c>
      <c r="B148" t="s">
        <v>338</v>
      </c>
      <c r="C148" t="s">
        <v>333</v>
      </c>
      <c r="D148">
        <v>23</v>
      </c>
      <c r="E148" t="s">
        <v>331</v>
      </c>
      <c r="F148">
        <v>200</v>
      </c>
      <c r="G148">
        <v>250</v>
      </c>
      <c r="H148" t="s">
        <v>334</v>
      </c>
      <c r="I148">
        <v>397030</v>
      </c>
      <c r="J148" s="1">
        <v>3.9702999999999998E-4</v>
      </c>
      <c r="K148">
        <v>349</v>
      </c>
      <c r="L148" s="1">
        <v>4.1346840757796368E-4</v>
      </c>
    </row>
    <row r="149" spans="1:12" x14ac:dyDescent="0.3">
      <c r="A149" t="s">
        <v>53</v>
      </c>
      <c r="B149" t="s">
        <v>338</v>
      </c>
      <c r="C149" t="s">
        <v>333</v>
      </c>
      <c r="D149">
        <v>24</v>
      </c>
      <c r="E149" t="s">
        <v>331</v>
      </c>
      <c r="F149">
        <v>250</v>
      </c>
      <c r="G149">
        <v>300</v>
      </c>
      <c r="H149" t="s">
        <v>334</v>
      </c>
      <c r="I149">
        <v>190568</v>
      </c>
      <c r="J149" s="1">
        <v>1.9056800000000001E-4</v>
      </c>
      <c r="K149">
        <v>170</v>
      </c>
      <c r="L149" s="1">
        <v>2.0140294925001089E-4</v>
      </c>
    </row>
    <row r="150" spans="1:12" x14ac:dyDescent="0.3">
      <c r="A150" t="s">
        <v>53</v>
      </c>
      <c r="B150" t="s">
        <v>338</v>
      </c>
      <c r="C150" t="s">
        <v>333</v>
      </c>
      <c r="D150">
        <v>25</v>
      </c>
      <c r="E150" t="s">
        <v>331</v>
      </c>
      <c r="F150">
        <v>300</v>
      </c>
      <c r="G150">
        <v>350</v>
      </c>
      <c r="H150" t="s">
        <v>334</v>
      </c>
      <c r="I150">
        <v>161168</v>
      </c>
      <c r="J150" s="1">
        <v>1.61168E-4</v>
      </c>
      <c r="K150">
        <v>141</v>
      </c>
      <c r="L150" s="1">
        <v>1.6704597555442091E-4</v>
      </c>
    </row>
    <row r="151" spans="1:12" x14ac:dyDescent="0.3">
      <c r="A151" t="s">
        <v>53</v>
      </c>
      <c r="B151" t="s">
        <v>338</v>
      </c>
      <c r="C151" t="s">
        <v>333</v>
      </c>
      <c r="D151">
        <v>26</v>
      </c>
      <c r="E151" t="s">
        <v>331</v>
      </c>
      <c r="F151">
        <v>350</v>
      </c>
      <c r="G151">
        <v>400</v>
      </c>
      <c r="H151" t="s">
        <v>334</v>
      </c>
      <c r="I151">
        <v>139579</v>
      </c>
      <c r="J151" s="1">
        <v>1.39579E-4</v>
      </c>
      <c r="K151">
        <v>112</v>
      </c>
      <c r="L151" s="1">
        <v>1.3268900185883079E-4</v>
      </c>
    </row>
    <row r="152" spans="1:12" x14ac:dyDescent="0.3">
      <c r="A152" t="s">
        <v>53</v>
      </c>
      <c r="B152" t="s">
        <v>338</v>
      </c>
      <c r="C152" t="s">
        <v>333</v>
      </c>
      <c r="D152">
        <v>27</v>
      </c>
      <c r="E152" t="s">
        <v>331</v>
      </c>
      <c r="F152">
        <v>400</v>
      </c>
      <c r="G152">
        <v>450</v>
      </c>
      <c r="H152" t="s">
        <v>334</v>
      </c>
      <c r="I152">
        <v>123135</v>
      </c>
      <c r="J152" s="1">
        <v>1.2313499999999999E-4</v>
      </c>
      <c r="K152">
        <v>110</v>
      </c>
      <c r="L152" s="1">
        <v>1.303195553970659E-4</v>
      </c>
    </row>
    <row r="153" spans="1:12" x14ac:dyDescent="0.3">
      <c r="A153" t="s">
        <v>53</v>
      </c>
      <c r="B153" t="s">
        <v>338</v>
      </c>
      <c r="C153" t="s">
        <v>333</v>
      </c>
      <c r="D153">
        <v>28</v>
      </c>
      <c r="E153" t="s">
        <v>331</v>
      </c>
      <c r="F153">
        <v>450</v>
      </c>
      <c r="G153">
        <v>500</v>
      </c>
      <c r="H153" t="s">
        <v>334</v>
      </c>
      <c r="I153">
        <v>110113</v>
      </c>
      <c r="J153" s="1">
        <v>1.1011299999999999E-4</v>
      </c>
      <c r="K153">
        <v>95</v>
      </c>
      <c r="L153" s="1">
        <v>1.1254870693382971E-4</v>
      </c>
    </row>
    <row r="154" spans="1:12" x14ac:dyDescent="0.3">
      <c r="A154" t="s">
        <v>53</v>
      </c>
      <c r="B154" t="s">
        <v>338</v>
      </c>
      <c r="C154" t="s">
        <v>333</v>
      </c>
      <c r="D154">
        <v>29</v>
      </c>
      <c r="E154" t="s">
        <v>331</v>
      </c>
      <c r="F154">
        <v>500</v>
      </c>
      <c r="G154">
        <v>550</v>
      </c>
      <c r="H154" t="s">
        <v>334</v>
      </c>
      <c r="I154">
        <v>99626</v>
      </c>
      <c r="J154" s="1">
        <v>9.9625999999999998E-5</v>
      </c>
      <c r="K154">
        <v>83</v>
      </c>
      <c r="L154" s="1">
        <v>9.833202816324064E-5</v>
      </c>
    </row>
    <row r="155" spans="1:12" x14ac:dyDescent="0.3">
      <c r="A155" t="s">
        <v>53</v>
      </c>
      <c r="B155" t="s">
        <v>338</v>
      </c>
      <c r="C155" t="s">
        <v>333</v>
      </c>
      <c r="D155">
        <v>30</v>
      </c>
      <c r="E155" t="s">
        <v>331</v>
      </c>
      <c r="F155">
        <v>550</v>
      </c>
      <c r="G155">
        <v>600</v>
      </c>
      <c r="H155" t="s">
        <v>334</v>
      </c>
      <c r="I155">
        <v>90945</v>
      </c>
      <c r="J155" s="1">
        <v>9.0945000000000004E-5</v>
      </c>
      <c r="K155">
        <v>83</v>
      </c>
      <c r="L155" s="1">
        <v>9.833202816324064E-5</v>
      </c>
    </row>
    <row r="156" spans="1:12" x14ac:dyDescent="0.3">
      <c r="A156" t="s">
        <v>53</v>
      </c>
      <c r="B156" t="s">
        <v>338</v>
      </c>
      <c r="C156" t="s">
        <v>333</v>
      </c>
      <c r="D156">
        <v>31</v>
      </c>
      <c r="E156" t="s">
        <v>331</v>
      </c>
      <c r="F156">
        <v>600</v>
      </c>
      <c r="G156">
        <v>650</v>
      </c>
      <c r="H156" t="s">
        <v>334</v>
      </c>
      <c r="I156">
        <v>83637</v>
      </c>
      <c r="J156" s="1">
        <v>8.3636999999999999E-5</v>
      </c>
      <c r="K156">
        <v>57</v>
      </c>
      <c r="L156" s="1">
        <v>6.7529224160297797E-5</v>
      </c>
    </row>
    <row r="157" spans="1:12" x14ac:dyDescent="0.3">
      <c r="A157" t="s">
        <v>53</v>
      </c>
      <c r="B157" t="s">
        <v>338</v>
      </c>
      <c r="C157" t="s">
        <v>333</v>
      </c>
      <c r="D157">
        <v>32</v>
      </c>
      <c r="E157" t="s">
        <v>331</v>
      </c>
      <c r="F157">
        <v>650</v>
      </c>
      <c r="G157">
        <v>700</v>
      </c>
      <c r="H157" t="s">
        <v>334</v>
      </c>
      <c r="I157">
        <v>77438</v>
      </c>
      <c r="J157" s="1">
        <v>7.7438E-5</v>
      </c>
      <c r="K157">
        <v>77</v>
      </c>
      <c r="L157" s="1">
        <v>9.1223688777946141E-5</v>
      </c>
    </row>
    <row r="158" spans="1:12" x14ac:dyDescent="0.3">
      <c r="A158" t="s">
        <v>53</v>
      </c>
      <c r="B158" t="s">
        <v>338</v>
      </c>
      <c r="C158" t="s">
        <v>333</v>
      </c>
      <c r="D158">
        <v>33</v>
      </c>
      <c r="E158" t="s">
        <v>331</v>
      </c>
      <c r="F158">
        <v>700</v>
      </c>
      <c r="G158">
        <v>750</v>
      </c>
      <c r="H158" t="s">
        <v>334</v>
      </c>
      <c r="I158">
        <v>72086</v>
      </c>
      <c r="J158" s="1">
        <v>7.2086000000000001E-5</v>
      </c>
      <c r="K158">
        <v>65</v>
      </c>
      <c r="L158" s="1">
        <v>7.7007010007357129E-5</v>
      </c>
    </row>
    <row r="159" spans="1:12" x14ac:dyDescent="0.3">
      <c r="A159" t="s">
        <v>53</v>
      </c>
      <c r="B159" t="s">
        <v>338</v>
      </c>
      <c r="C159" t="s">
        <v>333</v>
      </c>
      <c r="D159">
        <v>34</v>
      </c>
      <c r="E159" t="s">
        <v>331</v>
      </c>
      <c r="F159">
        <v>750</v>
      </c>
      <c r="G159">
        <v>800</v>
      </c>
      <c r="H159" t="s">
        <v>334</v>
      </c>
      <c r="I159">
        <v>67425</v>
      </c>
      <c r="J159" s="1">
        <v>6.7424999999999999E-5</v>
      </c>
      <c r="K159">
        <v>48</v>
      </c>
      <c r="L159" s="1">
        <v>5.6866715082356027E-5</v>
      </c>
    </row>
    <row r="160" spans="1:12" x14ac:dyDescent="0.3">
      <c r="A160" t="s">
        <v>53</v>
      </c>
      <c r="B160" t="s">
        <v>338</v>
      </c>
      <c r="C160" t="s">
        <v>333</v>
      </c>
      <c r="D160">
        <v>35</v>
      </c>
      <c r="E160" t="s">
        <v>331</v>
      </c>
      <c r="F160">
        <v>800</v>
      </c>
      <c r="G160">
        <v>850</v>
      </c>
      <c r="H160" t="s">
        <v>334</v>
      </c>
      <c r="I160">
        <v>63309</v>
      </c>
      <c r="J160" s="1">
        <v>6.3309E-5</v>
      </c>
      <c r="K160">
        <v>46</v>
      </c>
      <c r="L160" s="1">
        <v>5.4497268620591201E-5</v>
      </c>
    </row>
    <row r="161" spans="1:12" x14ac:dyDescent="0.3">
      <c r="A161" t="s">
        <v>53</v>
      </c>
      <c r="B161" t="s">
        <v>338</v>
      </c>
      <c r="C161" t="s">
        <v>333</v>
      </c>
      <c r="D161">
        <v>36</v>
      </c>
      <c r="E161" t="s">
        <v>331</v>
      </c>
      <c r="F161">
        <v>1000</v>
      </c>
      <c r="G161">
        <v>2000</v>
      </c>
      <c r="H161" t="s">
        <v>334</v>
      </c>
      <c r="I161">
        <v>44489</v>
      </c>
      <c r="J161" s="1">
        <v>4.4489E-5</v>
      </c>
      <c r="K161">
        <v>42</v>
      </c>
      <c r="L161" s="1">
        <v>4.9758375697061528E-5</v>
      </c>
    </row>
    <row r="162" spans="1:12" x14ac:dyDescent="0.3">
      <c r="A162" t="s">
        <v>53</v>
      </c>
      <c r="B162" t="s">
        <v>338</v>
      </c>
      <c r="C162" t="s">
        <v>335</v>
      </c>
      <c r="D162">
        <v>0</v>
      </c>
      <c r="E162" t="s">
        <v>331</v>
      </c>
      <c r="F162">
        <v>5</v>
      </c>
      <c r="G162">
        <v>6</v>
      </c>
      <c r="H162" t="s">
        <v>334</v>
      </c>
      <c r="I162">
        <v>34462987</v>
      </c>
      <c r="J162" s="1">
        <v>3.4462987E-2</v>
      </c>
      <c r="K162">
        <v>0</v>
      </c>
      <c r="L162" s="1">
        <v>0</v>
      </c>
    </row>
    <row r="163" spans="1:12" x14ac:dyDescent="0.3">
      <c r="A163" t="s">
        <v>53</v>
      </c>
      <c r="B163" t="s">
        <v>338</v>
      </c>
      <c r="C163" t="s">
        <v>335</v>
      </c>
      <c r="D163">
        <v>1</v>
      </c>
      <c r="E163" t="s">
        <v>331</v>
      </c>
      <c r="F163">
        <v>6</v>
      </c>
      <c r="G163">
        <v>7</v>
      </c>
      <c r="H163" t="s">
        <v>334</v>
      </c>
      <c r="I163">
        <v>29644161</v>
      </c>
      <c r="J163" s="1">
        <v>2.9644160999999999E-2</v>
      </c>
      <c r="K163">
        <v>0</v>
      </c>
      <c r="L163" s="1">
        <v>0</v>
      </c>
    </row>
    <row r="164" spans="1:12" x14ac:dyDescent="0.3">
      <c r="A164" t="s">
        <v>53</v>
      </c>
      <c r="B164" t="s">
        <v>338</v>
      </c>
      <c r="C164" t="s">
        <v>335</v>
      </c>
      <c r="D164">
        <v>2</v>
      </c>
      <c r="E164" t="s">
        <v>331</v>
      </c>
      <c r="F164">
        <v>7</v>
      </c>
      <c r="G164">
        <v>8</v>
      </c>
      <c r="H164" t="s">
        <v>334</v>
      </c>
      <c r="I164">
        <v>31718851</v>
      </c>
      <c r="J164" s="1">
        <v>3.1718850999999999E-2</v>
      </c>
      <c r="K164">
        <v>0</v>
      </c>
      <c r="L164" s="1">
        <v>0</v>
      </c>
    </row>
    <row r="165" spans="1:12" x14ac:dyDescent="0.3">
      <c r="A165" t="s">
        <v>53</v>
      </c>
      <c r="B165" t="s">
        <v>338</v>
      </c>
      <c r="C165" t="s">
        <v>335</v>
      </c>
      <c r="D165">
        <v>3</v>
      </c>
      <c r="E165" t="s">
        <v>331</v>
      </c>
      <c r="F165">
        <v>8</v>
      </c>
      <c r="G165">
        <v>9</v>
      </c>
      <c r="H165" t="s">
        <v>334</v>
      </c>
      <c r="I165">
        <v>30345913</v>
      </c>
      <c r="J165" s="1">
        <v>3.0345912999999999E-2</v>
      </c>
      <c r="K165">
        <v>0</v>
      </c>
      <c r="L165" s="1">
        <v>0</v>
      </c>
    </row>
    <row r="166" spans="1:12" x14ac:dyDescent="0.3">
      <c r="A166" t="s">
        <v>53</v>
      </c>
      <c r="B166" t="s">
        <v>338</v>
      </c>
      <c r="C166" t="s">
        <v>335</v>
      </c>
      <c r="D166">
        <v>4</v>
      </c>
      <c r="E166" t="s">
        <v>331</v>
      </c>
      <c r="F166">
        <v>9</v>
      </c>
      <c r="G166">
        <v>10</v>
      </c>
      <c r="H166" t="s">
        <v>334</v>
      </c>
      <c r="I166">
        <v>32421541</v>
      </c>
      <c r="J166" s="1">
        <v>3.2421540999999998E-2</v>
      </c>
      <c r="K166">
        <v>0</v>
      </c>
      <c r="L166" s="1">
        <v>0</v>
      </c>
    </row>
    <row r="167" spans="1:12" x14ac:dyDescent="0.3">
      <c r="A167" t="s">
        <v>53</v>
      </c>
      <c r="B167" t="s">
        <v>338</v>
      </c>
      <c r="C167" t="s">
        <v>335</v>
      </c>
      <c r="D167">
        <v>5</v>
      </c>
      <c r="E167" t="s">
        <v>331</v>
      </c>
      <c r="F167">
        <v>10</v>
      </c>
      <c r="G167">
        <v>15</v>
      </c>
      <c r="H167" t="s">
        <v>334</v>
      </c>
      <c r="I167">
        <v>140808471</v>
      </c>
      <c r="J167" s="1">
        <v>0.14080847099999999</v>
      </c>
      <c r="K167">
        <v>0</v>
      </c>
      <c r="L167" s="1">
        <v>0</v>
      </c>
    </row>
    <row r="168" spans="1:12" x14ac:dyDescent="0.3">
      <c r="A168" t="s">
        <v>53</v>
      </c>
      <c r="B168" t="s">
        <v>338</v>
      </c>
      <c r="C168" t="s">
        <v>335</v>
      </c>
      <c r="D168">
        <v>6</v>
      </c>
      <c r="E168" t="s">
        <v>331</v>
      </c>
      <c r="F168">
        <v>15</v>
      </c>
      <c r="G168">
        <v>20</v>
      </c>
      <c r="H168" t="s">
        <v>334</v>
      </c>
      <c r="I168">
        <v>98804669</v>
      </c>
      <c r="J168" s="1">
        <v>9.8804668999999998E-2</v>
      </c>
      <c r="K168">
        <v>0</v>
      </c>
      <c r="L168" s="1">
        <v>0</v>
      </c>
    </row>
    <row r="169" spans="1:12" x14ac:dyDescent="0.3">
      <c r="A169" t="s">
        <v>53</v>
      </c>
      <c r="B169" t="s">
        <v>338</v>
      </c>
      <c r="C169" t="s">
        <v>335</v>
      </c>
      <c r="D169">
        <v>7</v>
      </c>
      <c r="E169" t="s">
        <v>331</v>
      </c>
      <c r="F169">
        <v>20</v>
      </c>
      <c r="G169">
        <v>25</v>
      </c>
      <c r="H169" t="s">
        <v>334</v>
      </c>
      <c r="I169">
        <v>94755436</v>
      </c>
      <c r="J169" s="1">
        <v>9.4755435999999998E-2</v>
      </c>
      <c r="K169">
        <v>0</v>
      </c>
      <c r="L169" s="1">
        <v>0</v>
      </c>
    </row>
    <row r="170" spans="1:12" x14ac:dyDescent="0.3">
      <c r="A170" t="s">
        <v>53</v>
      </c>
      <c r="B170" t="s">
        <v>338</v>
      </c>
      <c r="C170" t="s">
        <v>335</v>
      </c>
      <c r="D170">
        <v>8</v>
      </c>
      <c r="E170" t="s">
        <v>331</v>
      </c>
      <c r="F170">
        <v>25</v>
      </c>
      <c r="G170">
        <v>30</v>
      </c>
      <c r="H170" t="s">
        <v>334</v>
      </c>
      <c r="I170">
        <v>73388911</v>
      </c>
      <c r="J170" s="1">
        <v>7.3388911000000001E-2</v>
      </c>
      <c r="K170">
        <v>0</v>
      </c>
      <c r="L170" s="1">
        <v>0</v>
      </c>
    </row>
    <row r="171" spans="1:12" x14ac:dyDescent="0.3">
      <c r="A171" t="s">
        <v>53</v>
      </c>
      <c r="B171" t="s">
        <v>338</v>
      </c>
      <c r="C171" t="s">
        <v>335</v>
      </c>
      <c r="D171">
        <v>9</v>
      </c>
      <c r="E171" t="s">
        <v>331</v>
      </c>
      <c r="F171">
        <v>30</v>
      </c>
      <c r="G171">
        <v>35</v>
      </c>
      <c r="H171" t="s">
        <v>334</v>
      </c>
      <c r="I171">
        <v>63760923</v>
      </c>
      <c r="J171" s="1">
        <v>6.3760922999999997E-2</v>
      </c>
      <c r="K171">
        <v>0</v>
      </c>
      <c r="L171" s="1">
        <v>0</v>
      </c>
    </row>
    <row r="172" spans="1:12" x14ac:dyDescent="0.3">
      <c r="A172" t="s">
        <v>53</v>
      </c>
      <c r="B172" t="s">
        <v>338</v>
      </c>
      <c r="C172" t="s">
        <v>335</v>
      </c>
      <c r="D172">
        <v>10</v>
      </c>
      <c r="E172" t="s">
        <v>331</v>
      </c>
      <c r="F172">
        <v>35</v>
      </c>
      <c r="G172">
        <v>40</v>
      </c>
      <c r="H172" t="s">
        <v>334</v>
      </c>
      <c r="I172">
        <v>59663254</v>
      </c>
      <c r="J172" s="1">
        <v>5.9663253999999999E-2</v>
      </c>
      <c r="K172">
        <v>0</v>
      </c>
      <c r="L172" s="1">
        <v>0</v>
      </c>
    </row>
    <row r="173" spans="1:12" x14ac:dyDescent="0.3">
      <c r="A173" t="s">
        <v>53</v>
      </c>
      <c r="B173" t="s">
        <v>338</v>
      </c>
      <c r="C173" t="s">
        <v>335</v>
      </c>
      <c r="D173">
        <v>11</v>
      </c>
      <c r="E173" t="s">
        <v>331</v>
      </c>
      <c r="F173">
        <v>40</v>
      </c>
      <c r="G173">
        <v>45</v>
      </c>
      <c r="H173" t="s">
        <v>334</v>
      </c>
      <c r="I173">
        <v>61807408</v>
      </c>
      <c r="J173" s="1">
        <v>6.1807408000000001E-2</v>
      </c>
      <c r="K173">
        <v>0</v>
      </c>
      <c r="L173" s="1">
        <v>0</v>
      </c>
    </row>
    <row r="174" spans="1:12" x14ac:dyDescent="0.3">
      <c r="A174" t="s">
        <v>53</v>
      </c>
      <c r="B174" t="s">
        <v>338</v>
      </c>
      <c r="C174" t="s">
        <v>335</v>
      </c>
      <c r="D174">
        <v>12</v>
      </c>
      <c r="E174" t="s">
        <v>331</v>
      </c>
      <c r="F174">
        <v>45</v>
      </c>
      <c r="G174">
        <v>50</v>
      </c>
      <c r="H174" t="s">
        <v>334</v>
      </c>
      <c r="I174">
        <v>51442647</v>
      </c>
      <c r="J174" s="1">
        <v>5.1442647000000001E-2</v>
      </c>
      <c r="K174">
        <v>0</v>
      </c>
      <c r="L174" s="1">
        <v>0</v>
      </c>
    </row>
    <row r="175" spans="1:12" x14ac:dyDescent="0.3">
      <c r="A175" t="s">
        <v>53</v>
      </c>
      <c r="B175" t="s">
        <v>338</v>
      </c>
      <c r="C175" t="s">
        <v>335</v>
      </c>
      <c r="D175">
        <v>13</v>
      </c>
      <c r="E175" t="s">
        <v>331</v>
      </c>
      <c r="F175">
        <v>50</v>
      </c>
      <c r="G175">
        <v>60</v>
      </c>
      <c r="H175" t="s">
        <v>334</v>
      </c>
      <c r="I175">
        <v>61268215</v>
      </c>
      <c r="J175" s="1">
        <v>6.1268215000000001E-2</v>
      </c>
      <c r="K175">
        <v>0</v>
      </c>
      <c r="L175" s="1">
        <v>0</v>
      </c>
    </row>
    <row r="176" spans="1:12" x14ac:dyDescent="0.3">
      <c r="A176" t="s">
        <v>53</v>
      </c>
      <c r="B176" t="s">
        <v>338</v>
      </c>
      <c r="C176" t="s">
        <v>335</v>
      </c>
      <c r="D176">
        <v>14</v>
      </c>
      <c r="E176" t="s">
        <v>331</v>
      </c>
      <c r="F176">
        <v>60</v>
      </c>
      <c r="G176">
        <v>70</v>
      </c>
      <c r="H176" t="s">
        <v>334</v>
      </c>
      <c r="I176">
        <v>27905906</v>
      </c>
      <c r="J176" s="1">
        <v>2.7905906000000001E-2</v>
      </c>
      <c r="K176">
        <v>0</v>
      </c>
      <c r="L176" s="1">
        <v>0</v>
      </c>
    </row>
    <row r="177" spans="1:12" x14ac:dyDescent="0.3">
      <c r="A177" t="s">
        <v>53</v>
      </c>
      <c r="B177" t="s">
        <v>338</v>
      </c>
      <c r="C177" t="s">
        <v>335</v>
      </c>
      <c r="D177">
        <v>15</v>
      </c>
      <c r="E177" t="s">
        <v>331</v>
      </c>
      <c r="F177">
        <v>70</v>
      </c>
      <c r="G177">
        <v>80</v>
      </c>
      <c r="H177" t="s">
        <v>334</v>
      </c>
      <c r="I177">
        <v>21671118</v>
      </c>
      <c r="J177" s="1">
        <v>2.1671118E-2</v>
      </c>
      <c r="K177">
        <v>0</v>
      </c>
      <c r="L177" s="1">
        <v>0</v>
      </c>
    </row>
    <row r="178" spans="1:12" x14ac:dyDescent="0.3">
      <c r="A178" t="s">
        <v>53</v>
      </c>
      <c r="B178" t="s">
        <v>338</v>
      </c>
      <c r="C178" t="s">
        <v>335</v>
      </c>
      <c r="D178">
        <v>16</v>
      </c>
      <c r="E178" t="s">
        <v>331</v>
      </c>
      <c r="F178">
        <v>80</v>
      </c>
      <c r="G178">
        <v>90</v>
      </c>
      <c r="H178" t="s">
        <v>334</v>
      </c>
      <c r="I178">
        <v>16111299</v>
      </c>
      <c r="J178" s="1">
        <v>1.6111298999999999E-2</v>
      </c>
      <c r="K178">
        <v>0</v>
      </c>
      <c r="L178" s="1">
        <v>0</v>
      </c>
    </row>
    <row r="179" spans="1:12" x14ac:dyDescent="0.3">
      <c r="A179" t="s">
        <v>53</v>
      </c>
      <c r="B179" t="s">
        <v>338</v>
      </c>
      <c r="C179" t="s">
        <v>335</v>
      </c>
      <c r="D179">
        <v>17</v>
      </c>
      <c r="E179" t="s">
        <v>331</v>
      </c>
      <c r="F179">
        <v>90</v>
      </c>
      <c r="G179">
        <v>100</v>
      </c>
      <c r="H179" t="s">
        <v>334</v>
      </c>
      <c r="I179">
        <v>14740256</v>
      </c>
      <c r="J179" s="1">
        <v>1.4740256E-2</v>
      </c>
      <c r="K179">
        <v>0</v>
      </c>
      <c r="L179" s="1">
        <v>0</v>
      </c>
    </row>
    <row r="180" spans="1:12" x14ac:dyDescent="0.3">
      <c r="A180" t="s">
        <v>53</v>
      </c>
      <c r="B180" t="s">
        <v>338</v>
      </c>
      <c r="C180" t="s">
        <v>335</v>
      </c>
      <c r="D180">
        <v>18</v>
      </c>
      <c r="E180" t="s">
        <v>331</v>
      </c>
      <c r="F180">
        <v>100</v>
      </c>
      <c r="G180">
        <v>120</v>
      </c>
      <c r="H180" t="s">
        <v>334</v>
      </c>
      <c r="I180">
        <v>18305170</v>
      </c>
      <c r="J180" s="1">
        <v>1.8305169999999999E-2</v>
      </c>
      <c r="K180">
        <v>0</v>
      </c>
      <c r="L180" s="1">
        <v>0</v>
      </c>
    </row>
    <row r="181" spans="1:12" x14ac:dyDescent="0.3">
      <c r="A181" t="s">
        <v>53</v>
      </c>
      <c r="B181" t="s">
        <v>338</v>
      </c>
      <c r="C181" t="s">
        <v>335</v>
      </c>
      <c r="D181">
        <v>19</v>
      </c>
      <c r="E181" t="s">
        <v>331</v>
      </c>
      <c r="F181">
        <v>120</v>
      </c>
      <c r="G181">
        <v>140</v>
      </c>
      <c r="H181" t="s">
        <v>334</v>
      </c>
      <c r="I181">
        <v>11310632</v>
      </c>
      <c r="J181" s="1">
        <v>1.1310631999999999E-2</v>
      </c>
      <c r="K181">
        <v>0</v>
      </c>
      <c r="L181" s="1">
        <v>0</v>
      </c>
    </row>
    <row r="182" spans="1:12" x14ac:dyDescent="0.3">
      <c r="A182" t="s">
        <v>53</v>
      </c>
      <c r="B182" t="s">
        <v>338</v>
      </c>
      <c r="C182" t="s">
        <v>335</v>
      </c>
      <c r="D182">
        <v>20</v>
      </c>
      <c r="E182" t="s">
        <v>331</v>
      </c>
      <c r="F182">
        <v>140</v>
      </c>
      <c r="G182">
        <v>160</v>
      </c>
      <c r="H182" t="s">
        <v>334</v>
      </c>
      <c r="I182">
        <v>8517535</v>
      </c>
      <c r="J182" s="1">
        <v>8.5175349999999997E-3</v>
      </c>
      <c r="K182">
        <v>0</v>
      </c>
      <c r="L182" s="1">
        <v>0</v>
      </c>
    </row>
    <row r="183" spans="1:12" x14ac:dyDescent="0.3">
      <c r="A183" t="s">
        <v>53</v>
      </c>
      <c r="B183" t="s">
        <v>338</v>
      </c>
      <c r="C183" t="s">
        <v>335</v>
      </c>
      <c r="D183">
        <v>21</v>
      </c>
      <c r="E183" t="s">
        <v>331</v>
      </c>
      <c r="F183">
        <v>160</v>
      </c>
      <c r="G183">
        <v>180</v>
      </c>
      <c r="H183" t="s">
        <v>334</v>
      </c>
      <c r="I183">
        <v>3563442</v>
      </c>
      <c r="J183" s="1">
        <v>3.563442E-3</v>
      </c>
      <c r="K183">
        <v>0</v>
      </c>
      <c r="L183" s="1">
        <v>0</v>
      </c>
    </row>
    <row r="184" spans="1:12" x14ac:dyDescent="0.3">
      <c r="A184" t="s">
        <v>53</v>
      </c>
      <c r="B184" t="s">
        <v>338</v>
      </c>
      <c r="C184" t="s">
        <v>335</v>
      </c>
      <c r="D184">
        <v>22</v>
      </c>
      <c r="E184" t="s">
        <v>331</v>
      </c>
      <c r="F184">
        <v>180</v>
      </c>
      <c r="G184">
        <v>200</v>
      </c>
      <c r="H184" t="s">
        <v>334</v>
      </c>
      <c r="I184">
        <v>2146776</v>
      </c>
      <c r="J184" s="1">
        <v>2.146776E-3</v>
      </c>
      <c r="K184">
        <v>0</v>
      </c>
      <c r="L184" s="1">
        <v>0</v>
      </c>
    </row>
    <row r="185" spans="1:12" x14ac:dyDescent="0.3">
      <c r="A185" t="s">
        <v>53</v>
      </c>
      <c r="B185" t="s">
        <v>338</v>
      </c>
      <c r="C185" t="s">
        <v>335</v>
      </c>
      <c r="D185">
        <v>23</v>
      </c>
      <c r="E185" t="s">
        <v>331</v>
      </c>
      <c r="F185">
        <v>200</v>
      </c>
      <c r="G185">
        <v>250</v>
      </c>
      <c r="H185" t="s">
        <v>334</v>
      </c>
      <c r="I185">
        <v>6484849</v>
      </c>
      <c r="J185" s="1">
        <v>6.484849E-3</v>
      </c>
      <c r="K185">
        <v>0</v>
      </c>
      <c r="L185" s="1">
        <v>0</v>
      </c>
    </row>
    <row r="186" spans="1:12" x14ac:dyDescent="0.3">
      <c r="A186" t="s">
        <v>53</v>
      </c>
      <c r="B186" t="s">
        <v>338</v>
      </c>
      <c r="C186" t="s">
        <v>335</v>
      </c>
      <c r="D186">
        <v>24</v>
      </c>
      <c r="E186" t="s">
        <v>331</v>
      </c>
      <c r="F186">
        <v>250</v>
      </c>
      <c r="G186">
        <v>300</v>
      </c>
      <c r="H186" t="s">
        <v>334</v>
      </c>
      <c r="I186">
        <v>727894</v>
      </c>
      <c r="J186" s="1">
        <v>7.2789399999999998E-4</v>
      </c>
      <c r="K186">
        <v>0</v>
      </c>
      <c r="L186" s="1">
        <v>0</v>
      </c>
    </row>
    <row r="187" spans="1:12" x14ac:dyDescent="0.3">
      <c r="A187" t="s">
        <v>53</v>
      </c>
      <c r="B187" t="s">
        <v>338</v>
      </c>
      <c r="C187" t="s">
        <v>335</v>
      </c>
      <c r="D187">
        <v>25</v>
      </c>
      <c r="E187" t="s">
        <v>331</v>
      </c>
      <c r="F187">
        <v>300</v>
      </c>
      <c r="G187">
        <v>350</v>
      </c>
      <c r="H187" t="s">
        <v>334</v>
      </c>
      <c r="I187">
        <v>231554</v>
      </c>
      <c r="J187" s="1">
        <v>2.31554E-4</v>
      </c>
      <c r="K187">
        <v>0</v>
      </c>
      <c r="L187" s="1">
        <v>0</v>
      </c>
    </row>
    <row r="188" spans="1:12" x14ac:dyDescent="0.3">
      <c r="A188" t="s">
        <v>53</v>
      </c>
      <c r="B188" t="s">
        <v>338</v>
      </c>
      <c r="C188" t="s">
        <v>335</v>
      </c>
      <c r="D188">
        <v>26</v>
      </c>
      <c r="E188" t="s">
        <v>331</v>
      </c>
      <c r="F188">
        <v>350</v>
      </c>
      <c r="G188">
        <v>400</v>
      </c>
      <c r="H188" t="s">
        <v>334</v>
      </c>
      <c r="I188">
        <v>1485699</v>
      </c>
      <c r="J188" s="1">
        <v>1.485699E-3</v>
      </c>
      <c r="K188">
        <v>0</v>
      </c>
      <c r="L188" s="1">
        <v>0</v>
      </c>
    </row>
    <row r="189" spans="1:12" x14ac:dyDescent="0.3">
      <c r="A189" t="s">
        <v>53</v>
      </c>
      <c r="B189" t="s">
        <v>338</v>
      </c>
      <c r="C189" t="s">
        <v>335</v>
      </c>
      <c r="D189">
        <v>27</v>
      </c>
      <c r="E189" t="s">
        <v>331</v>
      </c>
      <c r="F189">
        <v>400</v>
      </c>
      <c r="G189">
        <v>450</v>
      </c>
      <c r="H189" t="s">
        <v>334</v>
      </c>
      <c r="I189">
        <v>176911</v>
      </c>
      <c r="J189" s="1">
        <v>1.76911E-4</v>
      </c>
      <c r="K189">
        <v>0</v>
      </c>
      <c r="L189" s="1">
        <v>0</v>
      </c>
    </row>
    <row r="190" spans="1:12" x14ac:dyDescent="0.3">
      <c r="A190" t="s">
        <v>53</v>
      </c>
      <c r="B190" t="s">
        <v>338</v>
      </c>
      <c r="C190" t="s">
        <v>335</v>
      </c>
      <c r="D190">
        <v>28</v>
      </c>
      <c r="E190" t="s">
        <v>331</v>
      </c>
      <c r="F190">
        <v>450</v>
      </c>
      <c r="G190">
        <v>500</v>
      </c>
      <c r="H190" t="s">
        <v>334</v>
      </c>
      <c r="I190">
        <v>758113</v>
      </c>
      <c r="J190" s="1">
        <v>7.5811300000000004E-4</v>
      </c>
      <c r="K190">
        <v>0</v>
      </c>
      <c r="L190" s="1">
        <v>0</v>
      </c>
    </row>
    <row r="191" spans="1:12" x14ac:dyDescent="0.3">
      <c r="A191" t="s">
        <v>53</v>
      </c>
      <c r="B191" t="s">
        <v>338</v>
      </c>
      <c r="C191" t="s">
        <v>335</v>
      </c>
      <c r="D191">
        <v>29</v>
      </c>
      <c r="E191" t="s">
        <v>331</v>
      </c>
      <c r="F191">
        <v>500</v>
      </c>
      <c r="G191">
        <v>550</v>
      </c>
      <c r="H191" t="s">
        <v>334</v>
      </c>
      <c r="I191">
        <v>143135</v>
      </c>
      <c r="J191" s="1">
        <v>1.4313499999999999E-4</v>
      </c>
      <c r="K191">
        <v>0</v>
      </c>
      <c r="L191" s="1">
        <v>0</v>
      </c>
    </row>
    <row r="192" spans="1:12" x14ac:dyDescent="0.3">
      <c r="A192" t="s">
        <v>53</v>
      </c>
      <c r="B192" t="s">
        <v>338</v>
      </c>
      <c r="C192" t="s">
        <v>335</v>
      </c>
      <c r="D192">
        <v>30</v>
      </c>
      <c r="E192" t="s">
        <v>331</v>
      </c>
      <c r="F192">
        <v>550</v>
      </c>
      <c r="G192">
        <v>600</v>
      </c>
      <c r="H192" t="s">
        <v>334</v>
      </c>
      <c r="I192">
        <v>130663</v>
      </c>
      <c r="J192" s="1">
        <v>1.3066299999999999E-4</v>
      </c>
      <c r="K192">
        <v>0</v>
      </c>
      <c r="L192" s="1">
        <v>0</v>
      </c>
    </row>
    <row r="193" spans="1:12" x14ac:dyDescent="0.3">
      <c r="A193" t="s">
        <v>53</v>
      </c>
      <c r="B193" t="s">
        <v>338</v>
      </c>
      <c r="C193" t="s">
        <v>335</v>
      </c>
      <c r="D193">
        <v>31</v>
      </c>
      <c r="E193" t="s">
        <v>331</v>
      </c>
      <c r="F193">
        <v>600</v>
      </c>
      <c r="G193">
        <v>650</v>
      </c>
      <c r="H193" t="s">
        <v>334</v>
      </c>
      <c r="I193">
        <v>120163</v>
      </c>
      <c r="J193" s="1">
        <v>1.2016299999999999E-4</v>
      </c>
      <c r="K193">
        <v>0</v>
      </c>
      <c r="L193" s="1">
        <v>0</v>
      </c>
    </row>
    <row r="194" spans="1:12" x14ac:dyDescent="0.3">
      <c r="A194" t="s">
        <v>53</v>
      </c>
      <c r="B194" t="s">
        <v>338</v>
      </c>
      <c r="C194" t="s">
        <v>335</v>
      </c>
      <c r="D194">
        <v>32</v>
      </c>
      <c r="E194" t="s">
        <v>331</v>
      </c>
      <c r="F194">
        <v>650</v>
      </c>
      <c r="G194">
        <v>700</v>
      </c>
      <c r="H194" t="s">
        <v>334</v>
      </c>
      <c r="I194">
        <v>111257</v>
      </c>
      <c r="J194" s="1">
        <v>1.11257E-4</v>
      </c>
      <c r="K194">
        <v>0</v>
      </c>
      <c r="L194" s="1">
        <v>0</v>
      </c>
    </row>
    <row r="195" spans="1:12" x14ac:dyDescent="0.3">
      <c r="A195" t="s">
        <v>53</v>
      </c>
      <c r="B195" t="s">
        <v>338</v>
      </c>
      <c r="C195" t="s">
        <v>335</v>
      </c>
      <c r="D195">
        <v>33</v>
      </c>
      <c r="E195" t="s">
        <v>331</v>
      </c>
      <c r="F195">
        <v>700</v>
      </c>
      <c r="G195">
        <v>750</v>
      </c>
      <c r="H195" t="s">
        <v>334</v>
      </c>
      <c r="I195">
        <v>103568</v>
      </c>
      <c r="J195" s="1">
        <v>1.03568E-4</v>
      </c>
      <c r="K195">
        <v>0</v>
      </c>
      <c r="L195" s="1">
        <v>0</v>
      </c>
    </row>
    <row r="196" spans="1:12" x14ac:dyDescent="0.3">
      <c r="A196" t="s">
        <v>53</v>
      </c>
      <c r="B196" t="s">
        <v>338</v>
      </c>
      <c r="C196" t="s">
        <v>335</v>
      </c>
      <c r="D196">
        <v>34</v>
      </c>
      <c r="E196" t="s">
        <v>331</v>
      </c>
      <c r="F196">
        <v>750</v>
      </c>
      <c r="G196">
        <v>800</v>
      </c>
      <c r="H196" t="s">
        <v>334</v>
      </c>
      <c r="I196">
        <v>805797</v>
      </c>
      <c r="J196" s="1">
        <v>8.0579700000000002E-4</v>
      </c>
      <c r="K196">
        <v>0</v>
      </c>
      <c r="L196" s="1">
        <v>0</v>
      </c>
    </row>
    <row r="197" spans="1:12" x14ac:dyDescent="0.3">
      <c r="A197" t="s">
        <v>53</v>
      </c>
      <c r="B197" t="s">
        <v>338</v>
      </c>
      <c r="C197" t="s">
        <v>335</v>
      </c>
      <c r="D197">
        <v>35</v>
      </c>
      <c r="E197" t="s">
        <v>331</v>
      </c>
      <c r="F197">
        <v>800</v>
      </c>
      <c r="G197">
        <v>850</v>
      </c>
      <c r="H197" t="s">
        <v>334</v>
      </c>
      <c r="I197">
        <v>90957</v>
      </c>
      <c r="J197" s="1">
        <v>9.0957000000000003E-5</v>
      </c>
      <c r="K197">
        <v>0</v>
      </c>
      <c r="L197" s="1">
        <v>0</v>
      </c>
    </row>
    <row r="198" spans="1:12" x14ac:dyDescent="0.3">
      <c r="A198" t="s">
        <v>53</v>
      </c>
      <c r="B198" t="s">
        <v>338</v>
      </c>
      <c r="C198" t="s">
        <v>335</v>
      </c>
      <c r="D198">
        <v>36</v>
      </c>
      <c r="E198" t="s">
        <v>331</v>
      </c>
      <c r="F198">
        <v>1000</v>
      </c>
      <c r="G198">
        <v>2000</v>
      </c>
      <c r="H198" t="s">
        <v>334</v>
      </c>
      <c r="I198">
        <v>63919</v>
      </c>
      <c r="J198" s="1">
        <v>6.3918999999999996E-5</v>
      </c>
      <c r="K198">
        <v>0</v>
      </c>
      <c r="L198" s="1">
        <v>0</v>
      </c>
    </row>
    <row r="199" spans="1:12" x14ac:dyDescent="0.3">
      <c r="A199" t="s">
        <v>53</v>
      </c>
      <c r="B199" t="s">
        <v>338</v>
      </c>
      <c r="C199" t="s">
        <v>336</v>
      </c>
      <c r="D199">
        <v>0</v>
      </c>
      <c r="E199" t="s">
        <v>331</v>
      </c>
      <c r="F199">
        <v>50</v>
      </c>
      <c r="G199">
        <v>60</v>
      </c>
      <c r="H199" t="s">
        <v>337</v>
      </c>
      <c r="I199">
        <v>73762218</v>
      </c>
      <c r="J199" s="1">
        <v>7.3762218000000004E-2</v>
      </c>
      <c r="K199">
        <v>0</v>
      </c>
      <c r="L199" s="1">
        <v>0</v>
      </c>
    </row>
    <row r="200" spans="1:12" x14ac:dyDescent="0.3">
      <c r="A200" t="s">
        <v>53</v>
      </c>
      <c r="B200" t="s">
        <v>338</v>
      </c>
      <c r="C200" t="s">
        <v>336</v>
      </c>
      <c r="D200">
        <v>1</v>
      </c>
      <c r="E200" t="s">
        <v>331</v>
      </c>
      <c r="F200">
        <v>60</v>
      </c>
      <c r="G200">
        <v>70</v>
      </c>
      <c r="H200" t="s">
        <v>337</v>
      </c>
      <c r="I200">
        <v>71549352</v>
      </c>
      <c r="J200" s="1">
        <v>7.1549351999999997E-2</v>
      </c>
      <c r="K200">
        <v>0</v>
      </c>
      <c r="L200" s="1">
        <v>0</v>
      </c>
    </row>
    <row r="201" spans="1:12" x14ac:dyDescent="0.3">
      <c r="A201" t="s">
        <v>53</v>
      </c>
      <c r="B201" t="s">
        <v>338</v>
      </c>
      <c r="C201" t="s">
        <v>336</v>
      </c>
      <c r="D201">
        <v>2</v>
      </c>
      <c r="E201" t="s">
        <v>331</v>
      </c>
      <c r="F201">
        <v>70</v>
      </c>
      <c r="G201">
        <v>80</v>
      </c>
      <c r="H201" t="s">
        <v>337</v>
      </c>
      <c r="I201">
        <v>69402871</v>
      </c>
      <c r="J201" s="1">
        <v>6.9402871000000005E-2</v>
      </c>
      <c r="K201">
        <v>0</v>
      </c>
      <c r="L201" s="1">
        <v>0</v>
      </c>
    </row>
    <row r="202" spans="1:12" x14ac:dyDescent="0.3">
      <c r="A202" t="s">
        <v>53</v>
      </c>
      <c r="B202" t="s">
        <v>338</v>
      </c>
      <c r="C202" t="s">
        <v>336</v>
      </c>
      <c r="D202">
        <v>3</v>
      </c>
      <c r="E202" t="s">
        <v>331</v>
      </c>
      <c r="F202">
        <v>80</v>
      </c>
      <c r="G202">
        <v>90</v>
      </c>
      <c r="H202" t="s">
        <v>337</v>
      </c>
      <c r="I202">
        <v>67320785</v>
      </c>
      <c r="J202" s="1">
        <v>6.7320784999999994E-2</v>
      </c>
      <c r="K202">
        <v>0</v>
      </c>
      <c r="L202" s="1">
        <v>0</v>
      </c>
    </row>
    <row r="203" spans="1:12" x14ac:dyDescent="0.3">
      <c r="A203" t="s">
        <v>53</v>
      </c>
      <c r="B203" t="s">
        <v>338</v>
      </c>
      <c r="C203" t="s">
        <v>336</v>
      </c>
      <c r="D203">
        <v>4</v>
      </c>
      <c r="E203" t="s">
        <v>331</v>
      </c>
      <c r="F203">
        <v>90</v>
      </c>
      <c r="G203">
        <v>100</v>
      </c>
      <c r="H203" t="s">
        <v>337</v>
      </c>
      <c r="I203">
        <v>65301161</v>
      </c>
      <c r="J203" s="1">
        <v>6.5301160999999996E-2</v>
      </c>
      <c r="K203">
        <v>0</v>
      </c>
      <c r="L203" s="1">
        <v>0</v>
      </c>
    </row>
    <row r="204" spans="1:12" x14ac:dyDescent="0.3">
      <c r="A204" t="s">
        <v>53</v>
      </c>
      <c r="B204" t="s">
        <v>338</v>
      </c>
      <c r="C204" t="s">
        <v>336</v>
      </c>
      <c r="D204">
        <v>5</v>
      </c>
      <c r="E204" t="s">
        <v>331</v>
      </c>
      <c r="F204">
        <v>100</v>
      </c>
      <c r="G204">
        <v>120</v>
      </c>
      <c r="H204" t="s">
        <v>337</v>
      </c>
      <c r="I204">
        <v>63342126</v>
      </c>
      <c r="J204" s="1">
        <v>6.3342125999999999E-2</v>
      </c>
      <c r="K204">
        <v>0</v>
      </c>
      <c r="L204" s="1">
        <v>0</v>
      </c>
    </row>
    <row r="205" spans="1:12" x14ac:dyDescent="0.3">
      <c r="A205" t="s">
        <v>53</v>
      </c>
      <c r="B205" t="s">
        <v>338</v>
      </c>
      <c r="C205" t="s">
        <v>336</v>
      </c>
      <c r="D205">
        <v>6</v>
      </c>
      <c r="E205" t="s">
        <v>331</v>
      </c>
      <c r="F205">
        <v>120</v>
      </c>
      <c r="G205">
        <v>140</v>
      </c>
      <c r="H205" t="s">
        <v>337</v>
      </c>
      <c r="I205">
        <v>61441863</v>
      </c>
      <c r="J205" s="1">
        <v>6.1441862999999999E-2</v>
      </c>
      <c r="K205">
        <v>0</v>
      </c>
      <c r="L205" s="1">
        <v>0</v>
      </c>
    </row>
    <row r="206" spans="1:12" x14ac:dyDescent="0.3">
      <c r="A206" t="s">
        <v>53</v>
      </c>
      <c r="B206" t="s">
        <v>338</v>
      </c>
      <c r="C206" t="s">
        <v>336</v>
      </c>
      <c r="D206">
        <v>7</v>
      </c>
      <c r="E206" t="s">
        <v>331</v>
      </c>
      <c r="F206">
        <v>140</v>
      </c>
      <c r="G206">
        <v>160</v>
      </c>
      <c r="H206" t="s">
        <v>337</v>
      </c>
      <c r="I206">
        <v>59598607</v>
      </c>
      <c r="J206" s="1">
        <v>5.9598606999999998E-2</v>
      </c>
      <c r="K206">
        <v>0</v>
      </c>
      <c r="L206" s="1">
        <v>0</v>
      </c>
    </row>
    <row r="207" spans="1:12" x14ac:dyDescent="0.3">
      <c r="A207" t="s">
        <v>53</v>
      </c>
      <c r="B207" t="s">
        <v>338</v>
      </c>
      <c r="C207" t="s">
        <v>336</v>
      </c>
      <c r="D207">
        <v>8</v>
      </c>
      <c r="E207" t="s">
        <v>331</v>
      </c>
      <c r="F207">
        <v>160</v>
      </c>
      <c r="G207">
        <v>180</v>
      </c>
      <c r="H207" t="s">
        <v>337</v>
      </c>
      <c r="I207">
        <v>57810649</v>
      </c>
      <c r="J207" s="1">
        <v>5.7810648999999999E-2</v>
      </c>
      <c r="K207">
        <v>0</v>
      </c>
      <c r="L207" s="1">
        <v>0</v>
      </c>
    </row>
    <row r="208" spans="1:12" x14ac:dyDescent="0.3">
      <c r="A208" t="s">
        <v>53</v>
      </c>
      <c r="B208" t="s">
        <v>338</v>
      </c>
      <c r="C208" t="s">
        <v>336</v>
      </c>
      <c r="D208">
        <v>9</v>
      </c>
      <c r="E208" t="s">
        <v>331</v>
      </c>
      <c r="F208">
        <v>180</v>
      </c>
      <c r="G208">
        <v>200</v>
      </c>
      <c r="H208" t="s">
        <v>337</v>
      </c>
      <c r="I208">
        <v>56076329</v>
      </c>
      <c r="J208" s="1">
        <v>5.6076329000000001E-2</v>
      </c>
      <c r="K208">
        <v>0</v>
      </c>
      <c r="L208" s="1">
        <v>0</v>
      </c>
    </row>
    <row r="209" spans="1:12" x14ac:dyDescent="0.3">
      <c r="A209" t="s">
        <v>53</v>
      </c>
      <c r="B209" t="s">
        <v>338</v>
      </c>
      <c r="C209" t="s">
        <v>336</v>
      </c>
      <c r="D209">
        <v>10</v>
      </c>
      <c r="E209" t="s">
        <v>331</v>
      </c>
      <c r="F209">
        <v>200</v>
      </c>
      <c r="G209">
        <v>250</v>
      </c>
      <c r="H209" t="s">
        <v>337</v>
      </c>
      <c r="I209">
        <v>54394039</v>
      </c>
      <c r="J209" s="1">
        <v>5.4394038999999998E-2</v>
      </c>
      <c r="K209">
        <v>0</v>
      </c>
      <c r="L209" s="1">
        <v>0</v>
      </c>
    </row>
    <row r="210" spans="1:12" x14ac:dyDescent="0.3">
      <c r="A210" t="s">
        <v>53</v>
      </c>
      <c r="B210" t="s">
        <v>338</v>
      </c>
      <c r="C210" t="s">
        <v>336</v>
      </c>
      <c r="D210">
        <v>11</v>
      </c>
      <c r="E210" t="s">
        <v>331</v>
      </c>
      <c r="F210">
        <v>250</v>
      </c>
      <c r="G210">
        <v>300</v>
      </c>
      <c r="H210" t="s">
        <v>337</v>
      </c>
      <c r="I210">
        <v>50967687</v>
      </c>
      <c r="J210" s="1">
        <v>5.0967686999999998E-2</v>
      </c>
      <c r="K210">
        <v>0</v>
      </c>
      <c r="L210" s="1">
        <v>0</v>
      </c>
    </row>
    <row r="211" spans="1:12" x14ac:dyDescent="0.3">
      <c r="A211" t="s">
        <v>53</v>
      </c>
      <c r="B211" t="s">
        <v>338</v>
      </c>
      <c r="C211" t="s">
        <v>336</v>
      </c>
      <c r="D211">
        <v>12</v>
      </c>
      <c r="E211" t="s">
        <v>331</v>
      </c>
      <c r="F211">
        <v>300</v>
      </c>
      <c r="G211">
        <v>350</v>
      </c>
      <c r="H211" t="s">
        <v>337</v>
      </c>
      <c r="I211">
        <v>49438657</v>
      </c>
      <c r="J211" s="1">
        <v>4.9438656999999997E-2</v>
      </c>
      <c r="K211">
        <v>0</v>
      </c>
      <c r="L211" s="1">
        <v>0</v>
      </c>
    </row>
    <row r="212" spans="1:12" x14ac:dyDescent="0.3">
      <c r="A212" t="s">
        <v>53</v>
      </c>
      <c r="B212" t="s">
        <v>338</v>
      </c>
      <c r="C212" t="s">
        <v>336</v>
      </c>
      <c r="D212">
        <v>13</v>
      </c>
      <c r="E212" t="s">
        <v>331</v>
      </c>
      <c r="F212">
        <v>350</v>
      </c>
      <c r="G212">
        <v>400</v>
      </c>
      <c r="H212" t="s">
        <v>337</v>
      </c>
      <c r="I212">
        <v>47955497</v>
      </c>
      <c r="J212" s="1">
        <v>4.7955497E-2</v>
      </c>
      <c r="K212">
        <v>0</v>
      </c>
      <c r="L212" s="1">
        <v>0</v>
      </c>
    </row>
    <row r="213" spans="1:12" x14ac:dyDescent="0.3">
      <c r="A213" t="s">
        <v>53</v>
      </c>
      <c r="B213" t="s">
        <v>338</v>
      </c>
      <c r="C213" t="s">
        <v>336</v>
      </c>
      <c r="D213">
        <v>14</v>
      </c>
      <c r="E213" t="s">
        <v>331</v>
      </c>
      <c r="F213">
        <v>400</v>
      </c>
      <c r="G213">
        <v>450</v>
      </c>
      <c r="H213" t="s">
        <v>337</v>
      </c>
      <c r="I213">
        <v>46516832</v>
      </c>
      <c r="J213" s="1">
        <v>4.6516832000000001E-2</v>
      </c>
      <c r="K213">
        <v>0</v>
      </c>
      <c r="L213" s="1">
        <v>0</v>
      </c>
    </row>
    <row r="214" spans="1:12" x14ac:dyDescent="0.3">
      <c r="A214" t="s">
        <v>53</v>
      </c>
      <c r="B214" t="s">
        <v>338</v>
      </c>
      <c r="C214" t="s">
        <v>336</v>
      </c>
      <c r="D214">
        <v>15</v>
      </c>
      <c r="E214" t="s">
        <v>331</v>
      </c>
      <c r="F214">
        <v>450</v>
      </c>
      <c r="G214">
        <v>500</v>
      </c>
      <c r="H214" t="s">
        <v>337</v>
      </c>
      <c r="I214">
        <v>45121327</v>
      </c>
      <c r="J214" s="1">
        <v>4.5121327000000003E-2</v>
      </c>
      <c r="K214">
        <v>0</v>
      </c>
      <c r="L214" s="1">
        <v>0</v>
      </c>
    </row>
    <row r="215" spans="1:12" x14ac:dyDescent="0.3">
      <c r="A215" t="s">
        <v>53</v>
      </c>
      <c r="B215" t="s">
        <v>338</v>
      </c>
      <c r="C215" t="s">
        <v>336</v>
      </c>
      <c r="D215">
        <v>16</v>
      </c>
      <c r="E215" t="s">
        <v>331</v>
      </c>
      <c r="F215">
        <v>500</v>
      </c>
      <c r="G215">
        <v>550</v>
      </c>
      <c r="H215" t="s">
        <v>337</v>
      </c>
      <c r="I215">
        <v>6458480</v>
      </c>
      <c r="J215" s="1">
        <v>6.45848E-3</v>
      </c>
      <c r="K215">
        <v>0</v>
      </c>
      <c r="L215" s="1">
        <v>0</v>
      </c>
    </row>
    <row r="216" spans="1:12" x14ac:dyDescent="0.3">
      <c r="A216" t="s">
        <v>53</v>
      </c>
      <c r="B216" t="s">
        <v>338</v>
      </c>
      <c r="C216" t="s">
        <v>336</v>
      </c>
      <c r="D216">
        <v>17</v>
      </c>
      <c r="E216" t="s">
        <v>331</v>
      </c>
      <c r="F216">
        <v>550</v>
      </c>
      <c r="G216">
        <v>600</v>
      </c>
      <c r="H216" t="s">
        <v>337</v>
      </c>
      <c r="I216">
        <v>6081107</v>
      </c>
      <c r="J216" s="1">
        <v>6.0811069999999997E-3</v>
      </c>
      <c r="K216">
        <v>0</v>
      </c>
      <c r="L216" s="1">
        <v>0</v>
      </c>
    </row>
    <row r="217" spans="1:12" x14ac:dyDescent="0.3">
      <c r="A217" t="s">
        <v>53</v>
      </c>
      <c r="B217" t="s">
        <v>338</v>
      </c>
      <c r="C217" t="s">
        <v>336</v>
      </c>
      <c r="D217">
        <v>18</v>
      </c>
      <c r="E217" t="s">
        <v>331</v>
      </c>
      <c r="F217">
        <v>600</v>
      </c>
      <c r="G217">
        <v>650</v>
      </c>
      <c r="H217" t="s">
        <v>337</v>
      </c>
      <c r="I217">
        <v>5725783</v>
      </c>
      <c r="J217" s="1">
        <v>5.7257829999999999E-3</v>
      </c>
      <c r="K217">
        <v>0</v>
      </c>
      <c r="L217" s="1">
        <v>0</v>
      </c>
    </row>
    <row r="218" spans="1:12" x14ac:dyDescent="0.3">
      <c r="A218" t="s">
        <v>53</v>
      </c>
      <c r="B218" t="s">
        <v>338</v>
      </c>
      <c r="C218" t="s">
        <v>336</v>
      </c>
      <c r="D218">
        <v>19</v>
      </c>
      <c r="E218" t="s">
        <v>331</v>
      </c>
      <c r="F218">
        <v>650</v>
      </c>
      <c r="G218">
        <v>700</v>
      </c>
      <c r="H218" t="s">
        <v>337</v>
      </c>
      <c r="I218">
        <v>5391221</v>
      </c>
      <c r="J218" s="1">
        <v>5.3912209999999999E-3</v>
      </c>
      <c r="K218">
        <v>0</v>
      </c>
      <c r="L218" s="1">
        <v>0</v>
      </c>
    </row>
    <row r="219" spans="1:12" x14ac:dyDescent="0.3">
      <c r="A219" t="s">
        <v>53</v>
      </c>
      <c r="B219" t="s">
        <v>338</v>
      </c>
      <c r="C219" t="s">
        <v>336</v>
      </c>
      <c r="D219">
        <v>20</v>
      </c>
      <c r="E219" t="s">
        <v>331</v>
      </c>
      <c r="F219">
        <v>700</v>
      </c>
      <c r="G219">
        <v>750</v>
      </c>
      <c r="H219" t="s">
        <v>337</v>
      </c>
      <c r="I219">
        <v>5076208</v>
      </c>
      <c r="J219" s="1">
        <v>5.0762079999999996E-3</v>
      </c>
      <c r="K219">
        <v>0</v>
      </c>
      <c r="L219" s="1">
        <v>0</v>
      </c>
    </row>
    <row r="220" spans="1:12" x14ac:dyDescent="0.3">
      <c r="A220" t="s">
        <v>53</v>
      </c>
      <c r="B220" t="s">
        <v>338</v>
      </c>
      <c r="C220" t="s">
        <v>336</v>
      </c>
      <c r="D220">
        <v>21</v>
      </c>
      <c r="E220" t="s">
        <v>331</v>
      </c>
      <c r="F220">
        <v>750</v>
      </c>
      <c r="G220">
        <v>800</v>
      </c>
      <c r="H220" t="s">
        <v>337</v>
      </c>
      <c r="I220">
        <v>4779601</v>
      </c>
      <c r="J220" s="1">
        <v>4.7796009999999996E-3</v>
      </c>
      <c r="K220">
        <v>0</v>
      </c>
      <c r="L220" s="1">
        <v>0</v>
      </c>
    </row>
    <row r="221" spans="1:12" x14ac:dyDescent="0.3">
      <c r="A221" t="s">
        <v>53</v>
      </c>
      <c r="B221" t="s">
        <v>338</v>
      </c>
      <c r="C221" t="s">
        <v>336</v>
      </c>
      <c r="D221">
        <v>22</v>
      </c>
      <c r="E221" t="s">
        <v>331</v>
      </c>
      <c r="F221">
        <v>800</v>
      </c>
      <c r="G221">
        <v>850</v>
      </c>
      <c r="H221" t="s">
        <v>337</v>
      </c>
      <c r="I221">
        <v>4500326</v>
      </c>
      <c r="J221" s="1">
        <v>4.5003259999999998E-3</v>
      </c>
      <c r="K221">
        <v>0</v>
      </c>
      <c r="L221" s="1">
        <v>0</v>
      </c>
    </row>
    <row r="222" spans="1:12" x14ac:dyDescent="0.3">
      <c r="A222" t="s">
        <v>53</v>
      </c>
      <c r="B222" t="s">
        <v>338</v>
      </c>
      <c r="C222" t="s">
        <v>336</v>
      </c>
      <c r="D222">
        <v>23</v>
      </c>
      <c r="E222" t="s">
        <v>331</v>
      </c>
      <c r="F222">
        <v>850</v>
      </c>
      <c r="G222">
        <v>900</v>
      </c>
      <c r="H222" t="s">
        <v>337</v>
      </c>
      <c r="I222">
        <v>4237368</v>
      </c>
      <c r="J222" s="1">
        <v>4.237368E-3</v>
      </c>
      <c r="K222">
        <v>0</v>
      </c>
      <c r="L222" s="1">
        <v>0</v>
      </c>
    </row>
    <row r="223" spans="1:12" x14ac:dyDescent="0.3">
      <c r="A223" t="s">
        <v>53</v>
      </c>
      <c r="B223" t="s">
        <v>338</v>
      </c>
      <c r="C223" t="s">
        <v>336</v>
      </c>
      <c r="D223">
        <v>24</v>
      </c>
      <c r="E223" t="s">
        <v>331</v>
      </c>
      <c r="F223">
        <v>900</v>
      </c>
      <c r="G223">
        <v>950</v>
      </c>
      <c r="H223" t="s">
        <v>337</v>
      </c>
      <c r="I223">
        <v>3989776</v>
      </c>
      <c r="J223" s="1">
        <v>3.9897760000000004E-3</v>
      </c>
      <c r="K223">
        <v>0</v>
      </c>
      <c r="L223" s="1">
        <v>0</v>
      </c>
    </row>
    <row r="224" spans="1:12" x14ac:dyDescent="0.3">
      <c r="A224" t="s">
        <v>53</v>
      </c>
      <c r="B224" t="s">
        <v>338</v>
      </c>
      <c r="C224" t="s">
        <v>336</v>
      </c>
      <c r="D224">
        <v>25</v>
      </c>
      <c r="E224" t="s">
        <v>331</v>
      </c>
      <c r="F224">
        <v>950</v>
      </c>
      <c r="G224">
        <v>1000</v>
      </c>
      <c r="H224" t="s">
        <v>337</v>
      </c>
      <c r="I224">
        <v>3756650</v>
      </c>
      <c r="J224" s="1">
        <v>3.7566499999999998E-3</v>
      </c>
      <c r="K224">
        <v>0</v>
      </c>
      <c r="L224" s="1">
        <v>0</v>
      </c>
    </row>
    <row r="225" spans="1:12" x14ac:dyDescent="0.3">
      <c r="A225" t="s">
        <v>53</v>
      </c>
      <c r="B225" t="s">
        <v>338</v>
      </c>
      <c r="C225" t="s">
        <v>336</v>
      </c>
      <c r="D225">
        <v>26</v>
      </c>
      <c r="E225" t="s">
        <v>331</v>
      </c>
      <c r="F225">
        <v>1000</v>
      </c>
      <c r="G225">
        <v>2000</v>
      </c>
      <c r="H225" t="s">
        <v>337</v>
      </c>
      <c r="I225">
        <v>3537146</v>
      </c>
      <c r="J225" s="1">
        <v>3.5371460000000001E-3</v>
      </c>
      <c r="K225">
        <v>0</v>
      </c>
      <c r="L225" s="1">
        <v>0</v>
      </c>
    </row>
    <row r="226" spans="1:12" x14ac:dyDescent="0.3">
      <c r="A226" t="s">
        <v>53</v>
      </c>
      <c r="B226" t="s">
        <v>338</v>
      </c>
      <c r="C226" t="s">
        <v>336</v>
      </c>
      <c r="D226">
        <v>27</v>
      </c>
      <c r="E226" t="s">
        <v>331</v>
      </c>
      <c r="F226">
        <v>2000</v>
      </c>
      <c r="G226">
        <v>3000</v>
      </c>
      <c r="H226" t="s">
        <v>337</v>
      </c>
      <c r="I226">
        <v>3330468</v>
      </c>
      <c r="J226" s="1">
        <v>3.3304680000000001E-3</v>
      </c>
      <c r="K226">
        <v>0</v>
      </c>
      <c r="L226" s="1">
        <v>0</v>
      </c>
    </row>
    <row r="227" spans="1:12" x14ac:dyDescent="0.3">
      <c r="A227" t="s">
        <v>53</v>
      </c>
      <c r="B227" t="s">
        <v>338</v>
      </c>
      <c r="C227" t="s">
        <v>336</v>
      </c>
      <c r="D227">
        <v>28</v>
      </c>
      <c r="E227" t="s">
        <v>331</v>
      </c>
      <c r="F227">
        <v>3000</v>
      </c>
      <c r="G227">
        <v>4000</v>
      </c>
      <c r="H227" t="s">
        <v>337</v>
      </c>
      <c r="I227">
        <v>3135866</v>
      </c>
      <c r="J227" s="1">
        <v>3.1358660000000002E-3</v>
      </c>
      <c r="K227">
        <v>0</v>
      </c>
      <c r="L227" s="1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3"/>
  <cols>
    <col min="1" max="1" width="14" customWidth="1"/>
    <col min="2" max="6" width="13" customWidth="1"/>
  </cols>
  <sheetData>
    <row r="1" spans="1:6" x14ac:dyDescent="0.3">
      <c r="A1" t="s">
        <v>339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</row>
    <row r="2" spans="1:6" x14ac:dyDescent="0.3">
      <c r="A2" t="s">
        <v>345</v>
      </c>
      <c r="B2" s="1">
        <v>1.33788225E-2</v>
      </c>
      <c r="C2" s="1">
        <v>2.4652302500000001E-2</v>
      </c>
      <c r="D2" s="1">
        <v>1.3079125E-2</v>
      </c>
      <c r="E2" s="1">
        <v>2.3532035E-2</v>
      </c>
      <c r="F2" s="1">
        <v>2.0740057499999999E-2</v>
      </c>
    </row>
    <row r="3" spans="1:6" x14ac:dyDescent="0.3">
      <c r="A3" t="s">
        <v>116</v>
      </c>
      <c r="B3" s="1">
        <v>7.4315062500000001E-2</v>
      </c>
      <c r="C3" s="1">
        <v>4.9525819999999998E-2</v>
      </c>
      <c r="D3" s="1">
        <v>5.0761775000000002E-2</v>
      </c>
      <c r="E3" s="1">
        <v>4.7339732500000002E-2</v>
      </c>
      <c r="F3" s="1">
        <v>7.5292485000000006E-2</v>
      </c>
    </row>
    <row r="4" spans="1:6" x14ac:dyDescent="0.3">
      <c r="A4" t="s">
        <v>117</v>
      </c>
      <c r="B4" s="1">
        <v>0.12743481749999999</v>
      </c>
      <c r="C4" s="1">
        <v>0.15909951999999999</v>
      </c>
      <c r="D4" s="1">
        <v>7.29851475E-2</v>
      </c>
      <c r="E4" s="1">
        <v>6.3139299999999995E-2</v>
      </c>
      <c r="F4" s="1">
        <v>0.1156833075</v>
      </c>
    </row>
    <row r="5" spans="1:6" x14ac:dyDescent="0.3">
      <c r="A5" t="s">
        <v>118</v>
      </c>
      <c r="B5" s="1">
        <v>9.4184585000000001E-2</v>
      </c>
      <c r="C5" s="1">
        <v>5.8438805000000003E-2</v>
      </c>
      <c r="D5" s="1">
        <v>0.1576653425</v>
      </c>
      <c r="E5" s="1">
        <v>6.8489392499999996E-2</v>
      </c>
      <c r="F5" s="1">
        <v>0.13512378750000001</v>
      </c>
    </row>
    <row r="6" spans="1:6" x14ac:dyDescent="0.3">
      <c r="A6" t="s">
        <v>119</v>
      </c>
      <c r="B6" s="1">
        <v>9.7004912499999998E-2</v>
      </c>
      <c r="C6" s="1">
        <v>0.19146608500000001</v>
      </c>
      <c r="D6" s="1">
        <v>6.2169087499999998E-2</v>
      </c>
      <c r="E6" s="1">
        <v>0.19136730499999999</v>
      </c>
      <c r="F6" s="1">
        <v>7.3459707499999999E-2</v>
      </c>
    </row>
    <row r="7" spans="1:6" x14ac:dyDescent="0.3">
      <c r="A7" t="s">
        <v>120</v>
      </c>
      <c r="B7" s="1">
        <v>0.16083605500000001</v>
      </c>
      <c r="C7" s="1">
        <v>0.20123814000000001</v>
      </c>
      <c r="D7" s="1">
        <v>7.5103667499999999E-2</v>
      </c>
      <c r="E7" s="1">
        <v>4.9031292499999997E-2</v>
      </c>
      <c r="F7" s="1">
        <v>0.16063883500000001</v>
      </c>
    </row>
    <row r="8" spans="1:6" x14ac:dyDescent="0.3">
      <c r="A8" t="s">
        <v>121</v>
      </c>
      <c r="B8" s="1">
        <v>0.16119658749999999</v>
      </c>
      <c r="C8" s="1">
        <v>6.3717184999999996E-2</v>
      </c>
      <c r="D8" s="1">
        <v>5.50231225E-2</v>
      </c>
      <c r="E8" s="1">
        <v>0.22651299999999999</v>
      </c>
      <c r="F8" s="1">
        <v>0.13171801999999999</v>
      </c>
    </row>
    <row r="9" spans="1:6" x14ac:dyDescent="0.3">
      <c r="A9" t="s">
        <v>122</v>
      </c>
      <c r="B9" s="1">
        <v>0.10011369000000001</v>
      </c>
      <c r="C9" s="1">
        <v>6.0577485E-2</v>
      </c>
      <c r="D9" s="1">
        <v>0.20058534250000001</v>
      </c>
      <c r="E9" s="1">
        <v>0.18198244750000001</v>
      </c>
      <c r="F9" s="1">
        <v>0.148373805</v>
      </c>
    </row>
    <row r="10" spans="1:6" x14ac:dyDescent="0.3">
      <c r="A10" t="s">
        <v>123</v>
      </c>
      <c r="B10" s="1">
        <v>0.17153546750000001</v>
      </c>
      <c r="C10" s="1">
        <v>4.2312127499999998E-2</v>
      </c>
      <c r="D10" s="1">
        <v>0.19639867</v>
      </c>
      <c r="E10" s="1">
        <v>7.0496707500000005E-2</v>
      </c>
      <c r="F10" s="1">
        <v>0.13896999500000001</v>
      </c>
    </row>
    <row r="11" spans="1:6" x14ac:dyDescent="0.3">
      <c r="A11" t="s">
        <v>346</v>
      </c>
      <c r="B11" s="1">
        <v>0</v>
      </c>
      <c r="C11" s="1">
        <v>9.4965575000000007E-3</v>
      </c>
      <c r="D11" s="1">
        <v>5.6134999999999996E-3</v>
      </c>
      <c r="E11" s="1">
        <v>5.2254025000000003E-3</v>
      </c>
      <c r="F11" s="1">
        <v>0</v>
      </c>
    </row>
    <row r="12" spans="1:6" x14ac:dyDescent="0.3">
      <c r="A12" t="s">
        <v>347</v>
      </c>
      <c r="B12" s="1">
        <v>0</v>
      </c>
      <c r="C12" s="1">
        <v>2.4720615000000001E-2</v>
      </c>
      <c r="D12" s="1">
        <v>9.3296049999999995E-3</v>
      </c>
      <c r="E12" s="1">
        <v>5.2378349999999997E-3</v>
      </c>
      <c r="F12" s="1">
        <v>0</v>
      </c>
    </row>
    <row r="13" spans="1:6" x14ac:dyDescent="0.3">
      <c r="A13" t="s">
        <v>348</v>
      </c>
      <c r="B13" s="1">
        <v>0</v>
      </c>
      <c r="C13" s="1">
        <v>1.00930975E-2</v>
      </c>
      <c r="D13" s="1">
        <v>1.7549567499999998E-2</v>
      </c>
      <c r="E13" s="1">
        <v>5.4316175000000003E-3</v>
      </c>
      <c r="F13" s="1">
        <v>0</v>
      </c>
    </row>
    <row r="14" spans="1:6" x14ac:dyDescent="0.3">
      <c r="A14" t="s">
        <v>349</v>
      </c>
      <c r="B14" s="1">
        <v>0</v>
      </c>
      <c r="C14" s="1">
        <v>3.5130787500000003E-2</v>
      </c>
      <c r="D14" s="1">
        <v>8.0723424999999994E-3</v>
      </c>
      <c r="E14" s="1">
        <v>1.5262725E-2</v>
      </c>
      <c r="F14" s="1">
        <v>0</v>
      </c>
    </row>
    <row r="15" spans="1:6" x14ac:dyDescent="0.3">
      <c r="A15" t="s">
        <v>350</v>
      </c>
      <c r="B15" s="1">
        <v>0</v>
      </c>
      <c r="C15" s="1">
        <v>3.7146615000000001E-2</v>
      </c>
      <c r="D15" s="1">
        <v>8.9471849999999999E-3</v>
      </c>
      <c r="E15" s="1">
        <v>5.4456349999999999E-3</v>
      </c>
      <c r="F15" s="1">
        <v>0</v>
      </c>
    </row>
    <row r="16" spans="1:6" x14ac:dyDescent="0.3">
      <c r="A16" t="s">
        <v>351</v>
      </c>
      <c r="B16" s="1">
        <v>0</v>
      </c>
      <c r="C16" s="1">
        <v>1.1309275000000001E-2</v>
      </c>
      <c r="D16" s="1">
        <v>3.8869600000000001E-3</v>
      </c>
      <c r="E16" s="1">
        <v>1.81879525E-2</v>
      </c>
      <c r="F16" s="1">
        <v>0</v>
      </c>
    </row>
    <row r="17" spans="1:6" x14ac:dyDescent="0.3">
      <c r="A17" t="s">
        <v>352</v>
      </c>
      <c r="B17" s="1">
        <v>0</v>
      </c>
      <c r="C17" s="1">
        <v>1.14087975E-2</v>
      </c>
      <c r="D17" s="1">
        <v>2.1621345E-2</v>
      </c>
      <c r="E17" s="1">
        <v>1.803952E-2</v>
      </c>
      <c r="F17" s="1">
        <v>0</v>
      </c>
    </row>
    <row r="18" spans="1:6" x14ac:dyDescent="0.3">
      <c r="A18" t="s">
        <v>353</v>
      </c>
      <c r="B18" s="1">
        <v>0</v>
      </c>
      <c r="C18" s="1">
        <v>9.6667850000000007E-3</v>
      </c>
      <c r="D18" s="1">
        <v>4.1208214999999999E-2</v>
      </c>
      <c r="E18" s="1">
        <v>5.2781E-3</v>
      </c>
      <c r="F18" s="1">
        <v>0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3"/>
  <cols>
    <col min="1" max="1" width="14" customWidth="1"/>
    <col min="2" max="6" width="13" customWidth="1"/>
  </cols>
  <sheetData>
    <row r="1" spans="1:6" x14ac:dyDescent="0.3">
      <c r="A1" t="s">
        <v>339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</row>
    <row r="2" spans="1:6" x14ac:dyDescent="0.3">
      <c r="A2" t="s">
        <v>345</v>
      </c>
      <c r="B2" s="1">
        <v>1.101649940302913E-2</v>
      </c>
      <c r="C2" s="1">
        <v>1.086873553898674E-2</v>
      </c>
      <c r="D2" s="1">
        <v>0</v>
      </c>
      <c r="E2" s="1">
        <v>1.1030819407741029E-2</v>
      </c>
      <c r="F2" s="1">
        <v>0</v>
      </c>
    </row>
    <row r="3" spans="1:6" x14ac:dyDescent="0.3">
      <c r="A3" t="s">
        <v>116</v>
      </c>
      <c r="B3" s="1">
        <v>4.8057042860860058E-2</v>
      </c>
      <c r="C3" s="1">
        <v>8.3795753517933211E-2</v>
      </c>
      <c r="D3" s="1">
        <v>4.5082796596105562E-2</v>
      </c>
      <c r="E3" s="1">
        <v>9.0388506617727626E-2</v>
      </c>
      <c r="F3" s="1">
        <v>4.8787027234530059E-2</v>
      </c>
    </row>
    <row r="4" spans="1:6" x14ac:dyDescent="0.3">
      <c r="A4" t="s">
        <v>117</v>
      </c>
      <c r="B4" s="1">
        <v>9.6794820581458454E-2</v>
      </c>
      <c r="C4" s="1">
        <v>4.0155500957819633E-2</v>
      </c>
      <c r="D4" s="1">
        <v>8.7870891313644006E-2</v>
      </c>
      <c r="E4" s="1">
        <v>4.3809073830686947E-2</v>
      </c>
      <c r="F4" s="1">
        <v>0.1013519795343648</v>
      </c>
    </row>
    <row r="5" spans="1:6" x14ac:dyDescent="0.3">
      <c r="A5" t="s">
        <v>118</v>
      </c>
      <c r="B5" s="1">
        <v>9.6374273784198189E-2</v>
      </c>
      <c r="C5" s="1">
        <v>5.9642570745822313E-2</v>
      </c>
      <c r="D5" s="1">
        <v>7.0128444868502324E-2</v>
      </c>
      <c r="E5" s="1">
        <v>6.4978717663011346E-2</v>
      </c>
      <c r="F5" s="1">
        <v>7.9836870733201976E-2</v>
      </c>
    </row>
    <row r="6" spans="1:6" x14ac:dyDescent="0.3">
      <c r="A6" t="s">
        <v>119</v>
      </c>
      <c r="B6" s="1">
        <v>9.5805824411915805E-2</v>
      </c>
      <c r="C6" s="1">
        <v>0.11137970130168109</v>
      </c>
      <c r="D6" s="1">
        <v>6.9040421210563682E-2</v>
      </c>
      <c r="E6" s="1">
        <v>0.11624919842868579</v>
      </c>
      <c r="F6" s="1">
        <v>8.0060901059770415E-2</v>
      </c>
    </row>
    <row r="7" spans="1:6" x14ac:dyDescent="0.3">
      <c r="A7" t="s">
        <v>120</v>
      </c>
      <c r="B7" s="1">
        <v>0.15036891102277</v>
      </c>
      <c r="C7" s="1">
        <v>0.1529622703943993</v>
      </c>
      <c r="D7" s="1">
        <v>0.14528320136379161</v>
      </c>
      <c r="E7" s="1">
        <v>0.16028053302994741</v>
      </c>
      <c r="F7" s="1">
        <v>0.1612473520735051</v>
      </c>
    </row>
    <row r="8" spans="1:6" x14ac:dyDescent="0.3">
      <c r="A8" t="s">
        <v>121</v>
      </c>
      <c r="B8" s="1">
        <v>0.14430758982294761</v>
      </c>
      <c r="C8" s="1">
        <v>0.13655911871446111</v>
      </c>
      <c r="D8" s="1">
        <v>0.13250127128603481</v>
      </c>
      <c r="E8" s="1">
        <v>0.15464617908557399</v>
      </c>
      <c r="F8" s="1">
        <v>0.1585808813459014</v>
      </c>
    </row>
    <row r="9" spans="1:6" x14ac:dyDescent="0.3">
      <c r="A9" t="s">
        <v>122</v>
      </c>
      <c r="B9" s="1">
        <v>0.17660745964216509</v>
      </c>
      <c r="C9" s="1">
        <v>0.12902765048983331</v>
      </c>
      <c r="D9" s="1">
        <v>0.17330435343320641</v>
      </c>
      <c r="E9" s="1">
        <v>0.14054377660292119</v>
      </c>
      <c r="F9" s="1">
        <v>0.1830353759980646</v>
      </c>
    </row>
    <row r="10" spans="1:6" x14ac:dyDescent="0.3">
      <c r="A10" t="s">
        <v>123</v>
      </c>
      <c r="B10" s="1">
        <v>0.18066757847065559</v>
      </c>
      <c r="C10" s="1">
        <v>0.1257962292700574</v>
      </c>
      <c r="D10" s="1">
        <v>0.1687376730593439</v>
      </c>
      <c r="E10" s="1">
        <v>0.1387101252456806</v>
      </c>
      <c r="F10" s="1">
        <v>0.18709961202066161</v>
      </c>
    </row>
    <row r="11" spans="1:6" x14ac:dyDescent="0.3">
      <c r="A11" t="s">
        <v>346</v>
      </c>
      <c r="B11" s="1">
        <v>0</v>
      </c>
      <c r="C11" s="1">
        <v>1.5952811653830071E-2</v>
      </c>
      <c r="D11" s="1">
        <v>6.1952074999327119E-3</v>
      </c>
      <c r="E11" s="1">
        <v>7.1678230304179488E-3</v>
      </c>
      <c r="F11" s="1">
        <v>0</v>
      </c>
    </row>
    <row r="12" spans="1:6" x14ac:dyDescent="0.3">
      <c r="A12" t="s">
        <v>347</v>
      </c>
      <c r="B12" s="1">
        <v>0</v>
      </c>
      <c r="C12" s="1">
        <v>7.4999572229681767E-3</v>
      </c>
      <c r="D12" s="1">
        <v>1.0926960749106649E-2</v>
      </c>
      <c r="E12" s="1">
        <v>4.4248125673185326E-3</v>
      </c>
      <c r="F12" s="1">
        <v>0</v>
      </c>
    </row>
    <row r="13" spans="1:6" x14ac:dyDescent="0.3">
      <c r="A13" t="s">
        <v>348</v>
      </c>
      <c r="B13" s="1">
        <v>0</v>
      </c>
      <c r="C13" s="1">
        <v>1.066971175132406E-2</v>
      </c>
      <c r="D13" s="1">
        <v>9.1835752866888543E-3</v>
      </c>
      <c r="E13" s="1">
        <v>5.2073701671522541E-3</v>
      </c>
      <c r="F13" s="1">
        <v>0</v>
      </c>
    </row>
    <row r="14" spans="1:6" x14ac:dyDescent="0.3">
      <c r="A14" t="s">
        <v>349</v>
      </c>
      <c r="B14" s="1">
        <v>0</v>
      </c>
      <c r="C14" s="1">
        <v>2.0573502865534068E-2</v>
      </c>
      <c r="D14" s="1">
        <v>8.1289080440992683E-3</v>
      </c>
      <c r="E14" s="1">
        <v>9.9219031217393436E-3</v>
      </c>
      <c r="F14" s="1">
        <v>0</v>
      </c>
    </row>
    <row r="15" spans="1:6" x14ac:dyDescent="0.3">
      <c r="A15" t="s">
        <v>350</v>
      </c>
      <c r="B15" s="1">
        <v>0</v>
      </c>
      <c r="C15" s="1">
        <v>2.7066952765479109E-2</v>
      </c>
      <c r="D15" s="1">
        <v>1.6668096398673001E-2</v>
      </c>
      <c r="E15" s="1">
        <v>1.367502801267095E-2</v>
      </c>
      <c r="F15" s="1">
        <v>0</v>
      </c>
    </row>
    <row r="16" spans="1:6" x14ac:dyDescent="0.3">
      <c r="A16" t="s">
        <v>351</v>
      </c>
      <c r="B16" s="1">
        <v>0</v>
      </c>
      <c r="C16" s="1">
        <v>2.4622515988586242E-2</v>
      </c>
      <c r="D16" s="1">
        <v>1.5589518327605051E-2</v>
      </c>
      <c r="E16" s="1">
        <v>1.3130662765990141E-2</v>
      </c>
      <c r="F16" s="1">
        <v>0</v>
      </c>
    </row>
    <row r="17" spans="1:6" x14ac:dyDescent="0.3">
      <c r="A17" t="s">
        <v>352</v>
      </c>
      <c r="B17" s="1">
        <v>0</v>
      </c>
      <c r="C17" s="1">
        <v>2.189414136878182E-2</v>
      </c>
      <c r="D17" s="1">
        <v>2.0643519017618669E-2</v>
      </c>
      <c r="E17" s="1">
        <v>1.27734393517209E-2</v>
      </c>
      <c r="F17" s="1">
        <v>0</v>
      </c>
    </row>
    <row r="18" spans="1:6" x14ac:dyDescent="0.3">
      <c r="A18" t="s">
        <v>353</v>
      </c>
      <c r="B18" s="1">
        <v>0</v>
      </c>
      <c r="C18" s="1">
        <v>2.153287545250241E-2</v>
      </c>
      <c r="D18" s="1">
        <v>2.0715161545083551E-2</v>
      </c>
      <c r="E18" s="1">
        <v>1.3062031071013881E-2</v>
      </c>
      <c r="F18" s="1">
        <v>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3"/>
  <cols>
    <col min="1" max="1" width="14" customWidth="1"/>
    <col min="2" max="6" width="13" customWidth="1"/>
  </cols>
  <sheetData>
    <row r="1" spans="1:6" x14ac:dyDescent="0.3">
      <c r="A1" t="s">
        <v>339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</row>
    <row r="2" spans="1:6" x14ac:dyDescent="0.3">
      <c r="A2" t="s">
        <v>345</v>
      </c>
      <c r="B2" s="1">
        <v>9.5202728690657931E-3</v>
      </c>
      <c r="C2" s="1">
        <v>1.520742437935502E-2</v>
      </c>
      <c r="D2" s="1">
        <v>1.002252278824804E-2</v>
      </c>
      <c r="E2" s="1">
        <v>1.028656679086252E-2</v>
      </c>
      <c r="F2" s="1">
        <v>1.6029464856663511E-2</v>
      </c>
    </row>
    <row r="3" spans="1:6" x14ac:dyDescent="0.3">
      <c r="A3" t="s">
        <v>116</v>
      </c>
      <c r="B3" s="1">
        <v>6.7370420228743746E-2</v>
      </c>
      <c r="C3" s="1">
        <v>3.4795584164910701E-2</v>
      </c>
      <c r="D3" s="1">
        <v>3.120642035144516E-2</v>
      </c>
      <c r="E3" s="1">
        <v>2.679020182022827E-2</v>
      </c>
      <c r="F3" s="1">
        <v>6.9061399079267477E-2</v>
      </c>
    </row>
    <row r="4" spans="1:6" x14ac:dyDescent="0.3">
      <c r="A4" t="s">
        <v>117</v>
      </c>
      <c r="B4" s="1">
        <v>0.1087857161397192</v>
      </c>
      <c r="C4" s="1">
        <v>9.5838593369876338E-2</v>
      </c>
      <c r="D4" s="1">
        <v>4.9380800296371097E-2</v>
      </c>
      <c r="E4" s="1">
        <v>4.0204474826153337E-2</v>
      </c>
      <c r="F4" s="1">
        <v>0.1000266049698792</v>
      </c>
    </row>
    <row r="5" spans="1:6" x14ac:dyDescent="0.3">
      <c r="A5" t="s">
        <v>118</v>
      </c>
      <c r="B5" s="1">
        <v>8.2754552340411472E-2</v>
      </c>
      <c r="C5" s="1">
        <v>3.4443525494758057E-2</v>
      </c>
      <c r="D5" s="1">
        <v>9.2811171963670946E-2</v>
      </c>
      <c r="E5" s="1">
        <v>4.8230002619203252E-2</v>
      </c>
      <c r="F5" s="1">
        <v>0.1187670336697397</v>
      </c>
    </row>
    <row r="6" spans="1:6" x14ac:dyDescent="0.3">
      <c r="A6" t="s">
        <v>119</v>
      </c>
      <c r="B6" s="1">
        <v>0.1062239112019311</v>
      </c>
      <c r="C6" s="1">
        <v>0.14331858360095609</v>
      </c>
      <c r="D6" s="1">
        <v>6.2279432411578288E-2</v>
      </c>
      <c r="E6" s="1">
        <v>0.15591869143662121</v>
      </c>
      <c r="F6" s="1">
        <v>7.3882591265075168E-2</v>
      </c>
    </row>
    <row r="7" spans="1:6" x14ac:dyDescent="0.3">
      <c r="A7" t="s">
        <v>120</v>
      </c>
      <c r="B7" s="1">
        <v>0.17664160332992759</v>
      </c>
      <c r="C7" s="1">
        <v>0.1485441300351823</v>
      </c>
      <c r="D7" s="1">
        <v>7.1626478021109358E-2</v>
      </c>
      <c r="E7" s="1">
        <v>3.9094086027848501E-2</v>
      </c>
      <c r="F7" s="1">
        <v>0.15497235678739391</v>
      </c>
    </row>
    <row r="8" spans="1:6" x14ac:dyDescent="0.3">
      <c r="A8" t="s">
        <v>121</v>
      </c>
      <c r="B8" s="1">
        <v>0.14394728086589439</v>
      </c>
      <c r="C8" s="1">
        <v>4.1322738931506647E-2</v>
      </c>
      <c r="D8" s="1">
        <v>3.6017112127854869E-2</v>
      </c>
      <c r="E8" s="1">
        <v>0.1195171345444592</v>
      </c>
      <c r="F8" s="1">
        <v>0.1128179323396092</v>
      </c>
    </row>
    <row r="9" spans="1:6" x14ac:dyDescent="0.3">
      <c r="A9" t="s">
        <v>122</v>
      </c>
      <c r="B9" s="1">
        <v>0.118093798151456</v>
      </c>
      <c r="C9" s="1">
        <v>4.6376473891734882E-2</v>
      </c>
      <c r="D9" s="1">
        <v>0.1756451557718037</v>
      </c>
      <c r="E9" s="1">
        <v>0.16750701403751361</v>
      </c>
      <c r="F9" s="1">
        <v>0.17859695063391801</v>
      </c>
    </row>
    <row r="10" spans="1:6" x14ac:dyDescent="0.3">
      <c r="A10" t="s">
        <v>123</v>
      </c>
      <c r="B10" s="1">
        <v>0.18666244487285069</v>
      </c>
      <c r="C10" s="1">
        <v>4.9127020738898471E-2</v>
      </c>
      <c r="D10" s="1">
        <v>0.15266846078156079</v>
      </c>
      <c r="E10" s="1">
        <v>5.3312348245487771E-2</v>
      </c>
      <c r="F10" s="1">
        <v>0.175845666398454</v>
      </c>
    </row>
    <row r="11" spans="1:6" x14ac:dyDescent="0.3">
      <c r="A11" t="s">
        <v>346</v>
      </c>
      <c r="B11" s="1">
        <v>0</v>
      </c>
      <c r="C11" s="1">
        <v>2.027941707390165E-2</v>
      </c>
      <c r="D11" s="1">
        <v>1.7507574452621921E-2</v>
      </c>
      <c r="E11" s="1">
        <v>1.7593494937386881E-2</v>
      </c>
      <c r="F11" s="1">
        <v>0</v>
      </c>
    </row>
    <row r="12" spans="1:6" x14ac:dyDescent="0.3">
      <c r="A12" t="s">
        <v>347</v>
      </c>
      <c r="B12" s="1">
        <v>0</v>
      </c>
      <c r="C12" s="1">
        <v>5.7095710641751993E-2</v>
      </c>
      <c r="D12" s="1">
        <v>2.3289023178768881E-2</v>
      </c>
      <c r="E12" s="1">
        <v>1.9162155816636901E-2</v>
      </c>
      <c r="F12" s="1">
        <v>0</v>
      </c>
    </row>
    <row r="13" spans="1:6" x14ac:dyDescent="0.3">
      <c r="A13" t="s">
        <v>348</v>
      </c>
      <c r="B13" s="1">
        <v>0</v>
      </c>
      <c r="C13" s="1">
        <v>2.8124697670796828E-2</v>
      </c>
      <c r="D13" s="1">
        <v>4.9800403734842243E-2</v>
      </c>
      <c r="E13" s="1">
        <v>1.605253036270066E-2</v>
      </c>
      <c r="F13" s="1">
        <v>0</v>
      </c>
    </row>
    <row r="14" spans="1:6" x14ac:dyDescent="0.3">
      <c r="A14" t="s">
        <v>349</v>
      </c>
      <c r="B14" s="1">
        <v>0</v>
      </c>
      <c r="C14" s="1">
        <v>9.5931297827005171E-2</v>
      </c>
      <c r="D14" s="1">
        <v>3.0714139922084601E-2</v>
      </c>
      <c r="E14" s="1">
        <v>8.3696964083880568E-2</v>
      </c>
      <c r="F14" s="1">
        <v>0</v>
      </c>
    </row>
    <row r="15" spans="1:6" x14ac:dyDescent="0.3">
      <c r="A15" t="s">
        <v>350</v>
      </c>
      <c r="B15" s="1">
        <v>0</v>
      </c>
      <c r="C15" s="1">
        <v>0.1079387814333885</v>
      </c>
      <c r="D15" s="1">
        <v>3.5839106592133421E-2</v>
      </c>
      <c r="E15" s="1">
        <v>1.93041178122338E-2</v>
      </c>
      <c r="F15" s="1">
        <v>0</v>
      </c>
    </row>
    <row r="16" spans="1:6" x14ac:dyDescent="0.3">
      <c r="A16" t="s">
        <v>351</v>
      </c>
      <c r="B16" s="1">
        <v>0</v>
      </c>
      <c r="C16" s="1">
        <v>2.597998905125852E-2</v>
      </c>
      <c r="D16" s="1">
        <v>1.6593625897549039E-2</v>
      </c>
      <c r="E16" s="1">
        <v>7.6388797125011509E-2</v>
      </c>
      <c r="F16" s="1">
        <v>0</v>
      </c>
    </row>
    <row r="17" spans="1:6" x14ac:dyDescent="0.3">
      <c r="A17" t="s">
        <v>352</v>
      </c>
      <c r="B17" s="1">
        <v>0</v>
      </c>
      <c r="C17" s="1">
        <v>3.024327324896825E-2</v>
      </c>
      <c r="D17" s="1">
        <v>6.9357209769864064E-2</v>
      </c>
      <c r="E17" s="1">
        <v>7.7148012119124199E-2</v>
      </c>
      <c r="F17" s="1">
        <v>0</v>
      </c>
    </row>
    <row r="18" spans="1:6" x14ac:dyDescent="0.3">
      <c r="A18" t="s">
        <v>353</v>
      </c>
      <c r="B18" s="1">
        <v>0</v>
      </c>
      <c r="C18" s="1">
        <v>2.5432758445750641E-2</v>
      </c>
      <c r="D18" s="1">
        <v>7.5241361938493553E-2</v>
      </c>
      <c r="E18" s="1">
        <v>2.979340739464786E-2</v>
      </c>
      <c r="F18" s="1">
        <v>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3"/>
  <cols>
    <col min="1" max="1" width="14" customWidth="1"/>
    <col min="2" max="6" width="13" customWidth="1"/>
  </cols>
  <sheetData>
    <row r="1" spans="1:6" x14ac:dyDescent="0.3">
      <c r="A1" t="s">
        <v>339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</row>
    <row r="2" spans="1:6" x14ac:dyDescent="0.3">
      <c r="A2" t="s">
        <v>345</v>
      </c>
      <c r="B2" s="1">
        <v>6.7009117808178378E-3</v>
      </c>
      <c r="C2" s="1">
        <v>6.7341212694214938E-3</v>
      </c>
      <c r="D2" s="1">
        <v>8.3472044825055706E-3</v>
      </c>
      <c r="E2" s="1">
        <v>6.9366553962525871E-3</v>
      </c>
      <c r="F2" s="1">
        <v>7.7494671805884794E-3</v>
      </c>
    </row>
    <row r="3" spans="1:6" x14ac:dyDescent="0.3">
      <c r="A3" t="s">
        <v>116</v>
      </c>
      <c r="B3" s="1">
        <v>3.5970290339630173E-2</v>
      </c>
      <c r="C3" s="1">
        <v>6.0156599995911719E-2</v>
      </c>
      <c r="D3" s="1">
        <v>3.2660664679883253E-2</v>
      </c>
      <c r="E3" s="1">
        <v>6.5261048256878743E-2</v>
      </c>
      <c r="F3" s="1">
        <v>3.4034257196618047E-2</v>
      </c>
    </row>
    <row r="4" spans="1:6" x14ac:dyDescent="0.3">
      <c r="A4" t="s">
        <v>117</v>
      </c>
      <c r="B4" s="1">
        <v>7.3024149145271861E-2</v>
      </c>
      <c r="C4" s="1">
        <v>2.9480739579908551E-2</v>
      </c>
      <c r="D4" s="1">
        <v>6.2271403291398623E-2</v>
      </c>
      <c r="E4" s="1">
        <v>3.3175926829003978E-2</v>
      </c>
      <c r="F4" s="1">
        <v>7.5093428454153149E-2</v>
      </c>
    </row>
    <row r="5" spans="1:6" x14ac:dyDescent="0.3">
      <c r="A5" t="s">
        <v>118</v>
      </c>
      <c r="B5" s="1">
        <v>7.4415181258470173E-2</v>
      </c>
      <c r="C5" s="1">
        <v>4.6697719939137627E-2</v>
      </c>
      <c r="D5" s="1">
        <v>4.8578182281419413E-2</v>
      </c>
      <c r="E5" s="1">
        <v>4.8954845194360462E-2</v>
      </c>
      <c r="F5" s="1">
        <v>5.7567719300690122E-2</v>
      </c>
    </row>
    <row r="6" spans="1:6" x14ac:dyDescent="0.3">
      <c r="A6" t="s">
        <v>119</v>
      </c>
      <c r="B6" s="1">
        <v>0.1060086039453236</v>
      </c>
      <c r="C6" s="1">
        <v>0.13063112335585059</v>
      </c>
      <c r="D6" s="1">
        <v>7.5989868893015899E-2</v>
      </c>
      <c r="E6" s="1">
        <v>0.13614714392535521</v>
      </c>
      <c r="F6" s="1">
        <v>9.567178208136011E-2</v>
      </c>
    </row>
    <row r="7" spans="1:6" x14ac:dyDescent="0.3">
      <c r="A7" t="s">
        <v>120</v>
      </c>
      <c r="B7" s="1">
        <v>0.18227590329217139</v>
      </c>
      <c r="C7" s="1">
        <v>0.1834141445570352</v>
      </c>
      <c r="D7" s="1">
        <v>0.17288955578711829</v>
      </c>
      <c r="E7" s="1">
        <v>0.19058006057847571</v>
      </c>
      <c r="F7" s="1">
        <v>0.18469253808983879</v>
      </c>
    </row>
    <row r="8" spans="1:6" x14ac:dyDescent="0.3">
      <c r="A8" t="s">
        <v>121</v>
      </c>
      <c r="B8" s="1">
        <v>0.1053726534955868</v>
      </c>
      <c r="C8" s="1">
        <v>0.10064964702662391</v>
      </c>
      <c r="D8" s="1">
        <v>8.9514403498754475E-2</v>
      </c>
      <c r="E8" s="1">
        <v>0.10442980103384369</v>
      </c>
      <c r="F8" s="1">
        <v>9.4219192413557265E-2</v>
      </c>
    </row>
    <row r="9" spans="1:6" x14ac:dyDescent="0.3">
      <c r="A9" t="s">
        <v>122</v>
      </c>
      <c r="B9" s="1">
        <v>0.2159428441723211</v>
      </c>
      <c r="C9" s="1">
        <v>0.15394479599697719</v>
      </c>
      <c r="D9" s="1">
        <v>0.21033895898600211</v>
      </c>
      <c r="E9" s="1">
        <v>0.17178407132871679</v>
      </c>
      <c r="F9" s="1">
        <v>0.2392610254865043</v>
      </c>
    </row>
    <row r="10" spans="1:6" x14ac:dyDescent="0.3">
      <c r="A10" t="s">
        <v>123</v>
      </c>
      <c r="B10" s="1">
        <v>0.200289462570407</v>
      </c>
      <c r="C10" s="1">
        <v>0.14146335906819579</v>
      </c>
      <c r="D10" s="1">
        <v>0.18240107585737131</v>
      </c>
      <c r="E10" s="1">
        <v>0.14650928725467879</v>
      </c>
      <c r="F10" s="1">
        <v>0.21171058979668969</v>
      </c>
    </row>
    <row r="11" spans="1:6" x14ac:dyDescent="0.3">
      <c r="A11" t="s">
        <v>346</v>
      </c>
      <c r="B11" s="1">
        <v>0</v>
      </c>
      <c r="C11" s="1">
        <v>1.176099393357974E-2</v>
      </c>
      <c r="D11" s="1">
        <v>5.3922739583942862E-3</v>
      </c>
      <c r="E11" s="1">
        <v>7.3833403773421328E-3</v>
      </c>
      <c r="F11" s="1">
        <v>0</v>
      </c>
    </row>
    <row r="12" spans="1:6" x14ac:dyDescent="0.3">
      <c r="A12" t="s">
        <v>347</v>
      </c>
      <c r="B12" s="1">
        <v>0</v>
      </c>
      <c r="C12" s="1">
        <v>5.4435031162241359E-3</v>
      </c>
      <c r="D12" s="1">
        <v>9.0004994927004468E-3</v>
      </c>
      <c r="E12" s="1">
        <v>3.5094741918354519E-3</v>
      </c>
      <c r="F12" s="1">
        <v>0</v>
      </c>
    </row>
    <row r="13" spans="1:6" x14ac:dyDescent="0.3">
      <c r="A13" t="s">
        <v>348</v>
      </c>
      <c r="B13" s="1">
        <v>0</v>
      </c>
      <c r="C13" s="1">
        <v>8.6925964768667895E-3</v>
      </c>
      <c r="D13" s="1">
        <v>7.3991460323746556E-3</v>
      </c>
      <c r="E13" s="1">
        <v>6.3294482915569423E-3</v>
      </c>
      <c r="F13" s="1">
        <v>0</v>
      </c>
    </row>
    <row r="14" spans="1:6" x14ac:dyDescent="0.3">
      <c r="A14" t="s">
        <v>349</v>
      </c>
      <c r="B14" s="1">
        <v>0</v>
      </c>
      <c r="C14" s="1">
        <v>2.4132733780787161E-2</v>
      </c>
      <c r="D14" s="1">
        <v>1.0581131958733701E-2</v>
      </c>
      <c r="E14" s="1">
        <v>1.29379477009439E-2</v>
      </c>
      <c r="F14" s="1">
        <v>0</v>
      </c>
    </row>
    <row r="15" spans="1:6" x14ac:dyDescent="0.3">
      <c r="A15" t="s">
        <v>350</v>
      </c>
      <c r="B15" s="1">
        <v>0</v>
      </c>
      <c r="C15" s="1">
        <v>3.0867167132944281E-2</v>
      </c>
      <c r="D15" s="1">
        <v>2.176317275195087E-2</v>
      </c>
      <c r="E15" s="1">
        <v>1.8176929245640839E-2</v>
      </c>
      <c r="F15" s="1">
        <v>0</v>
      </c>
    </row>
    <row r="16" spans="1:6" x14ac:dyDescent="0.3">
      <c r="A16" t="s">
        <v>351</v>
      </c>
      <c r="B16" s="1">
        <v>0</v>
      </c>
      <c r="C16" s="1">
        <v>1.7273311293010268E-2</v>
      </c>
      <c r="D16" s="1">
        <v>1.2010442797433459E-2</v>
      </c>
      <c r="E16" s="1">
        <v>1.13052954690768E-2</v>
      </c>
      <c r="F16" s="1">
        <v>0</v>
      </c>
    </row>
    <row r="17" spans="1:6" x14ac:dyDescent="0.3">
      <c r="A17" t="s">
        <v>352</v>
      </c>
      <c r="B17" s="1">
        <v>0</v>
      </c>
      <c r="C17" s="1">
        <v>2.499236567607965E-2</v>
      </c>
      <c r="D17" s="1">
        <v>2.7785977811317249E-2</v>
      </c>
      <c r="E17" s="1">
        <v>1.829816747401844E-2</v>
      </c>
      <c r="F17" s="1">
        <v>0</v>
      </c>
    </row>
    <row r="18" spans="1:6" x14ac:dyDescent="0.3">
      <c r="A18" t="s">
        <v>353</v>
      </c>
      <c r="B18" s="1">
        <v>0</v>
      </c>
      <c r="C18" s="1">
        <v>2.3665077801445781E-2</v>
      </c>
      <c r="D18" s="1">
        <v>2.3076037439626391E-2</v>
      </c>
      <c r="E18" s="1">
        <v>1.8280557452019459E-2</v>
      </c>
      <c r="F18" s="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Overview</vt:lpstr>
      <vt:lpstr>Base Info</vt:lpstr>
      <vt:lpstr>Feature</vt:lpstr>
      <vt:lpstr>Hits</vt:lpstr>
      <vt:lpstr>Symbol Length</vt:lpstr>
      <vt:lpstr>Eliminate</vt:lpstr>
      <vt:lpstr>Multiplier Line</vt:lpstr>
      <vt:lpstr>Record Data</vt:lpstr>
      <vt:lpstr>Card Selection</vt:lpstr>
      <vt:lpstr>BG Initial Symbol</vt:lpstr>
      <vt:lpstr>BG Drop Symbol</vt:lpstr>
      <vt:lpstr>FG Initial Symbol</vt:lpstr>
      <vt:lpstr>FG Drop 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2026-08-18T02:00:22Z</dcterms:created>
  <dcterms:modified xsi:type="dcterms:W3CDTF">2026-08-18T07:16:23Z</dcterms:modified>
</cp:coreProperties>
</file>