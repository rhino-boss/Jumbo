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0FDD23CC-668F-4E34-A1B5-23C1BF9FB5F1}" xr6:coauthVersionLast="47" xr6:coauthVersionMax="47" xr10:uidLastSave="{00000000-0000-0000-0000-000000000000}"/>
  <bookViews>
    <workbookView xWindow="-28920" yWindow="60" windowWidth="29040" windowHeight="15720" tabRatio="840" activeTab="2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" i="1" l="1"/>
  <c r="G67" i="3"/>
  <c r="D234" i="5" a="1"/>
  <c r="D234" i="5" s="1"/>
  <c r="F9" i="5"/>
  <c r="G9" i="5" s="1"/>
  <c r="C9" i="5"/>
  <c r="B25" i="1" s="1"/>
  <c r="C25" i="1"/>
  <c r="A25" i="1"/>
  <c r="G297" i="5"/>
  <c r="A297" i="5"/>
  <c r="G296" i="5"/>
  <c r="A296" i="5"/>
  <c r="G295" i="5"/>
  <c r="A295" i="5"/>
  <c r="G294" i="5"/>
  <c r="A294" i="5"/>
  <c r="G293" i="5"/>
  <c r="A293" i="5"/>
  <c r="G292" i="5"/>
  <c r="A292" i="5"/>
  <c r="G291" i="5"/>
  <c r="A291" i="5"/>
  <c r="G290" i="5"/>
  <c r="A290" i="5"/>
  <c r="G289" i="5"/>
  <c r="A289" i="5"/>
  <c r="G288" i="5"/>
  <c r="A288" i="5"/>
  <c r="G287" i="5"/>
  <c r="A287" i="5"/>
  <c r="G286" i="5"/>
  <c r="A286" i="5"/>
  <c r="G285" i="5"/>
  <c r="A285" i="5"/>
  <c r="G284" i="5"/>
  <c r="A284" i="5"/>
  <c r="G283" i="5"/>
  <c r="A283" i="5"/>
  <c r="G282" i="5"/>
  <c r="A282" i="5"/>
  <c r="G281" i="5"/>
  <c r="A281" i="5"/>
  <c r="G280" i="5"/>
  <c r="A280" i="5"/>
  <c r="G279" i="5"/>
  <c r="A279" i="5"/>
  <c r="G278" i="5"/>
  <c r="A278" i="5"/>
  <c r="G277" i="5"/>
  <c r="A277" i="5"/>
  <c r="G276" i="5"/>
  <c r="A276" i="5"/>
  <c r="G275" i="5"/>
  <c r="A275" i="5"/>
  <c r="G274" i="5"/>
  <c r="A274" i="5"/>
  <c r="G273" i="5"/>
  <c r="A273" i="5"/>
  <c r="G272" i="5"/>
  <c r="A272" i="5"/>
  <c r="G271" i="5"/>
  <c r="A271" i="5"/>
  <c r="G270" i="5"/>
  <c r="A270" i="5"/>
  <c r="G269" i="5"/>
  <c r="A269" i="5"/>
  <c r="G268" i="5"/>
  <c r="A268" i="5"/>
  <c r="G267" i="5"/>
  <c r="A267" i="5"/>
  <c r="G266" i="5"/>
  <c r="A266" i="5"/>
  <c r="G265" i="5"/>
  <c r="A265" i="5"/>
  <c r="G264" i="5"/>
  <c r="A264" i="5"/>
  <c r="G263" i="5"/>
  <c r="A263" i="5"/>
  <c r="G262" i="5"/>
  <c r="A262" i="5"/>
  <c r="G261" i="5"/>
  <c r="A261" i="5"/>
  <c r="G260" i="5"/>
  <c r="A260" i="5"/>
  <c r="G259" i="5"/>
  <c r="A259" i="5"/>
  <c r="G258" i="5"/>
  <c r="A258" i="5"/>
  <c r="G257" i="5"/>
  <c r="A257" i="5"/>
  <c r="G256" i="5"/>
  <c r="A256" i="5"/>
  <c r="G255" i="5"/>
  <c r="A255" i="5"/>
  <c r="G254" i="5"/>
  <c r="A254" i="5"/>
  <c r="G253" i="5"/>
  <c r="A253" i="5"/>
  <c r="G252" i="5"/>
  <c r="A252" i="5"/>
  <c r="G251" i="5"/>
  <c r="A251" i="5"/>
  <c r="G250" i="5"/>
  <c r="A250" i="5"/>
  <c r="G249" i="5"/>
  <c r="A249" i="5"/>
  <c r="G248" i="5"/>
  <c r="A248" i="5"/>
  <c r="G247" i="5"/>
  <c r="A247" i="5"/>
  <c r="G246" i="5"/>
  <c r="A246" i="5"/>
  <c r="G245" i="5"/>
  <c r="A245" i="5"/>
  <c r="G244" i="5"/>
  <c r="A244" i="5"/>
  <c r="G243" i="5"/>
  <c r="A243" i="5"/>
  <c r="G242" i="5"/>
  <c r="A242" i="5"/>
  <c r="G241" i="5"/>
  <c r="A241" i="5"/>
  <c r="G240" i="5"/>
  <c r="A240" i="5"/>
  <c r="G239" i="5"/>
  <c r="A239" i="5"/>
  <c r="G238" i="5"/>
  <c r="A238" i="5"/>
  <c r="G237" i="5"/>
  <c r="A237" i="5"/>
  <c r="G236" i="5"/>
  <c r="A236" i="5"/>
  <c r="G235" i="5"/>
  <c r="A235" i="5"/>
  <c r="G234" i="5"/>
  <c r="A234" i="5"/>
  <c r="G149" i="6"/>
  <c r="A149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D86" i="6" a="1"/>
  <c r="D86" i="6" s="1"/>
  <c r="I86" i="6" s="1" a="1"/>
  <c r="I86" i="6" s="1"/>
  <c r="J86" i="6" s="1" a="1"/>
  <c r="J86" i="6" s="1"/>
  <c r="K86" i="6" s="1" a="1"/>
  <c r="A86" i="6"/>
  <c r="D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D15" i="6" a="1"/>
  <c r="D15" i="6" s="1"/>
  <c r="A15" i="6"/>
  <c r="B7" i="6"/>
  <c r="B3" i="6"/>
  <c r="E86" i="6" s="1" a="1"/>
  <c r="E86" i="6" s="1"/>
  <c r="G226" i="5"/>
  <c r="A226" i="5"/>
  <c r="G225" i="5"/>
  <c r="A225" i="5"/>
  <c r="G224" i="5"/>
  <c r="A224" i="5"/>
  <c r="G223" i="5"/>
  <c r="A223" i="5"/>
  <c r="G222" i="5"/>
  <c r="A222" i="5"/>
  <c r="G221" i="5"/>
  <c r="A221" i="5"/>
  <c r="G220" i="5"/>
  <c r="A220" i="5"/>
  <c r="G219" i="5"/>
  <c r="A219" i="5"/>
  <c r="G218" i="5"/>
  <c r="A218" i="5"/>
  <c r="G217" i="5"/>
  <c r="A217" i="5"/>
  <c r="G216" i="5"/>
  <c r="A216" i="5"/>
  <c r="G215" i="5"/>
  <c r="A215" i="5"/>
  <c r="G214" i="5"/>
  <c r="A214" i="5"/>
  <c r="G213" i="5"/>
  <c r="A213" i="5"/>
  <c r="G212" i="5"/>
  <c r="A212" i="5"/>
  <c r="G211" i="5"/>
  <c r="A211" i="5"/>
  <c r="G210" i="5"/>
  <c r="A210" i="5"/>
  <c r="G209" i="5"/>
  <c r="A209" i="5"/>
  <c r="G208" i="5"/>
  <c r="A208" i="5"/>
  <c r="G207" i="5"/>
  <c r="A207" i="5"/>
  <c r="G206" i="5"/>
  <c r="A206" i="5"/>
  <c r="G205" i="5"/>
  <c r="A205" i="5"/>
  <c r="G204" i="5"/>
  <c r="A204" i="5"/>
  <c r="G203" i="5"/>
  <c r="A203" i="5"/>
  <c r="G202" i="5"/>
  <c r="A202" i="5"/>
  <c r="G201" i="5"/>
  <c r="A201" i="5"/>
  <c r="G200" i="5"/>
  <c r="A200" i="5"/>
  <c r="G199" i="5"/>
  <c r="A199" i="5"/>
  <c r="G198" i="5"/>
  <c r="A198" i="5"/>
  <c r="G197" i="5"/>
  <c r="A197" i="5"/>
  <c r="G196" i="5"/>
  <c r="A196" i="5"/>
  <c r="G195" i="5"/>
  <c r="A195" i="5"/>
  <c r="G194" i="5"/>
  <c r="A194" i="5"/>
  <c r="G193" i="5"/>
  <c r="A193" i="5"/>
  <c r="G192" i="5"/>
  <c r="A192" i="5"/>
  <c r="G191" i="5"/>
  <c r="A191" i="5"/>
  <c r="G190" i="5"/>
  <c r="A190" i="5"/>
  <c r="G189" i="5"/>
  <c r="A189" i="5"/>
  <c r="G188" i="5"/>
  <c r="A188" i="5"/>
  <c r="G187" i="5"/>
  <c r="A187" i="5"/>
  <c r="G186" i="5"/>
  <c r="A186" i="5"/>
  <c r="G185" i="5"/>
  <c r="A185" i="5"/>
  <c r="G184" i="5"/>
  <c r="A184" i="5"/>
  <c r="G183" i="5"/>
  <c r="A183" i="5"/>
  <c r="G182" i="5"/>
  <c r="A182" i="5"/>
  <c r="G181" i="5"/>
  <c r="A181" i="5"/>
  <c r="G180" i="5"/>
  <c r="A180" i="5"/>
  <c r="G179" i="5"/>
  <c r="A179" i="5"/>
  <c r="G178" i="5"/>
  <c r="A178" i="5"/>
  <c r="G177" i="5"/>
  <c r="A177" i="5"/>
  <c r="G176" i="5"/>
  <c r="A176" i="5"/>
  <c r="G175" i="5"/>
  <c r="A175" i="5"/>
  <c r="G174" i="5"/>
  <c r="A174" i="5"/>
  <c r="G173" i="5"/>
  <c r="A173" i="5"/>
  <c r="G172" i="5"/>
  <c r="A172" i="5"/>
  <c r="G171" i="5"/>
  <c r="A171" i="5"/>
  <c r="G170" i="5"/>
  <c r="A170" i="5"/>
  <c r="G169" i="5"/>
  <c r="A169" i="5"/>
  <c r="G168" i="5"/>
  <c r="A168" i="5"/>
  <c r="G167" i="5"/>
  <c r="A167" i="5"/>
  <c r="G166" i="5"/>
  <c r="A166" i="5"/>
  <c r="G165" i="5"/>
  <c r="A165" i="5"/>
  <c r="G164" i="5"/>
  <c r="A164" i="5"/>
  <c r="G163" i="5"/>
  <c r="D163" i="5" a="1"/>
  <c r="D163" i="5" s="1"/>
  <c r="I163" i="5" s="1" a="1"/>
  <c r="I163" i="5" s="1"/>
  <c r="J163" i="5" s="1" a="1"/>
  <c r="J163" i="5" s="1"/>
  <c r="K163" i="5" s="1" a="1"/>
  <c r="F30" i="3" s="1"/>
  <c r="A163" i="5"/>
  <c r="I156" i="5"/>
  <c r="J156" i="5" s="1"/>
  <c r="K156" i="5" s="1"/>
  <c r="L156" i="5" s="1"/>
  <c r="G149" i="5"/>
  <c r="A149" i="5"/>
  <c r="G148" i="5"/>
  <c r="A148" i="5"/>
  <c r="G147" i="5"/>
  <c r="A147" i="5"/>
  <c r="G146" i="5"/>
  <c r="A146" i="5"/>
  <c r="G145" i="5"/>
  <c r="A145" i="5"/>
  <c r="G144" i="5"/>
  <c r="A144" i="5"/>
  <c r="G143" i="5"/>
  <c r="A143" i="5"/>
  <c r="G142" i="5"/>
  <c r="A142" i="5"/>
  <c r="G141" i="5"/>
  <c r="A141" i="5"/>
  <c r="G140" i="5"/>
  <c r="A140" i="5"/>
  <c r="G139" i="5"/>
  <c r="A139" i="5"/>
  <c r="G138" i="5"/>
  <c r="A138" i="5"/>
  <c r="G137" i="5"/>
  <c r="A137" i="5"/>
  <c r="G136" i="5"/>
  <c r="A136" i="5"/>
  <c r="G135" i="5"/>
  <c r="A135" i="5"/>
  <c r="G134" i="5"/>
  <c r="A134" i="5"/>
  <c r="G133" i="5"/>
  <c r="A133" i="5"/>
  <c r="G132" i="5"/>
  <c r="A132" i="5"/>
  <c r="G131" i="5"/>
  <c r="A131" i="5"/>
  <c r="G130" i="5"/>
  <c r="A130" i="5"/>
  <c r="G129" i="5"/>
  <c r="A129" i="5"/>
  <c r="G128" i="5"/>
  <c r="A128" i="5"/>
  <c r="G127" i="5"/>
  <c r="A127" i="5"/>
  <c r="G126" i="5"/>
  <c r="A126" i="5"/>
  <c r="G125" i="5"/>
  <c r="A125" i="5"/>
  <c r="G124" i="5"/>
  <c r="A124" i="5"/>
  <c r="G123" i="5"/>
  <c r="A123" i="5"/>
  <c r="G122" i="5"/>
  <c r="A122" i="5"/>
  <c r="G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A115" i="5"/>
  <c r="G114" i="5"/>
  <c r="A114" i="5"/>
  <c r="G113" i="5"/>
  <c r="A113" i="5"/>
  <c r="G112" i="5"/>
  <c r="A112" i="5"/>
  <c r="G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D86" i="5" a="1"/>
  <c r="D86" i="5" s="1"/>
  <c r="I86" i="5" s="1" a="1"/>
  <c r="I86" i="5" s="1"/>
  <c r="J86" i="5" s="1" a="1"/>
  <c r="J86" i="5" s="1"/>
  <c r="K86" i="5" s="1" a="1"/>
  <c r="A86" i="5"/>
  <c r="D79" i="5"/>
  <c r="G78" i="5"/>
  <c r="A78" i="5"/>
  <c r="G77" i="5"/>
  <c r="A77" i="5"/>
  <c r="G76" i="5"/>
  <c r="A76" i="5"/>
  <c r="G75" i="5"/>
  <c r="A75" i="5"/>
  <c r="G74" i="5"/>
  <c r="A74" i="5"/>
  <c r="G73" i="5"/>
  <c r="A73" i="5"/>
  <c r="G72" i="5"/>
  <c r="A72" i="5"/>
  <c r="G71" i="5"/>
  <c r="A71" i="5"/>
  <c r="G70" i="5"/>
  <c r="A70" i="5"/>
  <c r="G69" i="5"/>
  <c r="A69" i="5"/>
  <c r="G68" i="5"/>
  <c r="A68" i="5"/>
  <c r="G67" i="5"/>
  <c r="A67" i="5"/>
  <c r="G66" i="5"/>
  <c r="A66" i="5"/>
  <c r="G65" i="5"/>
  <c r="A65" i="5"/>
  <c r="G64" i="5"/>
  <c r="A64" i="5"/>
  <c r="G63" i="5"/>
  <c r="A63" i="5"/>
  <c r="G62" i="5"/>
  <c r="A62" i="5"/>
  <c r="G61" i="5"/>
  <c r="A61" i="5"/>
  <c r="G60" i="5"/>
  <c r="A60" i="5"/>
  <c r="G59" i="5"/>
  <c r="A59" i="5"/>
  <c r="G58" i="5"/>
  <c r="A58" i="5"/>
  <c r="G57" i="5"/>
  <c r="A57" i="5"/>
  <c r="G56" i="5"/>
  <c r="A56" i="5"/>
  <c r="G55" i="5"/>
  <c r="A55" i="5"/>
  <c r="G54" i="5"/>
  <c r="A54" i="5"/>
  <c r="G53" i="5"/>
  <c r="A53" i="5"/>
  <c r="G52" i="5"/>
  <c r="A52" i="5"/>
  <c r="G51" i="5"/>
  <c r="A51" i="5"/>
  <c r="G50" i="5"/>
  <c r="A50" i="5"/>
  <c r="G49" i="5"/>
  <c r="A49" i="5"/>
  <c r="G48" i="5"/>
  <c r="A48" i="5"/>
  <c r="G47" i="5"/>
  <c r="A47" i="5"/>
  <c r="G46" i="5"/>
  <c r="A46" i="5"/>
  <c r="G45" i="5"/>
  <c r="A45" i="5"/>
  <c r="G44" i="5"/>
  <c r="A44" i="5"/>
  <c r="G43" i="5"/>
  <c r="A43" i="5"/>
  <c r="G42" i="5"/>
  <c r="A42" i="5"/>
  <c r="G41" i="5"/>
  <c r="A41" i="5"/>
  <c r="G40" i="5"/>
  <c r="A40" i="5"/>
  <c r="G39" i="5"/>
  <c r="A39" i="5"/>
  <c r="G38" i="5"/>
  <c r="A38" i="5"/>
  <c r="G37" i="5"/>
  <c r="A37" i="5"/>
  <c r="G36" i="5"/>
  <c r="A36" i="5"/>
  <c r="G35" i="5"/>
  <c r="A35" i="5"/>
  <c r="G34" i="5"/>
  <c r="A34" i="5"/>
  <c r="G33" i="5"/>
  <c r="A33" i="5"/>
  <c r="G32" i="5"/>
  <c r="A32" i="5"/>
  <c r="G31" i="5"/>
  <c r="A31" i="5"/>
  <c r="G30" i="5"/>
  <c r="A30" i="5"/>
  <c r="G29" i="5"/>
  <c r="A29" i="5"/>
  <c r="G28" i="5"/>
  <c r="A28" i="5"/>
  <c r="G27" i="5"/>
  <c r="A27" i="5"/>
  <c r="G26" i="5"/>
  <c r="A26" i="5"/>
  <c r="G25" i="5"/>
  <c r="A25" i="5"/>
  <c r="G24" i="5"/>
  <c r="A24" i="5"/>
  <c r="G23" i="5"/>
  <c r="A23" i="5"/>
  <c r="G22" i="5"/>
  <c r="A22" i="5"/>
  <c r="G21" i="5"/>
  <c r="A21" i="5"/>
  <c r="G20" i="5"/>
  <c r="A20" i="5"/>
  <c r="G19" i="5"/>
  <c r="A19" i="5"/>
  <c r="G18" i="5"/>
  <c r="A18" i="5"/>
  <c r="G17" i="5"/>
  <c r="A17" i="5"/>
  <c r="G16" i="5"/>
  <c r="A16" i="5"/>
  <c r="G15" i="5"/>
  <c r="D15" i="5" a="1"/>
  <c r="D15" i="5" s="1"/>
  <c r="A15" i="5"/>
  <c r="F8" i="5"/>
  <c r="G8" i="5" s="1"/>
  <c r="B7" i="5" a="1"/>
  <c r="B7" i="5" s="1"/>
  <c r="B3" i="5"/>
  <c r="E86" i="5" s="1" a="1"/>
  <c r="E86" i="5" s="1"/>
  <c r="C21" i="1"/>
  <c r="A21" i="1"/>
  <c r="A17" i="1"/>
  <c r="A11" i="1" a="1"/>
  <c r="A11" i="1" s="1"/>
  <c r="I234" i="5" l="1" a="1"/>
  <c r="I234" i="5" s="1"/>
  <c r="E234" i="5" a="1"/>
  <c r="E234" i="5" s="1"/>
  <c r="F38" i="3"/>
  <c r="I15" i="5" a="1"/>
  <c r="J79" i="5" s="1"/>
  <c r="I15" i="6" a="1"/>
  <c r="J79" i="6" s="1"/>
  <c r="E163" i="5" a="1"/>
  <c r="E163" i="5" s="1"/>
  <c r="F32" i="3"/>
  <c r="F40" i="3"/>
  <c r="F42" i="3"/>
  <c r="F44" i="3"/>
  <c r="A12" i="1"/>
  <c r="F52" i="3"/>
  <c r="F54" i="3"/>
  <c r="F56" i="3"/>
  <c r="F28" i="3"/>
  <c r="F46" i="3"/>
  <c r="F60" i="3"/>
  <c r="F4" i="3"/>
  <c r="F66" i="3"/>
  <c r="F6" i="3"/>
  <c r="F8" i="3"/>
  <c r="F12" i="3"/>
  <c r="F14" i="3"/>
  <c r="F16" i="3"/>
  <c r="F20" i="3"/>
  <c r="F26" i="3"/>
  <c r="E156" i="5"/>
  <c r="M156" i="5" s="1"/>
  <c r="C8" i="5" s="1"/>
  <c r="B21" i="1" s="1"/>
  <c r="E65" i="3"/>
  <c r="E49" i="3"/>
  <c r="E29" i="3"/>
  <c r="E57" i="3"/>
  <c r="E37" i="3"/>
  <c r="E25" i="3"/>
  <c r="E21" i="3"/>
  <c r="E17" i="3"/>
  <c r="E9" i="3"/>
  <c r="E5" i="3"/>
  <c r="E61" i="3"/>
  <c r="E53" i="3"/>
  <c r="E45" i="3"/>
  <c r="E41" i="3"/>
  <c r="E33" i="3"/>
  <c r="E13" i="3"/>
  <c r="E63" i="3"/>
  <c r="E59" i="3"/>
  <c r="E55" i="3"/>
  <c r="E51" i="3"/>
  <c r="E47" i="3"/>
  <c r="E39" i="3"/>
  <c r="E35" i="3"/>
  <c r="E31" i="3"/>
  <c r="E27" i="3"/>
  <c r="E23" i="3"/>
  <c r="E19" i="3"/>
  <c r="E15" i="3"/>
  <c r="E11" i="3"/>
  <c r="E7" i="3"/>
  <c r="K86" i="5"/>
  <c r="E43" i="3"/>
  <c r="E38" i="3"/>
  <c r="E64" i="3"/>
  <c r="E24" i="3"/>
  <c r="E50" i="3"/>
  <c r="E10" i="3"/>
  <c r="E48" i="3"/>
  <c r="E8" i="3"/>
  <c r="E60" i="3"/>
  <c r="E20" i="3"/>
  <c r="E56" i="3"/>
  <c r="E54" i="3"/>
  <c r="E40" i="3"/>
  <c r="E66" i="3"/>
  <c r="E26" i="3"/>
  <c r="E34" i="3"/>
  <c r="E46" i="3"/>
  <c r="E28" i="3"/>
  <c r="E36" i="3"/>
  <c r="E62" i="3"/>
  <c r="E22" i="3"/>
  <c r="E14" i="3"/>
  <c r="E52" i="3"/>
  <c r="E12" i="3"/>
  <c r="E32" i="3"/>
  <c r="E6" i="3"/>
  <c r="E58" i="3"/>
  <c r="E18" i="3"/>
  <c r="E44" i="3"/>
  <c r="E30" i="3"/>
  <c r="E4" i="3"/>
  <c r="E16" i="3"/>
  <c r="E42" i="3"/>
  <c r="K163" i="5"/>
  <c r="F57" i="3"/>
  <c r="F49" i="3"/>
  <c r="F45" i="3"/>
  <c r="F41" i="3"/>
  <c r="F37" i="3"/>
  <c r="F33" i="3"/>
  <c r="F29" i="3"/>
  <c r="F25" i="3"/>
  <c r="F17" i="3"/>
  <c r="F13" i="3"/>
  <c r="F9" i="3"/>
  <c r="F5" i="3"/>
  <c r="F65" i="3"/>
  <c r="F61" i="3"/>
  <c r="F53" i="3"/>
  <c r="F21" i="3"/>
  <c r="F63" i="3"/>
  <c r="F59" i="3"/>
  <c r="F55" i="3"/>
  <c r="F51" i="3"/>
  <c r="F47" i="3"/>
  <c r="F43" i="3"/>
  <c r="F39" i="3"/>
  <c r="F35" i="3"/>
  <c r="F31" i="3"/>
  <c r="F27" i="3"/>
  <c r="F23" i="3"/>
  <c r="F19" i="3"/>
  <c r="F15" i="3"/>
  <c r="F11" i="3"/>
  <c r="F7" i="3"/>
  <c r="F18" i="3"/>
  <c r="F58" i="3"/>
  <c r="C66" i="3"/>
  <c r="C62" i="3"/>
  <c r="C58" i="3"/>
  <c r="C54" i="3"/>
  <c r="C50" i="3"/>
  <c r="C46" i="3"/>
  <c r="C42" i="3"/>
  <c r="C38" i="3"/>
  <c r="C34" i="3"/>
  <c r="C30" i="3"/>
  <c r="C26" i="3"/>
  <c r="C22" i="3"/>
  <c r="C18" i="3"/>
  <c r="C14" i="3"/>
  <c r="C10" i="3"/>
  <c r="C6" i="3"/>
  <c r="C21" i="3"/>
  <c r="C65" i="3"/>
  <c r="C61" i="3"/>
  <c r="C57" i="3"/>
  <c r="C53" i="3"/>
  <c r="C49" i="3"/>
  <c r="C45" i="3"/>
  <c r="C37" i="3"/>
  <c r="C33" i="3"/>
  <c r="C29" i="3"/>
  <c r="C25" i="3"/>
  <c r="C17" i="3"/>
  <c r="C13" i="3"/>
  <c r="C9" i="3"/>
  <c r="C5" i="3"/>
  <c r="C41" i="3"/>
  <c r="K86" i="6"/>
  <c r="C63" i="3"/>
  <c r="C55" i="3"/>
  <c r="C51" i="3"/>
  <c r="C47" i="3"/>
  <c r="C43" i="3"/>
  <c r="C39" i="3"/>
  <c r="C35" i="3"/>
  <c r="C31" i="3"/>
  <c r="C27" i="3"/>
  <c r="C23" i="3"/>
  <c r="C19" i="3"/>
  <c r="C15" i="3"/>
  <c r="C7" i="3"/>
  <c r="C64" i="3"/>
  <c r="C60" i="3"/>
  <c r="C56" i="3"/>
  <c r="C52" i="3"/>
  <c r="C48" i="3"/>
  <c r="C44" i="3"/>
  <c r="C40" i="3"/>
  <c r="C36" i="3"/>
  <c r="C32" i="3"/>
  <c r="C28" i="3"/>
  <c r="C24" i="3"/>
  <c r="C20" i="3"/>
  <c r="C16" i="3"/>
  <c r="C12" i="3"/>
  <c r="C8" i="3"/>
  <c r="C4" i="3"/>
  <c r="C59" i="3"/>
  <c r="F10" i="3"/>
  <c r="F36" i="3"/>
  <c r="F34" i="3"/>
  <c r="F48" i="3"/>
  <c r="F22" i="3"/>
  <c r="F62" i="3"/>
  <c r="F50" i="3"/>
  <c r="C11" i="3"/>
  <c r="F24" i="3"/>
  <c r="F64" i="3"/>
  <c r="E15" i="5" a="1"/>
  <c r="E15" i="5" s="1"/>
  <c r="E15" i="6" a="1"/>
  <c r="E15" i="6" s="1"/>
  <c r="J234" i="5" l="1" a="1"/>
  <c r="J234" i="5" s="1"/>
  <c r="K234" i="5" s="1" a="1"/>
  <c r="I15" i="5"/>
  <c r="J15" i="5" s="1" a="1"/>
  <c r="J15" i="5" s="1"/>
  <c r="K15" i="5" s="1" a="1"/>
  <c r="D37" i="3" s="1"/>
  <c r="I15" i="6"/>
  <c r="J15" i="6" s="1" a="1"/>
  <c r="J15" i="6" s="1"/>
  <c r="K15" i="6" s="1" a="1"/>
  <c r="L86" i="6" a="1"/>
  <c r="L86" i="6" s="1"/>
  <c r="J7" i="6" a="1"/>
  <c r="J7" i="6" s="1"/>
  <c r="C3" i="3"/>
  <c r="J7" i="5" a="1"/>
  <c r="J7" i="5" s="1"/>
  <c r="E3" i="3"/>
  <c r="L86" i="5" a="1"/>
  <c r="L86" i="5" s="1"/>
  <c r="F3" i="3"/>
  <c r="J8" i="5" a="1"/>
  <c r="J8" i="5" s="1"/>
  <c r="L163" i="5" a="1"/>
  <c r="G65" i="3" l="1"/>
  <c r="G66" i="3"/>
  <c r="G63" i="3"/>
  <c r="G64" i="3"/>
  <c r="G61" i="3"/>
  <c r="G62" i="3"/>
  <c r="G59" i="3"/>
  <c r="G60" i="3"/>
  <c r="G57" i="3"/>
  <c r="G58" i="3"/>
  <c r="G55" i="3"/>
  <c r="G56" i="3"/>
  <c r="G53" i="3"/>
  <c r="G54" i="3"/>
  <c r="G51" i="3"/>
  <c r="G52" i="3"/>
  <c r="G49" i="3"/>
  <c r="G50" i="3"/>
  <c r="G47" i="3"/>
  <c r="G48" i="3"/>
  <c r="G45" i="3"/>
  <c r="G46" i="3"/>
  <c r="G43" i="3"/>
  <c r="G44" i="3"/>
  <c r="G41" i="3"/>
  <c r="G42" i="3"/>
  <c r="G39" i="3"/>
  <c r="G40" i="3"/>
  <c r="G37" i="3"/>
  <c r="G38" i="3"/>
  <c r="G35" i="3"/>
  <c r="G36" i="3"/>
  <c r="G33" i="3"/>
  <c r="G34" i="3"/>
  <c r="G31" i="3"/>
  <c r="G32" i="3"/>
  <c r="G29" i="3"/>
  <c r="G30" i="3"/>
  <c r="G27" i="3"/>
  <c r="G28" i="3"/>
  <c r="G25" i="3"/>
  <c r="G26" i="3"/>
  <c r="G23" i="3"/>
  <c r="G24" i="3"/>
  <c r="G21" i="3"/>
  <c r="G22" i="3"/>
  <c r="G19" i="3"/>
  <c r="G20" i="3"/>
  <c r="G17" i="3"/>
  <c r="G18" i="3"/>
  <c r="G15" i="3"/>
  <c r="G16" i="3"/>
  <c r="G13" i="3"/>
  <c r="G14" i="3"/>
  <c r="G11" i="3"/>
  <c r="G12" i="3"/>
  <c r="G9" i="3"/>
  <c r="G10" i="3"/>
  <c r="G7" i="3"/>
  <c r="G8" i="3"/>
  <c r="G5" i="3"/>
  <c r="G6" i="3"/>
  <c r="K234" i="5"/>
  <c r="L234" i="5" s="1" a="1"/>
  <c r="L234" i="5" s="1"/>
  <c r="M234" i="5" s="1" a="1"/>
  <c r="M234" i="5" s="1"/>
  <c r="G4" i="3"/>
  <c r="D26" i="3"/>
  <c r="D14" i="3"/>
  <c r="D10" i="3"/>
  <c r="D4" i="3"/>
  <c r="D17" i="3"/>
  <c r="D21" i="3"/>
  <c r="D25" i="3"/>
  <c r="D29" i="3"/>
  <c r="D41" i="3"/>
  <c r="L163" i="5"/>
  <c r="D45" i="3"/>
  <c r="D47" i="3"/>
  <c r="D51" i="3"/>
  <c r="D55" i="3"/>
  <c r="D49" i="3"/>
  <c r="D54" i="3"/>
  <c r="D53" i="3"/>
  <c r="D34" i="3"/>
  <c r="D13" i="3"/>
  <c r="D38" i="3"/>
  <c r="D33" i="3"/>
  <c r="D31" i="3"/>
  <c r="D9" i="3"/>
  <c r="D67" i="3"/>
  <c r="D59" i="3"/>
  <c r="D39" i="3"/>
  <c r="D43" i="3"/>
  <c r="D63" i="3"/>
  <c r="D46" i="3"/>
  <c r="D16" i="3"/>
  <c r="D8" i="3"/>
  <c r="D6" i="3"/>
  <c r="D12" i="3"/>
  <c r="D66" i="3"/>
  <c r="D20" i="3"/>
  <c r="D62" i="3"/>
  <c r="D24" i="3"/>
  <c r="D44" i="3"/>
  <c r="D22" i="3"/>
  <c r="D52" i="3"/>
  <c r="D42" i="3"/>
  <c r="D30" i="3"/>
  <c r="D48" i="3"/>
  <c r="D50" i="3"/>
  <c r="D56" i="3"/>
  <c r="D27" i="3"/>
  <c r="D64" i="3"/>
  <c r="D23" i="3"/>
  <c r="D60" i="3"/>
  <c r="D35" i="3"/>
  <c r="D5" i="3"/>
  <c r="D7" i="3"/>
  <c r="D28" i="3"/>
  <c r="D57" i="3"/>
  <c r="D11" i="3"/>
  <c r="D32" i="3"/>
  <c r="D61" i="3"/>
  <c r="D18" i="3"/>
  <c r="D15" i="3"/>
  <c r="D36" i="3"/>
  <c r="D65" i="3"/>
  <c r="D58" i="3"/>
  <c r="D19" i="3"/>
  <c r="D40" i="3"/>
  <c r="K15" i="5"/>
  <c r="L15" i="5" s="1" a="1"/>
  <c r="B9" i="3"/>
  <c r="B29" i="3"/>
  <c r="B48" i="3"/>
  <c r="B39" i="3"/>
  <c r="B17" i="3"/>
  <c r="B44" i="3"/>
  <c r="B31" i="3"/>
  <c r="B46" i="3"/>
  <c r="B36" i="3"/>
  <c r="B15" i="3"/>
  <c r="B42" i="3"/>
  <c r="B32" i="3"/>
  <c r="B28" i="3"/>
  <c r="B34" i="3"/>
  <c r="B24" i="3"/>
  <c r="B30" i="3"/>
  <c r="B20" i="3"/>
  <c r="B26" i="3"/>
  <c r="B16" i="3"/>
  <c r="B22" i="3"/>
  <c r="B12" i="3"/>
  <c r="B18" i="3"/>
  <c r="B8" i="3"/>
  <c r="B14" i="3"/>
  <c r="B4" i="3"/>
  <c r="B10" i="3"/>
  <c r="B11" i="3"/>
  <c r="B61" i="3"/>
  <c r="B6" i="3"/>
  <c r="B23" i="3"/>
  <c r="B57" i="3"/>
  <c r="B21" i="3"/>
  <c r="B5" i="3"/>
  <c r="K15" i="6"/>
  <c r="B3" i="3" s="1"/>
  <c r="B37" i="3"/>
  <c r="B41" i="3"/>
  <c r="B55" i="3"/>
  <c r="B33" i="3"/>
  <c r="B67" i="3"/>
  <c r="B50" i="3"/>
  <c r="B40" i="3"/>
  <c r="B43" i="3"/>
  <c r="B38" i="3"/>
  <c r="B47" i="3"/>
  <c r="B53" i="3"/>
  <c r="B27" i="3"/>
  <c r="B49" i="3"/>
  <c r="B63" i="3"/>
  <c r="B45" i="3"/>
  <c r="B35" i="3"/>
  <c r="B25" i="3"/>
  <c r="B52" i="3"/>
  <c r="B19" i="3"/>
  <c r="B60" i="3"/>
  <c r="B54" i="3"/>
  <c r="B56" i="3"/>
  <c r="B59" i="3"/>
  <c r="B64" i="3"/>
  <c r="B58" i="3"/>
  <c r="B7" i="3"/>
  <c r="B13" i="3"/>
  <c r="B62" i="3"/>
  <c r="B66" i="3"/>
  <c r="B51" i="3"/>
  <c r="B65" i="3"/>
  <c r="U86" i="5" a="1"/>
  <c r="U86" i="5" s="1"/>
  <c r="M86" i="5" a="1"/>
  <c r="Q86" i="5" a="1"/>
  <c r="Q86" i="5" s="1"/>
  <c r="U86" i="6" a="1"/>
  <c r="U86" i="6" s="1"/>
  <c r="M86" i="6" a="1"/>
  <c r="M86" i="6" s="1"/>
  <c r="Q86" i="6" a="1"/>
  <c r="Q86" i="6" s="1"/>
  <c r="M86" i="5" l="1"/>
  <c r="G3" i="3"/>
  <c r="J9" i="5" a="1"/>
  <c r="J9" i="5" s="1"/>
  <c r="D9" i="5"/>
  <c r="E9" i="5" s="1"/>
  <c r="Q163" i="5" a="1"/>
  <c r="Q163" i="5" s="1"/>
  <c r="M163" i="5" a="1"/>
  <c r="M163" i="5" s="1"/>
  <c r="D8" i="5" s="1"/>
  <c r="B22" i="1" s="1"/>
  <c r="U163" i="5" a="1"/>
  <c r="U163" i="5" s="1"/>
  <c r="D3" i="3"/>
  <c r="I7" i="5" a="1"/>
  <c r="I7" i="5" s="1"/>
  <c r="I7" i="6" a="1"/>
  <c r="I7" i="6" s="1"/>
  <c r="L15" i="6" a="1"/>
  <c r="F7" i="6" s="1"/>
  <c r="L15" i="5"/>
  <c r="F7" i="5"/>
  <c r="H9" i="5" l="1"/>
  <c r="E8" i="5"/>
  <c r="Q234" i="5" a="1"/>
  <c r="Q234" i="5" s="1"/>
  <c r="U234" i="5" a="1"/>
  <c r="U234" i="5" s="1"/>
  <c r="B26" i="1"/>
  <c r="C13" i="1" s="1"/>
  <c r="C12" i="1"/>
  <c r="H8" i="5"/>
  <c r="L15" i="6"/>
  <c r="U15" i="6" s="1" a="1"/>
  <c r="U15" i="6" s="1"/>
  <c r="D7" i="6"/>
  <c r="G7" i="6"/>
  <c r="D7" i="5"/>
  <c r="G7" i="5"/>
  <c r="D17" i="1" s="1"/>
  <c r="C17" i="1" s="1"/>
  <c r="U15" i="5" a="1"/>
  <c r="U15" i="5" s="1"/>
  <c r="M15" i="5" a="1"/>
  <c r="M15" i="5" s="1"/>
  <c r="C7" i="5" s="1"/>
  <c r="Q15" i="5" a="1"/>
  <c r="Q15" i="5" s="1"/>
  <c r="Q15" i="6" l="1" a="1"/>
  <c r="Q15" i="6" s="1"/>
  <c r="M15" i="6" a="1"/>
  <c r="M15" i="6" s="1"/>
  <c r="C7" i="6" s="1"/>
  <c r="E7" i="6" s="1"/>
  <c r="H7" i="6"/>
  <c r="B17" i="1"/>
  <c r="E7" i="5"/>
  <c r="H7" i="5"/>
  <c r="B18" i="1"/>
  <c r="C1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<sst xmlns="http://schemas.openxmlformats.org/spreadsheetml/2006/main" count="325" uniqueCount="131">
  <si>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</si>
  <si>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</si>
  <si>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</si>
  <si>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</si>
  <si>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</si>
  <si>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</si>
  <si>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</si>
  <si>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</si>
  <si>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</si>
  <si>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</si>
  <si>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</si>
  <si>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</si>
  <si>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</si>
  <si>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</si>
  <si>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</si>
  <si>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</si>
  <si>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</si>
  <si>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</si>
  <si>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</si>
  <si>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</si>
  <si>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</si>
  <si>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</si>
  <si>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</si>
  <si>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</si>
  <si>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</si>
  <si>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</si>
  <si>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</si>
  <si>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</si>
  <si>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</si>
  <si>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</si>
  <si>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</si>
  <si>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</si>
  <si>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</si>
  <si>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</si>
  <si>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</si>
  <si>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</si>
  <si>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</si>
  <si>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</si>
  <si>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</si>
  <si>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</si>
  <si>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</si>
  <si>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</si>
  <si>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</si>
  <si>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</si>
  <si>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</si>
  <si>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</si>
  <si>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</si>
  <si>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</si>
  <si>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</si>
  <si>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</si>
  <si>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</si>
  <si>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</si>
  <si>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</si>
  <si>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</si>
  <si>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</si>
  <si>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</si>
  <si>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</si>
  <si>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</si>
  <si>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</si>
  <si>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</si>
  <si>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</si>
  <si>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</si>
  <si>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</si>
  <si>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</si>
  <si>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</si>
  <si>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</si>
  <si>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</si>
  <si>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</si>
  <si>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</si>
  <si>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</si>
  <si>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</si>
  <si>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</si>
  <si>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</si>
  <si>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</si>
  <si>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</si>
  <si>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</si>
  <si>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</si>
  <si>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</si>
  <si>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</si>
  <si>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</si>
  <si>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</si>
  <si>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</si>
  <si>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</si>
  <si>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</si>
  <si>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</si>
  <si>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</si>
  <si>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</si>
  <si>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</si>
  <si>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</si>
  <si>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</si>
  <si>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</si>
  <si>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</si>
  <si>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</si>
  <si>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</si>
  <si>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</si>
  <si>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</si>
  <si>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</si>
  <si>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</si>
  <si>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</si>
  <si>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</si>
  <si>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</si>
  <si>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</si>
  <si>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</si>
  <si>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</si>
  <si>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</si>
  <si>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</si>
  <si>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</si>
  <si>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</si>
  <si>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</si>
  <si>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</si>
  <si>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</si>
  <si>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</si>
  <si>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</si>
  <si>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</si>
  <si>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</si>
  <si>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</si>
  <si>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</si>
  <si>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</si>
  <si>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</si>
  <si>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</si>
  <si>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</si>
  <si>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</si>
  <si>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</si>
  <si>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</si>
  <si>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</si>
  <si>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</si>
  <si>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</si>
  <si>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H016192</t>
    <phoneticPr fontId="20" type="noConversion"/>
  </si>
  <si>
    <t>1.0.0.2</t>
    <phoneticPr fontId="20" type="noConversion"/>
  </si>
  <si>
    <t>Super Buy</t>
    <phoneticPr fontId="20" type="noConversion"/>
  </si>
  <si>
    <t>Weight_SF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</si>
</sst>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1" xfId="1" applyNumberFormat="1" applyFont="1" applyBorder="1" applyAlignment="1">
      <alignment horizontal="center" vertical="center" wrapText="1"/>
    </xf>
    <xf numFmtId="10" fontId="25" fillId="0" borderId="0" xfId="0" applyNumberFormat="1" applyFont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21" sqref="B21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127</v>
      </c>
    </row>
    <row r="3" spans="1:10" x14ac:dyDescent="0.3">
      <c r="A3" s="3" t="s">
        <v>0</v>
      </c>
      <c r="B3" s="99" t="s">
        <v>128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1024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0.92000001715705126</v>
      </c>
      <c r="D11" s="23" t="s">
        <v>6</v>
      </c>
      <c r="E11" s="26"/>
      <c r="F11" s="30"/>
      <c r="G11" s="31"/>
    </row>
    <row r="12" spans="1:10" x14ac:dyDescent="0.3">
      <c r="A12" s="27">
        <v>4050</v>
      </c>
      <c r="B12" s="25">
        <v>40.5</v>
      </c>
      <c r="C12" s="23">
        <f>B21+B22</f>
        <v>0.92500000309783292</v>
      </c>
      <c r="D12" s="23" t="s">
        <v>7</v>
      </c>
      <c r="E12" s="26"/>
      <c r="F12" s="30"/>
      <c r="G12" s="31"/>
    </row>
    <row r="13" spans="1:10" x14ac:dyDescent="0.3">
      <c r="A13" s="27">
        <f>B13*A7</f>
        <v>25000</v>
      </c>
      <c r="B13" s="25">
        <v>250</v>
      </c>
      <c r="C13" s="100">
        <f>B25+B26</f>
        <v>0.92499999718438553</v>
      </c>
      <c r="D13" s="100" t="s">
        <v>129</v>
      </c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7" t="str">
        <f>D11</f>
        <v>Normal Bet</v>
      </c>
      <c r="B17" s="19">
        <f>Detail!C7</f>
        <v>0.70000001729536909</v>
      </c>
      <c r="C17" s="104">
        <f>1/D17</f>
        <v>8.4372176308072852E-3</v>
      </c>
      <c r="D17" s="109">
        <f>Detail!G7</f>
        <v>118.5224849894406</v>
      </c>
      <c r="E17" s="16" t="s">
        <v>13</v>
      </c>
      <c r="H17" s="26"/>
      <c r="I17" s="30"/>
      <c r="J17" s="31"/>
    </row>
    <row r="18" spans="1:10" ht="15.6" customHeight="1" x14ac:dyDescent="0.3">
      <c r="A18" s="108"/>
      <c r="B18" s="19">
        <f>Detail!D7</f>
        <v>0.2199999998616822</v>
      </c>
      <c r="C18" s="105"/>
      <c r="D18" s="105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2" t="str">
        <f>D12</f>
        <v>Buy Feature</v>
      </c>
      <c r="B21" s="19">
        <f>Detail!C8</f>
        <v>0</v>
      </c>
      <c r="C21" s="104">
        <f>1/D21</f>
        <v>1</v>
      </c>
      <c r="D21" s="106">
        <v>1</v>
      </c>
      <c r="E21" s="16" t="s">
        <v>13</v>
      </c>
      <c r="H21" s="26"/>
      <c r="I21" s="30"/>
      <c r="J21" s="31"/>
    </row>
    <row r="22" spans="1:10" x14ac:dyDescent="0.3">
      <c r="A22" s="103"/>
      <c r="B22" s="19">
        <f>Detail!D8</f>
        <v>0.92500000309783292</v>
      </c>
      <c r="C22" s="105"/>
      <c r="D22" s="105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17" t="s">
        <v>5</v>
      </c>
      <c r="B24" s="9" t="s">
        <v>9</v>
      </c>
      <c r="C24" s="9" t="s">
        <v>10</v>
      </c>
      <c r="D24" s="9" t="s">
        <v>11</v>
      </c>
      <c r="E24" s="9" t="s">
        <v>12</v>
      </c>
      <c r="F24" s="4"/>
      <c r="G24" s="4"/>
      <c r="H24" s="4"/>
      <c r="I24" s="4"/>
    </row>
    <row r="25" spans="1:10" x14ac:dyDescent="0.3">
      <c r="A25" s="102" t="str">
        <f>D13</f>
        <v>Super Buy</v>
      </c>
      <c r="B25" s="19">
        <f>Detail!C9</f>
        <v>0</v>
      </c>
      <c r="C25" s="104">
        <f>IFERROR(1/D25,0)</f>
        <v>1</v>
      </c>
      <c r="D25" s="106">
        <v>1</v>
      </c>
      <c r="E25" s="16" t="s">
        <v>90</v>
      </c>
      <c r="F25" s="4"/>
      <c r="G25" s="4"/>
      <c r="H25" s="4"/>
      <c r="I25" s="4"/>
    </row>
    <row r="26" spans="1:10" x14ac:dyDescent="0.3">
      <c r="A26" s="103"/>
      <c r="B26" s="19">
        <f>Detail!D9</f>
        <v>0.92499999718438553</v>
      </c>
      <c r="C26" s="105"/>
      <c r="D26" s="105"/>
      <c r="E26" s="16" t="s">
        <v>91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25:A26"/>
    <mergeCell ref="C25:C26"/>
    <mergeCell ref="D25:D26"/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 x14ac:dyDescent="0.3">
      <c r="A2" s="9" t="s">
        <v>15</v>
      </c>
      <c r="B2" s="9" t="s">
        <v>122</v>
      </c>
      <c r="C2" s="9" t="s">
        <v>123</v>
      </c>
      <c r="D2" s="9" t="s">
        <v>124</v>
      </c>
      <c r="E2" s="9" t="s">
        <v>125</v>
      </c>
      <c r="F2" s="9" t="s">
        <v>126</v>
      </c>
      <c r="G2" s="9" t="s">
        <v>130</v>
      </c>
    </row>
    <row r="3" spans="1:7" x14ac:dyDescent="0.3">
      <c r="A3" s="14" t="s">
        <v>16</v>
      </c>
      <c r="B3" s="10">
        <f>Detail_Newbie!K15</f>
        <v>729237832</v>
      </c>
      <c r="C3" s="10">
        <f>Detail_Newbie!K86</f>
        <v>0</v>
      </c>
      <c r="D3" s="10">
        <f>Detail!K15</f>
        <v>761464701</v>
      </c>
      <c r="E3" s="10">
        <f>Detail!K86</f>
        <v>0</v>
      </c>
      <c r="F3" s="10">
        <f>Detail!K163</f>
        <v>0</v>
      </c>
      <c r="G3" s="10">
        <f>Detail!K234</f>
        <v>22667</v>
      </c>
    </row>
    <row r="4" spans="1:7" x14ac:dyDescent="0.3">
      <c r="A4" s="14" t="s">
        <v>17</v>
      </c>
      <c r="B4" s="10">
        <f>Detail_Newbie!K16</f>
        <v>152079267</v>
      </c>
      <c r="C4" s="10">
        <f>Detail_Newbie!K87</f>
        <v>0</v>
      </c>
      <c r="D4" s="10">
        <f>Detail!K16</f>
        <v>132825307</v>
      </c>
      <c r="E4" s="10">
        <f>Detail!K87</f>
        <v>0</v>
      </c>
      <c r="F4" s="10">
        <f>Detail!K164</f>
        <v>0</v>
      </c>
      <c r="G4" s="10">
        <f>Detail!K235</f>
        <v>3553406</v>
      </c>
    </row>
    <row r="5" spans="1:7" x14ac:dyDescent="0.3">
      <c r="A5" s="14" t="s">
        <v>18</v>
      </c>
      <c r="B5" s="10">
        <f>Detail_Newbie!K17</f>
        <v>38111149</v>
      </c>
      <c r="C5" s="10">
        <f>Detail_Newbie!K88</f>
        <v>0</v>
      </c>
      <c r="D5" s="10">
        <f>Detail!K17</f>
        <v>33286095</v>
      </c>
      <c r="E5" s="10">
        <f>Detail!K88</f>
        <v>0</v>
      </c>
      <c r="F5" s="10">
        <f>Detail!K165</f>
        <v>0</v>
      </c>
      <c r="G5" s="10">
        <f>Detail!K236</f>
        <v>1276490</v>
      </c>
    </row>
    <row r="6" spans="1:7" x14ac:dyDescent="0.3">
      <c r="A6" s="14" t="s">
        <v>19</v>
      </c>
      <c r="B6" s="10">
        <f>Detail_Newbie!K18</f>
        <v>21230302</v>
      </c>
      <c r="C6" s="10">
        <f>Detail_Newbie!K89</f>
        <v>0</v>
      </c>
      <c r="D6" s="10">
        <f>Detail!K18</f>
        <v>18542444</v>
      </c>
      <c r="E6" s="10">
        <f>Detail!K89</f>
        <v>0</v>
      </c>
      <c r="F6" s="10">
        <f>Detail!K166</f>
        <v>0</v>
      </c>
      <c r="G6" s="10">
        <f>Detail!K237</f>
        <v>778052</v>
      </c>
    </row>
    <row r="7" spans="1:7" x14ac:dyDescent="0.3">
      <c r="A7" s="14" t="s">
        <v>20</v>
      </c>
      <c r="B7" s="10">
        <f>Detail_Newbie!K19</f>
        <v>13399905</v>
      </c>
      <c r="C7" s="10">
        <f>Detail_Newbie!K90</f>
        <v>0</v>
      </c>
      <c r="D7" s="10">
        <f>Detail!K19</f>
        <v>11703413</v>
      </c>
      <c r="E7" s="10">
        <f>Detail!K90</f>
        <v>0</v>
      </c>
      <c r="F7" s="10">
        <f>Detail!K167</f>
        <v>0</v>
      </c>
      <c r="G7" s="10">
        <f>Detail!K238</f>
        <v>558294</v>
      </c>
    </row>
    <row r="8" spans="1:7" x14ac:dyDescent="0.3">
      <c r="A8" s="14" t="s">
        <v>21</v>
      </c>
      <c r="B8" s="10">
        <f>Detail_Newbie!K20</f>
        <v>10849511</v>
      </c>
      <c r="C8" s="10">
        <f>Detail_Newbie!K91</f>
        <v>0</v>
      </c>
      <c r="D8" s="10">
        <f>Detail!K20</f>
        <v>9475911</v>
      </c>
      <c r="E8" s="10">
        <f>Detail!K91</f>
        <v>0</v>
      </c>
      <c r="F8" s="10">
        <f>Detail!K168</f>
        <v>0</v>
      </c>
      <c r="G8" s="10">
        <f>Detail!K239</f>
        <v>1422883</v>
      </c>
    </row>
    <row r="9" spans="1:7" x14ac:dyDescent="0.3">
      <c r="A9" s="14" t="s">
        <v>22</v>
      </c>
      <c r="B9" s="10">
        <f>Detail_Newbie!K21</f>
        <v>4445956</v>
      </c>
      <c r="C9" s="10">
        <f>Detail_Newbie!K92</f>
        <v>43012479</v>
      </c>
      <c r="D9" s="10">
        <f>Detail!K21</f>
        <v>3883077</v>
      </c>
      <c r="E9" s="10">
        <f>Detail!K92</f>
        <v>48852997</v>
      </c>
      <c r="F9" s="10">
        <f>Detail!K169</f>
        <v>34462987</v>
      </c>
      <c r="G9" s="10">
        <f>Detail!K240</f>
        <v>14330253</v>
      </c>
    </row>
    <row r="10" spans="1:7" x14ac:dyDescent="0.3">
      <c r="A10" s="14" t="s">
        <v>23</v>
      </c>
      <c r="B10" s="10">
        <f>Detail_Newbie!K22</f>
        <v>3804911</v>
      </c>
      <c r="C10" s="10">
        <f>Detail_Newbie!K93</f>
        <v>36711253</v>
      </c>
      <c r="D10" s="10">
        <f>Detail!K22</f>
        <v>3323191</v>
      </c>
      <c r="E10" s="10">
        <f>Detail!K93</f>
        <v>41424845</v>
      </c>
      <c r="F10" s="10">
        <f>Detail!K170</f>
        <v>29644161</v>
      </c>
      <c r="G10" s="10">
        <f>Detail!K241</f>
        <v>12411482</v>
      </c>
    </row>
    <row r="11" spans="1:7" x14ac:dyDescent="0.3">
      <c r="A11" s="14" t="s">
        <v>24</v>
      </c>
      <c r="B11" s="10">
        <f>Detail_Newbie!K23</f>
        <v>3308618</v>
      </c>
      <c r="C11" s="10">
        <f>Detail_Newbie!K94</f>
        <v>38972084</v>
      </c>
      <c r="D11" s="10">
        <f>Detail!K23</f>
        <v>2889732</v>
      </c>
      <c r="E11" s="10">
        <f>Detail!K94</f>
        <v>43686249</v>
      </c>
      <c r="F11" s="10">
        <f>Detail!K171</f>
        <v>31718851</v>
      </c>
      <c r="G11" s="10">
        <f>Detail!K242</f>
        <v>13372813</v>
      </c>
    </row>
    <row r="12" spans="1:7" x14ac:dyDescent="0.3">
      <c r="A12" s="14" t="s">
        <v>25</v>
      </c>
      <c r="B12" s="10">
        <f>Detail_Newbie!K24</f>
        <v>2819219</v>
      </c>
      <c r="C12" s="10">
        <f>Detail_Newbie!K95</f>
        <v>36995633</v>
      </c>
      <c r="D12" s="10">
        <f>Detail!K24</f>
        <v>2462292</v>
      </c>
      <c r="E12" s="10">
        <f>Detail!K95</f>
        <v>41200534</v>
      </c>
      <c r="F12" s="10">
        <f>Detail!K172</f>
        <v>30345913</v>
      </c>
      <c r="G12" s="10">
        <f>Detail!K243</f>
        <v>12882287</v>
      </c>
    </row>
    <row r="13" spans="1:7" x14ac:dyDescent="0.3">
      <c r="A13" s="14" t="s">
        <v>26</v>
      </c>
      <c r="B13" s="10">
        <f>Detail_Newbie!K25</f>
        <v>2770968</v>
      </c>
      <c r="C13" s="10">
        <f>Detail_Newbie!K96</f>
        <v>39217960</v>
      </c>
      <c r="D13" s="10">
        <f>Detail!K25</f>
        <v>2420150</v>
      </c>
      <c r="E13" s="10">
        <f>Detail!K96</f>
        <v>43389812</v>
      </c>
      <c r="F13" s="10">
        <f>Detail!K173</f>
        <v>32421541</v>
      </c>
      <c r="G13" s="10">
        <f>Detail!K244</f>
        <v>13858788</v>
      </c>
    </row>
    <row r="14" spans="1:7" x14ac:dyDescent="0.3">
      <c r="A14" s="14" t="s">
        <v>27</v>
      </c>
      <c r="B14" s="10">
        <f>Detail_Newbie!K26</f>
        <v>10325647</v>
      </c>
      <c r="C14" s="10">
        <f>Detail_Newbie!K97</f>
        <v>166401998</v>
      </c>
      <c r="D14" s="10">
        <f>Detail!K26</f>
        <v>9018371</v>
      </c>
      <c r="E14" s="10">
        <f>Detail!K97</f>
        <v>180540829</v>
      </c>
      <c r="F14" s="10">
        <f>Detail!K174</f>
        <v>140808471</v>
      </c>
      <c r="G14" s="10">
        <f>Detail!K245</f>
        <v>226179914</v>
      </c>
    </row>
    <row r="15" spans="1:7" x14ac:dyDescent="0.3">
      <c r="A15" s="14" t="s">
        <v>28</v>
      </c>
      <c r="B15" s="10">
        <f>Detail_Newbie!K27</f>
        <v>3150080</v>
      </c>
      <c r="C15" s="10">
        <f>Detail_Newbie!K98</f>
        <v>112267439</v>
      </c>
      <c r="D15" s="10">
        <f>Detail!K27</f>
        <v>2751265</v>
      </c>
      <c r="E15" s="10">
        <f>Detail!K98</f>
        <v>117861847</v>
      </c>
      <c r="F15" s="10">
        <f>Detail!K175</f>
        <v>98804669</v>
      </c>
      <c r="G15" s="10">
        <f>Detail!K246</f>
        <v>44631923</v>
      </c>
    </row>
    <row r="16" spans="1:7" x14ac:dyDescent="0.3">
      <c r="A16" s="14" t="s">
        <v>29</v>
      </c>
      <c r="B16" s="10">
        <f>Detail_Newbie!K28</f>
        <v>2502143</v>
      </c>
      <c r="C16" s="10">
        <f>Detail_Newbie!K99</f>
        <v>103526890</v>
      </c>
      <c r="D16" s="10">
        <f>Detail!K28</f>
        <v>2185359</v>
      </c>
      <c r="E16" s="10">
        <f>Detail!K99</f>
        <v>105171241</v>
      </c>
      <c r="F16" s="10">
        <f>Detail!K176</f>
        <v>94755436</v>
      </c>
      <c r="G16" s="10">
        <f>Detail!K247</f>
        <v>97787295</v>
      </c>
    </row>
    <row r="17" spans="1:7" x14ac:dyDescent="0.3">
      <c r="A17" s="14" t="s">
        <v>30</v>
      </c>
      <c r="B17" s="10">
        <f>Detail_Newbie!K29</f>
        <v>1964492</v>
      </c>
      <c r="C17" s="10">
        <f>Detail_Newbie!K100</f>
        <v>77107303</v>
      </c>
      <c r="D17" s="10">
        <f>Detail!K29</f>
        <v>1715778</v>
      </c>
      <c r="E17" s="10">
        <f>Detail!K100</f>
        <v>75805391</v>
      </c>
      <c r="F17" s="10">
        <f>Detail!K177</f>
        <v>73388911</v>
      </c>
      <c r="G17" s="10">
        <f>Detail!K248</f>
        <v>75660243</v>
      </c>
    </row>
    <row r="18" spans="1:7" x14ac:dyDescent="0.3">
      <c r="A18" s="14" t="s">
        <v>31</v>
      </c>
      <c r="B18" s="10">
        <f>Detail_Newbie!K30</f>
        <v>0</v>
      </c>
      <c r="C18" s="10">
        <f>Detail_Newbie!K101</f>
        <v>64415486</v>
      </c>
      <c r="D18" s="10">
        <f>Detail!K30</f>
        <v>541825</v>
      </c>
      <c r="E18" s="10">
        <f>Detail!K101</f>
        <v>61279828</v>
      </c>
      <c r="F18" s="10">
        <f>Detail!K178</f>
        <v>63760923</v>
      </c>
      <c r="G18" s="10">
        <f>Detail!K249</f>
        <v>65667380</v>
      </c>
    </row>
    <row r="19" spans="1:7" x14ac:dyDescent="0.3">
      <c r="A19" s="14" t="s">
        <v>32</v>
      </c>
      <c r="B19" s="10">
        <f>Detail_Newbie!K31</f>
        <v>0</v>
      </c>
      <c r="C19" s="10">
        <f>Detail_Newbie!K102</f>
        <v>57960402</v>
      </c>
      <c r="D19" s="10">
        <f>Detail!K31</f>
        <v>427439</v>
      </c>
      <c r="E19" s="10">
        <f>Detail!K102</f>
        <v>53357629</v>
      </c>
      <c r="F19" s="10">
        <f>Detail!K179</f>
        <v>59663254</v>
      </c>
      <c r="G19" s="10">
        <f>Detail!K250</f>
        <v>61384725</v>
      </c>
    </row>
    <row r="20" spans="1:7" x14ac:dyDescent="0.3">
      <c r="A20" s="14" t="s">
        <v>33</v>
      </c>
      <c r="B20" s="10">
        <f>Detail_Newbie!K32</f>
        <v>0</v>
      </c>
      <c r="C20" s="10">
        <f>Detail_Newbie!K103</f>
        <v>57735281</v>
      </c>
      <c r="D20" s="10">
        <f>Detail!K32</f>
        <v>367237</v>
      </c>
      <c r="E20" s="10">
        <f>Detail!K103</f>
        <v>51432051</v>
      </c>
      <c r="F20" s="10">
        <f>Detail!K180</f>
        <v>61807408</v>
      </c>
      <c r="G20" s="10">
        <f>Detail!K251</f>
        <v>63526053</v>
      </c>
    </row>
    <row r="21" spans="1:7" x14ac:dyDescent="0.3">
      <c r="A21" s="14" t="s">
        <v>34</v>
      </c>
      <c r="B21" s="10">
        <f>Detail_Newbie!K33</f>
        <v>0</v>
      </c>
      <c r="C21" s="10">
        <f>Detail_Newbie!K104</f>
        <v>46210235</v>
      </c>
      <c r="D21" s="10">
        <f>Detail!K33</f>
        <v>313054</v>
      </c>
      <c r="E21" s="10">
        <f>Detail!K104</f>
        <v>39837299</v>
      </c>
      <c r="F21" s="10">
        <f>Detail!K181</f>
        <v>51442647</v>
      </c>
      <c r="G21" s="10">
        <f>Detail!K252</f>
        <v>52819415</v>
      </c>
    </row>
    <row r="22" spans="1:7" x14ac:dyDescent="0.3">
      <c r="A22" s="14" t="s">
        <v>35</v>
      </c>
      <c r="B22" s="10">
        <f>Detail_Newbie!K34</f>
        <v>0</v>
      </c>
      <c r="C22" s="10">
        <f>Detail_Newbie!K105</f>
        <v>51903338</v>
      </c>
      <c r="D22" s="10">
        <f>Detail!K34</f>
        <v>301014</v>
      </c>
      <c r="E22" s="10">
        <f>Detail!K105</f>
        <v>42599631</v>
      </c>
      <c r="F22" s="10">
        <f>Detail!K182</f>
        <v>61268215</v>
      </c>
      <c r="G22" s="10">
        <f>Detail!K253</f>
        <v>47045920</v>
      </c>
    </row>
    <row r="23" spans="1:7" x14ac:dyDescent="0.3">
      <c r="A23" s="14" t="s">
        <v>36</v>
      </c>
      <c r="B23" s="10">
        <f>Detail_Newbie!K35</f>
        <v>0</v>
      </c>
      <c r="C23" s="10">
        <f>Detail_Newbie!K106</f>
        <v>21858901</v>
      </c>
      <c r="D23" s="10">
        <f>Detail!K35</f>
        <v>102345</v>
      </c>
      <c r="E23" s="10">
        <f>Detail!K106</f>
        <v>16800032</v>
      </c>
      <c r="F23" s="10">
        <f>Detail!K183</f>
        <v>27905906</v>
      </c>
      <c r="G23" s="10">
        <f>Detail!K254</f>
        <v>28551035</v>
      </c>
    </row>
    <row r="24" spans="1:7" x14ac:dyDescent="0.3">
      <c r="A24" s="14" t="s">
        <v>37</v>
      </c>
      <c r="B24" s="10">
        <f>Detail_Newbie!K36</f>
        <v>0</v>
      </c>
      <c r="C24" s="10">
        <f>Detail_Newbie!K107</f>
        <v>15695989</v>
      </c>
      <c r="D24" s="10">
        <f>Detail!K36</f>
        <v>0</v>
      </c>
      <c r="E24" s="10">
        <f>Detail!K107</f>
        <v>11296509</v>
      </c>
      <c r="F24" s="10">
        <f>Detail!K184</f>
        <v>21671118</v>
      </c>
      <c r="G24" s="10">
        <f>Detail!K255</f>
        <v>14564655</v>
      </c>
    </row>
    <row r="25" spans="1:7" x14ac:dyDescent="0.3">
      <c r="A25" s="14" t="s">
        <v>38</v>
      </c>
      <c r="B25" s="10">
        <f>Detail_Newbie!K37</f>
        <v>0</v>
      </c>
      <c r="C25" s="10">
        <f>Detail_Newbie!K108</f>
        <v>10790170</v>
      </c>
      <c r="D25" s="10">
        <f>Detail!K37</f>
        <v>0</v>
      </c>
      <c r="E25" s="10">
        <f>Detail!K108</f>
        <v>7272277</v>
      </c>
      <c r="F25" s="10">
        <f>Detail!K185</f>
        <v>16111299</v>
      </c>
      <c r="G25" s="10">
        <f>Detail!K256</f>
        <v>11602623</v>
      </c>
    </row>
    <row r="26" spans="1:7" x14ac:dyDescent="0.3">
      <c r="A26" s="14" t="s">
        <v>39</v>
      </c>
      <c r="B26" s="10">
        <f>Detail_Newbie!K38</f>
        <v>0</v>
      </c>
      <c r="C26" s="10">
        <f>Detail_Newbie!K109</f>
        <v>9128446</v>
      </c>
      <c r="D26" s="10">
        <f>Detail!K38</f>
        <v>0</v>
      </c>
      <c r="E26" s="10">
        <f>Detail!K109</f>
        <v>5761408</v>
      </c>
      <c r="F26" s="10">
        <f>Detail!K186</f>
        <v>14740256</v>
      </c>
      <c r="G26" s="10">
        <f>Detail!K257</f>
        <v>11374546</v>
      </c>
    </row>
    <row r="27" spans="1:7" x14ac:dyDescent="0.3">
      <c r="A27" s="14" t="s">
        <v>40</v>
      </c>
      <c r="B27" s="10">
        <f>Detail_Newbie!K39</f>
        <v>0</v>
      </c>
      <c r="C27" s="10">
        <f>Detail_Newbie!K110</f>
        <v>10088713</v>
      </c>
      <c r="D27" s="10">
        <f>Detail!K39</f>
        <v>0</v>
      </c>
      <c r="E27" s="10">
        <f>Detail!K110</f>
        <v>5774572</v>
      </c>
      <c r="F27" s="10">
        <f>Detail!K187</f>
        <v>18305170</v>
      </c>
      <c r="G27" s="10">
        <f>Detail!K258</f>
        <v>15655739</v>
      </c>
    </row>
    <row r="28" spans="1:7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2675262</v>
      </c>
      <c r="F28" s="10">
        <f>Detail!K188</f>
        <v>11310632</v>
      </c>
      <c r="G28" s="10">
        <f>Detail!K259</f>
        <v>11107338</v>
      </c>
    </row>
    <row r="29" spans="1:7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1510702</v>
      </c>
      <c r="F29" s="10">
        <f>Detail!K189</f>
        <v>8517535</v>
      </c>
      <c r="G29" s="10">
        <f>Detail!K260</f>
        <v>9603627</v>
      </c>
    </row>
    <row r="30" spans="1:7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473838</v>
      </c>
      <c r="F30" s="10">
        <f>Detail!K190</f>
        <v>3563442</v>
      </c>
      <c r="G30" s="10">
        <f>Detail!K261</f>
        <v>4613521</v>
      </c>
    </row>
    <row r="31" spans="1:7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274669</v>
      </c>
      <c r="F31" s="10">
        <f>Detail!K191</f>
        <v>2146776</v>
      </c>
      <c r="G31" s="10">
        <f>Detail!K262</f>
        <v>3191143</v>
      </c>
    </row>
    <row r="32" spans="1:7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397030</v>
      </c>
      <c r="F32" s="10">
        <f>Detail!K192</f>
        <v>6484849</v>
      </c>
      <c r="G32" s="10">
        <f>Detail!K263</f>
        <v>12182066</v>
      </c>
    </row>
    <row r="33" spans="1:7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190568</v>
      </c>
      <c r="F33" s="10">
        <f>Detail!K193</f>
        <v>727894</v>
      </c>
      <c r="G33" s="10">
        <f>Detail!K264</f>
        <v>7309</v>
      </c>
    </row>
    <row r="34" spans="1:7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161168</v>
      </c>
      <c r="F34" s="10">
        <f>Detail!K194</f>
        <v>231554</v>
      </c>
      <c r="G34" s="10">
        <f>Detail!K265</f>
        <v>6181</v>
      </c>
    </row>
    <row r="35" spans="1:7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139579</v>
      </c>
      <c r="F35" s="10">
        <f>Detail!K195</f>
        <v>1485699</v>
      </c>
      <c r="G35" s="10">
        <f>Detail!K266</f>
        <v>7865851</v>
      </c>
    </row>
    <row r="36" spans="1:7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123135</v>
      </c>
      <c r="F36" s="10">
        <f>Detail!K196</f>
        <v>176911</v>
      </c>
      <c r="G36" s="10">
        <f>Detail!K267</f>
        <v>4723</v>
      </c>
    </row>
    <row r="37" spans="1:7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110113</v>
      </c>
      <c r="F37" s="10">
        <f>Detail!K197</f>
        <v>758113</v>
      </c>
      <c r="G37" s="10">
        <f>Detail!K268</f>
        <v>4223</v>
      </c>
    </row>
    <row r="38" spans="1:7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99626</v>
      </c>
      <c r="F38" s="10">
        <f>Detail!K198</f>
        <v>143135</v>
      </c>
      <c r="G38" s="10">
        <f>Detail!K269</f>
        <v>3821</v>
      </c>
    </row>
    <row r="39" spans="1:7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90945</v>
      </c>
      <c r="F39" s="10">
        <f>Detail!K199</f>
        <v>130663</v>
      </c>
      <c r="G39" s="10">
        <f>Detail!K270</f>
        <v>3488</v>
      </c>
    </row>
    <row r="40" spans="1:7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83637</v>
      </c>
      <c r="F40" s="10">
        <f>Detail!K200</f>
        <v>120163</v>
      </c>
      <c r="G40" s="10">
        <f>Detail!K271</f>
        <v>3208</v>
      </c>
    </row>
    <row r="41" spans="1:7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77438</v>
      </c>
      <c r="F41" s="10">
        <f>Detail!K201</f>
        <v>111257</v>
      </c>
      <c r="G41" s="10">
        <f>Detail!K272</f>
        <v>2970</v>
      </c>
    </row>
    <row r="42" spans="1:7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72086</v>
      </c>
      <c r="F42" s="10">
        <f>Detail!K202</f>
        <v>103568</v>
      </c>
      <c r="G42" s="10">
        <f>Detail!K273</f>
        <v>2765</v>
      </c>
    </row>
    <row r="43" spans="1:7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67425</v>
      </c>
      <c r="F43" s="10">
        <f>Detail!K203</f>
        <v>805797</v>
      </c>
      <c r="G43" s="10">
        <f>Detail!K274</f>
        <v>2586</v>
      </c>
    </row>
    <row r="44" spans="1:7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63309</v>
      </c>
      <c r="F44" s="10">
        <f>Detail!K204</f>
        <v>90957</v>
      </c>
      <c r="G44" s="10">
        <f>Detail!K275</f>
        <v>2428</v>
      </c>
    </row>
    <row r="45" spans="1:7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0</v>
      </c>
      <c r="F45" s="10">
        <f>Detail!K205</f>
        <v>0</v>
      </c>
      <c r="G45" s="10">
        <f>Detail!K276</f>
        <v>298376</v>
      </c>
    </row>
    <row r="46" spans="1:7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280148</v>
      </c>
    </row>
    <row r="47" spans="1:7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251006</v>
      </c>
    </row>
    <row r="48" spans="1:7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44489</v>
      </c>
      <c r="F48" s="10">
        <f>Detail!K208</f>
        <v>63919</v>
      </c>
      <c r="G48" s="10">
        <f>Detail!K279</f>
        <v>1707</v>
      </c>
    </row>
    <row r="49" spans="1:7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6964746</v>
      </c>
    </row>
    <row r="50" spans="1:7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52677888</v>
      </c>
    </row>
    <row r="51" spans="1:7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4" t="s">
        <v>14</v>
      </c>
      <c r="B67" s="10">
        <f>Detail_Newbie!K79</f>
        <v>8509010</v>
      </c>
      <c r="C67" s="35">
        <v>0</v>
      </c>
      <c r="D67" s="33">
        <f>Detail!K79</f>
        <v>8509010</v>
      </c>
      <c r="E67" s="35">
        <v>0</v>
      </c>
      <c r="F67" s="11">
        <v>0</v>
      </c>
      <c r="G67" s="11">
        <f>0</f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Z297"/>
  <sheetViews>
    <sheetView tabSelected="1" workbookViewId="0">
      <selection activeCell="K7" sqref="K7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24" width="8.88671875" style="4"/>
    <col min="25" max="26" width="10.21875" style="4" bestFit="1" customWidth="1"/>
    <col min="27" max="16384" width="8.88671875" style="4"/>
  </cols>
  <sheetData>
    <row r="1" spans="1:26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6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6" x14ac:dyDescent="0.3">
      <c r="A3" s="59" t="s">
        <v>98</v>
      </c>
      <c r="B3" s="97">
        <f>Overview!A7</f>
        <v>100</v>
      </c>
      <c r="C3" s="1"/>
      <c r="F3" s="48"/>
      <c r="G3" s="49"/>
    </row>
    <row r="4" spans="1:26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6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6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6" x14ac:dyDescent="0.3">
      <c r="A7" s="59" t="s">
        <v>95</v>
      </c>
      <c r="B7" s="59" cm="1">
        <f t="array" ref="B7:B8">Overview!B11:B12</f>
        <v>1</v>
      </c>
      <c r="C7" s="40">
        <f>SUM(M15:M79)</f>
        <v>0.70000001729536909</v>
      </c>
      <c r="D7" s="40">
        <f>SUM(_xlfn.ANCHORARRAY(M86))*F7</f>
        <v>0.2199999998616822</v>
      </c>
      <c r="E7" s="41">
        <f>SUM(C7:D7)</f>
        <v>0.92000001715705126</v>
      </c>
      <c r="F7" s="42">
        <f>L79</f>
        <v>8.4372176308072852E-3</v>
      </c>
      <c r="G7" s="43">
        <f>1/F7</f>
        <v>118.5224849894406</v>
      </c>
      <c r="H7" s="44">
        <f>D7*G7</f>
        <v>26.074946681283162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</v>
      </c>
      <c r="K7" s="48"/>
      <c r="L7" s="49"/>
      <c r="M7" s="58"/>
    </row>
    <row r="8" spans="1:26" x14ac:dyDescent="0.3">
      <c r="A8" s="59" t="s">
        <v>96</v>
      </c>
      <c r="B8" s="59">
        <v>40.5</v>
      </c>
      <c r="C8" s="40">
        <f>M156/B8</f>
        <v>0</v>
      </c>
      <c r="D8" s="40">
        <f>SUM(_xlfn.ANCHORARRAY(M163))/B8</f>
        <v>0.92500000309783292</v>
      </c>
      <c r="E8" s="41">
        <f>SUM(C8:D8)</f>
        <v>0.92500000309783292</v>
      </c>
      <c r="F8" s="45">
        <f>D156</f>
        <v>1</v>
      </c>
      <c r="G8" s="43">
        <f>1/F8</f>
        <v>1</v>
      </c>
      <c r="H8" s="44">
        <f>D8*G8*B8</f>
        <v>37.462500125462235</v>
      </c>
      <c r="I8" s="61"/>
      <c r="J8" s="61" cm="1">
        <f t="array" ref="J8">LOOKUP(2,1/(_xlfn.ANCHORARRAY(K163)&lt;&gt;0),P15:P78)</f>
        <v>2000</v>
      </c>
      <c r="K8" s="62"/>
      <c r="L8" s="49"/>
      <c r="M8" s="58"/>
    </row>
    <row r="9" spans="1:26" x14ac:dyDescent="0.3">
      <c r="A9" s="59" t="s">
        <v>129</v>
      </c>
      <c r="B9" s="59">
        <v>250</v>
      </c>
      <c r="C9" s="40">
        <f>0</f>
        <v>0</v>
      </c>
      <c r="D9" s="40">
        <f>IFERROR(SUM(M234:M297)/B9,0)</f>
        <v>0.92499999718438553</v>
      </c>
      <c r="E9" s="41">
        <f>SUM(C9:D9)</f>
        <v>0.92499999718438553</v>
      </c>
      <c r="F9" s="45">
        <f>1</f>
        <v>1</v>
      </c>
      <c r="G9" s="43">
        <f>IFERROR(1/F9,0)</f>
        <v>1</v>
      </c>
      <c r="H9" s="44">
        <f>D9*G9*B9</f>
        <v>231.24999929609638</v>
      </c>
      <c r="I9" s="61"/>
      <c r="J9" s="61" cm="1">
        <f t="array" ref="J9">IFERROR(LOOKUP(2,1/(K234:K297&lt;&gt;0),P234:P297),0)</f>
        <v>4000</v>
      </c>
      <c r="K9" s="64"/>
      <c r="L9" s="48"/>
      <c r="M9" s="48"/>
    </row>
    <row r="10" spans="1:26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6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6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6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6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6" x14ac:dyDescent="0.3">
      <c r="A15" s="14" t="str">
        <f t="shared" ref="A15:A46" si="0">"("&amp;$O15&amp;", "&amp;$P15&amp;"]"</f>
        <v>(-1, 0]</v>
      </c>
      <c r="B15" s="67">
        <v>642768432</v>
      </c>
      <c r="C15" s="67">
        <v>0</v>
      </c>
      <c r="D15" s="37" cm="1">
        <f t="array" ref="D15:D78">_xlfn.LET(_xlpm.x, B15:B78, _xlpm.x/SUM(_xlpm.x))</f>
        <v>0.642768432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1.1846641233308108</v>
      </c>
      <c r="I15" s="36" cm="1">
        <f t="array" ref="I15:I79">D15:D79*H15:H79</f>
        <v>0.76146470099999986</v>
      </c>
      <c r="J15" s="36" cm="1">
        <f t="array" ref="J15:J78">I15:I78/SUM(I15:I78)</f>
        <v>0.76146470099999997</v>
      </c>
      <c r="K15" s="71" cm="1">
        <f t="array" ref="K15:K79">INT(J15:J79*$B$2)</f>
        <v>761464701</v>
      </c>
      <c r="L15" s="36" cm="1">
        <f t="array" ref="L15:L79">_xlfn.LET(_xlpm.x, K15:K79, _xlpm.x/SUM(_xlpm.x))</f>
        <v>0.75504005759948545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0.75504005759948545</v>
      </c>
      <c r="R15" s="36">
        <v>0.76387345201003343</v>
      </c>
      <c r="T15" s="36"/>
      <c r="U15" s="74" cm="1">
        <f t="array" ref="U15:U78">_xlfn.LET(_xlpm.x, T15:T78/L15:L78, IF(ISERR(_xlpm.x), 0, ROUND(_xlpm.x,2)))</f>
        <v>0</v>
      </c>
      <c r="Y15" s="62"/>
      <c r="Z15" s="62"/>
    </row>
    <row r="16" spans="1:26" x14ac:dyDescent="0.3">
      <c r="A16" s="14" t="str">
        <f t="shared" si="0"/>
        <v>(0, 1]</v>
      </c>
      <c r="B16" s="75">
        <v>165067367</v>
      </c>
      <c r="C16" s="75">
        <v>6883193835</v>
      </c>
      <c r="D16" s="36">
        <v>0.16506736699999999</v>
      </c>
      <c r="E16" s="69">
        <v>0.41699301079903939</v>
      </c>
      <c r="G16" s="14" t="str">
        <f t="shared" si="1"/>
        <v>(0, 1]</v>
      </c>
      <c r="H16" s="70">
        <v>0.80467332467961405</v>
      </c>
      <c r="I16" s="36">
        <v>0.132825307</v>
      </c>
      <c r="J16" s="36">
        <v>0.13282530700000003</v>
      </c>
      <c r="K16" s="71">
        <v>132825307</v>
      </c>
      <c r="L16" s="36">
        <v>0.1317046309779622</v>
      </c>
      <c r="M16" s="36">
        <v>5.491991060767689E-2</v>
      </c>
      <c r="N16" s="73"/>
      <c r="O16" s="59">
        <v>0</v>
      </c>
      <c r="P16" s="59">
        <v>1</v>
      </c>
      <c r="Q16" s="36">
        <v>0.1317046309779622</v>
      </c>
      <c r="R16" s="36">
        <v>0.13400020649988764</v>
      </c>
      <c r="T16" s="36"/>
      <c r="U16" s="74">
        <v>0</v>
      </c>
      <c r="Y16" s="62"/>
      <c r="Z16" s="62"/>
    </row>
    <row r="17" spans="1:26" x14ac:dyDescent="0.3">
      <c r="A17" s="14" t="str">
        <f t="shared" si="0"/>
        <v>(1, 2]</v>
      </c>
      <c r="B17" s="75">
        <v>48607194</v>
      </c>
      <c r="C17" s="75">
        <v>7281533335</v>
      </c>
      <c r="D17" s="36">
        <v>4.8607193999999999E-2</v>
      </c>
      <c r="E17" s="69">
        <v>1.4980361415225902</v>
      </c>
      <c r="F17" s="76"/>
      <c r="G17" s="14" t="str">
        <f t="shared" si="1"/>
        <v>(1, 2]</v>
      </c>
      <c r="H17" s="70">
        <v>0.68479770710483723</v>
      </c>
      <c r="I17" s="36">
        <v>3.3286095000000002E-2</v>
      </c>
      <c r="J17" s="36">
        <v>3.3286095000000009E-2</v>
      </c>
      <c r="K17" s="71">
        <v>33286095</v>
      </c>
      <c r="L17" s="36">
        <v>3.3005252972405273E-2</v>
      </c>
      <c r="M17" s="36">
        <v>4.9443061812758995E-2</v>
      </c>
      <c r="N17" s="73"/>
      <c r="O17" s="59">
        <v>1</v>
      </c>
      <c r="P17" s="59">
        <v>2</v>
      </c>
      <c r="Q17" s="36">
        <v>3.3005252972405273E-2</v>
      </c>
      <c r="R17" s="36">
        <v>3.3580525845890351E-2</v>
      </c>
      <c r="T17" s="36"/>
      <c r="U17" s="74">
        <v>0</v>
      </c>
      <c r="Y17" s="62"/>
      <c r="Z17" s="62"/>
    </row>
    <row r="18" spans="1:26" x14ac:dyDescent="0.3">
      <c r="A18" s="14" t="str">
        <f t="shared" si="0"/>
        <v>(2, 3]</v>
      </c>
      <c r="B18" s="75">
        <v>26919097</v>
      </c>
      <c r="C18" s="75">
        <v>6802776700</v>
      </c>
      <c r="D18" s="36">
        <v>2.6919096999999999E-2</v>
      </c>
      <c r="E18" s="69">
        <v>2.5271192046300812</v>
      </c>
      <c r="F18" s="76"/>
      <c r="G18" s="14" t="str">
        <f t="shared" si="1"/>
        <v>(2, 3]</v>
      </c>
      <c r="H18" s="70">
        <v>0.68882117405349819</v>
      </c>
      <c r="I18" s="36">
        <v>1.8542444000000002E-2</v>
      </c>
      <c r="J18" s="36">
        <v>1.8542444000000005E-2</v>
      </c>
      <c r="K18" s="71">
        <v>18542444</v>
      </c>
      <c r="L18" s="36">
        <v>1.8385997364564942E-2</v>
      </c>
      <c r="M18" s="36">
        <v>4.6463607036270123E-2</v>
      </c>
      <c r="N18" s="73"/>
      <c r="O18" s="59">
        <v>2</v>
      </c>
      <c r="P18" s="59">
        <v>3</v>
      </c>
      <c r="Q18" s="36">
        <v>1.8385997364564942E-2</v>
      </c>
      <c r="R18" s="36">
        <v>1.8706460409720072E-2</v>
      </c>
      <c r="T18" s="36"/>
      <c r="U18" s="74">
        <v>0</v>
      </c>
      <c r="Y18" s="62"/>
      <c r="Z18" s="62"/>
    </row>
    <row r="19" spans="1:26" x14ac:dyDescent="0.3">
      <c r="A19" s="14" t="str">
        <f t="shared" si="0"/>
        <v>(3, 4]</v>
      </c>
      <c r="B19" s="75">
        <v>17682966</v>
      </c>
      <c r="C19" s="75">
        <v>6307283715</v>
      </c>
      <c r="D19" s="36">
        <v>1.7682966000000001E-2</v>
      </c>
      <c r="E19" s="69">
        <v>3.5668697858718952</v>
      </c>
      <c r="F19" s="77"/>
      <c r="G19" s="14" t="str">
        <f t="shared" si="1"/>
        <v>(3, 4]</v>
      </c>
      <c r="H19" s="70">
        <v>0.66184671734368539</v>
      </c>
      <c r="I19" s="36">
        <v>1.1703412999999999E-2</v>
      </c>
      <c r="J19" s="36">
        <v>1.1703413000000001E-2</v>
      </c>
      <c r="K19" s="71">
        <v>11703413</v>
      </c>
      <c r="L19" s="36">
        <v>1.1604668757495782E-2</v>
      </c>
      <c r="M19" s="36">
        <v>4.1392342366163251E-2</v>
      </c>
      <c r="N19" s="73"/>
      <c r="O19" s="59">
        <v>3</v>
      </c>
      <c r="P19" s="59">
        <v>4</v>
      </c>
      <c r="Q19" s="36">
        <v>1.1604668757495782E-2</v>
      </c>
      <c r="R19" s="36">
        <v>1.1806934752109031E-2</v>
      </c>
      <c r="T19" s="36"/>
      <c r="U19" s="74">
        <v>0</v>
      </c>
      <c r="Y19" s="62"/>
      <c r="Z19" s="62"/>
    </row>
    <row r="20" spans="1:26" x14ac:dyDescent="0.3">
      <c r="A20" s="14" t="str">
        <f t="shared" si="0"/>
        <v>(4, 5]</v>
      </c>
      <c r="B20" s="75">
        <v>13063433</v>
      </c>
      <c r="C20" s="75">
        <v>5912495700</v>
      </c>
      <c r="D20" s="36">
        <v>1.3063432999999999E-2</v>
      </c>
      <c r="E20" s="69">
        <v>4.5259892250375531</v>
      </c>
      <c r="F20" s="77"/>
      <c r="G20" s="14" t="str">
        <f t="shared" si="1"/>
        <v>(4, 5]</v>
      </c>
      <c r="H20" s="70">
        <v>0.72537678265736127</v>
      </c>
      <c r="I20" s="36">
        <v>9.4759110000000001E-3</v>
      </c>
      <c r="J20" s="36">
        <v>9.4759110000000018E-3</v>
      </c>
      <c r="K20" s="71">
        <v>9475911</v>
      </c>
      <c r="L20" s="36">
        <v>9.3959606766428391E-3</v>
      </c>
      <c r="M20" s="36">
        <v>4.2526016781362044E-2</v>
      </c>
      <c r="N20" s="73"/>
      <c r="O20" s="59">
        <v>4</v>
      </c>
      <c r="P20" s="59">
        <v>5</v>
      </c>
      <c r="Q20" s="36">
        <v>9.3959606766428391E-3</v>
      </c>
      <c r="R20" s="36">
        <v>9.5597300924998019E-3</v>
      </c>
      <c r="T20" s="36"/>
      <c r="U20" s="74">
        <v>0</v>
      </c>
      <c r="Y20" s="62"/>
      <c r="Z20" s="62"/>
    </row>
    <row r="21" spans="1:26" x14ac:dyDescent="0.3">
      <c r="A21" s="14" t="str">
        <f t="shared" si="0"/>
        <v>(5, 6]</v>
      </c>
      <c r="B21" s="75">
        <v>9983714</v>
      </c>
      <c r="C21" s="75">
        <v>5549114420</v>
      </c>
      <c r="D21" s="36">
        <v>9.9837139999999994E-3</v>
      </c>
      <c r="E21" s="69">
        <v>5.5581664498802752</v>
      </c>
      <c r="F21" s="77"/>
      <c r="G21" s="14" t="str">
        <f t="shared" si="1"/>
        <v>(5, 6]</v>
      </c>
      <c r="H21" s="70">
        <v>0.38894112952354204</v>
      </c>
      <c r="I21" s="36">
        <v>3.883077E-3</v>
      </c>
      <c r="J21" s="36">
        <v>3.8830770000000004E-3</v>
      </c>
      <c r="K21" s="71">
        <v>3883077</v>
      </c>
      <c r="L21" s="36">
        <v>3.8503146342738176E-3</v>
      </c>
      <c r="M21" s="36">
        <v>2.1400689621703776E-2</v>
      </c>
      <c r="N21" s="73"/>
      <c r="O21" s="59">
        <v>5</v>
      </c>
      <c r="P21" s="59">
        <v>6</v>
      </c>
      <c r="Q21" s="36">
        <v>3.8503146342738176E-3</v>
      </c>
      <c r="R21" s="36">
        <v>3.9174243390485211E-3</v>
      </c>
      <c r="T21" s="36"/>
      <c r="U21" s="74">
        <v>0</v>
      </c>
      <c r="Y21" s="62"/>
      <c r="Z21" s="62"/>
    </row>
    <row r="22" spans="1:26" x14ac:dyDescent="0.3">
      <c r="A22" s="14" t="str">
        <f t="shared" si="0"/>
        <v>(6, 7]</v>
      </c>
      <c r="B22" s="75">
        <v>7840713</v>
      </c>
      <c r="C22" s="75">
        <v>5105038170</v>
      </c>
      <c r="D22" s="36">
        <v>7.8407129999999992E-3</v>
      </c>
      <c r="E22" s="69">
        <v>6.510936148281413</v>
      </c>
      <c r="F22" s="77"/>
      <c r="G22" s="14" t="str">
        <f t="shared" si="1"/>
        <v>(6, 7]</v>
      </c>
      <c r="H22" s="70">
        <v>0.42383785760300119</v>
      </c>
      <c r="I22" s="36">
        <v>3.3231910000000001E-3</v>
      </c>
      <c r="J22" s="36">
        <v>3.3231910000000005E-3</v>
      </c>
      <c r="K22" s="71">
        <v>3323191</v>
      </c>
      <c r="L22" s="36">
        <v>3.2951525143042597E-3</v>
      </c>
      <c r="M22" s="36">
        <v>2.1454527619483989E-2</v>
      </c>
      <c r="N22" s="73"/>
      <c r="O22" s="59">
        <v>6</v>
      </c>
      <c r="P22" s="59">
        <v>7</v>
      </c>
      <c r="Q22" s="36">
        <v>3.2951525143042597E-3</v>
      </c>
      <c r="R22" s="36">
        <v>3.3525864110926879E-3</v>
      </c>
      <c r="T22" s="36"/>
      <c r="U22" s="74">
        <v>0</v>
      </c>
      <c r="Y22" s="62"/>
      <c r="Z22" s="62"/>
    </row>
    <row r="23" spans="1:26" x14ac:dyDescent="0.3">
      <c r="A23" s="14" t="str">
        <f t="shared" si="0"/>
        <v>(7, 8]</v>
      </c>
      <c r="B23" s="75">
        <v>7134958</v>
      </c>
      <c r="C23" s="75">
        <v>5377533620</v>
      </c>
      <c r="D23" s="36">
        <v>7.1349580000000003E-3</v>
      </c>
      <c r="E23" s="69">
        <v>7.5368819550164128</v>
      </c>
      <c r="F23" s="77"/>
      <c r="G23" s="14" t="str">
        <f t="shared" si="1"/>
        <v>(7, 8]</v>
      </c>
      <c r="H23" s="70">
        <v>0.40501037287115071</v>
      </c>
      <c r="I23" s="36">
        <v>2.8897319999999999E-3</v>
      </c>
      <c r="J23" s="36">
        <v>2.8897320000000003E-3</v>
      </c>
      <c r="K23" s="71">
        <v>2889732</v>
      </c>
      <c r="L23" s="36">
        <v>2.865350702221292E-3</v>
      </c>
      <c r="M23" s="36">
        <v>2.1595810002365261E-2</v>
      </c>
      <c r="N23" s="73"/>
      <c r="O23" s="59">
        <v>7</v>
      </c>
      <c r="P23" s="59">
        <v>8</v>
      </c>
      <c r="Q23" s="36">
        <v>2.865350702221292E-3</v>
      </c>
      <c r="R23" s="36">
        <v>2.9152925313849463E-3</v>
      </c>
      <c r="T23" s="36"/>
      <c r="U23" s="74">
        <v>0</v>
      </c>
      <c r="Y23" s="62"/>
      <c r="Z23" s="62"/>
    </row>
    <row r="24" spans="1:26" x14ac:dyDescent="0.3">
      <c r="A24" s="14" t="str">
        <f t="shared" si="0"/>
        <v>(8, 9]</v>
      </c>
      <c r="B24" s="75">
        <v>5766826</v>
      </c>
      <c r="C24" s="75">
        <v>4914562050</v>
      </c>
      <c r="D24" s="36">
        <v>5.7668260000000001E-3</v>
      </c>
      <c r="E24" s="69">
        <v>8.5221264695692227</v>
      </c>
      <c r="F24" s="77"/>
      <c r="G24" s="14" t="str">
        <f t="shared" si="1"/>
        <v>(8, 9]</v>
      </c>
      <c r="H24" s="70">
        <v>0.42697525467215414</v>
      </c>
      <c r="I24" s="36">
        <v>2.462292E-3</v>
      </c>
      <c r="J24" s="36">
        <v>2.4622920000000005E-3</v>
      </c>
      <c r="K24" s="71">
        <v>2462292</v>
      </c>
      <c r="L24" s="36">
        <v>2.4415171065254042E-3</v>
      </c>
      <c r="M24" s="36">
        <v>2.0806917559426208E-2</v>
      </c>
      <c r="N24" s="73"/>
      <c r="O24" s="59">
        <v>8</v>
      </c>
      <c r="P24" s="59">
        <v>9</v>
      </c>
      <c r="Q24" s="36">
        <v>2.4415171065254042E-3</v>
      </c>
      <c r="R24" s="36">
        <v>2.484072177784256E-3</v>
      </c>
      <c r="T24" s="36"/>
      <c r="U24" s="74">
        <v>0</v>
      </c>
      <c r="Y24" s="62"/>
      <c r="Z24" s="62"/>
    </row>
    <row r="25" spans="1:26" x14ac:dyDescent="0.3">
      <c r="A25" s="14" t="str">
        <f t="shared" si="0"/>
        <v>(9, 10]</v>
      </c>
      <c r="B25" s="75">
        <v>4689306</v>
      </c>
      <c r="C25" s="75">
        <v>4469552495</v>
      </c>
      <c r="D25" s="36">
        <v>4.6893059999999999E-3</v>
      </c>
      <c r="E25" s="69">
        <v>9.5313730752482346</v>
      </c>
      <c r="F25" s="77"/>
      <c r="G25" s="14" t="str">
        <f t="shared" si="1"/>
        <v>(9, 10]</v>
      </c>
      <c r="H25" s="70">
        <v>0.51609982372658125</v>
      </c>
      <c r="I25" s="36">
        <v>2.4201499999999998E-3</v>
      </c>
      <c r="J25" s="36">
        <v>2.4201500000000003E-3</v>
      </c>
      <c r="K25" s="71">
        <v>2420150</v>
      </c>
      <c r="L25" s="36">
        <v>2.3997306677508018E-3</v>
      </c>
      <c r="M25" s="36">
        <v>2.287272827444746E-2</v>
      </c>
      <c r="N25" s="73"/>
      <c r="O25" s="59">
        <v>9</v>
      </c>
      <c r="P25" s="59">
        <v>10</v>
      </c>
      <c r="Q25" s="36">
        <v>2.3997306677508018E-3</v>
      </c>
      <c r="R25" s="36">
        <v>2.4415574950348924E-3</v>
      </c>
      <c r="T25" s="36"/>
      <c r="U25" s="74">
        <v>0</v>
      </c>
      <c r="Y25" s="62"/>
      <c r="Z25" s="62"/>
    </row>
    <row r="26" spans="1:26" x14ac:dyDescent="0.3">
      <c r="A26" s="14" t="str">
        <f t="shared" si="0"/>
        <v>(10, 15]</v>
      </c>
      <c r="B26" s="75">
        <v>16458688</v>
      </c>
      <c r="C26" s="75">
        <v>20262859505</v>
      </c>
      <c r="D26" s="36">
        <v>1.6458687999999999E-2</v>
      </c>
      <c r="E26" s="69">
        <v>12.311345536776686</v>
      </c>
      <c r="F26" s="77"/>
      <c r="G26" s="14" t="str">
        <f t="shared" si="1"/>
        <v>(10, 15]</v>
      </c>
      <c r="H26" s="70">
        <v>0.54793984793927686</v>
      </c>
      <c r="I26" s="36">
        <v>9.0183710000000007E-3</v>
      </c>
      <c r="J26" s="36">
        <v>9.0183710000000025E-3</v>
      </c>
      <c r="K26" s="71">
        <v>9018371</v>
      </c>
      <c r="L26" s="36">
        <v>8.9422810411976389E-3</v>
      </c>
      <c r="M26" s="36">
        <v>0.11009151178515134</v>
      </c>
      <c r="N26" s="73"/>
      <c r="O26" s="59">
        <v>10</v>
      </c>
      <c r="P26" s="59">
        <v>15</v>
      </c>
      <c r="Q26" s="36">
        <v>8.9422810411976389E-3</v>
      </c>
      <c r="R26" s="36">
        <v>4.5490710541819263E-3</v>
      </c>
      <c r="T26" s="36"/>
      <c r="U26" s="74">
        <v>0</v>
      </c>
      <c r="Y26" s="62"/>
      <c r="Z26" s="62"/>
    </row>
    <row r="27" spans="1:26" x14ac:dyDescent="0.3">
      <c r="A27" s="14" t="str">
        <f t="shared" si="0"/>
        <v>(15, 20]</v>
      </c>
      <c r="B27" s="75">
        <v>9533587</v>
      </c>
      <c r="C27" s="75">
        <v>16541096140</v>
      </c>
      <c r="D27" s="36">
        <v>9.5335869999999996E-3</v>
      </c>
      <c r="E27" s="69">
        <v>17.350338482252273</v>
      </c>
      <c r="F27" s="77"/>
      <c r="G27" s="14" t="str">
        <f t="shared" si="1"/>
        <v>(15, 20]</v>
      </c>
      <c r="H27" s="70">
        <v>0.28858655194524374</v>
      </c>
      <c r="I27" s="36">
        <v>2.7512650000000001E-3</v>
      </c>
      <c r="J27" s="36">
        <v>2.7512650000000006E-3</v>
      </c>
      <c r="K27" s="71">
        <v>2751265</v>
      </c>
      <c r="L27" s="36">
        <v>2.7280519784349771E-3</v>
      </c>
      <c r="M27" s="36">
        <v>4.7332625223024831E-2</v>
      </c>
      <c r="N27" s="73"/>
      <c r="O27" s="59">
        <v>15</v>
      </c>
      <c r="P27" s="59">
        <v>20</v>
      </c>
      <c r="Q27" s="36">
        <v>2.7280519784349771E-3</v>
      </c>
      <c r="R27" s="36">
        <v>2.775601430922751E-3</v>
      </c>
      <c r="T27" s="36"/>
      <c r="U27" s="74">
        <v>0</v>
      </c>
      <c r="Y27" s="62"/>
      <c r="Z27" s="62"/>
    </row>
    <row r="28" spans="1:26" x14ac:dyDescent="0.3">
      <c r="A28" s="14" t="str">
        <f t="shared" si="0"/>
        <v>(20, 25]</v>
      </c>
      <c r="B28" s="75">
        <v>6177309</v>
      </c>
      <c r="C28" s="75">
        <v>13847458525</v>
      </c>
      <c r="D28" s="36">
        <v>6.1773089999999998E-3</v>
      </c>
      <c r="E28" s="69">
        <v>22.416651854391613</v>
      </c>
      <c r="F28" s="77"/>
      <c r="G28" s="14" t="str">
        <f t="shared" si="1"/>
        <v>(20, 25]</v>
      </c>
      <c r="H28" s="70">
        <v>0.35377200654848251</v>
      </c>
      <c r="I28" s="36">
        <v>2.185359E-3</v>
      </c>
      <c r="J28" s="36">
        <v>2.1853590000000004E-3</v>
      </c>
      <c r="K28" s="71">
        <v>2185359</v>
      </c>
      <c r="L28" s="36">
        <v>2.1669206505155565E-3</v>
      </c>
      <c r="M28" s="36">
        <v>4.8575105818699033E-2</v>
      </c>
      <c r="N28" s="73"/>
      <c r="O28" s="59">
        <v>20</v>
      </c>
      <c r="P28" s="59">
        <v>25</v>
      </c>
      <c r="Q28" s="36">
        <v>2.1669206505155565E-3</v>
      </c>
      <c r="R28" s="36">
        <v>2.2046899768598657E-3</v>
      </c>
      <c r="T28" s="36"/>
      <c r="U28" s="74">
        <v>0</v>
      </c>
      <c r="Y28" s="62"/>
      <c r="Z28" s="62"/>
    </row>
    <row r="29" spans="1:26" x14ac:dyDescent="0.3">
      <c r="A29" s="14" t="str">
        <f t="shared" si="0"/>
        <v>(25, 30]</v>
      </c>
      <c r="B29" s="75">
        <v>4284185</v>
      </c>
      <c r="C29" s="75">
        <v>11720617050</v>
      </c>
      <c r="D29" s="36">
        <v>4.2841850000000002E-3</v>
      </c>
      <c r="E29" s="69">
        <v>27.357868649463086</v>
      </c>
      <c r="F29" s="77"/>
      <c r="G29" s="14" t="str">
        <f t="shared" si="1"/>
        <v>(25, 30]</v>
      </c>
      <c r="H29" s="70">
        <v>0.40049110857724396</v>
      </c>
      <c r="I29" s="36">
        <v>1.7157780000000001E-3</v>
      </c>
      <c r="J29" s="36">
        <v>1.7157780000000003E-3</v>
      </c>
      <c r="K29" s="71">
        <v>1715778</v>
      </c>
      <c r="L29" s="36">
        <v>1.7013016076078487E-3</v>
      </c>
      <c r="M29" s="36">
        <v>4.654398591405591E-2</v>
      </c>
      <c r="N29" s="73"/>
      <c r="O29" s="59">
        <v>25</v>
      </c>
      <c r="P29" s="59">
        <v>30</v>
      </c>
      <c r="Q29" s="36">
        <v>1.7013016076078487E-3</v>
      </c>
      <c r="R29" s="36">
        <v>1.7309549405098118E-3</v>
      </c>
      <c r="T29" s="36"/>
      <c r="U29" s="74">
        <v>0</v>
      </c>
      <c r="Y29" s="62"/>
      <c r="Z29" s="62"/>
    </row>
    <row r="30" spans="1:26" x14ac:dyDescent="0.3">
      <c r="A30" s="14" t="str">
        <f t="shared" si="0"/>
        <v>(30, 35]</v>
      </c>
      <c r="B30" s="75">
        <v>3019933</v>
      </c>
      <c r="C30" s="75">
        <v>9787573815</v>
      </c>
      <c r="D30" s="36">
        <v>3.0199329999999998E-3</v>
      </c>
      <c r="E30" s="69">
        <v>32.409903845548889</v>
      </c>
      <c r="F30" s="77"/>
      <c r="G30" s="14" t="str">
        <f t="shared" si="1"/>
        <v>(30, 35]</v>
      </c>
      <c r="H30" s="70">
        <v>0.17941623208197005</v>
      </c>
      <c r="I30" s="36">
        <v>5.4182500000000001E-4</v>
      </c>
      <c r="J30" s="36">
        <v>5.4182500000000012E-4</v>
      </c>
      <c r="K30" s="71">
        <v>541825</v>
      </c>
      <c r="L30" s="36">
        <v>5.3725350455718782E-4</v>
      </c>
      <c r="M30" s="36">
        <v>1.7412334423382619E-2</v>
      </c>
      <c r="N30" s="73"/>
      <c r="O30" s="59">
        <v>30</v>
      </c>
      <c r="P30" s="59">
        <v>35</v>
      </c>
      <c r="Q30" s="36">
        <v>5.3725350455718782E-4</v>
      </c>
      <c r="R30" s="36">
        <v>5.4661734963467744E-4</v>
      </c>
      <c r="T30" s="36"/>
      <c r="U30" s="74">
        <v>0</v>
      </c>
      <c r="Y30" s="62"/>
      <c r="Z30" s="62"/>
    </row>
    <row r="31" spans="1:26" x14ac:dyDescent="0.3">
      <c r="A31" s="14" t="str">
        <f t="shared" si="0"/>
        <v>(35, 40]</v>
      </c>
      <c r="B31" s="75">
        <v>2320118</v>
      </c>
      <c r="C31" s="75">
        <v>8680968890</v>
      </c>
      <c r="D31" s="36">
        <v>2.3201179999999999E-3</v>
      </c>
      <c r="E31" s="69">
        <v>37.41606629490397</v>
      </c>
      <c r="F31" s="77"/>
      <c r="G31" s="14" t="str">
        <f t="shared" si="1"/>
        <v>(35, 40]</v>
      </c>
      <c r="H31" s="70">
        <v>0.18423157787664249</v>
      </c>
      <c r="I31" s="36">
        <v>4.27439E-4</v>
      </c>
      <c r="J31" s="36">
        <v>4.2743900000000005E-4</v>
      </c>
      <c r="K31" s="71">
        <v>427439</v>
      </c>
      <c r="L31" s="36">
        <v>4.2383260413310538E-4</v>
      </c>
      <c r="M31" s="36">
        <v>1.5858148814186061E-2</v>
      </c>
      <c r="N31" s="73"/>
      <c r="O31" s="59">
        <v>35</v>
      </c>
      <c r="P31" s="59">
        <v>40</v>
      </c>
      <c r="Q31" s="36">
        <v>4.2383260413310538E-4</v>
      </c>
      <c r="R31" s="36">
        <v>4.3122035360068997E-4</v>
      </c>
      <c r="T31" s="36"/>
      <c r="U31" s="74">
        <v>0</v>
      </c>
      <c r="Y31" s="62"/>
      <c r="Z31" s="62"/>
    </row>
    <row r="32" spans="1:26" x14ac:dyDescent="0.3">
      <c r="A32" s="14" t="str">
        <f t="shared" si="0"/>
        <v>(40, 45]</v>
      </c>
      <c r="B32" s="75">
        <v>1700714</v>
      </c>
      <c r="C32" s="75">
        <v>7213356120</v>
      </c>
      <c r="D32" s="36">
        <v>1.7007140000000001E-3</v>
      </c>
      <c r="E32" s="69">
        <v>42.413692837243651</v>
      </c>
      <c r="F32" s="77"/>
      <c r="G32" s="14" t="str">
        <f t="shared" si="1"/>
        <v>(40, 45]</v>
      </c>
      <c r="H32" s="70">
        <v>0.21593107365494726</v>
      </c>
      <c r="I32" s="36">
        <v>3.6723700000000002E-4</v>
      </c>
      <c r="J32" s="36">
        <v>3.6723700000000008E-4</v>
      </c>
      <c r="K32" s="71">
        <v>367237</v>
      </c>
      <c r="L32" s="36">
        <v>3.641385415089152E-4</v>
      </c>
      <c r="M32" s="36">
        <v>1.5444460249761026E-2</v>
      </c>
      <c r="N32" s="73"/>
      <c r="O32" s="59">
        <v>40</v>
      </c>
      <c r="P32" s="59">
        <v>45</v>
      </c>
      <c r="Q32" s="36">
        <v>3.641385415089152E-4</v>
      </c>
      <c r="R32" s="36">
        <v>3.7048509253017025E-4</v>
      </c>
      <c r="T32" s="36"/>
      <c r="U32" s="74">
        <v>0</v>
      </c>
      <c r="Y32" s="62"/>
      <c r="Z32" s="62"/>
    </row>
    <row r="33" spans="1:26" x14ac:dyDescent="0.3">
      <c r="A33" s="14" t="str">
        <f t="shared" si="0"/>
        <v>(45, 50]</v>
      </c>
      <c r="B33" s="75">
        <v>1324002</v>
      </c>
      <c r="C33" s="75">
        <v>6284776125</v>
      </c>
      <c r="D33" s="36">
        <v>1.3240019999999999E-3</v>
      </c>
      <c r="E33" s="69">
        <v>47.468025916879277</v>
      </c>
      <c r="F33" s="77"/>
      <c r="G33" s="14" t="str">
        <f t="shared" si="1"/>
        <v>(45, 50]</v>
      </c>
      <c r="H33" s="70">
        <v>0.23644526216727771</v>
      </c>
      <c r="I33" s="36">
        <v>3.13054E-4</v>
      </c>
      <c r="J33" s="36">
        <v>3.1305400000000006E-4</v>
      </c>
      <c r="K33" s="71">
        <v>313054</v>
      </c>
      <c r="L33" s="36">
        <v>3.1041269527180528E-4</v>
      </c>
      <c r="M33" s="36">
        <v>1.4734677864090403E-2</v>
      </c>
      <c r="N33" s="73"/>
      <c r="O33" s="59">
        <v>45</v>
      </c>
      <c r="P33" s="59">
        <v>50</v>
      </c>
      <c r="Q33" s="36">
        <v>3.1041269527180528E-4</v>
      </c>
      <c r="R33" s="36">
        <v>3.158233575667025E-4</v>
      </c>
      <c r="T33" s="36"/>
      <c r="U33" s="74">
        <v>0</v>
      </c>
      <c r="Y33" s="62"/>
      <c r="Z33" s="62"/>
    </row>
    <row r="34" spans="1:26" x14ac:dyDescent="0.3">
      <c r="A34" s="14" t="str">
        <f t="shared" si="0"/>
        <v>(50, 60]</v>
      </c>
      <c r="B34" s="75">
        <v>1847035</v>
      </c>
      <c r="C34" s="75">
        <v>10084132345</v>
      </c>
      <c r="D34" s="36">
        <v>1.8470349999999999E-3</v>
      </c>
      <c r="E34" s="69">
        <v>54.596325164385078</v>
      </c>
      <c r="F34" s="77"/>
      <c r="G34" s="14" t="str">
        <f t="shared" si="1"/>
        <v>(50, 60]</v>
      </c>
      <c r="H34" s="70">
        <v>0.1629714650778139</v>
      </c>
      <c r="I34" s="36">
        <v>3.01014E-4</v>
      </c>
      <c r="J34" s="36">
        <v>3.0101400000000006E-4</v>
      </c>
      <c r="K34" s="71">
        <v>301014</v>
      </c>
      <c r="L34" s="36">
        <v>2.9847427937208017E-4</v>
      </c>
      <c r="M34" s="36">
        <v>1.6295598809803604E-2</v>
      </c>
      <c r="N34" s="73"/>
      <c r="O34" s="59">
        <v>50</v>
      </c>
      <c r="P34" s="59">
        <v>60</v>
      </c>
      <c r="Q34" s="36">
        <v>2.9847427937208017E-4</v>
      </c>
      <c r="R34" s="36">
        <v>1.5183815267629929E-4</v>
      </c>
      <c r="T34" s="36"/>
      <c r="U34" s="74">
        <v>0</v>
      </c>
      <c r="Y34" s="62"/>
      <c r="Z34" s="62"/>
    </row>
    <row r="35" spans="1:26" x14ac:dyDescent="0.3">
      <c r="A35" s="14" t="str">
        <f t="shared" si="0"/>
        <v>(60, 70]</v>
      </c>
      <c r="B35" s="75">
        <v>1173994</v>
      </c>
      <c r="C35" s="75">
        <v>7594701825</v>
      </c>
      <c r="D35" s="36">
        <v>1.173994E-3</v>
      </c>
      <c r="E35" s="69">
        <v>64.69114684572493</v>
      </c>
      <c r="F35" s="77"/>
      <c r="G35" s="14" t="str">
        <f t="shared" si="1"/>
        <v>(60, 70]</v>
      </c>
      <c r="H35" s="70">
        <v>8.7176765809706E-2</v>
      </c>
      <c r="I35" s="36">
        <v>1.0234499999999998E-4</v>
      </c>
      <c r="J35" s="36">
        <v>1.02345E-4</v>
      </c>
      <c r="K35" s="71">
        <v>102345</v>
      </c>
      <c r="L35" s="36">
        <v>1.0148149296157503E-4</v>
      </c>
      <c r="M35" s="36">
        <v>6.5649541633006512E-3</v>
      </c>
      <c r="N35" s="73"/>
      <c r="O35" s="59">
        <v>60</v>
      </c>
      <c r="P35" s="59">
        <v>70</v>
      </c>
      <c r="Q35" s="36">
        <v>1.0148149296157503E-4</v>
      </c>
      <c r="R35" s="36">
        <v>1.0324994381988351E-4</v>
      </c>
      <c r="T35" s="36"/>
      <c r="U35" s="74">
        <v>0</v>
      </c>
      <c r="Y35" s="62"/>
      <c r="Z35" s="62"/>
    </row>
    <row r="36" spans="1:26" x14ac:dyDescent="0.3">
      <c r="A36" s="14" t="str">
        <f t="shared" si="0"/>
        <v>(70, 80]</v>
      </c>
      <c r="B36" s="75">
        <v>783561</v>
      </c>
      <c r="C36" s="75">
        <v>5852326655</v>
      </c>
      <c r="D36" s="36">
        <v>7.83561E-4</v>
      </c>
      <c r="E36" s="69">
        <v>74.688845603596917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5.4661734963467741E-5</v>
      </c>
      <c r="T36" s="36"/>
      <c r="U36" s="74">
        <v>0</v>
      </c>
      <c r="Y36" s="62"/>
      <c r="Z36" s="62"/>
    </row>
    <row r="37" spans="1:26" x14ac:dyDescent="0.3">
      <c r="A37" s="14" t="str">
        <f t="shared" si="0"/>
        <v>(80, 90]</v>
      </c>
      <c r="B37" s="75">
        <v>514288</v>
      </c>
      <c r="C37" s="75">
        <v>4355235275</v>
      </c>
      <c r="D37" s="36">
        <v>5.1428800000000001E-4</v>
      </c>
      <c r="E37" s="69">
        <v>84.684753970537912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4.8588208856415767E-5</v>
      </c>
      <c r="T37" s="36"/>
      <c r="U37" s="74">
        <v>0</v>
      </c>
      <c r="Y37" s="62"/>
      <c r="Z37" s="62"/>
    </row>
    <row r="38" spans="1:26" x14ac:dyDescent="0.3">
      <c r="A38" s="14" t="str">
        <f t="shared" si="0"/>
        <v>(90, 100]</v>
      </c>
      <c r="B38" s="75">
        <v>363270</v>
      </c>
      <c r="C38" s="75">
        <v>3443690050</v>
      </c>
      <c r="D38" s="36">
        <v>3.6327000000000001E-4</v>
      </c>
      <c r="E38" s="69">
        <v>94.796984336719248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3.6441156642311825E-5</v>
      </c>
      <c r="T38" s="36"/>
      <c r="U38" s="74">
        <v>0</v>
      </c>
      <c r="Y38" s="62"/>
      <c r="Z38" s="62"/>
    </row>
    <row r="39" spans="1:26" x14ac:dyDescent="0.3">
      <c r="A39" s="14" t="str">
        <f t="shared" si="0"/>
        <v>(100, 120]</v>
      </c>
      <c r="B39" s="75">
        <v>428416</v>
      </c>
      <c r="C39" s="75">
        <v>4661097590</v>
      </c>
      <c r="D39" s="36">
        <v>4.2841599999999999E-4</v>
      </c>
      <c r="E39" s="69">
        <v>108.79840132021212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1.2147052214103942E-5</v>
      </c>
      <c r="T39" s="36"/>
      <c r="U39" s="74">
        <v>0</v>
      </c>
      <c r="Y39" s="62"/>
      <c r="Z39" s="62"/>
    </row>
    <row r="40" spans="1:26" x14ac:dyDescent="0.3">
      <c r="A40" s="14" t="str">
        <f t="shared" si="0"/>
        <v>(120, 140]</v>
      </c>
      <c r="B40" s="75">
        <v>228606</v>
      </c>
      <c r="C40" s="75">
        <v>2949643405</v>
      </c>
      <c r="D40" s="36">
        <v>2.2860600000000001E-4</v>
      </c>
      <c r="E40" s="69">
        <v>129.02738357698396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1.8220578321155913E-5</v>
      </c>
      <c r="T40" s="36"/>
      <c r="U40" s="74">
        <v>0</v>
      </c>
      <c r="Y40" s="62"/>
      <c r="Z40" s="62"/>
    </row>
    <row r="41" spans="1:26" x14ac:dyDescent="0.3">
      <c r="A41" s="14" t="str">
        <f t="shared" si="0"/>
        <v>(140, 160]</v>
      </c>
      <c r="B41" s="75">
        <v>124806</v>
      </c>
      <c r="C41" s="75">
        <v>1859796675</v>
      </c>
      <c r="D41" s="36">
        <v>1.2480600000000001E-4</v>
      </c>
      <c r="E41" s="69">
        <v>149.01500528820731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  <c r="Y41" s="62"/>
      <c r="Z41" s="62"/>
    </row>
    <row r="42" spans="1:26" x14ac:dyDescent="0.3">
      <c r="A42" s="14" t="str">
        <f t="shared" si="0"/>
        <v>(160, 180]</v>
      </c>
      <c r="B42" s="75">
        <v>69153</v>
      </c>
      <c r="C42" s="75">
        <v>1168637345</v>
      </c>
      <c r="D42" s="36">
        <v>6.9152999999999993E-5</v>
      </c>
      <c r="E42" s="69">
        <v>168.99300753401877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  <c r="Y42" s="62"/>
      <c r="Z42" s="62"/>
    </row>
    <row r="43" spans="1:26" x14ac:dyDescent="0.3">
      <c r="A43" s="14" t="str">
        <f t="shared" si="0"/>
        <v>(180, 200]</v>
      </c>
      <c r="B43" s="75">
        <v>44984</v>
      </c>
      <c r="C43" s="75">
        <v>851786160</v>
      </c>
      <c r="D43" s="36">
        <v>4.4984000000000002E-5</v>
      </c>
      <c r="E43" s="69">
        <v>189.35313889382891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6.0735261070519709E-6</v>
      </c>
      <c r="T43" s="36"/>
      <c r="U43" s="74">
        <v>0</v>
      </c>
      <c r="Y43" s="62"/>
      <c r="Z43" s="62"/>
    </row>
    <row r="44" spans="1:26" x14ac:dyDescent="0.3">
      <c r="A44" s="14" t="str">
        <f t="shared" si="0"/>
        <v>(200, 250]</v>
      </c>
      <c r="B44" s="75">
        <v>47840</v>
      </c>
      <c r="C44" s="75">
        <v>1054156880</v>
      </c>
      <c r="D44" s="36">
        <v>4.7840000000000003E-5</v>
      </c>
      <c r="E44" s="69">
        <v>220.35051839464882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6.0735261070519709E-6</v>
      </c>
      <c r="T44" s="36"/>
      <c r="U44" s="74">
        <v>0</v>
      </c>
      <c r="Y44" s="62"/>
      <c r="Z44" s="62"/>
    </row>
    <row r="45" spans="1:26" x14ac:dyDescent="0.3">
      <c r="A45" s="14" t="str">
        <f t="shared" si="0"/>
        <v>(250, 300]</v>
      </c>
      <c r="B45" s="75">
        <v>18019</v>
      </c>
      <c r="C45" s="75">
        <v>487888510</v>
      </c>
      <c r="D45" s="36">
        <v>1.8019000000000001E-5</v>
      </c>
      <c r="E45" s="69">
        <v>270.76336644652866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  <c r="Y45" s="62"/>
      <c r="Z45" s="62"/>
    </row>
    <row r="46" spans="1:26" x14ac:dyDescent="0.3">
      <c r="A46" s="14" t="str">
        <f t="shared" si="0"/>
        <v>(300, 350]</v>
      </c>
      <c r="B46" s="75">
        <v>6545</v>
      </c>
      <c r="C46" s="75">
        <v>210151740</v>
      </c>
      <c r="D46" s="36">
        <v>6.545E-6</v>
      </c>
      <c r="E46" s="69">
        <v>321.08745607333844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  <c r="Y46" s="62"/>
      <c r="Z46" s="62"/>
    </row>
    <row r="47" spans="1:26" x14ac:dyDescent="0.3">
      <c r="A47" s="14" t="str">
        <f t="shared" ref="A47:A78" si="2">"("&amp;$O47&amp;", "&amp;$P47&amp;"]"</f>
        <v>(350, 400]</v>
      </c>
      <c r="B47" s="75">
        <v>3388</v>
      </c>
      <c r="C47" s="75">
        <v>126557180</v>
      </c>
      <c r="D47" s="36">
        <v>3.388E-6</v>
      </c>
      <c r="E47" s="69">
        <v>373.54539551357732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  <c r="Y47" s="62"/>
      <c r="Z47" s="62"/>
    </row>
    <row r="48" spans="1:26" x14ac:dyDescent="0.3">
      <c r="A48" s="14" t="str">
        <f t="shared" si="2"/>
        <v>(400, 450]</v>
      </c>
      <c r="B48" s="75">
        <v>1445</v>
      </c>
      <c r="C48" s="75">
        <v>60909905</v>
      </c>
      <c r="D48" s="36">
        <v>1.4449999999999999E-6</v>
      </c>
      <c r="E48" s="69">
        <v>421.52183391003462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  <c r="Y48" s="62"/>
      <c r="Z48" s="62"/>
    </row>
    <row r="49" spans="1:26" x14ac:dyDescent="0.3">
      <c r="A49" s="14" t="str">
        <f t="shared" si="2"/>
        <v>(450, 500]</v>
      </c>
      <c r="B49" s="75">
        <v>859</v>
      </c>
      <c r="C49" s="75">
        <v>40850940</v>
      </c>
      <c r="D49" s="36">
        <v>8.5899999999999995E-7</v>
      </c>
      <c r="E49" s="69">
        <v>475.56391152502908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  <c r="Y49" s="62"/>
      <c r="Z49" s="62"/>
    </row>
    <row r="50" spans="1:26" x14ac:dyDescent="0.3">
      <c r="A50" s="14" t="str">
        <f t="shared" si="2"/>
        <v>(500, 550]</v>
      </c>
      <c r="B50" s="75">
        <v>461</v>
      </c>
      <c r="C50" s="75">
        <v>24059565</v>
      </c>
      <c r="D50" s="36">
        <v>4.6100000000000001E-7</v>
      </c>
      <c r="E50" s="69">
        <v>521.89945770065071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  <c r="Y50" s="62"/>
      <c r="Z50" s="62"/>
    </row>
    <row r="51" spans="1:26" x14ac:dyDescent="0.3">
      <c r="A51" s="14" t="str">
        <f t="shared" si="2"/>
        <v>(550, 600]</v>
      </c>
      <c r="B51" s="75">
        <v>321</v>
      </c>
      <c r="C51" s="75">
        <v>18281215</v>
      </c>
      <c r="D51" s="36">
        <v>3.2099999999999998E-7</v>
      </c>
      <c r="E51" s="69">
        <v>569.50825545171347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  <c r="Y51" s="62"/>
      <c r="Z51" s="62"/>
    </row>
    <row r="52" spans="1:26" x14ac:dyDescent="0.3">
      <c r="A52" s="14" t="str">
        <f t="shared" si="2"/>
        <v>(600, 650]</v>
      </c>
      <c r="B52" s="75">
        <v>135</v>
      </c>
      <c r="C52" s="75">
        <v>8432440</v>
      </c>
      <c r="D52" s="36">
        <v>1.35E-7</v>
      </c>
      <c r="E52" s="69">
        <v>624.62518518518516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  <c r="Y52" s="62"/>
      <c r="Z52" s="62"/>
    </row>
    <row r="53" spans="1:26" x14ac:dyDescent="0.3">
      <c r="A53" s="14" t="str">
        <f t="shared" si="2"/>
        <v>(650, 700]</v>
      </c>
      <c r="B53" s="75">
        <v>74</v>
      </c>
      <c r="C53" s="75">
        <v>4951330</v>
      </c>
      <c r="D53" s="36">
        <v>7.4000000000000001E-8</v>
      </c>
      <c r="E53" s="69">
        <v>669.09864864864869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  <c r="Y53" s="62"/>
      <c r="Z53" s="62"/>
    </row>
    <row r="54" spans="1:26" x14ac:dyDescent="0.3">
      <c r="A54" s="14" t="str">
        <f t="shared" si="2"/>
        <v>(700, 750]</v>
      </c>
      <c r="B54" s="75">
        <v>91</v>
      </c>
      <c r="C54" s="75">
        <v>6648350</v>
      </c>
      <c r="D54" s="36">
        <v>9.0999999999999994E-8</v>
      </c>
      <c r="E54" s="69">
        <v>730.58791208791217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  <c r="Y54" s="62"/>
      <c r="Z54" s="62"/>
    </row>
    <row r="55" spans="1:26" x14ac:dyDescent="0.3">
      <c r="A55" s="14" t="str">
        <f t="shared" si="2"/>
        <v>(750, 800]</v>
      </c>
      <c r="B55" s="75">
        <v>59</v>
      </c>
      <c r="C55" s="75">
        <v>4532570</v>
      </c>
      <c r="D55" s="36">
        <v>5.8999999999999999E-8</v>
      </c>
      <c r="E55" s="69">
        <v>768.23220338983049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  <c r="Y55" s="62"/>
      <c r="Z55" s="62"/>
    </row>
    <row r="56" spans="1:26" x14ac:dyDescent="0.3">
      <c r="A56" s="14" t="str">
        <f t="shared" si="2"/>
        <v>(800, 850]</v>
      </c>
      <c r="B56" s="75">
        <v>38</v>
      </c>
      <c r="C56" s="75">
        <v>3142735</v>
      </c>
      <c r="D56" s="36">
        <v>3.8000000000000003E-8</v>
      </c>
      <c r="E56" s="69">
        <v>827.03552631578941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  <c r="Y56" s="62"/>
      <c r="Z56" s="62"/>
    </row>
    <row r="57" spans="1:26" x14ac:dyDescent="0.3">
      <c r="A57" s="14" t="str">
        <f t="shared" si="2"/>
        <v>(850, 900]</v>
      </c>
      <c r="B57" s="75">
        <v>11</v>
      </c>
      <c r="C57" s="75">
        <v>959050</v>
      </c>
      <c r="D57" s="36">
        <v>1.0999999999999999E-8</v>
      </c>
      <c r="E57" s="69">
        <v>871.86363636363637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  <c r="Y57" s="62"/>
      <c r="Z57" s="62"/>
    </row>
    <row r="58" spans="1:26" x14ac:dyDescent="0.3">
      <c r="A58" s="14" t="str">
        <f t="shared" si="2"/>
        <v>(900, 950]</v>
      </c>
      <c r="B58" s="75">
        <v>16</v>
      </c>
      <c r="C58" s="75">
        <v>1478095</v>
      </c>
      <c r="D58" s="36">
        <v>1.6000000000000001E-8</v>
      </c>
      <c r="E58" s="69">
        <v>923.80937500000005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  <c r="Y58" s="62"/>
      <c r="Z58" s="62"/>
    </row>
    <row r="59" spans="1:26" x14ac:dyDescent="0.3">
      <c r="A59" s="14" t="str">
        <f t="shared" si="2"/>
        <v>(950, 1000]</v>
      </c>
      <c r="B59" s="75">
        <v>13</v>
      </c>
      <c r="C59" s="75">
        <v>1274470</v>
      </c>
      <c r="D59" s="36">
        <v>1.3000000000000001E-8</v>
      </c>
      <c r="E59" s="69">
        <v>980.36153846153843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  <c r="Y59" s="62"/>
      <c r="Z59" s="62"/>
    </row>
    <row r="60" spans="1:26" x14ac:dyDescent="0.3">
      <c r="A60" s="14" t="str">
        <f t="shared" si="2"/>
        <v>(1000, 2000]</v>
      </c>
      <c r="B60" s="75">
        <v>30</v>
      </c>
      <c r="C60" s="75">
        <v>3442955</v>
      </c>
      <c r="D60" s="36">
        <v>2.9999999999999997E-8</v>
      </c>
      <c r="E60" s="69">
        <v>1147.6516666666666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  <c r="Y60" s="62"/>
      <c r="Z60" s="62"/>
    </row>
    <row r="61" spans="1:26" x14ac:dyDescent="0.3">
      <c r="A61" s="14" t="str">
        <f t="shared" si="2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  <c r="Y61" s="62"/>
      <c r="Z61" s="62"/>
    </row>
    <row r="62" spans="1:26" x14ac:dyDescent="0.3">
      <c r="A62" s="14" t="str">
        <f t="shared" si="2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  <c r="Y62" s="62"/>
      <c r="Z62" s="62"/>
    </row>
    <row r="63" spans="1:26" x14ac:dyDescent="0.3">
      <c r="A63" s="14" t="str">
        <f t="shared" si="2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  <c r="Y63" s="62"/>
      <c r="Z63" s="62"/>
    </row>
    <row r="64" spans="1:26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  <c r="Y64" s="62"/>
      <c r="Z64" s="62"/>
    </row>
    <row r="65" spans="1:26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  <c r="Y65" s="62"/>
      <c r="Z65" s="62"/>
    </row>
    <row r="66" spans="1:26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  <c r="Y66" s="62"/>
      <c r="Z66" s="62"/>
    </row>
    <row r="67" spans="1:26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  <c r="Y67" s="62"/>
      <c r="Z67" s="62"/>
    </row>
    <row r="68" spans="1:26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  <c r="Y68" s="62"/>
      <c r="Z68" s="62"/>
    </row>
    <row r="69" spans="1:26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  <c r="Y69" s="62"/>
      <c r="Z69" s="62"/>
    </row>
    <row r="70" spans="1:26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  <c r="Y70" s="62"/>
      <c r="Z70" s="62"/>
    </row>
    <row r="71" spans="1:26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  <c r="Y71" s="62"/>
      <c r="Z71" s="62"/>
    </row>
    <row r="72" spans="1:26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  <c r="Y72" s="62"/>
      <c r="Z72" s="62"/>
    </row>
    <row r="73" spans="1:26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  <c r="Y73" s="62"/>
      <c r="Z73" s="62"/>
    </row>
    <row r="74" spans="1:26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  <c r="Y74" s="62"/>
      <c r="Z74" s="62"/>
    </row>
    <row r="75" spans="1:26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  <c r="Y75" s="62"/>
      <c r="Z75" s="62"/>
    </row>
    <row r="76" spans="1:26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  <c r="Y76" s="62"/>
      <c r="Z76" s="62"/>
    </row>
    <row r="77" spans="1:26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  <c r="Y77" s="62"/>
      <c r="Z77" s="62"/>
    </row>
    <row r="78" spans="1:26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  <c r="Y78" s="62"/>
      <c r="Z78" s="62"/>
    </row>
    <row r="79" spans="1:26" x14ac:dyDescent="0.3">
      <c r="A79" s="14" t="s">
        <v>117</v>
      </c>
      <c r="B79" s="75">
        <v>8364049</v>
      </c>
      <c r="C79" s="75">
        <v>1811255407.6445401</v>
      </c>
      <c r="D79" s="36">
        <f>B79/B13</f>
        <v>8.3640490000000001E-3</v>
      </c>
      <c r="E79" s="69">
        <v>2.1655246252676665</v>
      </c>
      <c r="F79" s="77"/>
      <c r="G79" s="14" t="s">
        <v>117</v>
      </c>
      <c r="H79" s="70">
        <v>1.017331438397838</v>
      </c>
      <c r="I79" s="36">
        <v>8.5090099999999991E-3</v>
      </c>
      <c r="J79" s="36">
        <f>I79</f>
        <v>8.5090099999999991E-3</v>
      </c>
      <c r="K79" s="72">
        <v>8509010</v>
      </c>
      <c r="L79" s="36">
        <v>8.4372176308072852E-3</v>
      </c>
      <c r="M79" s="36">
        <v>1.8271002548255696E-2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55218</v>
      </c>
      <c r="C86" s="67">
        <v>0</v>
      </c>
      <c r="D86" s="36" cm="1">
        <f t="array" ref="D86:D149">_xlfn.LET(_xlpm.x, B86:B149, _xlpm.x/SUM(_xlpm.x))</f>
        <v>6.6018264598880277E-3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0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84581</v>
      </c>
      <c r="C87" s="75">
        <v>4760560</v>
      </c>
      <c r="D87" s="36">
        <v>1.0112446734829028E-2</v>
      </c>
      <c r="E87" s="69">
        <v>0.56284035421666812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0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64013</v>
      </c>
      <c r="C88" s="75">
        <v>10029540</v>
      </c>
      <c r="D88" s="36">
        <v>7.6533506678404207E-3</v>
      </c>
      <c r="E88" s="69">
        <v>1.566797369284364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101"/>
      <c r="O88" s="59">
        <v>1</v>
      </c>
      <c r="P88" s="59">
        <v>2</v>
      </c>
      <c r="Q88" s="36">
        <v>0</v>
      </c>
      <c r="R88" s="36">
        <v>0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55751</v>
      </c>
      <c r="C89" s="75">
        <v>14330930</v>
      </c>
      <c r="D89" s="36">
        <v>6.6655515767542733E-3</v>
      </c>
      <c r="E89" s="69">
        <v>2.5705242955283314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101"/>
      <c r="O89" s="59">
        <v>2</v>
      </c>
      <c r="P89" s="59">
        <v>3</v>
      </c>
      <c r="Q89" s="36">
        <v>0</v>
      </c>
      <c r="R89" s="36">
        <v>0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49939</v>
      </c>
      <c r="C90" s="75">
        <v>17889880</v>
      </c>
      <c r="D90" s="36">
        <v>5.9706728164791957E-3</v>
      </c>
      <c r="E90" s="69">
        <v>3.5823464626844754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101"/>
      <c r="O90" s="59">
        <v>3</v>
      </c>
      <c r="P90" s="59">
        <v>4</v>
      </c>
      <c r="Q90" s="36">
        <v>0</v>
      </c>
      <c r="R90" s="36">
        <v>0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47937</v>
      </c>
      <c r="C91" s="75">
        <v>21917950</v>
      </c>
      <c r="D91" s="36">
        <v>5.7313150604450074E-3</v>
      </c>
      <c r="E91" s="69">
        <v>4.5722406491853897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101"/>
      <c r="O91" s="59">
        <v>4</v>
      </c>
      <c r="P91" s="59">
        <v>5</v>
      </c>
      <c r="Q91" s="36">
        <v>0</v>
      </c>
      <c r="R91" s="36">
        <v>3.5688793718772305E-3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46015</v>
      </c>
      <c r="C92" s="75">
        <v>25632270</v>
      </c>
      <c r="D92" s="36">
        <v>5.5015220499066899E-3</v>
      </c>
      <c r="E92" s="69">
        <v>5.5704161686406612</v>
      </c>
      <c r="F92" s="73"/>
      <c r="G92" s="14" t="str">
        <f t="shared" si="5"/>
        <v>(5, 6]</v>
      </c>
      <c r="H92" s="70">
        <v>8.8799056982473754</v>
      </c>
      <c r="I92" s="36">
        <v>4.8852996999999995E-2</v>
      </c>
      <c r="J92" s="36">
        <v>4.8852997000000002E-2</v>
      </c>
      <c r="K92" s="71">
        <v>48852997</v>
      </c>
      <c r="L92" s="36">
        <v>4.8852997000000002E-2</v>
      </c>
      <c r="M92" s="36">
        <v>0.27213152437535371</v>
      </c>
      <c r="N92" s="101"/>
      <c r="O92" s="59">
        <v>5</v>
      </c>
      <c r="P92" s="59">
        <v>6</v>
      </c>
      <c r="Q92" s="36">
        <v>4.8852997000000002E-2</v>
      </c>
      <c r="R92" s="36">
        <v>3.5688793718772309E-2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43596</v>
      </c>
      <c r="C93" s="75">
        <v>28617500</v>
      </c>
      <c r="D93" s="36">
        <v>5.2123080579752701E-3</v>
      </c>
      <c r="E93" s="69">
        <v>6.5642490136709783</v>
      </c>
      <c r="F93" s="73"/>
      <c r="G93" s="14" t="str">
        <f t="shared" si="5"/>
        <v>(6, 7]</v>
      </c>
      <c r="H93" s="70">
        <v>7.9475051242638086</v>
      </c>
      <c r="I93" s="36">
        <v>4.1424845000000002E-2</v>
      </c>
      <c r="J93" s="36">
        <v>4.1424845000000009E-2</v>
      </c>
      <c r="K93" s="71">
        <v>41424845</v>
      </c>
      <c r="L93" s="36">
        <v>4.1424845000000002E-2</v>
      </c>
      <c r="M93" s="36">
        <v>0.27192299793272318</v>
      </c>
      <c r="N93" s="73"/>
      <c r="O93" s="59">
        <v>6</v>
      </c>
      <c r="P93" s="59">
        <v>7</v>
      </c>
      <c r="Q93" s="36">
        <v>4.1424845000000002E-2</v>
      </c>
      <c r="R93" s="36">
        <v>3.0692362598144184E-2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43437</v>
      </c>
      <c r="C94" s="75">
        <v>32884090</v>
      </c>
      <c r="D94" s="36">
        <v>5.1932981263022255E-3</v>
      </c>
      <c r="E94" s="69">
        <v>7.5705251283468007</v>
      </c>
      <c r="F94" s="73"/>
      <c r="G94" s="14" t="str">
        <f t="shared" si="5"/>
        <v>(7, 8]</v>
      </c>
      <c r="H94" s="70">
        <v>8.4120433561756336</v>
      </c>
      <c r="I94" s="36">
        <v>4.3686249000000003E-2</v>
      </c>
      <c r="J94" s="36">
        <v>4.368624900000001E-2</v>
      </c>
      <c r="K94" s="71">
        <v>43686249</v>
      </c>
      <c r="L94" s="36">
        <v>4.3686249000000003E-2</v>
      </c>
      <c r="M94" s="36">
        <v>0.3307278458177153</v>
      </c>
      <c r="N94" s="73"/>
      <c r="O94" s="59">
        <v>7</v>
      </c>
      <c r="P94" s="59">
        <v>8</v>
      </c>
      <c r="Q94" s="36">
        <v>4.3686249000000003E-2</v>
      </c>
      <c r="R94" s="36">
        <v>3.2833690221270521E-2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42950</v>
      </c>
      <c r="C95" s="75">
        <v>36789480</v>
      </c>
      <c r="D95" s="36">
        <v>5.135072738096106E-3</v>
      </c>
      <c r="E95" s="69">
        <v>8.5656530849825376</v>
      </c>
      <c r="F95" s="73"/>
      <c r="G95" s="14" t="str">
        <f t="shared" si="5"/>
        <v>(8, 9]</v>
      </c>
      <c r="H95" s="70">
        <v>8.0233593760690578</v>
      </c>
      <c r="I95" s="36">
        <v>4.1200534000000004E-2</v>
      </c>
      <c r="J95" s="36">
        <v>4.1200534000000011E-2</v>
      </c>
      <c r="K95" s="71">
        <v>41200534</v>
      </c>
      <c r="L95" s="36">
        <v>4.1200533999999997E-2</v>
      </c>
      <c r="M95" s="36">
        <v>0.3529094811600279</v>
      </c>
      <c r="N95" s="73"/>
      <c r="O95" s="59">
        <v>8</v>
      </c>
      <c r="P95" s="59">
        <v>9</v>
      </c>
      <c r="Q95" s="36">
        <v>4.1200533999999997E-2</v>
      </c>
      <c r="R95" s="36">
        <v>3.1406138472519628E-2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42155</v>
      </c>
      <c r="C96" s="75">
        <v>40319540</v>
      </c>
      <c r="D96" s="36">
        <v>5.0400230797308819E-3</v>
      </c>
      <c r="E96" s="69">
        <v>9.5645925750207574</v>
      </c>
      <c r="F96" s="73"/>
      <c r="G96" s="14" t="str">
        <f t="shared" si="5"/>
        <v>(9, 10]</v>
      </c>
      <c r="H96" s="70">
        <v>8.6090502590152518</v>
      </c>
      <c r="I96" s="36">
        <v>4.3389811999999993E-2</v>
      </c>
      <c r="J96" s="36">
        <v>4.3389812E-2</v>
      </c>
      <c r="K96" s="71">
        <v>43389812</v>
      </c>
      <c r="L96" s="36">
        <v>4.3389812E-2</v>
      </c>
      <c r="M96" s="36">
        <v>0.41500587368674657</v>
      </c>
      <c r="N96" s="73"/>
      <c r="O96" s="59">
        <v>9</v>
      </c>
      <c r="P96" s="59">
        <v>10</v>
      </c>
      <c r="Q96" s="36">
        <v>4.3389812E-2</v>
      </c>
      <c r="R96" s="36">
        <v>3.3547466095645968E-2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202809</v>
      </c>
      <c r="C97" s="75">
        <v>254308990</v>
      </c>
      <c r="D97" s="36">
        <v>2.4247705865902986E-2</v>
      </c>
      <c r="E97" s="69">
        <v>12.539334546297255</v>
      </c>
      <c r="F97" s="73"/>
      <c r="G97" s="14" t="str">
        <f t="shared" si="5"/>
        <v>(10, 15]</v>
      </c>
      <c r="H97" s="70">
        <v>7.4456870269890443</v>
      </c>
      <c r="I97" s="36">
        <v>0.18054082900000001</v>
      </c>
      <c r="J97" s="36">
        <v>0.18054082900000004</v>
      </c>
      <c r="K97" s="71">
        <v>180540829</v>
      </c>
      <c r="L97" s="36">
        <v>0.18054082900000001</v>
      </c>
      <c r="M97" s="36">
        <v>2.2638618540968456</v>
      </c>
      <c r="N97" s="73"/>
      <c r="O97" s="59">
        <v>10</v>
      </c>
      <c r="P97" s="59">
        <v>15</v>
      </c>
      <c r="Q97" s="36">
        <v>0.18054082900000001</v>
      </c>
      <c r="R97" s="36">
        <v>0.145610278372591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194393</v>
      </c>
      <c r="C98" s="75">
        <v>341185810</v>
      </c>
      <c r="D98" s="36">
        <v>2.3241494639737285E-2</v>
      </c>
      <c r="E98" s="69">
        <v>17.551342383727807</v>
      </c>
      <c r="F98" s="73"/>
      <c r="G98" s="14" t="str">
        <f t="shared" si="5"/>
        <v>(15, 20]</v>
      </c>
      <c r="H98" s="70">
        <v>5.0711819023241738</v>
      </c>
      <c r="I98" s="36">
        <v>0.11786184700000002</v>
      </c>
      <c r="J98" s="36">
        <v>0.11786184700000003</v>
      </c>
      <c r="K98" s="71">
        <v>117861847</v>
      </c>
      <c r="L98" s="36">
        <v>0.11786184700000001</v>
      </c>
      <c r="M98" s="36">
        <v>2.0686336306755422</v>
      </c>
      <c r="N98" s="73"/>
      <c r="O98" s="59">
        <v>15</v>
      </c>
      <c r="P98" s="59">
        <v>20</v>
      </c>
      <c r="Q98" s="36">
        <v>0.11786184700000001</v>
      </c>
      <c r="R98" s="36">
        <v>0.10206995003568879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188251</v>
      </c>
      <c r="C99" s="75">
        <v>424612980</v>
      </c>
      <c r="D99" s="36">
        <v>2.2507161304291739E-2</v>
      </c>
      <c r="E99" s="69">
        <v>22.555682572735336</v>
      </c>
      <c r="F99" s="73"/>
      <c r="G99" s="14" t="str">
        <f t="shared" si="5"/>
        <v>(20, 25]</v>
      </c>
      <c r="H99" s="70">
        <v>4.6727901212466811</v>
      </c>
      <c r="I99" s="36">
        <v>0.105171241</v>
      </c>
      <c r="J99" s="36">
        <v>0.10517124100000001</v>
      </c>
      <c r="K99" s="71">
        <v>105171241</v>
      </c>
      <c r="L99" s="36">
        <v>0.105171241</v>
      </c>
      <c r="M99" s="36">
        <v>2.3722091277766482</v>
      </c>
      <c r="N99" s="73"/>
      <c r="O99" s="59">
        <v>20</v>
      </c>
      <c r="P99" s="59">
        <v>25</v>
      </c>
      <c r="Q99" s="36">
        <v>0.105171241</v>
      </c>
      <c r="R99" s="36">
        <v>9.7787294789436111E-2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184695</v>
      </c>
      <c r="C100" s="75">
        <v>508784530</v>
      </c>
      <c r="D100" s="36">
        <v>2.2082008367000239E-2</v>
      </c>
      <c r="E100" s="69">
        <v>27.547282276185062</v>
      </c>
      <c r="F100" s="73"/>
      <c r="G100" s="14" t="str">
        <f t="shared" si="5"/>
        <v>(25, 30]</v>
      </c>
      <c r="H100" s="70">
        <v>3.4329029198849943</v>
      </c>
      <c r="I100" s="36">
        <v>7.5805391E-2</v>
      </c>
      <c r="J100" s="36">
        <v>7.5805391000000014E-2</v>
      </c>
      <c r="K100" s="71">
        <v>75805391</v>
      </c>
      <c r="L100" s="36">
        <v>7.5805391E-2</v>
      </c>
      <c r="M100" s="36">
        <v>2.0882325039335785</v>
      </c>
      <c r="N100" s="73"/>
      <c r="O100" s="59">
        <v>25</v>
      </c>
      <c r="P100" s="59">
        <v>30</v>
      </c>
      <c r="Q100" s="36">
        <v>7.5805391E-2</v>
      </c>
      <c r="R100" s="36">
        <v>7.5660242683797285E-2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180804</v>
      </c>
      <c r="C101" s="75">
        <v>588557320</v>
      </c>
      <c r="D101" s="36">
        <v>2.1616803057944781E-2</v>
      </c>
      <c r="E101" s="69">
        <v>32.552228932988207</v>
      </c>
      <c r="F101" s="73"/>
      <c r="G101" s="14" t="str">
        <f t="shared" si="5"/>
        <v>(30, 35]</v>
      </c>
      <c r="H101" s="70">
        <v>2.8348238097806022</v>
      </c>
      <c r="I101" s="36">
        <v>6.1279827999999995E-2</v>
      </c>
      <c r="J101" s="36">
        <v>6.1279828000000001E-2</v>
      </c>
      <c r="K101" s="71">
        <v>61279828</v>
      </c>
      <c r="L101" s="36">
        <v>6.1279828000000001E-2</v>
      </c>
      <c r="M101" s="36">
        <v>1.9947949900301409</v>
      </c>
      <c r="N101" s="73"/>
      <c r="O101" s="59">
        <v>30</v>
      </c>
      <c r="P101" s="59">
        <v>35</v>
      </c>
      <c r="Q101" s="36">
        <v>6.1279828000000001E-2</v>
      </c>
      <c r="R101" s="36">
        <v>6.5667380442541043E-2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177130</v>
      </c>
      <c r="C102" s="75">
        <v>665155830</v>
      </c>
      <c r="D102" s="36">
        <v>2.1177542121046875E-2</v>
      </c>
      <c r="E102" s="69">
        <v>37.55184497261898</v>
      </c>
      <c r="F102" s="73"/>
      <c r="G102" s="14" t="str">
        <f t="shared" si="5"/>
        <v>(35, 40]</v>
      </c>
      <c r="H102" s="70">
        <v>2.5195383248451475</v>
      </c>
      <c r="I102" s="36">
        <v>5.3357628999999997E-2</v>
      </c>
      <c r="J102" s="36">
        <v>5.3357629000000004E-2</v>
      </c>
      <c r="K102" s="71">
        <v>53357629</v>
      </c>
      <c r="L102" s="36">
        <v>5.3357628999999997E-2</v>
      </c>
      <c r="M102" s="36">
        <v>2.0036774123145187</v>
      </c>
      <c r="N102" s="73"/>
      <c r="O102" s="59">
        <v>35</v>
      </c>
      <c r="P102" s="59">
        <v>40</v>
      </c>
      <c r="Q102" s="36">
        <v>5.3357628999999997E-2</v>
      </c>
      <c r="R102" s="36">
        <v>6.1384725196288369E-2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174735</v>
      </c>
      <c r="C103" s="75">
        <v>743586950</v>
      </c>
      <c r="D103" s="36">
        <v>2.0891197552764217E-2</v>
      </c>
      <c r="E103" s="69">
        <v>42.555123472687207</v>
      </c>
      <c r="F103" s="73"/>
      <c r="G103" s="14" t="str">
        <f t="shared" si="5"/>
        <v>(40, 45]</v>
      </c>
      <c r="H103" s="70">
        <v>2.4619005621913126</v>
      </c>
      <c r="I103" s="36">
        <v>5.1432050999999999E-2</v>
      </c>
      <c r="J103" s="36">
        <v>5.1432051000000006E-2</v>
      </c>
      <c r="K103" s="71">
        <v>51432051</v>
      </c>
      <c r="L103" s="36">
        <v>5.1432050999999999E-2</v>
      </c>
      <c r="M103" s="36">
        <v>2.1886972807585456</v>
      </c>
      <c r="N103" s="73"/>
      <c r="O103" s="59">
        <v>40</v>
      </c>
      <c r="P103" s="59">
        <v>45</v>
      </c>
      <c r="Q103" s="36">
        <v>5.1432050999999999E-2</v>
      </c>
      <c r="R103" s="36">
        <v>6.3526052819414702E-2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171139</v>
      </c>
      <c r="C104" s="75">
        <v>813719490</v>
      </c>
      <c r="D104" s="36">
        <v>2.0461262242724786E-2</v>
      </c>
      <c r="E104" s="69">
        <v>47.547285539824351</v>
      </c>
      <c r="F104" s="73"/>
      <c r="G104" s="14" t="str">
        <f t="shared" si="5"/>
        <v>(45, 50]</v>
      </c>
      <c r="H104" s="70">
        <v>1.9469619482622371</v>
      </c>
      <c r="I104" s="36">
        <v>3.9837299E-2</v>
      </c>
      <c r="J104" s="36">
        <v>3.9837299000000007E-2</v>
      </c>
      <c r="K104" s="71">
        <v>39837299</v>
      </c>
      <c r="L104" s="36">
        <v>3.9837299E-2</v>
      </c>
      <c r="M104" s="36">
        <v>1.894155430688359</v>
      </c>
      <c r="N104" s="73"/>
      <c r="O104" s="59">
        <v>45</v>
      </c>
      <c r="P104" s="59">
        <v>50</v>
      </c>
      <c r="Q104" s="36">
        <v>3.9837299E-2</v>
      </c>
      <c r="R104" s="36">
        <v>5.2819414703783013E-2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334569</v>
      </c>
      <c r="C105" s="75">
        <v>1841082090</v>
      </c>
      <c r="D105" s="36">
        <v>4.0000841697603637E-2</v>
      </c>
      <c r="E105" s="69">
        <v>55.028472153726135</v>
      </c>
      <c r="F105" s="73"/>
      <c r="G105" s="14" t="str">
        <f t="shared" si="5"/>
        <v>(50, 60]</v>
      </c>
      <c r="H105" s="70">
        <v>1.0649683654669708</v>
      </c>
      <c r="I105" s="36">
        <v>4.2599630999999999E-2</v>
      </c>
      <c r="J105" s="36">
        <v>4.2599631000000006E-2</v>
      </c>
      <c r="K105" s="71">
        <v>42599631</v>
      </c>
      <c r="L105" s="36">
        <v>4.2599630999999999E-2</v>
      </c>
      <c r="M105" s="36">
        <v>2.3441926082425084</v>
      </c>
      <c r="N105" s="73"/>
      <c r="O105" s="59">
        <v>50</v>
      </c>
      <c r="P105" s="59">
        <v>60</v>
      </c>
      <c r="Q105" s="36">
        <v>4.2599630999999999E-2</v>
      </c>
      <c r="R105" s="36">
        <v>3.1406138472519628E-2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324502</v>
      </c>
      <c r="C106" s="75">
        <v>2110213430</v>
      </c>
      <c r="D106" s="36">
        <v>3.8797238036266883E-2</v>
      </c>
      <c r="E106" s="69">
        <v>65.029288879575475</v>
      </c>
      <c r="F106" s="73"/>
      <c r="G106" s="14" t="str">
        <f t="shared" si="5"/>
        <v>(60, 70]</v>
      </c>
      <c r="H106" s="70">
        <v>0.433021339928777</v>
      </c>
      <c r="I106" s="36">
        <v>1.6800031999999999E-2</v>
      </c>
      <c r="J106" s="36">
        <v>1.6800032000000003E-2</v>
      </c>
      <c r="K106" s="71">
        <v>16800032</v>
      </c>
      <c r="L106" s="36">
        <v>1.6800031999999999E-2</v>
      </c>
      <c r="M106" s="36">
        <v>1.0924941341141121</v>
      </c>
      <c r="N106" s="73"/>
      <c r="O106" s="59">
        <v>60</v>
      </c>
      <c r="P106" s="59">
        <v>70</v>
      </c>
      <c r="Q106" s="36">
        <v>1.6800031999999999E-2</v>
      </c>
      <c r="R106" s="36">
        <v>2.8551034975017844E-2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313591</v>
      </c>
      <c r="C107" s="75">
        <v>2352848560</v>
      </c>
      <c r="D107" s="36">
        <v>3.7492726309948689E-2</v>
      </c>
      <c r="E107" s="69">
        <v>75.029211935291514</v>
      </c>
      <c r="F107" s="73"/>
      <c r="G107" s="14" t="str">
        <f t="shared" si="5"/>
        <v>(70, 80]</v>
      </c>
      <c r="H107" s="70">
        <v>0.30129868141924032</v>
      </c>
      <c r="I107" s="36">
        <v>1.1296509E-2</v>
      </c>
      <c r="J107" s="36">
        <v>1.1296509000000001E-2</v>
      </c>
      <c r="K107" s="71">
        <v>11296509</v>
      </c>
      <c r="L107" s="36">
        <v>1.1296509E-2</v>
      </c>
      <c r="M107" s="36">
        <v>0.84756816788992795</v>
      </c>
      <c r="N107" s="73"/>
      <c r="O107" s="59">
        <v>70</v>
      </c>
      <c r="P107" s="59">
        <v>80</v>
      </c>
      <c r="Q107" s="36">
        <v>1.1296509E-2</v>
      </c>
      <c r="R107" s="36">
        <v>2.2127052105638829E-2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302583</v>
      </c>
      <c r="C108" s="75">
        <v>2572701950</v>
      </c>
      <c r="D108" s="36">
        <v>3.6176617329716741E-2</v>
      </c>
      <c r="E108" s="69">
        <v>85.024669264301025</v>
      </c>
      <c r="F108" s="73"/>
      <c r="G108" s="14" t="str">
        <f t="shared" si="5"/>
        <v>(80, 90]</v>
      </c>
      <c r="H108" s="70">
        <v>0.20102147565981235</v>
      </c>
      <c r="I108" s="36">
        <v>7.2722769999999997E-3</v>
      </c>
      <c r="J108" s="36">
        <v>7.2722770000000006E-3</v>
      </c>
      <c r="K108" s="71">
        <v>7272277</v>
      </c>
      <c r="L108" s="36">
        <v>7.2722769999999997E-3</v>
      </c>
      <c r="M108" s="36">
        <v>0.61832294672338328</v>
      </c>
      <c r="N108" s="73"/>
      <c r="O108" s="59">
        <v>80</v>
      </c>
      <c r="P108" s="59">
        <v>90</v>
      </c>
      <c r="Q108" s="36">
        <v>7.2722769999999997E-3</v>
      </c>
      <c r="R108" s="36">
        <v>1.6416845110635261E-2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290174</v>
      </c>
      <c r="C109" s="75">
        <v>2757205050</v>
      </c>
      <c r="D109" s="36">
        <v>3.4693005743988349E-2</v>
      </c>
      <c r="E109" s="69">
        <v>95.019024792021341</v>
      </c>
      <c r="F109" s="73"/>
      <c r="G109" s="14" t="str">
        <f t="shared" si="5"/>
        <v>(90, 100]</v>
      </c>
      <c r="H109" s="81">
        <v>0.16606828599733953</v>
      </c>
      <c r="I109" s="79">
        <v>5.761408E-3</v>
      </c>
      <c r="J109" s="79">
        <v>5.7614080000000008E-3</v>
      </c>
      <c r="K109" s="71">
        <v>5761408</v>
      </c>
      <c r="L109" s="79">
        <v>5.761408E-3</v>
      </c>
      <c r="M109" s="79">
        <v>0.54744336958895012</v>
      </c>
      <c r="N109" s="73"/>
      <c r="O109" s="59">
        <v>90</v>
      </c>
      <c r="P109" s="59">
        <v>100</v>
      </c>
      <c r="Q109" s="36">
        <v>5.761408E-3</v>
      </c>
      <c r="R109" s="36">
        <v>1.4989293361884369E-2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544944</v>
      </c>
      <c r="C110" s="75">
        <v>5988889530</v>
      </c>
      <c r="D110" s="36">
        <v>6.515313336877869E-2</v>
      </c>
      <c r="E110" s="69">
        <v>109.89917367656126</v>
      </c>
      <c r="F110" s="73"/>
      <c r="G110" s="14" t="str">
        <f t="shared" si="5"/>
        <v>(100, 120]</v>
      </c>
      <c r="H110" s="81">
        <v>8.8630764192335357E-2</v>
      </c>
      <c r="I110" s="79">
        <v>5.7745720000000004E-3</v>
      </c>
      <c r="J110" s="79">
        <v>5.7745720000000013E-3</v>
      </c>
      <c r="K110" s="71">
        <v>5774572</v>
      </c>
      <c r="L110" s="79">
        <v>5.7745720000000004E-3</v>
      </c>
      <c r="M110" s="79">
        <v>0.63462069113580777</v>
      </c>
      <c r="N110" s="73"/>
      <c r="O110" s="59">
        <v>100</v>
      </c>
      <c r="P110" s="59">
        <v>120</v>
      </c>
      <c r="Q110" s="36">
        <v>5.7745720000000004E-3</v>
      </c>
      <c r="R110" s="36">
        <v>1.8558172733761598E-2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496474</v>
      </c>
      <c r="C111" s="75">
        <v>6448866850</v>
      </c>
      <c r="D111" s="36">
        <v>5.9358093191467433E-2</v>
      </c>
      <c r="E111" s="69">
        <v>129.89334486800919</v>
      </c>
      <c r="F111" s="73"/>
      <c r="G111" s="14" t="str">
        <f t="shared" si="5"/>
        <v>(120, 140]</v>
      </c>
      <c r="H111" s="81">
        <v>4.5069877689139816E-2</v>
      </c>
      <c r="I111" s="79">
        <v>2.6752619999999999E-3</v>
      </c>
      <c r="J111" s="79">
        <v>2.6752620000000003E-3</v>
      </c>
      <c r="K111" s="71">
        <v>2675262</v>
      </c>
      <c r="L111" s="79">
        <v>2.6752619999999999E-3</v>
      </c>
      <c r="M111" s="79">
        <v>0.34749872957827999</v>
      </c>
      <c r="N111" s="73"/>
      <c r="O111" s="59">
        <v>120</v>
      </c>
      <c r="P111" s="59">
        <v>140</v>
      </c>
      <c r="Q111" s="36">
        <v>2.6752619999999999E-3</v>
      </c>
      <c r="R111" s="36">
        <v>1.1420413990007138E-2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447550</v>
      </c>
      <c r="C112" s="75">
        <v>6707843560</v>
      </c>
      <c r="D112" s="36">
        <v>5.3508773083467111E-2</v>
      </c>
      <c r="E112" s="69">
        <v>149.8791991956206</v>
      </c>
      <c r="F112" s="73"/>
      <c r="G112" s="14" t="str">
        <f t="shared" si="5"/>
        <v>(140, 160]</v>
      </c>
      <c r="H112" s="81">
        <v>2.8232790866714333E-2</v>
      </c>
      <c r="I112" s="79">
        <v>1.5107020000000001E-3</v>
      </c>
      <c r="J112" s="79">
        <v>1.5107020000000003E-3</v>
      </c>
      <c r="K112" s="71">
        <v>1510702</v>
      </c>
      <c r="L112" s="79">
        <v>1.5107020000000001E-3</v>
      </c>
      <c r="M112" s="79">
        <v>0.22642280598322245</v>
      </c>
      <c r="N112" s="73"/>
      <c r="O112" s="59">
        <v>140</v>
      </c>
      <c r="P112" s="59">
        <v>160</v>
      </c>
      <c r="Q112" s="36">
        <v>1.5107020000000001E-3</v>
      </c>
      <c r="R112" s="36">
        <v>8.5653104925053538E-3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401699</v>
      </c>
      <c r="C113" s="75">
        <v>6824039140</v>
      </c>
      <c r="D113" s="36">
        <v>4.8026858761826954E-2</v>
      </c>
      <c r="E113" s="69">
        <v>169.87941568189115</v>
      </c>
      <c r="F113" s="73"/>
      <c r="G113" s="14" t="str">
        <f t="shared" si="5"/>
        <v>(160, 180]</v>
      </c>
      <c r="H113" s="81">
        <v>9.8661043469413685E-3</v>
      </c>
      <c r="I113" s="79">
        <v>4.7383800000000008E-4</v>
      </c>
      <c r="J113" s="79">
        <v>4.7383800000000013E-4</v>
      </c>
      <c r="K113" s="71">
        <v>473838</v>
      </c>
      <c r="L113" s="79">
        <v>4.7383800000000003E-4</v>
      </c>
      <c r="M113" s="79">
        <v>8.0495322567875935E-2</v>
      </c>
      <c r="N113" s="73"/>
      <c r="O113" s="59">
        <v>160</v>
      </c>
      <c r="P113" s="59">
        <v>180</v>
      </c>
      <c r="Q113" s="36">
        <v>4.7383800000000003E-4</v>
      </c>
      <c r="R113" s="36">
        <v>3.5688793718772305E-3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359175</v>
      </c>
      <c r="C114" s="75">
        <v>6819468580</v>
      </c>
      <c r="D114" s="36">
        <v>4.2942718293496371E-2</v>
      </c>
      <c r="E114" s="69">
        <v>189.86478958724857</v>
      </c>
      <c r="F114" s="73"/>
      <c r="G114" s="14" t="str">
        <f t="shared" si="5"/>
        <v>(180, 200]</v>
      </c>
      <c r="H114" s="81">
        <v>6.3961717123435652E-3</v>
      </c>
      <c r="I114" s="79">
        <v>2.7466900000000001E-4</v>
      </c>
      <c r="J114" s="79">
        <v>2.7466900000000006E-4</v>
      </c>
      <c r="K114" s="71">
        <v>274669</v>
      </c>
      <c r="L114" s="79">
        <v>2.7466900000000001E-4</v>
      </c>
      <c r="M114" s="79">
        <v>5.2149971891139978E-2</v>
      </c>
      <c r="N114" s="73"/>
      <c r="O114" s="59">
        <v>180</v>
      </c>
      <c r="P114" s="59">
        <v>200</v>
      </c>
      <c r="Q114" s="36">
        <v>2.7466900000000001E-4</v>
      </c>
      <c r="R114" s="36">
        <v>2.1413276231263384E-3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728579</v>
      </c>
      <c r="C115" s="75">
        <v>16300420450</v>
      </c>
      <c r="D115" s="36">
        <v>8.7108408857958633E-2</v>
      </c>
      <c r="E115" s="69">
        <v>223.72893605223319</v>
      </c>
      <c r="F115" s="73"/>
      <c r="G115" s="14" t="str">
        <f t="shared" si="5"/>
        <v>(200, 250]</v>
      </c>
      <c r="H115" s="81">
        <v>4.557883735970979E-3</v>
      </c>
      <c r="I115" s="79">
        <v>3.9703000000000004E-4</v>
      </c>
      <c r="J115" s="79">
        <v>3.9703000000000009E-4</v>
      </c>
      <c r="K115" s="71">
        <v>397030</v>
      </c>
      <c r="L115" s="79">
        <v>3.9702999999999998E-4</v>
      </c>
      <c r="M115" s="79">
        <v>8.8827099480818142E-2</v>
      </c>
      <c r="N115" s="73"/>
      <c r="O115" s="59">
        <v>200</v>
      </c>
      <c r="P115" s="59">
        <v>250</v>
      </c>
      <c r="Q115" s="36">
        <v>3.9702999999999998E-4</v>
      </c>
      <c r="R115" s="36">
        <v>6.4239828693790149E-3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527104</v>
      </c>
      <c r="C116" s="75">
        <v>14424519190</v>
      </c>
      <c r="D116" s="36">
        <v>6.3020195123199299E-2</v>
      </c>
      <c r="E116" s="69">
        <v>273.65603732849684</v>
      </c>
      <c r="F116" s="73"/>
      <c r="G116" s="14" t="str">
        <f t="shared" si="5"/>
        <v>(250, 300]</v>
      </c>
      <c r="H116" s="81">
        <v>3.0239195487645706E-3</v>
      </c>
      <c r="I116" s="79">
        <v>1.9056800000000001E-4</v>
      </c>
      <c r="J116" s="79">
        <v>1.9056800000000004E-4</v>
      </c>
      <c r="K116" s="71">
        <v>190568</v>
      </c>
      <c r="L116" s="79">
        <v>1.9056800000000001E-4</v>
      </c>
      <c r="M116" s="79">
        <v>5.2150083721616988E-2</v>
      </c>
      <c r="N116" s="73"/>
      <c r="O116" s="59">
        <v>250</v>
      </c>
      <c r="P116" s="59">
        <v>300</v>
      </c>
      <c r="Q116" s="36">
        <v>1.9056800000000001E-4</v>
      </c>
      <c r="R116" s="36">
        <v>7.1377587437544611E-4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376240</v>
      </c>
      <c r="C117" s="75">
        <v>12174194450</v>
      </c>
      <c r="D117" s="36">
        <v>4.4982998067084494E-2</v>
      </c>
      <c r="E117" s="69">
        <v>323.5752299064427</v>
      </c>
      <c r="F117" s="73"/>
      <c r="G117" s="14" t="str">
        <f t="shared" si="5"/>
        <v>(300, 350]</v>
      </c>
      <c r="H117" s="81">
        <v>3.5828647917074208E-3</v>
      </c>
      <c r="I117" s="79">
        <v>1.61168E-4</v>
      </c>
      <c r="J117" s="79">
        <v>1.6116800000000003E-4</v>
      </c>
      <c r="K117" s="71">
        <v>161168</v>
      </c>
      <c r="L117" s="79">
        <v>1.61168E-4</v>
      </c>
      <c r="M117" s="79">
        <v>5.2149972653561555E-2</v>
      </c>
      <c r="N117" s="73"/>
      <c r="O117" s="59">
        <v>300</v>
      </c>
      <c r="P117" s="59">
        <v>350</v>
      </c>
      <c r="Q117" s="36">
        <v>1.61168E-4</v>
      </c>
      <c r="R117" s="36">
        <v>0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263520</v>
      </c>
      <c r="C118" s="75">
        <v>9845768370</v>
      </c>
      <c r="D118" s="36">
        <v>3.1506271663401302E-2</v>
      </c>
      <c r="E118" s="69">
        <v>373.62508993624778</v>
      </c>
      <c r="F118" s="73"/>
      <c r="G118" s="14" t="str">
        <f t="shared" ref="G118:G149" si="7">"("&amp;$O118&amp;", "&amp;$P118&amp;"]"</f>
        <v>(350, 400]</v>
      </c>
      <c r="H118" s="81">
        <v>4.4301973109099882E-3</v>
      </c>
      <c r="I118" s="79">
        <v>1.39579E-4</v>
      </c>
      <c r="J118" s="79">
        <v>1.3957900000000003E-4</v>
      </c>
      <c r="K118" s="71">
        <v>139579</v>
      </c>
      <c r="L118" s="79">
        <v>1.39579E-4</v>
      </c>
      <c r="M118" s="79">
        <v>5.2150216428211528E-2</v>
      </c>
      <c r="N118" s="73"/>
      <c r="O118" s="59">
        <v>350</v>
      </c>
      <c r="P118" s="59">
        <v>400</v>
      </c>
      <c r="Q118" s="36">
        <v>1.39579E-4</v>
      </c>
      <c r="R118" s="36">
        <v>1.4275517487508922E-3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184753</v>
      </c>
      <c r="C119" s="75">
        <v>7824656320</v>
      </c>
      <c r="D119" s="36">
        <v>2.208894280748475E-2</v>
      </c>
      <c r="E119" s="69">
        <v>423.51985191038847</v>
      </c>
      <c r="F119" s="73"/>
      <c r="G119" s="14" t="str">
        <f t="shared" si="7"/>
        <v>(400, 450]</v>
      </c>
      <c r="H119" s="81">
        <v>5.5745085255178529E-3</v>
      </c>
      <c r="I119" s="79">
        <v>1.2313499999999999E-4</v>
      </c>
      <c r="J119" s="79">
        <v>1.2313500000000002E-4</v>
      </c>
      <c r="K119" s="71">
        <v>123135</v>
      </c>
      <c r="L119" s="79">
        <v>1.2313499999999999E-4</v>
      </c>
      <c r="M119" s="79">
        <v>5.2150116964985678E-2</v>
      </c>
      <c r="N119" s="73"/>
      <c r="O119" s="59">
        <v>400</v>
      </c>
      <c r="P119" s="59">
        <v>450</v>
      </c>
      <c r="Q119" s="36">
        <v>1.2313499999999999E-4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128657</v>
      </c>
      <c r="C120" s="75">
        <v>6093245310</v>
      </c>
      <c r="D120" s="36">
        <v>1.5382143265779528E-2</v>
      </c>
      <c r="E120" s="69">
        <v>473.60386997986899</v>
      </c>
      <c r="F120" s="73"/>
      <c r="G120" s="14" t="str">
        <f t="shared" si="7"/>
        <v>(450, 500]</v>
      </c>
      <c r="H120" s="81">
        <v>7.1584952823165468E-3</v>
      </c>
      <c r="I120" s="79">
        <v>1.1011299999999999E-4</v>
      </c>
      <c r="J120" s="79">
        <v>1.1011300000000001E-4</v>
      </c>
      <c r="K120" s="71">
        <v>110113</v>
      </c>
      <c r="L120" s="79">
        <v>1.1011299999999999E-4</v>
      </c>
      <c r="M120" s="79">
        <v>5.2149942935093313E-2</v>
      </c>
      <c r="N120" s="73"/>
      <c r="O120" s="59">
        <v>450</v>
      </c>
      <c r="P120" s="59">
        <v>500</v>
      </c>
      <c r="Q120" s="36">
        <v>1.1011299999999999E-4</v>
      </c>
      <c r="R120" s="36">
        <v>7.1377587437544611E-4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88357</v>
      </c>
      <c r="C121" s="75">
        <v>4625117990</v>
      </c>
      <c r="D121" s="36">
        <v>1.0563902722234172E-2</v>
      </c>
      <c r="E121" s="69">
        <v>523.45801577690509</v>
      </c>
      <c r="F121" s="73"/>
      <c r="G121" s="14" t="str">
        <f t="shared" si="7"/>
        <v>(500, 550]</v>
      </c>
      <c r="H121" s="81">
        <v>9.4307949078624217E-3</v>
      </c>
      <c r="I121" s="79">
        <v>9.9625999999999998E-5</v>
      </c>
      <c r="J121" s="79">
        <v>9.9626000000000011E-5</v>
      </c>
      <c r="K121" s="71">
        <v>99626</v>
      </c>
      <c r="L121" s="79">
        <v>9.9625999999999998E-5</v>
      </c>
      <c r="M121" s="79">
        <v>5.2150028279789942E-2</v>
      </c>
      <c r="N121" s="73"/>
      <c r="O121" s="59">
        <v>500</v>
      </c>
      <c r="P121" s="59">
        <v>550</v>
      </c>
      <c r="Q121" s="36">
        <v>9.9625999999999998E-5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61353</v>
      </c>
      <c r="C122" s="75">
        <v>3518119460</v>
      </c>
      <c r="D122" s="36">
        <v>7.3353228801026869E-3</v>
      </c>
      <c r="E122" s="69">
        <v>573.42256450377329</v>
      </c>
      <c r="F122" s="73"/>
      <c r="G122" s="14" t="str">
        <f t="shared" si="7"/>
        <v>(550, 600]</v>
      </c>
      <c r="H122" s="70">
        <v>1.239822724732287E-2</v>
      </c>
      <c r="I122" s="36">
        <v>9.0945000000000004E-5</v>
      </c>
      <c r="J122" s="36">
        <v>9.0945000000000018E-5</v>
      </c>
      <c r="K122" s="71">
        <v>90945</v>
      </c>
      <c r="L122" s="36">
        <v>9.0945000000000004E-5</v>
      </c>
      <c r="M122" s="36">
        <v>5.2149915128795667E-2</v>
      </c>
      <c r="N122" s="73"/>
      <c r="O122" s="59">
        <v>550</v>
      </c>
      <c r="P122" s="59">
        <v>600</v>
      </c>
      <c r="Q122" s="36">
        <v>9.0945000000000004E-5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42665</v>
      </c>
      <c r="C123" s="75">
        <v>2660290870</v>
      </c>
      <c r="D123" s="36">
        <v>5.1009983322670635E-3</v>
      </c>
      <c r="E123" s="69">
        <v>623.53002929801949</v>
      </c>
      <c r="F123" s="73"/>
      <c r="G123" s="14" t="str">
        <f t="shared" si="7"/>
        <v>(600, 650]</v>
      </c>
      <c r="H123" s="70">
        <v>1.6396202184765028E-2</v>
      </c>
      <c r="I123" s="36">
        <v>8.3636999999999999E-5</v>
      </c>
      <c r="J123" s="36">
        <v>8.3637000000000013E-5</v>
      </c>
      <c r="K123" s="71">
        <v>83637</v>
      </c>
      <c r="L123" s="36">
        <v>8.3636999999999999E-5</v>
      </c>
      <c r="M123" s="36">
        <v>5.2150181060398454E-2</v>
      </c>
      <c r="N123" s="73"/>
      <c r="O123" s="59">
        <v>600</v>
      </c>
      <c r="P123" s="59">
        <v>650</v>
      </c>
      <c r="Q123" s="36">
        <v>8.3636999999999999E-5</v>
      </c>
      <c r="R123" s="36">
        <v>0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29296</v>
      </c>
      <c r="C124" s="75">
        <v>1972914430</v>
      </c>
      <c r="D124" s="36">
        <v>3.502609800588208E-3</v>
      </c>
      <c r="E124" s="69">
        <v>673.44157222829062</v>
      </c>
      <c r="F124" s="73"/>
      <c r="G124" s="14" t="str">
        <f t="shared" si="7"/>
        <v>(650, 700]</v>
      </c>
      <c r="H124" s="70">
        <v>2.2108657375136537E-2</v>
      </c>
      <c r="I124" s="36">
        <v>7.7438E-5</v>
      </c>
      <c r="J124" s="36">
        <v>7.7438000000000013E-5</v>
      </c>
      <c r="K124" s="71">
        <v>77438</v>
      </c>
      <c r="L124" s="36">
        <v>7.7438E-5</v>
      </c>
      <c r="M124" s="36">
        <v>5.2149968470214372E-2</v>
      </c>
      <c r="N124" s="73"/>
      <c r="O124" s="59">
        <v>650</v>
      </c>
      <c r="P124" s="59">
        <v>700</v>
      </c>
      <c r="Q124" s="36">
        <v>7.7438E-5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20236</v>
      </c>
      <c r="C125" s="75">
        <v>1463960560</v>
      </c>
      <c r="D125" s="36">
        <v>2.4194023731807404E-3</v>
      </c>
      <c r="E125" s="69">
        <v>723.44364498912819</v>
      </c>
      <c r="F125" s="73"/>
      <c r="G125" s="14" t="str">
        <f t="shared" si="7"/>
        <v>(700, 750]</v>
      </c>
      <c r="H125" s="70">
        <v>2.9794961267740661E-2</v>
      </c>
      <c r="I125" s="36">
        <v>7.2086000000000001E-5</v>
      </c>
      <c r="J125" s="36">
        <v>7.2086000000000014E-5</v>
      </c>
      <c r="K125" s="71">
        <v>72086</v>
      </c>
      <c r="L125" s="36">
        <v>7.2086000000000001E-5</v>
      </c>
      <c r="M125" s="36">
        <v>5.2150158592686298E-2</v>
      </c>
      <c r="N125" s="73"/>
      <c r="O125" s="59">
        <v>700</v>
      </c>
      <c r="P125" s="59">
        <v>750</v>
      </c>
      <c r="Q125" s="36">
        <v>7.2086000000000001E-5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14051</v>
      </c>
      <c r="C126" s="75">
        <v>1086775270</v>
      </c>
      <c r="D126" s="36">
        <v>1.6799279870311616E-3</v>
      </c>
      <c r="E126" s="69">
        <v>773.45048039285462</v>
      </c>
      <c r="F126" s="73"/>
      <c r="G126" s="14" t="str">
        <f t="shared" si="7"/>
        <v>(750, 800]</v>
      </c>
      <c r="H126" s="70">
        <v>4.0135648980499608E-2</v>
      </c>
      <c r="I126" s="36">
        <v>6.7424999999999999E-5</v>
      </c>
      <c r="J126" s="36">
        <v>6.7425000000000013E-5</v>
      </c>
      <c r="K126" s="71">
        <v>67425</v>
      </c>
      <c r="L126" s="36">
        <v>6.7424999999999999E-5</v>
      </c>
      <c r="M126" s="36">
        <v>5.2149898640488225E-2</v>
      </c>
      <c r="N126" s="73"/>
      <c r="O126" s="59">
        <v>750</v>
      </c>
      <c r="P126" s="59">
        <v>800</v>
      </c>
      <c r="Q126" s="36">
        <v>6.7424999999999999E-5</v>
      </c>
      <c r="R126" s="36">
        <v>7.1377587437544611E-4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9888</v>
      </c>
      <c r="C127" s="75">
        <v>814515590</v>
      </c>
      <c r="D127" s="36">
        <v>1.1822025432897392E-3</v>
      </c>
      <c r="E127" s="69">
        <v>823.74149474110027</v>
      </c>
      <c r="F127" s="73"/>
      <c r="G127" s="14" t="str">
        <f t="shared" si="7"/>
        <v>(800, 850]</v>
      </c>
      <c r="H127" s="70">
        <v>5.3551737271541264E-2</v>
      </c>
      <c r="I127" s="36">
        <v>6.3309E-5</v>
      </c>
      <c r="J127" s="36">
        <v>6.3309000000000013E-5</v>
      </c>
      <c r="K127" s="71">
        <v>63309</v>
      </c>
      <c r="L127" s="36">
        <v>6.3309E-5</v>
      </c>
      <c r="M127" s="36">
        <v>5.2150250290564318E-2</v>
      </c>
      <c r="N127" s="73"/>
      <c r="O127" s="59">
        <v>800</v>
      </c>
      <c r="P127" s="59">
        <v>850</v>
      </c>
      <c r="Q127" s="36">
        <v>6.3309E-5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6851</v>
      </c>
      <c r="C128" s="75">
        <v>598465100</v>
      </c>
      <c r="D128" s="36">
        <v>8.1910089240271066E-4</v>
      </c>
      <c r="E128" s="69">
        <v>873.54415413808204</v>
      </c>
      <c r="F128" s="73"/>
      <c r="G128" s="14" t="str">
        <f t="shared" si="7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4931</v>
      </c>
      <c r="C129" s="75">
        <v>455292250</v>
      </c>
      <c r="D129" s="36">
        <v>5.895470005017905E-4</v>
      </c>
      <c r="E129" s="69">
        <v>923.3264043804503</v>
      </c>
      <c r="F129" s="73"/>
      <c r="G129" s="14" t="str">
        <f t="shared" si="7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0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3379</v>
      </c>
      <c r="C130" s="75">
        <v>328959390</v>
      </c>
      <c r="D130" s="36">
        <v>4.0399093788187992E-4</v>
      </c>
      <c r="E130" s="69">
        <v>973.54066291802314</v>
      </c>
      <c r="F130" s="73"/>
      <c r="G130" s="14" t="str">
        <f t="shared" si="7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9282</v>
      </c>
      <c r="C131" s="75">
        <v>1088039000</v>
      </c>
      <c r="D131" s="36">
        <v>1.1097495961585112E-3</v>
      </c>
      <c r="E131" s="69">
        <v>1172.2031889678949</v>
      </c>
      <c r="F131" s="73"/>
      <c r="G131" s="14" t="str">
        <f t="shared" si="7"/>
        <v>(1000, 2000]</v>
      </c>
      <c r="H131" s="70">
        <v>4.0089223869963372E-2</v>
      </c>
      <c r="I131" s="36">
        <v>4.4489E-5</v>
      </c>
      <c r="J131" s="36">
        <v>4.4489000000000007E-5</v>
      </c>
      <c r="K131" s="72">
        <v>44489</v>
      </c>
      <c r="L131" s="36">
        <v>4.4489E-5</v>
      </c>
      <c r="M131" s="36">
        <v>5.2150147673992675E-2</v>
      </c>
      <c r="N131" s="73"/>
      <c r="O131" s="59">
        <v>1000</v>
      </c>
      <c r="P131" s="59">
        <v>2000</v>
      </c>
      <c r="Q131" s="36">
        <v>4.4489E-5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96</v>
      </c>
      <c r="C132" s="75">
        <v>21722990</v>
      </c>
      <c r="D132" s="36">
        <v>1.1477694595046011E-5</v>
      </c>
      <c r="E132" s="69">
        <v>2262.8114583333336</v>
      </c>
      <c r="F132" s="73"/>
      <c r="G132" s="14" t="str">
        <f t="shared" si="7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</v>
      </c>
      <c r="C133" s="75">
        <v>673350</v>
      </c>
      <c r="D133" s="36">
        <v>2.3911863739679191E-7</v>
      </c>
      <c r="E133" s="69">
        <v>3366.75</v>
      </c>
      <c r="F133" s="73"/>
      <c r="G133" s="14" t="str">
        <f t="shared" si="7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0</v>
      </c>
      <c r="C134" s="75">
        <v>0</v>
      </c>
      <c r="D134" s="36">
        <v>0</v>
      </c>
      <c r="E134" s="69">
        <v>0</v>
      </c>
      <c r="F134" s="73"/>
      <c r="G134" s="14" t="str">
        <f t="shared" si="7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0</v>
      </c>
      <c r="C135" s="75">
        <v>0</v>
      </c>
      <c r="D135" s="36">
        <v>0</v>
      </c>
      <c r="E135" s="69">
        <v>0</v>
      </c>
      <c r="F135" s="73"/>
      <c r="G135" s="14" t="str">
        <f t="shared" si="7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0</v>
      </c>
      <c r="C136" s="75">
        <v>0</v>
      </c>
      <c r="D136" s="36">
        <v>0</v>
      </c>
      <c r="E136" s="69">
        <v>0</v>
      </c>
      <c r="F136" s="73"/>
      <c r="G136" s="14" t="str">
        <f t="shared" si="7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0</v>
      </c>
      <c r="C137" s="75">
        <v>0</v>
      </c>
      <c r="D137" s="36">
        <v>0</v>
      </c>
      <c r="E137" s="69">
        <v>0</v>
      </c>
      <c r="F137" s="73"/>
      <c r="G137" s="14" t="str">
        <f t="shared" si="7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0</v>
      </c>
      <c r="C138" s="75">
        <v>0</v>
      </c>
      <c r="D138" s="36">
        <v>0</v>
      </c>
      <c r="E138" s="69">
        <v>0</v>
      </c>
      <c r="F138" s="73"/>
      <c r="G138" s="14" t="str">
        <f t="shared" si="7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0</v>
      </c>
      <c r="C139" s="75">
        <v>0</v>
      </c>
      <c r="D139" s="36">
        <v>0</v>
      </c>
      <c r="E139" s="69">
        <v>0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0</v>
      </c>
      <c r="C140" s="75">
        <v>0</v>
      </c>
      <c r="D140" s="36">
        <v>0</v>
      </c>
      <c r="E140" s="69">
        <v>0</v>
      </c>
      <c r="F140" s="73"/>
      <c r="G140" s="14" t="str">
        <f t="shared" si="7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8364049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>
        <v>55218</v>
      </c>
      <c r="C163" s="82">
        <v>0</v>
      </c>
      <c r="D163" s="36" cm="1">
        <f t="array" ref="D163:D226">_xlfn.LET(_xlpm.x, B163:B226, _xlpm.x/SUM(_xlpm.x))</f>
        <v>6.6018264598880277E-3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0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84581</v>
      </c>
      <c r="C164" s="83">
        <v>4760560</v>
      </c>
      <c r="D164" s="36">
        <v>1.0112446734829028E-2</v>
      </c>
      <c r="E164" s="69">
        <v>0.56284035421666812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0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64013</v>
      </c>
      <c r="C165" s="83">
        <v>10029540</v>
      </c>
      <c r="D165" s="36">
        <v>7.6533506678404207E-3</v>
      </c>
      <c r="E165" s="69">
        <v>1.566797369284364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0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55751</v>
      </c>
      <c r="C166" s="83">
        <v>14330930</v>
      </c>
      <c r="D166" s="36">
        <v>6.6655515767542733E-3</v>
      </c>
      <c r="E166" s="69">
        <v>2.5705242955283314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0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49939</v>
      </c>
      <c r="C167" s="83">
        <v>17889880</v>
      </c>
      <c r="D167" s="36">
        <v>5.9706728164791957E-3</v>
      </c>
      <c r="E167" s="69">
        <v>3.5823464626844754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0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47937</v>
      </c>
      <c r="C168" s="83">
        <v>21917950</v>
      </c>
      <c r="D168" s="36">
        <v>5.7313150604450074E-3</v>
      </c>
      <c r="E168" s="69">
        <v>4.5722406491853897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3.5688793718772305E-3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46015</v>
      </c>
      <c r="C169" s="83">
        <v>25632270</v>
      </c>
      <c r="D169" s="36">
        <v>5.5015220499066899E-3</v>
      </c>
      <c r="E169" s="69">
        <v>5.5704161686406612</v>
      </c>
      <c r="F169" s="73"/>
      <c r="G169" s="14" t="str">
        <f t="shared" si="9"/>
        <v>(5, 6]</v>
      </c>
      <c r="H169" s="70">
        <v>6.2642640868056718</v>
      </c>
      <c r="I169" s="36">
        <v>3.4462987E-2</v>
      </c>
      <c r="J169" s="36">
        <v>3.4462987000000014E-2</v>
      </c>
      <c r="K169" s="71">
        <v>34462987</v>
      </c>
      <c r="L169" s="36">
        <v>3.4462987E-2</v>
      </c>
      <c r="M169" s="36">
        <v>0.19197318000445293</v>
      </c>
      <c r="N169" s="73"/>
      <c r="O169" s="59">
        <v>5</v>
      </c>
      <c r="P169" s="59">
        <v>6</v>
      </c>
      <c r="Q169" s="36">
        <v>3.4462987E-2</v>
      </c>
      <c r="R169" s="36">
        <v>3.5688793718772309E-2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43596</v>
      </c>
      <c r="C170" s="83">
        <v>28617500</v>
      </c>
      <c r="D170" s="36">
        <v>5.2123080579752701E-3</v>
      </c>
      <c r="E170" s="69">
        <v>6.5642490136709783</v>
      </c>
      <c r="F170" s="73"/>
      <c r="G170" s="14" t="str">
        <f t="shared" si="9"/>
        <v>(6, 7]</v>
      </c>
      <c r="H170" s="70">
        <v>5.6873386358356042</v>
      </c>
      <c r="I170" s="36">
        <v>2.9644160999999999E-2</v>
      </c>
      <c r="J170" s="36">
        <v>2.9644161000000013E-2</v>
      </c>
      <c r="K170" s="71">
        <v>29644161</v>
      </c>
      <c r="L170" s="36">
        <v>2.9644160999999999E-2</v>
      </c>
      <c r="M170" s="36">
        <v>0.19459165460535369</v>
      </c>
      <c r="N170" s="73"/>
      <c r="O170" s="59">
        <v>6</v>
      </c>
      <c r="P170" s="59">
        <v>7</v>
      </c>
      <c r="Q170" s="36">
        <v>2.9644160999999999E-2</v>
      </c>
      <c r="R170" s="36">
        <v>3.0692362598144184E-2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43437</v>
      </c>
      <c r="C171" s="83">
        <v>32884090</v>
      </c>
      <c r="D171" s="36">
        <v>5.1932981263022255E-3</v>
      </c>
      <c r="E171" s="69">
        <v>7.5705251283468007</v>
      </c>
      <c r="F171" s="73"/>
      <c r="G171" s="14" t="str">
        <f t="shared" si="9"/>
        <v>(7, 8]</v>
      </c>
      <c r="H171" s="70">
        <v>6.1076507122429948</v>
      </c>
      <c r="I171" s="36">
        <v>3.1718850999999999E-2</v>
      </c>
      <c r="J171" s="36">
        <v>3.1718851000000013E-2</v>
      </c>
      <c r="K171" s="71">
        <v>31718851</v>
      </c>
      <c r="L171" s="36">
        <v>3.1718850999999999E-2</v>
      </c>
      <c r="M171" s="36">
        <v>0.24012835853778805</v>
      </c>
      <c r="N171" s="73"/>
      <c r="O171" s="59">
        <v>7</v>
      </c>
      <c r="P171" s="59">
        <v>8</v>
      </c>
      <c r="Q171" s="36">
        <v>3.1718850999999999E-2</v>
      </c>
      <c r="R171" s="36">
        <v>3.2833690221270521E-2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42950</v>
      </c>
      <c r="C172" s="83">
        <v>36789480</v>
      </c>
      <c r="D172" s="36">
        <v>5.135072738096106E-3</v>
      </c>
      <c r="E172" s="69">
        <v>8.5656530849825376</v>
      </c>
      <c r="F172" s="73"/>
      <c r="G172" s="14" t="str">
        <f t="shared" si="9"/>
        <v>(8, 9]</v>
      </c>
      <c r="H172" s="70">
        <v>5.9095390752441679</v>
      </c>
      <c r="I172" s="36">
        <v>3.0345912999999999E-2</v>
      </c>
      <c r="J172" s="36">
        <v>3.0345913000000013E-2</v>
      </c>
      <c r="K172" s="71">
        <v>30345913</v>
      </c>
      <c r="L172" s="36">
        <v>3.0345912999999999E-2</v>
      </c>
      <c r="M172" s="36">
        <v>0.2599325633050617</v>
      </c>
      <c r="N172" s="73"/>
      <c r="O172" s="59">
        <v>8</v>
      </c>
      <c r="P172" s="59">
        <v>9</v>
      </c>
      <c r="Q172" s="36">
        <v>3.0345912999999999E-2</v>
      </c>
      <c r="R172" s="36">
        <v>3.1406138472519628E-2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42155</v>
      </c>
      <c r="C173" s="83">
        <v>40319540</v>
      </c>
      <c r="D173" s="36">
        <v>5.0400230797308819E-3</v>
      </c>
      <c r="E173" s="69">
        <v>9.5645925750207574</v>
      </c>
      <c r="F173" s="73"/>
      <c r="G173" s="14" t="str">
        <f t="shared" si="9"/>
        <v>(9, 10]</v>
      </c>
      <c r="H173" s="70">
        <v>6.4328159786385708</v>
      </c>
      <c r="I173" s="36">
        <v>3.2421540999999998E-2</v>
      </c>
      <c r="J173" s="36">
        <v>3.2421541000000012E-2</v>
      </c>
      <c r="K173" s="71">
        <v>32421541</v>
      </c>
      <c r="L173" s="36">
        <v>3.2421540999999998E-2</v>
      </c>
      <c r="M173" s="36">
        <v>0.31009883031933105</v>
      </c>
      <c r="N173" s="73"/>
      <c r="O173" s="59">
        <v>9</v>
      </c>
      <c r="P173" s="59">
        <v>10</v>
      </c>
      <c r="Q173" s="36">
        <v>3.2421540999999998E-2</v>
      </c>
      <c r="R173" s="36">
        <v>3.3547466095645968E-2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202809</v>
      </c>
      <c r="C174" s="83">
        <v>254308990</v>
      </c>
      <c r="D174" s="36">
        <v>2.4247705865902986E-2</v>
      </c>
      <c r="E174" s="69">
        <v>12.539334546297255</v>
      </c>
      <c r="F174" s="73"/>
      <c r="G174" s="14" t="str">
        <f t="shared" si="9"/>
        <v>(10, 15]</v>
      </c>
      <c r="H174" s="70">
        <v>5.8070842569071335</v>
      </c>
      <c r="I174" s="36">
        <v>0.14080847099999999</v>
      </c>
      <c r="J174" s="36">
        <v>0.14080847100000005</v>
      </c>
      <c r="K174" s="71">
        <v>140808471</v>
      </c>
      <c r="L174" s="36">
        <v>0.14080847099999999</v>
      </c>
      <c r="M174" s="36">
        <v>1.7656445248215951</v>
      </c>
      <c r="N174" s="73"/>
      <c r="O174" s="59">
        <v>10</v>
      </c>
      <c r="P174" s="59">
        <v>15</v>
      </c>
      <c r="Q174" s="36">
        <v>0.14080847099999999</v>
      </c>
      <c r="R174" s="36">
        <v>0.145610278372591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194393</v>
      </c>
      <c r="C175" s="83">
        <v>341185810</v>
      </c>
      <c r="D175" s="36">
        <v>2.3241494639737285E-2</v>
      </c>
      <c r="E175" s="69">
        <v>17.551342383727807</v>
      </c>
      <c r="F175" s="73"/>
      <c r="G175" s="14" t="str">
        <f t="shared" si="9"/>
        <v>(15, 20]</v>
      </c>
      <c r="H175" s="70">
        <v>4.2512183717766634</v>
      </c>
      <c r="I175" s="36">
        <v>9.8804668999999998E-2</v>
      </c>
      <c r="J175" s="36">
        <v>9.8804669000000039E-2</v>
      </c>
      <c r="K175" s="71">
        <v>98804669</v>
      </c>
      <c r="L175" s="36">
        <v>9.8804668999999998E-2</v>
      </c>
      <c r="M175" s="36">
        <v>1.734154574729897</v>
      </c>
      <c r="N175" s="73"/>
      <c r="O175" s="59">
        <v>15</v>
      </c>
      <c r="P175" s="59">
        <v>20</v>
      </c>
      <c r="Q175" s="36">
        <v>9.8804668999999998E-2</v>
      </c>
      <c r="R175" s="36">
        <v>0.10206995003568879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188251</v>
      </c>
      <c r="C176" s="83">
        <v>424612980</v>
      </c>
      <c r="D176" s="36">
        <v>2.2507161304291739E-2</v>
      </c>
      <c r="E176" s="69">
        <v>22.555682572735336</v>
      </c>
      <c r="F176" s="73"/>
      <c r="G176" s="14" t="str">
        <f t="shared" si="9"/>
        <v>(20, 25]</v>
      </c>
      <c r="H176" s="70">
        <v>4.2100127474508175</v>
      </c>
      <c r="I176" s="36">
        <v>9.4755435999999985E-2</v>
      </c>
      <c r="J176" s="36">
        <v>9.4755436000000026E-2</v>
      </c>
      <c r="K176" s="71">
        <v>94755436</v>
      </c>
      <c r="L176" s="36">
        <v>9.4755435999999998E-2</v>
      </c>
      <c r="M176" s="36">
        <v>2.1372735364571382</v>
      </c>
      <c r="N176" s="73"/>
      <c r="O176" s="59">
        <v>20</v>
      </c>
      <c r="P176" s="59">
        <v>25</v>
      </c>
      <c r="Q176" s="36">
        <v>9.4755435999999998E-2</v>
      </c>
      <c r="R176" s="36">
        <v>9.7787294789436111E-2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184695</v>
      </c>
      <c r="C177" s="83">
        <v>508784530</v>
      </c>
      <c r="D177" s="36">
        <v>2.2082008367000239E-2</v>
      </c>
      <c r="E177" s="69">
        <v>27.547282276185062</v>
      </c>
      <c r="F177" s="73"/>
      <c r="G177" s="14" t="str">
        <f t="shared" si="9"/>
        <v>(25, 30]</v>
      </c>
      <c r="H177" s="70">
        <v>3.3234708446933543</v>
      </c>
      <c r="I177" s="36">
        <v>7.3388911000000001E-2</v>
      </c>
      <c r="J177" s="36">
        <v>7.3388911000000029E-2</v>
      </c>
      <c r="K177" s="71">
        <v>73388911</v>
      </c>
      <c r="L177" s="36">
        <v>7.3388911000000001E-2</v>
      </c>
      <c r="M177" s="36">
        <v>2.0216650472588231</v>
      </c>
      <c r="N177" s="73"/>
      <c r="O177" s="59">
        <v>25</v>
      </c>
      <c r="P177" s="59">
        <v>30</v>
      </c>
      <c r="Q177" s="36">
        <v>7.3388911000000001E-2</v>
      </c>
      <c r="R177" s="36">
        <v>7.5660242683797285E-2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180804</v>
      </c>
      <c r="C178" s="83">
        <v>588557320</v>
      </c>
      <c r="D178" s="36">
        <v>2.1616803057944781E-2</v>
      </c>
      <c r="E178" s="69">
        <v>32.552228932988207</v>
      </c>
      <c r="F178" s="73"/>
      <c r="G178" s="14" t="str">
        <f t="shared" si="9"/>
        <v>(30, 35]</v>
      </c>
      <c r="H178" s="70">
        <v>2.9496000323954505</v>
      </c>
      <c r="I178" s="36">
        <v>6.3760922999999997E-2</v>
      </c>
      <c r="J178" s="36">
        <v>6.3760923000000025E-2</v>
      </c>
      <c r="K178" s="71">
        <v>63760923</v>
      </c>
      <c r="L178" s="36">
        <v>6.3760922999999997E-2</v>
      </c>
      <c r="M178" s="36">
        <v>2.0755601624746332</v>
      </c>
      <c r="N178" s="73"/>
      <c r="O178" s="59">
        <v>30</v>
      </c>
      <c r="P178" s="59">
        <v>35</v>
      </c>
      <c r="Q178" s="36">
        <v>6.3760922999999997E-2</v>
      </c>
      <c r="R178" s="36">
        <v>6.5667380442541043E-2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177130</v>
      </c>
      <c r="C179" s="83">
        <v>665155830</v>
      </c>
      <c r="D179" s="36">
        <v>2.1177542121046875E-2</v>
      </c>
      <c r="E179" s="69">
        <v>37.55184497261898</v>
      </c>
      <c r="F179" s="73"/>
      <c r="G179" s="14" t="str">
        <f t="shared" si="9"/>
        <v>(35, 40]</v>
      </c>
      <c r="H179" s="70">
        <v>2.8172888836190708</v>
      </c>
      <c r="I179" s="36">
        <v>5.9663253999999999E-2</v>
      </c>
      <c r="J179" s="36">
        <v>5.9663254000000027E-2</v>
      </c>
      <c r="K179" s="71">
        <v>59663254</v>
      </c>
      <c r="L179" s="36">
        <v>5.9663253999999999E-2</v>
      </c>
      <c r="M179" s="36">
        <v>2.2404652647699894</v>
      </c>
      <c r="N179" s="73"/>
      <c r="O179" s="59">
        <v>35</v>
      </c>
      <c r="P179" s="59">
        <v>40</v>
      </c>
      <c r="Q179" s="36">
        <v>5.9663253999999999E-2</v>
      </c>
      <c r="R179" s="36">
        <v>6.1384725196288369E-2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174735</v>
      </c>
      <c r="C180" s="83">
        <v>743586950</v>
      </c>
      <c r="D180" s="36">
        <v>2.0891197552764217E-2</v>
      </c>
      <c r="E180" s="69">
        <v>42.555123472687207</v>
      </c>
      <c r="F180" s="73"/>
      <c r="G180" s="14" t="str">
        <f t="shared" si="9"/>
        <v>(40, 45]</v>
      </c>
      <c r="H180" s="70">
        <v>2.9585382955618051</v>
      </c>
      <c r="I180" s="36">
        <v>6.1807408000000001E-2</v>
      </c>
      <c r="J180" s="36">
        <v>6.1807408000000029E-2</v>
      </c>
      <c r="K180" s="71">
        <v>61807408</v>
      </c>
      <c r="L180" s="36">
        <v>6.1807408000000001E-2</v>
      </c>
      <c r="M180" s="36">
        <v>2.6302218789667551</v>
      </c>
      <c r="N180" s="73"/>
      <c r="O180" s="59">
        <v>40</v>
      </c>
      <c r="P180" s="59">
        <v>45</v>
      </c>
      <c r="Q180" s="36">
        <v>6.1807408000000001E-2</v>
      </c>
      <c r="R180" s="36">
        <v>6.3526052819414702E-2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171139</v>
      </c>
      <c r="C181" s="83">
        <v>813719490</v>
      </c>
      <c r="D181" s="36">
        <v>2.0461262242724786E-2</v>
      </c>
      <c r="E181" s="69">
        <v>47.547285539824351</v>
      </c>
      <c r="F181" s="73"/>
      <c r="G181" s="14" t="str">
        <f t="shared" si="9"/>
        <v>(45, 50]</v>
      </c>
      <c r="H181" s="70">
        <v>2.5141482666002664</v>
      </c>
      <c r="I181" s="36">
        <v>5.1442647000000001E-2</v>
      </c>
      <c r="J181" s="36">
        <v>5.1442647000000022E-2</v>
      </c>
      <c r="K181" s="71">
        <v>51442647</v>
      </c>
      <c r="L181" s="36">
        <v>5.1442647000000001E-2</v>
      </c>
      <c r="M181" s="36">
        <v>2.4459582258333885</v>
      </c>
      <c r="N181" s="73"/>
      <c r="O181" s="59">
        <v>45</v>
      </c>
      <c r="P181" s="59">
        <v>50</v>
      </c>
      <c r="Q181" s="36">
        <v>5.1442647000000001E-2</v>
      </c>
      <c r="R181" s="36">
        <v>5.2819414703783013E-2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334569</v>
      </c>
      <c r="C182" s="83">
        <v>1841082090</v>
      </c>
      <c r="D182" s="36">
        <v>4.0000841697603637E-2</v>
      </c>
      <c r="E182" s="69">
        <v>55.028472153726135</v>
      </c>
      <c r="F182" s="73"/>
      <c r="G182" s="14" t="str">
        <f t="shared" si="9"/>
        <v>(50, 60]</v>
      </c>
      <c r="H182" s="70">
        <v>1.5316731448596104</v>
      </c>
      <c r="I182" s="36">
        <v>6.1268215000000001E-2</v>
      </c>
      <c r="J182" s="36">
        <v>6.1268215000000029E-2</v>
      </c>
      <c r="K182" s="71">
        <v>61268215</v>
      </c>
      <c r="L182" s="36">
        <v>6.1268215000000001E-2</v>
      </c>
      <c r="M182" s="36">
        <v>3.3714962630360059</v>
      </c>
      <c r="N182" s="73"/>
      <c r="O182" s="59">
        <v>50</v>
      </c>
      <c r="P182" s="59">
        <v>60</v>
      </c>
      <c r="Q182" s="36">
        <v>6.1268215000000001E-2</v>
      </c>
      <c r="R182" s="36">
        <v>3.1406138472519628E-2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324502</v>
      </c>
      <c r="C183" s="83">
        <v>2110213430</v>
      </c>
      <c r="D183" s="36">
        <v>3.8797238036266883E-2</v>
      </c>
      <c r="E183" s="69">
        <v>65.029288879575475</v>
      </c>
      <c r="F183" s="73"/>
      <c r="G183" s="14" t="str">
        <f t="shared" si="9"/>
        <v>(60, 70]</v>
      </c>
      <c r="H183" s="70">
        <v>0.71927558281118154</v>
      </c>
      <c r="I183" s="36">
        <v>2.7905906000000001E-2</v>
      </c>
      <c r="J183" s="36">
        <v>2.7905906000000015E-2</v>
      </c>
      <c r="K183" s="71">
        <v>27905906</v>
      </c>
      <c r="L183" s="36">
        <v>2.7905906000000001E-2</v>
      </c>
      <c r="M183" s="36">
        <v>1.8147012227202786</v>
      </c>
      <c r="N183" s="73"/>
      <c r="O183" s="59">
        <v>60</v>
      </c>
      <c r="P183" s="59">
        <v>70</v>
      </c>
      <c r="Q183" s="36">
        <v>2.7905906000000001E-2</v>
      </c>
      <c r="R183" s="36">
        <v>2.8551034975017844E-2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313591</v>
      </c>
      <c r="C184" s="83">
        <v>2352848560</v>
      </c>
      <c r="D184" s="36">
        <v>3.7492726309948689E-2</v>
      </c>
      <c r="E184" s="69">
        <v>75.029211935291514</v>
      </c>
      <c r="F184" s="73"/>
      <c r="G184" s="14" t="str">
        <f t="shared" si="9"/>
        <v>(70, 80]</v>
      </c>
      <c r="H184" s="70">
        <v>0.57800859347615841</v>
      </c>
      <c r="I184" s="36">
        <v>2.1671118E-2</v>
      </c>
      <c r="J184" s="36">
        <v>2.167111800000001E-2</v>
      </c>
      <c r="K184" s="71">
        <v>21671118</v>
      </c>
      <c r="L184" s="36">
        <v>2.1671118E-2</v>
      </c>
      <c r="M184" s="36">
        <v>1.6259669052967107</v>
      </c>
      <c r="N184" s="73"/>
      <c r="O184" s="59">
        <v>70</v>
      </c>
      <c r="P184" s="59">
        <v>80</v>
      </c>
      <c r="Q184" s="36">
        <v>2.1671118E-2</v>
      </c>
      <c r="R184" s="36">
        <v>2.2127052105638829E-2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302583</v>
      </c>
      <c r="C185" s="83">
        <v>2572701950</v>
      </c>
      <c r="D185" s="36">
        <v>3.6176617329716741E-2</v>
      </c>
      <c r="E185" s="69">
        <v>85.024669264301025</v>
      </c>
      <c r="F185" s="73"/>
      <c r="G185" s="14" t="str">
        <f t="shared" si="9"/>
        <v>(80, 90]</v>
      </c>
      <c r="H185" s="70">
        <v>0.44535117402382485</v>
      </c>
      <c r="I185" s="36">
        <v>1.6111298999999999E-2</v>
      </c>
      <c r="J185" s="36">
        <v>1.6111299000000006E-2</v>
      </c>
      <c r="K185" s="71">
        <v>16111299</v>
      </c>
      <c r="L185" s="36">
        <v>1.6111298999999999E-2</v>
      </c>
      <c r="M185" s="36">
        <v>1.3698578688932637</v>
      </c>
      <c r="N185" s="73"/>
      <c r="O185" s="59">
        <v>80</v>
      </c>
      <c r="P185" s="59">
        <v>90</v>
      </c>
      <c r="Q185" s="36">
        <v>1.6111298999999999E-2</v>
      </c>
      <c r="R185" s="36">
        <v>1.6416845110635261E-2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290174</v>
      </c>
      <c r="C186" s="83">
        <v>2757205050</v>
      </c>
      <c r="D186" s="36">
        <v>3.4693005743988349E-2</v>
      </c>
      <c r="E186" s="69">
        <v>95.019024792021341</v>
      </c>
      <c r="F186" s="73"/>
      <c r="G186" s="14" t="str">
        <f t="shared" si="9"/>
        <v>(90, 100]</v>
      </c>
      <c r="H186" s="70">
        <v>0.42487687889522835</v>
      </c>
      <c r="I186" s="36">
        <v>1.4740255999999998E-2</v>
      </c>
      <c r="J186" s="36">
        <v>1.4740256000000005E-2</v>
      </c>
      <c r="K186" s="71">
        <v>14740256</v>
      </c>
      <c r="L186" s="36">
        <v>1.4740256E-2</v>
      </c>
      <c r="M186" s="36">
        <v>1.4006047503047414</v>
      </c>
      <c r="N186" s="73"/>
      <c r="O186" s="59">
        <v>90</v>
      </c>
      <c r="P186" s="59">
        <v>100</v>
      </c>
      <c r="Q186" s="36">
        <v>1.4740256E-2</v>
      </c>
      <c r="R186" s="36">
        <v>1.4989293361884369E-2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544944</v>
      </c>
      <c r="C187" s="83">
        <v>5988889530</v>
      </c>
      <c r="D187" s="36">
        <v>6.515313336877869E-2</v>
      </c>
      <c r="E187" s="69">
        <v>109.89917367656126</v>
      </c>
      <c r="F187" s="73"/>
      <c r="G187" s="14" t="str">
        <f t="shared" si="9"/>
        <v>(100, 120]</v>
      </c>
      <c r="H187" s="70">
        <v>0.28095609610038824</v>
      </c>
      <c r="I187" s="36">
        <v>1.8305169999999999E-2</v>
      </c>
      <c r="J187" s="36">
        <v>1.8305170000000006E-2</v>
      </c>
      <c r="K187" s="71">
        <v>18305170</v>
      </c>
      <c r="L187" s="36">
        <v>1.8305169999999999E-2</v>
      </c>
      <c r="M187" s="36">
        <v>2.0117230570089788</v>
      </c>
      <c r="N187" s="73"/>
      <c r="O187" s="59">
        <v>100</v>
      </c>
      <c r="P187" s="59">
        <v>120</v>
      </c>
      <c r="Q187" s="36">
        <v>1.8305169999999999E-2</v>
      </c>
      <c r="R187" s="36">
        <v>1.8558172733761598E-2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496474</v>
      </c>
      <c r="C188" s="83">
        <v>6448866850</v>
      </c>
      <c r="D188" s="36">
        <v>5.9358093191467433E-2</v>
      </c>
      <c r="E188" s="69">
        <v>129.89334486800919</v>
      </c>
      <c r="F188" s="73"/>
      <c r="G188" s="14" t="str">
        <f t="shared" si="9"/>
        <v>(120, 140]</v>
      </c>
      <c r="H188" s="70">
        <v>0.1905491128819797</v>
      </c>
      <c r="I188" s="36">
        <v>1.1310631999999999E-2</v>
      </c>
      <c r="J188" s="36">
        <v>1.1310632000000004E-2</v>
      </c>
      <c r="K188" s="71">
        <v>11310632</v>
      </c>
      <c r="L188" s="36">
        <v>1.1310631999999999E-2</v>
      </c>
      <c r="M188" s="36">
        <v>1.4691758230511405</v>
      </c>
      <c r="N188" s="73"/>
      <c r="O188" s="59">
        <v>120</v>
      </c>
      <c r="P188" s="59">
        <v>140</v>
      </c>
      <c r="Q188" s="36">
        <v>1.1310631999999999E-2</v>
      </c>
      <c r="R188" s="36">
        <v>1.1420413990007138E-2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447550</v>
      </c>
      <c r="C189" s="83">
        <v>6707843560</v>
      </c>
      <c r="D189" s="36">
        <v>5.3508773083467111E-2</v>
      </c>
      <c r="E189" s="69">
        <v>149.8791991956206</v>
      </c>
      <c r="F189" s="73"/>
      <c r="G189" s="14" t="str">
        <f t="shared" si="9"/>
        <v>(140, 160]</v>
      </c>
      <c r="H189" s="70">
        <v>0.1591801588631773</v>
      </c>
      <c r="I189" s="36">
        <v>8.5175349999999997E-3</v>
      </c>
      <c r="J189" s="36">
        <v>8.5175350000000032E-3</v>
      </c>
      <c r="K189" s="71">
        <v>8517535</v>
      </c>
      <c r="L189" s="36">
        <v>8.5175349999999997E-3</v>
      </c>
      <c r="M189" s="36">
        <v>1.2766013249206702</v>
      </c>
      <c r="N189" s="73"/>
      <c r="O189" s="59">
        <v>140</v>
      </c>
      <c r="P189" s="59">
        <v>160</v>
      </c>
      <c r="Q189" s="36">
        <v>8.5175349999999997E-3</v>
      </c>
      <c r="R189" s="36">
        <v>8.5653104925053538E-3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401699</v>
      </c>
      <c r="C190" s="83">
        <v>6824039140</v>
      </c>
      <c r="D190" s="36">
        <v>4.8026858761826954E-2</v>
      </c>
      <c r="E190" s="69">
        <v>169.87941568189115</v>
      </c>
      <c r="F190" s="73"/>
      <c r="G190" s="14" t="str">
        <f t="shared" si="9"/>
        <v>(160, 180]</v>
      </c>
      <c r="H190" s="70">
        <v>7.4196857589035575E-2</v>
      </c>
      <c r="I190" s="36">
        <v>3.563442E-3</v>
      </c>
      <c r="J190" s="36">
        <v>3.5634420000000017E-3</v>
      </c>
      <c r="K190" s="71">
        <v>3563442</v>
      </c>
      <c r="L190" s="36">
        <v>3.563442E-3</v>
      </c>
      <c r="M190" s="36">
        <v>0.60535544477630954</v>
      </c>
      <c r="N190" s="73"/>
      <c r="O190" s="59">
        <v>160</v>
      </c>
      <c r="P190" s="59">
        <v>180</v>
      </c>
      <c r="Q190" s="36">
        <v>3.563442E-3</v>
      </c>
      <c r="R190" s="36">
        <v>3.5688793718772305E-3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359175</v>
      </c>
      <c r="C191" s="83">
        <v>6819468580</v>
      </c>
      <c r="D191" s="36">
        <v>4.2942718293496371E-2</v>
      </c>
      <c r="E191" s="69">
        <v>189.86478958724857</v>
      </c>
      <c r="F191" s="73"/>
      <c r="G191" s="14" t="str">
        <f t="shared" si="9"/>
        <v>(180, 200]</v>
      </c>
      <c r="H191" s="70">
        <v>4.9991618726314468E-2</v>
      </c>
      <c r="I191" s="36">
        <v>2.146776E-3</v>
      </c>
      <c r="J191" s="36">
        <v>2.1467760000000008E-3</v>
      </c>
      <c r="K191" s="71">
        <v>2146776</v>
      </c>
      <c r="L191" s="36">
        <v>2.146776E-3</v>
      </c>
      <c r="M191" s="36">
        <v>0.40759717353095515</v>
      </c>
      <c r="N191" s="73"/>
      <c r="O191" s="59">
        <v>180</v>
      </c>
      <c r="P191" s="59">
        <v>200</v>
      </c>
      <c r="Q191" s="36">
        <v>2.146776E-3</v>
      </c>
      <c r="R191" s="36">
        <v>2.1413276231263384E-3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728579</v>
      </c>
      <c r="C192" s="83">
        <v>16300420450</v>
      </c>
      <c r="D192" s="36">
        <v>8.7108408857958633E-2</v>
      </c>
      <c r="E192" s="69">
        <v>223.72893605223319</v>
      </c>
      <c r="F192" s="73"/>
      <c r="G192" s="14" t="str">
        <f t="shared" si="9"/>
        <v>(200, 250]</v>
      </c>
      <c r="H192" s="70">
        <v>7.4445729006190134E-2</v>
      </c>
      <c r="I192" s="36">
        <v>6.4848490000000009E-3</v>
      </c>
      <c r="J192" s="36">
        <v>6.4848490000000035E-3</v>
      </c>
      <c r="K192" s="71">
        <v>6484849</v>
      </c>
      <c r="L192" s="36">
        <v>6.484849E-3</v>
      </c>
      <c r="M192" s="36">
        <v>1.4508483672293884</v>
      </c>
      <c r="N192" s="73"/>
      <c r="O192" s="59">
        <v>200</v>
      </c>
      <c r="P192" s="59">
        <v>250</v>
      </c>
      <c r="Q192" s="36">
        <v>6.484849E-3</v>
      </c>
      <c r="R192" s="36">
        <v>6.4239828693790149E-3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527104</v>
      </c>
      <c r="C193" s="83">
        <v>14424519190</v>
      </c>
      <c r="D193" s="36">
        <v>6.3020195123199299E-2</v>
      </c>
      <c r="E193" s="69">
        <v>273.65603732849684</v>
      </c>
      <c r="F193" s="73"/>
      <c r="G193" s="14" t="str">
        <f t="shared" si="9"/>
        <v>(250, 300]</v>
      </c>
      <c r="H193" s="70">
        <v>1.1550170521957717E-2</v>
      </c>
      <c r="I193" s="36">
        <v>7.2789399999999998E-4</v>
      </c>
      <c r="J193" s="36">
        <v>7.2789400000000031E-4</v>
      </c>
      <c r="K193" s="71">
        <v>727894</v>
      </c>
      <c r="L193" s="36">
        <v>7.2789399999999998E-4</v>
      </c>
      <c r="M193" s="36">
        <v>0.19919258763518888</v>
      </c>
      <c r="N193" s="73"/>
      <c r="O193" s="59">
        <v>250</v>
      </c>
      <c r="P193" s="59">
        <v>300</v>
      </c>
      <c r="Q193" s="36">
        <v>7.2789399999999998E-4</v>
      </c>
      <c r="R193" s="36">
        <v>7.1377587437544611E-4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376240</v>
      </c>
      <c r="C194" s="83">
        <v>12174194450</v>
      </c>
      <c r="D194" s="36">
        <v>4.4982998067084494E-2</v>
      </c>
      <c r="E194" s="69">
        <v>323.5752299064427</v>
      </c>
      <c r="F194" s="73"/>
      <c r="G194" s="14" t="str">
        <f t="shared" si="9"/>
        <v>(300, 350]</v>
      </c>
      <c r="H194" s="70">
        <v>5.1475893104029344E-3</v>
      </c>
      <c r="I194" s="36">
        <v>2.31554E-4</v>
      </c>
      <c r="J194" s="36">
        <v>2.3155400000000011E-4</v>
      </c>
      <c r="K194" s="71">
        <v>231554</v>
      </c>
      <c r="L194" s="36">
        <v>2.31554E-4</v>
      </c>
      <c r="M194" s="36">
        <v>7.4925138785756434E-2</v>
      </c>
      <c r="N194" s="73"/>
      <c r="O194" s="59">
        <v>300</v>
      </c>
      <c r="P194" s="59">
        <v>350</v>
      </c>
      <c r="Q194" s="36">
        <v>2.31554E-4</v>
      </c>
      <c r="R194" s="36">
        <v>0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263520</v>
      </c>
      <c r="C195" s="83">
        <v>9845768370</v>
      </c>
      <c r="D195" s="36">
        <v>3.1506271663401302E-2</v>
      </c>
      <c r="E195" s="69">
        <v>373.62508993624778</v>
      </c>
      <c r="F195" s="73"/>
      <c r="G195" s="14" t="str">
        <f t="shared" ref="G195:G226" si="11">"("&amp;$O195&amp;", "&amp;$P195&amp;"]"</f>
        <v>(350, 400]</v>
      </c>
      <c r="H195" s="70">
        <v>4.7155658907297358E-2</v>
      </c>
      <c r="I195" s="36">
        <v>1.485699E-3</v>
      </c>
      <c r="J195" s="36">
        <v>1.4856990000000007E-3</v>
      </c>
      <c r="K195" s="71">
        <v>1485699</v>
      </c>
      <c r="L195" s="36">
        <v>1.485699E-3</v>
      </c>
      <c r="M195" s="36">
        <v>0.55509442249319341</v>
      </c>
      <c r="N195" s="73"/>
      <c r="O195" s="59">
        <v>350</v>
      </c>
      <c r="P195" s="59">
        <v>400</v>
      </c>
      <c r="Q195" s="36">
        <v>1.485699E-3</v>
      </c>
      <c r="R195" s="36">
        <v>1.4275517487508922E-3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184753</v>
      </c>
      <c r="C196" s="83">
        <v>7824656320</v>
      </c>
      <c r="D196" s="36">
        <v>2.208894280748475E-2</v>
      </c>
      <c r="E196" s="69">
        <v>423.51985191038847</v>
      </c>
      <c r="F196" s="73"/>
      <c r="G196" s="14" t="str">
        <f t="shared" si="11"/>
        <v>(400, 450]</v>
      </c>
      <c r="H196" s="70">
        <v>8.0090297458715147E-3</v>
      </c>
      <c r="I196" s="36">
        <v>1.76911E-4</v>
      </c>
      <c r="J196" s="36">
        <v>1.7691100000000008E-4</v>
      </c>
      <c r="K196" s="71">
        <v>176911</v>
      </c>
      <c r="L196" s="36">
        <v>1.76911E-4</v>
      </c>
      <c r="M196" s="36">
        <v>7.4925320521318728E-2</v>
      </c>
      <c r="N196" s="73"/>
      <c r="O196" s="59">
        <v>400</v>
      </c>
      <c r="P196" s="59">
        <v>450</v>
      </c>
      <c r="Q196" s="36">
        <v>1.76911E-4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128657</v>
      </c>
      <c r="C197" s="83">
        <v>6093245310</v>
      </c>
      <c r="D197" s="36">
        <v>1.5382143265779528E-2</v>
      </c>
      <c r="E197" s="69">
        <v>473.60386997986899</v>
      </c>
      <c r="F197" s="73"/>
      <c r="G197" s="14" t="str">
        <f t="shared" si="11"/>
        <v>(450, 500]</v>
      </c>
      <c r="H197" s="70">
        <v>4.9285264537001487E-2</v>
      </c>
      <c r="I197" s="36">
        <v>7.5811300000000004E-4</v>
      </c>
      <c r="J197" s="36">
        <v>7.5811300000000036E-4</v>
      </c>
      <c r="K197" s="71">
        <v>758113</v>
      </c>
      <c r="L197" s="36">
        <v>7.5811300000000004E-4</v>
      </c>
      <c r="M197" s="36">
        <v>0.35904525068204846</v>
      </c>
      <c r="N197" s="73"/>
      <c r="O197" s="59">
        <v>450</v>
      </c>
      <c r="P197" s="59">
        <v>500</v>
      </c>
      <c r="Q197" s="36">
        <v>7.5811300000000004E-4</v>
      </c>
      <c r="R197" s="36">
        <v>7.1377587437544611E-4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88357</v>
      </c>
      <c r="C198" s="83">
        <v>4625117990</v>
      </c>
      <c r="D198" s="36">
        <v>1.0563902722234172E-2</v>
      </c>
      <c r="E198" s="69">
        <v>523.45801577690509</v>
      </c>
      <c r="F198" s="73"/>
      <c r="G198" s="14" t="str">
        <f t="shared" si="11"/>
        <v>(500, 550]</v>
      </c>
      <c r="H198" s="70">
        <v>1.3549443208970426E-2</v>
      </c>
      <c r="I198" s="36">
        <v>1.4313499999999999E-4</v>
      </c>
      <c r="J198" s="36">
        <v>1.4313500000000004E-4</v>
      </c>
      <c r="K198" s="71">
        <v>143135</v>
      </c>
      <c r="L198" s="36">
        <v>1.4313499999999999E-4</v>
      </c>
      <c r="M198" s="36">
        <v>7.4925163088227303E-2</v>
      </c>
      <c r="N198" s="73"/>
      <c r="O198" s="59">
        <v>500</v>
      </c>
      <c r="P198" s="59">
        <v>550</v>
      </c>
      <c r="Q198" s="36">
        <v>1.4313499999999999E-4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61353</v>
      </c>
      <c r="C199" s="83">
        <v>3518119460</v>
      </c>
      <c r="D199" s="36">
        <v>7.3353228801026869E-3</v>
      </c>
      <c r="E199" s="69">
        <v>573.42256450377329</v>
      </c>
      <c r="F199" s="73"/>
      <c r="G199" s="14" t="str">
        <f t="shared" si="11"/>
        <v>(550, 600]</v>
      </c>
      <c r="H199" s="70">
        <v>1.7812849159568399E-2</v>
      </c>
      <c r="I199" s="36">
        <v>1.3066299999999999E-4</v>
      </c>
      <c r="J199" s="36">
        <v>1.3066300000000005E-4</v>
      </c>
      <c r="K199" s="71">
        <v>130663</v>
      </c>
      <c r="L199" s="36">
        <v>1.3066299999999999E-4</v>
      </c>
      <c r="M199" s="36">
        <v>7.4925112545756525E-2</v>
      </c>
      <c r="N199" s="73"/>
      <c r="O199" s="59">
        <v>550</v>
      </c>
      <c r="P199" s="59">
        <v>600</v>
      </c>
      <c r="Q199" s="36">
        <v>1.3066299999999999E-4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42665</v>
      </c>
      <c r="C200" s="83">
        <v>2660290870</v>
      </c>
      <c r="D200" s="36">
        <v>5.1009983322670635E-3</v>
      </c>
      <c r="E200" s="69">
        <v>623.53002929801949</v>
      </c>
      <c r="F200" s="73"/>
      <c r="G200" s="14" t="str">
        <f t="shared" si="11"/>
        <v>(600, 650]</v>
      </c>
      <c r="H200" s="70">
        <v>2.3556761279432788E-2</v>
      </c>
      <c r="I200" s="36">
        <v>1.2016299999999999E-4</v>
      </c>
      <c r="J200" s="36">
        <v>1.2016300000000005E-4</v>
      </c>
      <c r="K200" s="71">
        <v>120163</v>
      </c>
      <c r="L200" s="36">
        <v>1.2016299999999999E-4</v>
      </c>
      <c r="M200" s="36">
        <v>7.4925238910537914E-2</v>
      </c>
      <c r="N200" s="73"/>
      <c r="O200" s="59">
        <v>600</v>
      </c>
      <c r="P200" s="59">
        <v>650</v>
      </c>
      <c r="Q200" s="36">
        <v>1.2016299999999999E-4</v>
      </c>
      <c r="R200" s="36">
        <v>0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29296</v>
      </c>
      <c r="C201" s="83">
        <v>1972914430</v>
      </c>
      <c r="D201" s="36">
        <v>3.502609800588208E-3</v>
      </c>
      <c r="E201" s="69">
        <v>673.44157222829062</v>
      </c>
      <c r="F201" s="73"/>
      <c r="G201" s="14" t="str">
        <f t="shared" si="11"/>
        <v>(650, 700]</v>
      </c>
      <c r="H201" s="70">
        <v>3.1764029205113321E-2</v>
      </c>
      <c r="I201" s="36">
        <v>1.1125699999999998E-4</v>
      </c>
      <c r="J201" s="36">
        <v>1.1125700000000004E-4</v>
      </c>
      <c r="K201" s="71">
        <v>111257</v>
      </c>
      <c r="L201" s="36">
        <v>1.11257E-4</v>
      </c>
      <c r="M201" s="36">
        <v>7.4925089001402934E-2</v>
      </c>
      <c r="N201" s="73"/>
      <c r="O201" s="59">
        <v>650</v>
      </c>
      <c r="P201" s="59">
        <v>700</v>
      </c>
      <c r="Q201" s="36">
        <v>1.11257E-4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20236</v>
      </c>
      <c r="C202" s="83">
        <v>1463960560</v>
      </c>
      <c r="D202" s="36">
        <v>2.4194023731807404E-3</v>
      </c>
      <c r="E202" s="69">
        <v>723.44364498912819</v>
      </c>
      <c r="F202" s="73"/>
      <c r="G202" s="14" t="str">
        <f t="shared" si="11"/>
        <v>(700, 750]</v>
      </c>
      <c r="H202" s="70">
        <v>4.2807265607432303E-2</v>
      </c>
      <c r="I202" s="36">
        <v>1.0356800000000001E-4</v>
      </c>
      <c r="J202" s="36">
        <v>1.0356800000000005E-4</v>
      </c>
      <c r="K202" s="71">
        <v>103568</v>
      </c>
      <c r="L202" s="36">
        <v>1.03568E-4</v>
      </c>
      <c r="M202" s="36">
        <v>7.4925611424234026E-2</v>
      </c>
      <c r="N202" s="73"/>
      <c r="O202" s="59">
        <v>700</v>
      </c>
      <c r="P202" s="59">
        <v>750</v>
      </c>
      <c r="Q202" s="36">
        <v>1.03568E-4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14051</v>
      </c>
      <c r="C203" s="83">
        <v>1086775270</v>
      </c>
      <c r="D203" s="36">
        <v>1.6799279870311616E-3</v>
      </c>
      <c r="E203" s="69">
        <v>773.45048039285462</v>
      </c>
      <c r="F203" s="73"/>
      <c r="G203" s="14" t="str">
        <f t="shared" si="11"/>
        <v>(750, 800]</v>
      </c>
      <c r="H203" s="70">
        <v>0.47966163205843004</v>
      </c>
      <c r="I203" s="36">
        <v>8.0579700000000002E-4</v>
      </c>
      <c r="J203" s="36">
        <v>8.0579700000000035E-4</v>
      </c>
      <c r="K203" s="71">
        <v>805797</v>
      </c>
      <c r="L203" s="36">
        <v>8.0579700000000002E-4</v>
      </c>
      <c r="M203" s="36">
        <v>0.62324407674912108</v>
      </c>
      <c r="N203" s="73"/>
      <c r="O203" s="59">
        <v>750</v>
      </c>
      <c r="P203" s="59">
        <v>800</v>
      </c>
      <c r="Q203" s="36">
        <v>8.0579700000000002E-4</v>
      </c>
      <c r="R203" s="36">
        <v>7.1377587437544611E-4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9888</v>
      </c>
      <c r="C204" s="83">
        <v>814515590</v>
      </c>
      <c r="D204" s="36">
        <v>1.1822025432897392E-3</v>
      </c>
      <c r="E204" s="69">
        <v>823.74149474110027</v>
      </c>
      <c r="F204" s="73"/>
      <c r="G204" s="14" t="str">
        <f t="shared" si="11"/>
        <v>(800, 850]</v>
      </c>
      <c r="H204" s="70">
        <v>7.6938592727851945E-2</v>
      </c>
      <c r="I204" s="36">
        <v>9.0957000000000003E-5</v>
      </c>
      <c r="J204" s="36">
        <v>9.0957000000000044E-5</v>
      </c>
      <c r="K204" s="71">
        <v>90957</v>
      </c>
      <c r="L204" s="36">
        <v>9.0957000000000003E-5</v>
      </c>
      <c r="M204" s="36">
        <v>7.4925055137166255E-2</v>
      </c>
      <c r="N204" s="73"/>
      <c r="O204" s="59">
        <v>800</v>
      </c>
      <c r="P204" s="59">
        <v>850</v>
      </c>
      <c r="Q204" s="36">
        <v>9.0957000000000003E-5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6851</v>
      </c>
      <c r="C205" s="83">
        <v>598465100</v>
      </c>
      <c r="D205" s="36">
        <v>8.1910089240271066E-4</v>
      </c>
      <c r="E205" s="69">
        <v>873.54415413808204</v>
      </c>
      <c r="F205" s="73"/>
      <c r="G205" s="14" t="str">
        <f t="shared" si="11"/>
        <v>(850, 900]</v>
      </c>
      <c r="H205" s="70">
        <v>0</v>
      </c>
      <c r="I205" s="36">
        <v>0</v>
      </c>
      <c r="J205" s="36">
        <v>0</v>
      </c>
      <c r="K205" s="72">
        <v>0</v>
      </c>
      <c r="L205" s="36">
        <v>0</v>
      </c>
      <c r="M205" s="36">
        <v>0</v>
      </c>
      <c r="N205" s="73"/>
      <c r="O205" s="59">
        <v>850</v>
      </c>
      <c r="P205" s="59">
        <v>900</v>
      </c>
      <c r="Q205" s="36">
        <v>0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4931</v>
      </c>
      <c r="C206" s="83">
        <v>455292250</v>
      </c>
      <c r="D206" s="36">
        <v>5.895470005017905E-4</v>
      </c>
      <c r="E206" s="69">
        <v>923.3264043804503</v>
      </c>
      <c r="F206" s="73"/>
      <c r="G206" s="14" t="str">
        <f t="shared" si="11"/>
        <v>(900, 950]</v>
      </c>
      <c r="H206" s="70">
        <v>0</v>
      </c>
      <c r="I206" s="36">
        <v>0</v>
      </c>
      <c r="J206" s="36">
        <v>0</v>
      </c>
      <c r="K206" s="72">
        <v>0</v>
      </c>
      <c r="L206" s="36">
        <v>0</v>
      </c>
      <c r="M206" s="36">
        <v>0</v>
      </c>
      <c r="N206" s="73"/>
      <c r="O206" s="59">
        <v>900</v>
      </c>
      <c r="P206" s="59">
        <v>950</v>
      </c>
      <c r="Q206" s="36">
        <v>0</v>
      </c>
      <c r="R206" s="36">
        <v>0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3379</v>
      </c>
      <c r="C207" s="83">
        <v>328959390</v>
      </c>
      <c r="D207" s="36">
        <v>4.0399093788187992E-4</v>
      </c>
      <c r="E207" s="69">
        <v>973.54066291802314</v>
      </c>
      <c r="F207" s="73"/>
      <c r="G207" s="14" t="str">
        <f t="shared" si="11"/>
        <v>(950, 1000]</v>
      </c>
      <c r="H207" s="70">
        <v>0</v>
      </c>
      <c r="I207" s="36">
        <v>0</v>
      </c>
      <c r="J207" s="36">
        <v>0</v>
      </c>
      <c r="K207" s="72">
        <v>0</v>
      </c>
      <c r="L207" s="36">
        <v>0</v>
      </c>
      <c r="M207" s="36">
        <v>0</v>
      </c>
      <c r="N207" s="73"/>
      <c r="O207" s="59">
        <v>950</v>
      </c>
      <c r="P207" s="59">
        <v>1000</v>
      </c>
      <c r="Q207" s="36">
        <v>0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9282</v>
      </c>
      <c r="C208" s="83">
        <v>1088039000</v>
      </c>
      <c r="D208" s="36">
        <v>1.1097495961585112E-3</v>
      </c>
      <c r="E208" s="69">
        <v>1172.2031889678949</v>
      </c>
      <c r="F208" s="73"/>
      <c r="G208" s="14" t="str">
        <f t="shared" si="11"/>
        <v>(1000, 2000]</v>
      </c>
      <c r="H208" s="70">
        <v>5.759767808995906E-2</v>
      </c>
      <c r="I208" s="36">
        <v>6.3918999999999996E-5</v>
      </c>
      <c r="J208" s="36">
        <v>6.3919000000000023E-5</v>
      </c>
      <c r="K208" s="72">
        <v>63919</v>
      </c>
      <c r="L208" s="36">
        <v>6.3918999999999996E-5</v>
      </c>
      <c r="M208" s="36">
        <v>7.4926055635638866E-2</v>
      </c>
      <c r="N208" s="73"/>
      <c r="O208" s="59">
        <v>1000</v>
      </c>
      <c r="P208" s="59">
        <v>2000</v>
      </c>
      <c r="Q208" s="36">
        <v>6.3918999999999996E-5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96</v>
      </c>
      <c r="C209" s="83">
        <v>21722990</v>
      </c>
      <c r="D209" s="36">
        <v>1.1477694595046011E-5</v>
      </c>
      <c r="E209" s="69">
        <v>2262.8114583333336</v>
      </c>
      <c r="F209" s="73"/>
      <c r="G209" s="14" t="str">
        <f t="shared" si="11"/>
        <v>(2000, 3000]</v>
      </c>
      <c r="H209" s="70">
        <v>0</v>
      </c>
      <c r="I209" s="36">
        <v>0</v>
      </c>
      <c r="J209" s="36">
        <v>0</v>
      </c>
      <c r="K209" s="72">
        <v>0</v>
      </c>
      <c r="L209" s="36">
        <v>0</v>
      </c>
      <c r="M209" s="36">
        <v>0</v>
      </c>
      <c r="N209" s="73"/>
      <c r="O209" s="59">
        <v>2000</v>
      </c>
      <c r="P209" s="59">
        <v>3000</v>
      </c>
      <c r="Q209" s="36">
        <v>0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</v>
      </c>
      <c r="C210" s="83">
        <v>673350</v>
      </c>
      <c r="D210" s="36">
        <v>2.3911863739679191E-7</v>
      </c>
      <c r="E210" s="69">
        <v>3366.75</v>
      </c>
      <c r="F210" s="73"/>
      <c r="G210" s="14" t="str">
        <f t="shared" si="11"/>
        <v>(3000, 4000]</v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0</v>
      </c>
      <c r="C211" s="83">
        <v>0</v>
      </c>
      <c r="D211" s="36">
        <v>0</v>
      </c>
      <c r="E211" s="69">
        <v>0</v>
      </c>
      <c r="F211" s="73"/>
      <c r="G211" s="14" t="str">
        <f t="shared" si="11"/>
        <v>(4000, 5000]</v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0</v>
      </c>
      <c r="C212" s="83">
        <v>0</v>
      </c>
      <c r="D212" s="36">
        <v>0</v>
      </c>
      <c r="E212" s="69">
        <v>0</v>
      </c>
      <c r="F212" s="73"/>
      <c r="G212" s="14" t="str">
        <f t="shared" si="11"/>
        <v>(5000, 6000]</v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0</v>
      </c>
      <c r="C213" s="83">
        <v>0</v>
      </c>
      <c r="D213" s="36">
        <v>0</v>
      </c>
      <c r="E213" s="69">
        <v>0</v>
      </c>
      <c r="F213" s="73"/>
      <c r="G213" s="14" t="str">
        <f t="shared" si="11"/>
        <v>(6000, 7000]</v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0</v>
      </c>
      <c r="C214" s="83">
        <v>0</v>
      </c>
      <c r="D214" s="36">
        <v>0</v>
      </c>
      <c r="E214" s="69">
        <v>0</v>
      </c>
      <c r="F214" s="73"/>
      <c r="G214" s="14" t="str">
        <f t="shared" si="11"/>
        <v>(7000, 8000]</v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0</v>
      </c>
      <c r="C215" s="83">
        <v>0</v>
      </c>
      <c r="D215" s="36">
        <v>0</v>
      </c>
      <c r="E215" s="69">
        <v>0</v>
      </c>
      <c r="F215" s="73"/>
      <c r="G215" s="14" t="str">
        <f t="shared" si="11"/>
        <v>(8000, 9000]</v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0</v>
      </c>
      <c r="C216" s="83">
        <v>0</v>
      </c>
      <c r="D216" s="36">
        <v>0</v>
      </c>
      <c r="E216" s="69">
        <v>0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0</v>
      </c>
      <c r="C217" s="83">
        <v>0</v>
      </c>
      <c r="D217" s="36">
        <v>0</v>
      </c>
      <c r="E217" s="69">
        <v>0</v>
      </c>
      <c r="F217" s="73"/>
      <c r="G217" s="14" t="str">
        <f t="shared" si="11"/>
        <v>(10000, 20000]</v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  <row r="227" spans="1:21" x14ac:dyDescent="0.3">
      <c r="F227" s="4"/>
      <c r="N227" s="4"/>
      <c r="O227" s="4"/>
      <c r="P227" s="4"/>
    </row>
    <row r="230" spans="1:21" s="87" customFormat="1" ht="15.6" collapsed="1" x14ac:dyDescent="0.3">
      <c r="A230" s="96" t="s">
        <v>129</v>
      </c>
      <c r="B230" s="96" t="s">
        <v>91</v>
      </c>
      <c r="C230" s="96"/>
      <c r="D230" s="84"/>
      <c r="E230" s="84"/>
      <c r="F230" s="85"/>
      <c r="G230" s="96" t="s">
        <v>129</v>
      </c>
      <c r="H230" s="96" t="s">
        <v>91</v>
      </c>
      <c r="I230" s="86"/>
      <c r="J230" s="86"/>
      <c r="K230" s="86"/>
      <c r="L230" s="86"/>
      <c r="M230" s="86"/>
      <c r="N230" s="85"/>
      <c r="O230" s="96" t="s">
        <v>129</v>
      </c>
      <c r="P230" s="96" t="s">
        <v>91</v>
      </c>
    </row>
    <row r="231" spans="1:21" x14ac:dyDescent="0.3">
      <c r="A231" s="38"/>
      <c r="B231" s="1"/>
      <c r="C231" s="1"/>
      <c r="D231" s="1"/>
      <c r="E231" s="1"/>
      <c r="G231" s="46"/>
      <c r="H231" s="38"/>
      <c r="I231" s="38"/>
      <c r="J231" s="38"/>
      <c r="K231" s="38"/>
      <c r="L231" s="38"/>
      <c r="M231" s="38"/>
    </row>
    <row r="232" spans="1:21" x14ac:dyDescent="0.3">
      <c r="A232" s="65" t="s">
        <v>119</v>
      </c>
      <c r="C232" s="1"/>
      <c r="D232" s="1"/>
      <c r="E232" s="1"/>
      <c r="G232" s="65" t="s">
        <v>103</v>
      </c>
      <c r="H232" s="38"/>
      <c r="I232" s="38"/>
      <c r="J232" s="38"/>
      <c r="L232" s="38"/>
      <c r="M232" s="38"/>
    </row>
    <row r="233" spans="1:21" x14ac:dyDescent="0.3">
      <c r="A233" s="9" t="s">
        <v>109</v>
      </c>
      <c r="B233" s="9" t="s">
        <v>106</v>
      </c>
      <c r="C233" s="9" t="s">
        <v>107</v>
      </c>
      <c r="D233" s="9" t="s">
        <v>108</v>
      </c>
      <c r="E233" s="9" t="s">
        <v>87</v>
      </c>
      <c r="G233" s="9" t="s">
        <v>109</v>
      </c>
      <c r="H233" s="9" t="s">
        <v>110</v>
      </c>
      <c r="I233" s="9" t="s">
        <v>111</v>
      </c>
      <c r="J233" s="9" t="s">
        <v>112</v>
      </c>
      <c r="K233" s="9" t="s">
        <v>113</v>
      </c>
      <c r="L233" s="9" t="s">
        <v>88</v>
      </c>
      <c r="M233" s="9" t="s">
        <v>114</v>
      </c>
      <c r="O233" s="9" t="s">
        <v>104</v>
      </c>
      <c r="P233" s="9" t="s">
        <v>105</v>
      </c>
      <c r="Q233" s="12" t="s">
        <v>120</v>
      </c>
      <c r="R233" s="12" t="s">
        <v>115</v>
      </c>
      <c r="T233" s="12" t="s">
        <v>120</v>
      </c>
      <c r="U233" s="12" t="s">
        <v>116</v>
      </c>
    </row>
    <row r="234" spans="1:21" x14ac:dyDescent="0.3">
      <c r="A234" s="14" t="str">
        <f t="shared" ref="A234:A297" si="12">"("&amp;$O234&amp;", "&amp;$P234&amp;"]"</f>
        <v>(-1, 0]</v>
      </c>
      <c r="B234" s="82">
        <v>55218</v>
      </c>
      <c r="C234" s="82">
        <v>0</v>
      </c>
      <c r="D234" s="36" cm="1">
        <f t="array" ref="D234:D297">_xlfn.LET(_xlpm.x, B234:B297, IFERROR(_xlpm.x/SUM(_xlpm.x), 0))</f>
        <v>6.6018264598880277E-3</v>
      </c>
      <c r="E234" s="68" cm="1">
        <f t="array" ref="E234:E297">_xlfn.LET(_xlpm.x, C234:C297/B234:B297/B3, IF(ISERR(_xlpm.x), 0, _xlpm.x))</f>
        <v>0</v>
      </c>
      <c r="G234" s="14" t="str">
        <f t="shared" ref="G234:G297" si="13">"("&amp;$O234&amp;", "&amp;$P234&amp;"]"</f>
        <v>(-1, 0]</v>
      </c>
      <c r="H234" s="70">
        <v>3.4334437807055675E-3</v>
      </c>
      <c r="I234" s="36" cm="1">
        <f t="array" ref="I234:I297">_xlfn.ANCHORARRAY(D234)*H234:H297</f>
        <v>2.2667000000000002E-5</v>
      </c>
      <c r="J234" s="36" cm="1">
        <f t="array" ref="J234:J297">IFERROR(I234:I297/SUM(_xlfn.ANCHORARRAY(I234)), 0)</f>
        <v>2.2666999999999998E-5</v>
      </c>
      <c r="K234" s="71" cm="1">
        <f t="array" ref="K234:K297">INT(_xlfn.ANCHORARRAY(J234)*$B$2)</f>
        <v>22667</v>
      </c>
      <c r="L234" s="36" cm="1">
        <f t="array" ref="L234:L297">_xlfn.LET(_xlpm.x, K234:K297, IFERROR(_xlpm.x/SUM(_xlpm.x), 0))</f>
        <v>2.2667000000000002E-5</v>
      </c>
      <c r="M234" s="80" cm="1">
        <f t="array" ref="M234:M297">L234:L297*_xlfn.ANCHORARRAY(E234)</f>
        <v>0</v>
      </c>
      <c r="N234" s="73"/>
      <c r="O234" s="66">
        <v>-1</v>
      </c>
      <c r="P234" s="66">
        <v>0</v>
      </c>
      <c r="Q234" s="36" cm="1">
        <f t="array" ref="Q234:Q297">_xlfn.ANCHORARRAY(L234)</f>
        <v>2.2667000000000002E-5</v>
      </c>
      <c r="R234" s="36">
        <v>0</v>
      </c>
      <c r="T234" s="36"/>
      <c r="U234" s="74" cm="1">
        <f t="array" ref="U234:U297">_xlfn.LET(_xlpm.x, T234:T297/L234:L297, IF(ISERR(_xlpm.x), 0, ROUND(_xlpm.x,2)))</f>
        <v>0</v>
      </c>
    </row>
    <row r="235" spans="1:21" x14ac:dyDescent="0.3">
      <c r="A235" s="14" t="str">
        <f t="shared" si="12"/>
        <v>(0, 1]</v>
      </c>
      <c r="B235" s="83">
        <v>84581</v>
      </c>
      <c r="C235" s="83">
        <v>4760560</v>
      </c>
      <c r="D235" s="36">
        <v>1.0112446734829028E-2</v>
      </c>
      <c r="E235" s="69">
        <v>0.56284035421666812</v>
      </c>
      <c r="G235" s="14" t="str">
        <f t="shared" si="13"/>
        <v>(0, 1]</v>
      </c>
      <c r="H235" s="70">
        <v>0.35138934158846546</v>
      </c>
      <c r="I235" s="36">
        <v>3.5534059999999994E-3</v>
      </c>
      <c r="J235" s="36">
        <v>3.5534059999999985E-3</v>
      </c>
      <c r="K235" s="71">
        <v>3553406</v>
      </c>
      <c r="L235" s="36">
        <v>3.5534059999999998E-3</v>
      </c>
      <c r="M235" s="36">
        <v>2.0000002917156339E-3</v>
      </c>
      <c r="N235" s="73"/>
      <c r="O235" s="59">
        <v>0</v>
      </c>
      <c r="P235" s="59">
        <v>1</v>
      </c>
      <c r="Q235" s="36">
        <v>3.5534059999999998E-3</v>
      </c>
      <c r="R235" s="36">
        <v>0</v>
      </c>
      <c r="T235" s="36"/>
      <c r="U235" s="74">
        <v>0</v>
      </c>
    </row>
    <row r="236" spans="1:21" x14ac:dyDescent="0.3">
      <c r="A236" s="14" t="str">
        <f t="shared" si="12"/>
        <v>(1, 2]</v>
      </c>
      <c r="B236" s="83">
        <v>64013</v>
      </c>
      <c r="C236" s="83">
        <v>10029540</v>
      </c>
      <c r="D236" s="36">
        <v>7.6533506678404207E-3</v>
      </c>
      <c r="E236" s="69">
        <v>1.566797369284364</v>
      </c>
      <c r="F236" s="76"/>
      <c r="G236" s="14" t="str">
        <f t="shared" si="13"/>
        <v>(1, 2]</v>
      </c>
      <c r="H236" s="70">
        <v>0.1667883852968928</v>
      </c>
      <c r="I236" s="36">
        <v>1.2764899999999999E-3</v>
      </c>
      <c r="J236" s="36">
        <v>1.2764899999999997E-3</v>
      </c>
      <c r="K236" s="71">
        <v>1276490</v>
      </c>
      <c r="L236" s="36">
        <v>1.2764899999999999E-3</v>
      </c>
      <c r="M236" s="36">
        <v>2.0000011739177976E-3</v>
      </c>
      <c r="N236" s="73"/>
      <c r="O236" s="59">
        <v>1</v>
      </c>
      <c r="P236" s="59">
        <v>2</v>
      </c>
      <c r="Q236" s="36">
        <v>1.2764899999999999E-3</v>
      </c>
      <c r="R236" s="36">
        <v>0</v>
      </c>
      <c r="T236" s="36"/>
      <c r="U236" s="74">
        <v>0</v>
      </c>
    </row>
    <row r="237" spans="1:21" x14ac:dyDescent="0.3">
      <c r="A237" s="14" t="str">
        <f t="shared" si="12"/>
        <v>(2, 3]</v>
      </c>
      <c r="B237" s="83">
        <v>55751</v>
      </c>
      <c r="C237" s="83">
        <v>14330930</v>
      </c>
      <c r="D237" s="36">
        <v>6.6655515767542733E-3</v>
      </c>
      <c r="E237" s="69">
        <v>2.5705242955283314</v>
      </c>
      <c r="F237" s="73"/>
      <c r="G237" s="14" t="str">
        <f t="shared" si="13"/>
        <v>(2, 3]</v>
      </c>
      <c r="H237" s="70">
        <v>0.11672732421926063</v>
      </c>
      <c r="I237" s="36">
        <v>7.78052E-4</v>
      </c>
      <c r="J237" s="36">
        <v>7.7805199999999978E-4</v>
      </c>
      <c r="K237" s="71">
        <v>778052</v>
      </c>
      <c r="L237" s="36">
        <v>7.78052E-4</v>
      </c>
      <c r="M237" s="36">
        <v>2.0000015691844092E-3</v>
      </c>
      <c r="N237" s="73"/>
      <c r="O237" s="59">
        <v>2</v>
      </c>
      <c r="P237" s="59">
        <v>3</v>
      </c>
      <c r="Q237" s="36">
        <v>7.78052E-4</v>
      </c>
      <c r="R237" s="36">
        <v>0</v>
      </c>
      <c r="T237" s="36"/>
      <c r="U237" s="74">
        <v>0</v>
      </c>
    </row>
    <row r="238" spans="1:21" x14ac:dyDescent="0.3">
      <c r="A238" s="14" t="str">
        <f t="shared" si="12"/>
        <v>(3, 4]</v>
      </c>
      <c r="B238" s="83">
        <v>49939</v>
      </c>
      <c r="C238" s="83">
        <v>17889880</v>
      </c>
      <c r="D238" s="36">
        <v>5.9706728164791957E-3</v>
      </c>
      <c r="E238" s="69">
        <v>3.5823464626844754</v>
      </c>
      <c r="F238" s="73"/>
      <c r="G238" s="14" t="str">
        <f t="shared" si="13"/>
        <v>(3, 4]</v>
      </c>
      <c r="H238" s="70">
        <v>9.3506044822803822E-2</v>
      </c>
      <c r="I238" s="36">
        <v>5.5829399999999998E-4</v>
      </c>
      <c r="J238" s="36">
        <v>5.5829399999999987E-4</v>
      </c>
      <c r="K238" s="71">
        <v>558294</v>
      </c>
      <c r="L238" s="36">
        <v>5.5829399999999998E-4</v>
      </c>
      <c r="M238" s="36">
        <v>2.0000025360379665E-3</v>
      </c>
      <c r="N238" s="73"/>
      <c r="O238" s="59">
        <v>3</v>
      </c>
      <c r="P238" s="59">
        <v>4</v>
      </c>
      <c r="Q238" s="36">
        <v>5.5829399999999998E-4</v>
      </c>
      <c r="R238" s="36">
        <v>0</v>
      </c>
      <c r="T238" s="36"/>
      <c r="U238" s="74">
        <v>0</v>
      </c>
    </row>
    <row r="239" spans="1:21" x14ac:dyDescent="0.3">
      <c r="A239" s="14" t="str">
        <f t="shared" si="12"/>
        <v>(4, 5]</v>
      </c>
      <c r="B239" s="83">
        <v>47937</v>
      </c>
      <c r="C239" s="83">
        <v>21917950</v>
      </c>
      <c r="D239" s="36">
        <v>5.7313150604450074E-3</v>
      </c>
      <c r="E239" s="69">
        <v>4.5722406491853897</v>
      </c>
      <c r="F239" s="73"/>
      <c r="G239" s="14" t="str">
        <f t="shared" si="13"/>
        <v>(4, 5]</v>
      </c>
      <c r="H239" s="70">
        <v>0.24826466264611885</v>
      </c>
      <c r="I239" s="36">
        <v>1.422883E-3</v>
      </c>
      <c r="J239" s="36">
        <v>1.4228829999999998E-3</v>
      </c>
      <c r="K239" s="71">
        <v>1422883</v>
      </c>
      <c r="L239" s="36">
        <v>1.422883E-3</v>
      </c>
      <c r="M239" s="36">
        <v>6.5057634916348547E-3</v>
      </c>
      <c r="N239" s="73"/>
      <c r="O239" s="59">
        <v>4</v>
      </c>
      <c r="P239" s="59">
        <v>5</v>
      </c>
      <c r="Q239" s="36">
        <v>1.422883E-3</v>
      </c>
      <c r="R239" s="36">
        <v>3.5688793718772305E-3</v>
      </c>
      <c r="T239" s="36"/>
      <c r="U239" s="74">
        <v>0</v>
      </c>
    </row>
    <row r="240" spans="1:21" x14ac:dyDescent="0.3">
      <c r="A240" s="14" t="str">
        <f t="shared" si="12"/>
        <v>(5, 6]</v>
      </c>
      <c r="B240" s="83">
        <v>46015</v>
      </c>
      <c r="C240" s="83">
        <v>25632270</v>
      </c>
      <c r="D240" s="36">
        <v>5.5015220499066899E-3</v>
      </c>
      <c r="E240" s="69">
        <v>5.5704161686406612</v>
      </c>
      <c r="F240" s="73"/>
      <c r="G240" s="14" t="str">
        <f t="shared" si="13"/>
        <v>(5, 6]</v>
      </c>
      <c r="H240" s="70">
        <v>2.6047797082342061</v>
      </c>
      <c r="I240" s="36">
        <v>1.4330252999999999E-2</v>
      </c>
      <c r="J240" s="36">
        <v>1.4330252999999996E-2</v>
      </c>
      <c r="K240" s="71">
        <v>14330253</v>
      </c>
      <c r="L240" s="36">
        <v>1.4330252999999999E-2</v>
      </c>
      <c r="M240" s="36">
        <v>7.9825473011911341E-2</v>
      </c>
      <c r="N240" s="73"/>
      <c r="O240" s="59">
        <v>5</v>
      </c>
      <c r="P240" s="59">
        <v>6</v>
      </c>
      <c r="Q240" s="36">
        <v>1.4330252999999999E-2</v>
      </c>
      <c r="R240" s="36">
        <v>3.5688793718772309E-2</v>
      </c>
      <c r="T240" s="36"/>
      <c r="U240" s="74">
        <v>0</v>
      </c>
    </row>
    <row r="241" spans="1:21" x14ac:dyDescent="0.3">
      <c r="A241" s="14" t="str">
        <f t="shared" si="12"/>
        <v>(6, 7]</v>
      </c>
      <c r="B241" s="83">
        <v>43596</v>
      </c>
      <c r="C241" s="83">
        <v>28617500</v>
      </c>
      <c r="D241" s="36">
        <v>5.2123080579752701E-3</v>
      </c>
      <c r="E241" s="69">
        <v>6.5642490136709783</v>
      </c>
      <c r="F241" s="73"/>
      <c r="G241" s="14" t="str">
        <f t="shared" si="13"/>
        <v>(6, 7]</v>
      </c>
      <c r="H241" s="70">
        <v>2.3811873477066245</v>
      </c>
      <c r="I241" s="36">
        <v>1.2411482E-2</v>
      </c>
      <c r="J241" s="36">
        <v>1.2411481999999996E-2</v>
      </c>
      <c r="K241" s="71">
        <v>12411482</v>
      </c>
      <c r="L241" s="36">
        <v>1.2411482E-2</v>
      </c>
      <c r="M241" s="36">
        <v>8.14720584766951E-2</v>
      </c>
      <c r="N241" s="73"/>
      <c r="O241" s="59">
        <v>6</v>
      </c>
      <c r="P241" s="59">
        <v>7</v>
      </c>
      <c r="Q241" s="36">
        <v>1.2411482E-2</v>
      </c>
      <c r="R241" s="36">
        <v>3.0692362598144184E-2</v>
      </c>
      <c r="T241" s="36"/>
      <c r="U241" s="74">
        <v>0</v>
      </c>
    </row>
    <row r="242" spans="1:21" x14ac:dyDescent="0.3">
      <c r="A242" s="14" t="str">
        <f t="shared" si="12"/>
        <v>(7, 8]</v>
      </c>
      <c r="B242" s="83">
        <v>43437</v>
      </c>
      <c r="C242" s="83">
        <v>32884090</v>
      </c>
      <c r="D242" s="36">
        <v>5.1932981263022255E-3</v>
      </c>
      <c r="E242" s="69">
        <v>7.5705251283468007</v>
      </c>
      <c r="F242" s="73"/>
      <c r="G242" s="14" t="str">
        <f t="shared" si="13"/>
        <v>(7, 8]</v>
      </c>
      <c r="H242" s="70">
        <v>2.5750135414470843</v>
      </c>
      <c r="I242" s="36">
        <v>1.3372813000000001E-2</v>
      </c>
      <c r="J242" s="36">
        <v>1.3372812999999997E-2</v>
      </c>
      <c r="K242" s="71">
        <v>13372813</v>
      </c>
      <c r="L242" s="36">
        <v>1.3372813000000001E-2</v>
      </c>
      <c r="M242" s="36">
        <v>0.10123921685318277</v>
      </c>
      <c r="N242" s="73"/>
      <c r="O242" s="59">
        <v>7</v>
      </c>
      <c r="P242" s="59">
        <v>8</v>
      </c>
      <c r="Q242" s="36">
        <v>1.3372813000000001E-2</v>
      </c>
      <c r="R242" s="36">
        <v>3.2833690221270521E-2</v>
      </c>
      <c r="T242" s="36"/>
      <c r="U242" s="74">
        <v>0</v>
      </c>
    </row>
    <row r="243" spans="1:21" x14ac:dyDescent="0.3">
      <c r="A243" s="14" t="str">
        <f t="shared" si="12"/>
        <v>(8, 9]</v>
      </c>
      <c r="B243" s="83">
        <v>42950</v>
      </c>
      <c r="C243" s="83">
        <v>36789480</v>
      </c>
      <c r="D243" s="36">
        <v>5.135072738096106E-3</v>
      </c>
      <c r="E243" s="69">
        <v>8.5656530849825376</v>
      </c>
      <c r="F243" s="73"/>
      <c r="G243" s="14" t="str">
        <f t="shared" si="13"/>
        <v>(8, 9]</v>
      </c>
      <c r="H243" s="70">
        <v>2.5086863725276602</v>
      </c>
      <c r="I243" s="36">
        <v>1.2882287000000001E-2</v>
      </c>
      <c r="J243" s="36">
        <v>1.2882286999999997E-2</v>
      </c>
      <c r="K243" s="71">
        <v>12882287</v>
      </c>
      <c r="L243" s="36">
        <v>1.2882286999999999E-2</v>
      </c>
      <c r="M243" s="36">
        <v>0.11034520138318044</v>
      </c>
      <c r="N243" s="73"/>
      <c r="O243" s="59">
        <v>8</v>
      </c>
      <c r="P243" s="59">
        <v>9</v>
      </c>
      <c r="Q243" s="36">
        <v>1.2882286999999999E-2</v>
      </c>
      <c r="R243" s="36">
        <v>3.1406138472519628E-2</v>
      </c>
      <c r="T243" s="36"/>
      <c r="U243" s="74">
        <v>0</v>
      </c>
    </row>
    <row r="244" spans="1:21" x14ac:dyDescent="0.3">
      <c r="A244" s="14" t="str">
        <f t="shared" si="12"/>
        <v>(9, 10]</v>
      </c>
      <c r="B244" s="83">
        <v>42155</v>
      </c>
      <c r="C244" s="83">
        <v>40319540</v>
      </c>
      <c r="D244" s="36">
        <v>5.0400230797308819E-3</v>
      </c>
      <c r="E244" s="69">
        <v>9.5645925750207574</v>
      </c>
      <c r="F244" s="73"/>
      <c r="G244" s="14" t="str">
        <f t="shared" si="13"/>
        <v>(9, 10]</v>
      </c>
      <c r="H244" s="70">
        <v>2.7497469318612739</v>
      </c>
      <c r="I244" s="36">
        <v>1.3858788000000002E-2</v>
      </c>
      <c r="J244" s="36">
        <v>1.3858787999999999E-2</v>
      </c>
      <c r="K244" s="71">
        <v>13858788</v>
      </c>
      <c r="L244" s="36">
        <v>1.3858788E-2</v>
      </c>
      <c r="M244" s="36">
        <v>0.13255366080358677</v>
      </c>
      <c r="N244" s="73"/>
      <c r="O244" s="59">
        <v>9</v>
      </c>
      <c r="P244" s="59">
        <v>10</v>
      </c>
      <c r="Q244" s="36">
        <v>1.3858788E-2</v>
      </c>
      <c r="R244" s="36">
        <v>3.3547466095645968E-2</v>
      </c>
      <c r="T244" s="36"/>
      <c r="U244" s="74">
        <v>0</v>
      </c>
    </row>
    <row r="245" spans="1:21" x14ac:dyDescent="0.3">
      <c r="A245" s="14" t="str">
        <f t="shared" si="12"/>
        <v>(10, 15]</v>
      </c>
      <c r="B245" s="83">
        <v>202809</v>
      </c>
      <c r="C245" s="83">
        <v>254308990</v>
      </c>
      <c r="D245" s="36">
        <v>2.4247705865902986E-2</v>
      </c>
      <c r="E245" s="69">
        <v>12.539334546297255</v>
      </c>
      <c r="F245" s="73"/>
      <c r="G245" s="14" t="str">
        <f t="shared" si="13"/>
        <v>(10, 15]</v>
      </c>
      <c r="H245" s="70">
        <v>9.3278892135545561</v>
      </c>
      <c r="I245" s="36">
        <v>0.22617991400000001</v>
      </c>
      <c r="J245" s="36">
        <v>0.22617991399999995</v>
      </c>
      <c r="K245" s="71">
        <v>226179914</v>
      </c>
      <c r="L245" s="36">
        <v>0.22617991400000001</v>
      </c>
      <c r="M245" s="36">
        <v>2.8361456092987423</v>
      </c>
      <c r="N245" s="73"/>
      <c r="O245" s="59">
        <v>10</v>
      </c>
      <c r="P245" s="59">
        <v>15</v>
      </c>
      <c r="Q245" s="36">
        <v>0.22617991400000001</v>
      </c>
      <c r="R245" s="36">
        <v>0.145610278372591</v>
      </c>
      <c r="T245" s="36"/>
      <c r="U245" s="74">
        <v>0</v>
      </c>
    </row>
    <row r="246" spans="1:21" x14ac:dyDescent="0.3">
      <c r="A246" s="14" t="str">
        <f t="shared" si="12"/>
        <v>(15, 20]</v>
      </c>
      <c r="B246" s="83">
        <v>194393</v>
      </c>
      <c r="C246" s="83">
        <v>341185810</v>
      </c>
      <c r="D246" s="36">
        <v>2.3241494639737285E-2</v>
      </c>
      <c r="E246" s="69">
        <v>17.551342383727807</v>
      </c>
      <c r="F246" s="73"/>
      <c r="G246" s="14" t="str">
        <f t="shared" si="13"/>
        <v>(15, 20]</v>
      </c>
      <c r="H246" s="70">
        <v>1.9203551101954648</v>
      </c>
      <c r="I246" s="36">
        <v>4.4631922999999997E-2</v>
      </c>
      <c r="J246" s="36">
        <v>4.463192299999999E-2</v>
      </c>
      <c r="K246" s="71">
        <v>44631923</v>
      </c>
      <c r="L246" s="36">
        <v>4.4631922999999997E-2</v>
      </c>
      <c r="M246" s="36">
        <v>0.78335016181717587</v>
      </c>
      <c r="N246" s="73"/>
      <c r="O246" s="59">
        <v>15</v>
      </c>
      <c r="P246" s="59">
        <v>20</v>
      </c>
      <c r="Q246" s="36">
        <v>4.4631922999999997E-2</v>
      </c>
      <c r="R246" s="36">
        <v>0.10206995003568879</v>
      </c>
      <c r="T246" s="36"/>
      <c r="U246" s="74">
        <v>0</v>
      </c>
    </row>
    <row r="247" spans="1:21" x14ac:dyDescent="0.3">
      <c r="A247" s="14" t="str">
        <f t="shared" si="12"/>
        <v>(20, 25]</v>
      </c>
      <c r="B247" s="83">
        <v>188251</v>
      </c>
      <c r="C247" s="83">
        <v>424612980</v>
      </c>
      <c r="D247" s="36">
        <v>2.2507161304291739E-2</v>
      </c>
      <c r="E247" s="69">
        <v>22.555682572735336</v>
      </c>
      <c r="F247" s="73"/>
      <c r="G247" s="14" t="str">
        <f t="shared" si="13"/>
        <v>(20, 25]</v>
      </c>
      <c r="H247" s="70">
        <v>4.3447191619564034</v>
      </c>
      <c r="I247" s="36">
        <v>9.7787294999999996E-2</v>
      </c>
      <c r="J247" s="36">
        <v>9.7787294999999969E-2</v>
      </c>
      <c r="K247" s="71">
        <v>97787295</v>
      </c>
      <c r="L247" s="36">
        <v>9.7787294999999996E-2</v>
      </c>
      <c r="M247" s="36">
        <v>2.2056591856664292</v>
      </c>
      <c r="N247" s="73"/>
      <c r="O247" s="59">
        <v>20</v>
      </c>
      <c r="P247" s="59">
        <v>25</v>
      </c>
      <c r="Q247" s="36">
        <v>9.7787294999999996E-2</v>
      </c>
      <c r="R247" s="36">
        <v>9.7787294789436111E-2</v>
      </c>
      <c r="T247" s="36"/>
      <c r="U247" s="74">
        <v>0</v>
      </c>
    </row>
    <row r="248" spans="1:21" x14ac:dyDescent="0.3">
      <c r="A248" s="14" t="str">
        <f t="shared" si="12"/>
        <v>(25, 30]</v>
      </c>
      <c r="B248" s="83">
        <v>184695</v>
      </c>
      <c r="C248" s="83">
        <v>508784530</v>
      </c>
      <c r="D248" s="36">
        <v>2.2082008367000239E-2</v>
      </c>
      <c r="E248" s="69">
        <v>27.547282276185062</v>
      </c>
      <c r="F248" s="73"/>
      <c r="G248" s="14" t="str">
        <f t="shared" si="13"/>
        <v>(25, 30]</v>
      </c>
      <c r="H248" s="70">
        <v>3.426329785884334</v>
      </c>
      <c r="I248" s="36">
        <v>7.5660243000000002E-2</v>
      </c>
      <c r="J248" s="36">
        <v>7.5660242999999988E-2</v>
      </c>
      <c r="K248" s="71">
        <v>75660243</v>
      </c>
      <c r="L248" s="36">
        <v>7.5660243000000002E-2</v>
      </c>
      <c r="M248" s="36">
        <v>2.084234071005755</v>
      </c>
      <c r="N248" s="73"/>
      <c r="O248" s="59">
        <v>25</v>
      </c>
      <c r="P248" s="59">
        <v>30</v>
      </c>
      <c r="Q248" s="36">
        <v>7.5660243000000002E-2</v>
      </c>
      <c r="R248" s="36">
        <v>7.5660242683797285E-2</v>
      </c>
      <c r="T248" s="36"/>
      <c r="U248" s="74">
        <v>0</v>
      </c>
    </row>
    <row r="249" spans="1:21" x14ac:dyDescent="0.3">
      <c r="A249" s="14" t="str">
        <f t="shared" si="12"/>
        <v>(30, 35]</v>
      </c>
      <c r="B249" s="83">
        <v>180804</v>
      </c>
      <c r="C249" s="83">
        <v>588557320</v>
      </c>
      <c r="D249" s="36">
        <v>2.1616803057944781E-2</v>
      </c>
      <c r="E249" s="69">
        <v>32.552228932988207</v>
      </c>
      <c r="F249" s="73"/>
      <c r="G249" s="14" t="str">
        <f t="shared" si="13"/>
        <v>(30, 35]</v>
      </c>
      <c r="H249" s="70">
        <v>3.0377933232761443</v>
      </c>
      <c r="I249" s="36">
        <v>6.5667379999999997E-2</v>
      </c>
      <c r="J249" s="36">
        <v>6.5667379999999984E-2</v>
      </c>
      <c r="K249" s="71">
        <v>65667380</v>
      </c>
      <c r="L249" s="36">
        <v>6.5667379999999997E-2</v>
      </c>
      <c r="M249" s="36">
        <v>2.1376195871895312</v>
      </c>
      <c r="N249" s="73"/>
      <c r="O249" s="59">
        <v>30</v>
      </c>
      <c r="P249" s="59">
        <v>35</v>
      </c>
      <c r="Q249" s="36">
        <v>6.5667379999999997E-2</v>
      </c>
      <c r="R249" s="36">
        <v>6.5667380442541043E-2</v>
      </c>
      <c r="T249" s="36"/>
      <c r="U249" s="74">
        <v>0</v>
      </c>
    </row>
    <row r="250" spans="1:21" x14ac:dyDescent="0.3">
      <c r="A250" s="14" t="str">
        <f t="shared" si="12"/>
        <v>(35, 40]</v>
      </c>
      <c r="B250" s="83">
        <v>177130</v>
      </c>
      <c r="C250" s="83">
        <v>665155830</v>
      </c>
      <c r="D250" s="36">
        <v>2.1177542121046875E-2</v>
      </c>
      <c r="E250" s="69">
        <v>37.55184497261898</v>
      </c>
      <c r="F250" s="73"/>
      <c r="G250" s="14" t="str">
        <f t="shared" si="13"/>
        <v>(35, 40]</v>
      </c>
      <c r="H250" s="70">
        <v>2.8985764565659404</v>
      </c>
      <c r="I250" s="36">
        <v>6.1384725000000001E-2</v>
      </c>
      <c r="J250" s="36">
        <v>6.1384724999999987E-2</v>
      </c>
      <c r="K250" s="71">
        <v>61384725</v>
      </c>
      <c r="L250" s="36">
        <v>6.1384725000000001E-2</v>
      </c>
      <c r="M250" s="36">
        <v>2.3051096768868486</v>
      </c>
      <c r="N250" s="73"/>
      <c r="O250" s="59">
        <v>35</v>
      </c>
      <c r="P250" s="59">
        <v>40</v>
      </c>
      <c r="Q250" s="36">
        <v>6.1384725000000001E-2</v>
      </c>
      <c r="R250" s="36">
        <v>6.1384725196288369E-2</v>
      </c>
      <c r="T250" s="36"/>
      <c r="U250" s="74">
        <v>0</v>
      </c>
    </row>
    <row r="251" spans="1:21" x14ac:dyDescent="0.3">
      <c r="A251" s="14" t="str">
        <f t="shared" si="12"/>
        <v>(40, 45]</v>
      </c>
      <c r="B251" s="83">
        <v>174735</v>
      </c>
      <c r="C251" s="83">
        <v>743586950</v>
      </c>
      <c r="D251" s="36">
        <v>2.0891197552764217E-2</v>
      </c>
      <c r="E251" s="69">
        <v>42.555123472687207</v>
      </c>
      <c r="F251" s="73"/>
      <c r="G251" s="14" t="str">
        <f t="shared" si="13"/>
        <v>(40, 45]</v>
      </c>
      <c r="H251" s="70">
        <v>3.0408047618885572</v>
      </c>
      <c r="I251" s="36">
        <v>6.3526052999999999E-2</v>
      </c>
      <c r="J251" s="36">
        <v>6.3526052999999985E-2</v>
      </c>
      <c r="K251" s="71">
        <v>63526053</v>
      </c>
      <c r="L251" s="36">
        <v>6.3526052999999999E-2</v>
      </c>
      <c r="M251" s="36">
        <v>2.7033590291474714</v>
      </c>
      <c r="N251" s="73"/>
      <c r="O251" s="59">
        <v>40</v>
      </c>
      <c r="P251" s="59">
        <v>45</v>
      </c>
      <c r="Q251" s="36">
        <v>6.3526052999999999E-2</v>
      </c>
      <c r="R251" s="36">
        <v>6.3526052819414702E-2</v>
      </c>
      <c r="T251" s="36"/>
      <c r="U251" s="74">
        <v>0</v>
      </c>
    </row>
    <row r="252" spans="1:21" x14ac:dyDescent="0.3">
      <c r="A252" s="14" t="str">
        <f t="shared" si="12"/>
        <v>(45, 50]</v>
      </c>
      <c r="B252" s="83">
        <v>171139</v>
      </c>
      <c r="C252" s="83">
        <v>813719490</v>
      </c>
      <c r="D252" s="36">
        <v>2.0461262242724786E-2</v>
      </c>
      <c r="E252" s="69">
        <v>47.547285539824351</v>
      </c>
      <c r="F252" s="73"/>
      <c r="G252" s="14" t="str">
        <f t="shared" si="13"/>
        <v>(45, 50]</v>
      </c>
      <c r="H252" s="70">
        <v>2.5814348290648832</v>
      </c>
      <c r="I252" s="36">
        <v>5.2819415000000008E-2</v>
      </c>
      <c r="J252" s="36">
        <v>5.2819414999999995E-2</v>
      </c>
      <c r="K252" s="71">
        <v>52819415</v>
      </c>
      <c r="L252" s="36">
        <v>5.2819415000000002E-2</v>
      </c>
      <c r="M252" s="36">
        <v>2.5114198070514817</v>
      </c>
      <c r="N252" s="73"/>
      <c r="O252" s="59">
        <v>45</v>
      </c>
      <c r="P252" s="59">
        <v>50</v>
      </c>
      <c r="Q252" s="36">
        <v>5.2819415000000002E-2</v>
      </c>
      <c r="R252" s="36">
        <v>5.2819414703783013E-2</v>
      </c>
      <c r="T252" s="36"/>
      <c r="U252" s="74">
        <v>0</v>
      </c>
    </row>
    <row r="253" spans="1:21" x14ac:dyDescent="0.3">
      <c r="A253" s="14" t="str">
        <f t="shared" si="12"/>
        <v>(50, 60]</v>
      </c>
      <c r="B253" s="83">
        <v>334569</v>
      </c>
      <c r="C253" s="83">
        <v>1841082090</v>
      </c>
      <c r="D253" s="36">
        <v>4.0000841697603637E-2</v>
      </c>
      <c r="E253" s="69">
        <v>55.028472153726135</v>
      </c>
      <c r="F253" s="73"/>
      <c r="G253" s="14" t="str">
        <f t="shared" si="13"/>
        <v>(50, 60]</v>
      </c>
      <c r="H253" s="70">
        <v>1.1761232514969409</v>
      </c>
      <c r="I253" s="36">
        <v>4.7045919999999998E-2</v>
      </c>
      <c r="J253" s="36">
        <v>4.7045919999999984E-2</v>
      </c>
      <c r="K253" s="71">
        <v>47045920</v>
      </c>
      <c r="L253" s="36">
        <v>4.7045919999999998E-2</v>
      </c>
      <c r="M253" s="36">
        <v>2.5888650986664272</v>
      </c>
      <c r="N253" s="73"/>
      <c r="O253" s="59">
        <v>50</v>
      </c>
      <c r="P253" s="59">
        <v>60</v>
      </c>
      <c r="Q253" s="36">
        <v>4.7045919999999998E-2</v>
      </c>
      <c r="R253" s="36">
        <v>3.1406138472519628E-2</v>
      </c>
      <c r="T253" s="36"/>
      <c r="U253" s="74">
        <v>0</v>
      </c>
    </row>
    <row r="254" spans="1:21" x14ac:dyDescent="0.3">
      <c r="A254" s="14" t="str">
        <f t="shared" si="12"/>
        <v>(60, 70]</v>
      </c>
      <c r="B254" s="83">
        <v>324502</v>
      </c>
      <c r="C254" s="83">
        <v>2110213430</v>
      </c>
      <c r="D254" s="36">
        <v>3.8797238036266883E-2</v>
      </c>
      <c r="E254" s="69">
        <v>65.029288879575475</v>
      </c>
      <c r="F254" s="73"/>
      <c r="G254" s="14" t="str">
        <f t="shared" si="13"/>
        <v>(60, 70]</v>
      </c>
      <c r="H254" s="70">
        <v>0.73590380256736476</v>
      </c>
      <c r="I254" s="36">
        <v>2.8551034999999999E-2</v>
      </c>
      <c r="J254" s="36">
        <v>2.8551034999999992E-2</v>
      </c>
      <c r="K254" s="71">
        <v>28551035</v>
      </c>
      <c r="L254" s="36">
        <v>2.8551034999999999E-2</v>
      </c>
      <c r="M254" s="36">
        <v>1.8566535028258702</v>
      </c>
      <c r="N254" s="73"/>
      <c r="O254" s="59">
        <v>60</v>
      </c>
      <c r="P254" s="59">
        <v>70</v>
      </c>
      <c r="Q254" s="36">
        <v>2.8551034999999999E-2</v>
      </c>
      <c r="R254" s="36">
        <v>2.8551034975017844E-2</v>
      </c>
      <c r="T254" s="36"/>
      <c r="U254" s="74">
        <v>0</v>
      </c>
    </row>
    <row r="255" spans="1:21" x14ac:dyDescent="0.3">
      <c r="A255" s="14" t="str">
        <f t="shared" si="12"/>
        <v>(70, 80]</v>
      </c>
      <c r="B255" s="83">
        <v>313591</v>
      </c>
      <c r="C255" s="83">
        <v>2352848560</v>
      </c>
      <c r="D255" s="36">
        <v>3.7492726309948689E-2</v>
      </c>
      <c r="E255" s="69">
        <v>75.029211935291514</v>
      </c>
      <c r="F255" s="73"/>
      <c r="G255" s="14" t="str">
        <f t="shared" si="13"/>
        <v>(70, 80]</v>
      </c>
      <c r="H255" s="70">
        <v>0.38846614886299347</v>
      </c>
      <c r="I255" s="36">
        <v>1.4564654999999999E-2</v>
      </c>
      <c r="J255" s="36">
        <v>1.4564654999999996E-2</v>
      </c>
      <c r="K255" s="71">
        <v>14564655</v>
      </c>
      <c r="L255" s="36">
        <v>1.4564654999999999E-2</v>
      </c>
      <c r="M255" s="36">
        <v>1.0927745867594032</v>
      </c>
      <c r="N255" s="73"/>
      <c r="O255" s="59">
        <v>70</v>
      </c>
      <c r="P255" s="59">
        <v>80</v>
      </c>
      <c r="Q255" s="36">
        <v>1.4564654999999999E-2</v>
      </c>
      <c r="R255" s="36">
        <v>2.2127052105638829E-2</v>
      </c>
      <c r="T255" s="36"/>
      <c r="U255" s="74">
        <v>0</v>
      </c>
    </row>
    <row r="256" spans="1:21" x14ac:dyDescent="0.3">
      <c r="A256" s="14" t="str">
        <f t="shared" si="12"/>
        <v>(80, 90]</v>
      </c>
      <c r="B256" s="83">
        <v>302583</v>
      </c>
      <c r="C256" s="83">
        <v>2572701950</v>
      </c>
      <c r="D256" s="36">
        <v>3.6176617329716741E-2</v>
      </c>
      <c r="E256" s="69">
        <v>85.024669264301025</v>
      </c>
      <c r="F256" s="73"/>
      <c r="G256" s="14" t="str">
        <f t="shared" si="13"/>
        <v>(80, 90]</v>
      </c>
      <c r="H256" s="70">
        <v>0.32072161126212312</v>
      </c>
      <c r="I256" s="36">
        <v>1.1602622999999999E-2</v>
      </c>
      <c r="J256" s="36">
        <v>1.1602622999999998E-2</v>
      </c>
      <c r="K256" s="71">
        <v>11602623</v>
      </c>
      <c r="L256" s="36">
        <v>1.1602622999999999E-2</v>
      </c>
      <c r="M256" s="36">
        <v>0.98650918317337211</v>
      </c>
      <c r="N256" s="73"/>
      <c r="O256" s="59">
        <v>80</v>
      </c>
      <c r="P256" s="59">
        <v>90</v>
      </c>
      <c r="Q256" s="36">
        <v>1.1602622999999999E-2</v>
      </c>
      <c r="R256" s="36">
        <v>1.6416845110635261E-2</v>
      </c>
      <c r="T256" s="36"/>
      <c r="U256" s="74">
        <v>0</v>
      </c>
    </row>
    <row r="257" spans="1:21" x14ac:dyDescent="0.3">
      <c r="A257" s="14" t="str">
        <f t="shared" si="12"/>
        <v>(90, 100]</v>
      </c>
      <c r="B257" s="83">
        <v>290174</v>
      </c>
      <c r="C257" s="83">
        <v>2757205050</v>
      </c>
      <c r="D257" s="36">
        <v>3.4693005743988349E-2</v>
      </c>
      <c r="E257" s="69">
        <v>95.019024792021341</v>
      </c>
      <c r="F257" s="73"/>
      <c r="G257" s="14" t="str">
        <f t="shared" si="13"/>
        <v>(90, 100]</v>
      </c>
      <c r="H257" s="70">
        <v>0.32786279989507672</v>
      </c>
      <c r="I257" s="36">
        <v>1.1374545999999999E-2</v>
      </c>
      <c r="J257" s="36">
        <v>1.1374545999999998E-2</v>
      </c>
      <c r="K257" s="71">
        <v>11374546</v>
      </c>
      <c r="L257" s="36">
        <v>1.1374545999999999E-2</v>
      </c>
      <c r="M257" s="36">
        <v>1.080798268371987</v>
      </c>
      <c r="N257" s="73"/>
      <c r="O257" s="59">
        <v>90</v>
      </c>
      <c r="P257" s="59">
        <v>100</v>
      </c>
      <c r="Q257" s="36">
        <v>1.1374545999999999E-2</v>
      </c>
      <c r="R257" s="36">
        <v>1.4989293361884369E-2</v>
      </c>
      <c r="T257" s="36"/>
      <c r="U257" s="74">
        <v>0</v>
      </c>
    </row>
    <row r="258" spans="1:21" x14ac:dyDescent="0.3">
      <c r="A258" s="14" t="str">
        <f t="shared" si="12"/>
        <v>(100, 120]</v>
      </c>
      <c r="B258" s="83">
        <v>544944</v>
      </c>
      <c r="C258" s="83">
        <v>5988889530</v>
      </c>
      <c r="D258" s="36">
        <v>6.515313336877869E-2</v>
      </c>
      <c r="E258" s="69">
        <v>109.89917367656126</v>
      </c>
      <c r="F258" s="73"/>
      <c r="G258" s="14" t="str">
        <f t="shared" si="13"/>
        <v>(100, 120]</v>
      </c>
      <c r="H258" s="70">
        <v>0.24029142100327919</v>
      </c>
      <c r="I258" s="36">
        <v>1.5655738999999998E-2</v>
      </c>
      <c r="J258" s="36">
        <v>1.5655738999999995E-2</v>
      </c>
      <c r="K258" s="71">
        <v>15655739</v>
      </c>
      <c r="L258" s="36">
        <v>1.5655738999999998E-2</v>
      </c>
      <c r="M258" s="36">
        <v>1.7205527793959134</v>
      </c>
      <c r="N258" s="73"/>
      <c r="O258" s="59">
        <v>100</v>
      </c>
      <c r="P258" s="59">
        <v>120</v>
      </c>
      <c r="Q258" s="36">
        <v>1.5655738999999998E-2</v>
      </c>
      <c r="R258" s="36">
        <v>1.8558172733761598E-2</v>
      </c>
      <c r="T258" s="36"/>
      <c r="U258" s="74">
        <v>0</v>
      </c>
    </row>
    <row r="259" spans="1:21" x14ac:dyDescent="0.3">
      <c r="A259" s="14" t="str">
        <f t="shared" si="12"/>
        <v>(120, 140]</v>
      </c>
      <c r="B259" s="83">
        <v>496474</v>
      </c>
      <c r="C259" s="83">
        <v>6448866850</v>
      </c>
      <c r="D259" s="36">
        <v>5.9358093191467433E-2</v>
      </c>
      <c r="E259" s="69">
        <v>129.89334486800919</v>
      </c>
      <c r="F259" s="73"/>
      <c r="G259" s="14" t="str">
        <f t="shared" si="13"/>
        <v>(120, 140]</v>
      </c>
      <c r="H259" s="70">
        <v>0.18712423871453893</v>
      </c>
      <c r="I259" s="36">
        <v>1.1107338E-2</v>
      </c>
      <c r="J259" s="36">
        <v>1.1107337999999998E-2</v>
      </c>
      <c r="K259" s="71">
        <v>11107338</v>
      </c>
      <c r="L259" s="36">
        <v>1.1107338E-2</v>
      </c>
      <c r="M259" s="36">
        <v>1.4427692853995435</v>
      </c>
      <c r="N259" s="73"/>
      <c r="O259" s="59">
        <v>120</v>
      </c>
      <c r="P259" s="59">
        <v>140</v>
      </c>
      <c r="Q259" s="36">
        <v>1.1107338E-2</v>
      </c>
      <c r="R259" s="36">
        <v>1.1420413990007138E-2</v>
      </c>
      <c r="T259" s="36"/>
      <c r="U259" s="74">
        <v>0</v>
      </c>
    </row>
    <row r="260" spans="1:21" x14ac:dyDescent="0.3">
      <c r="A260" s="14" t="str">
        <f t="shared" si="12"/>
        <v>(140, 160]</v>
      </c>
      <c r="B260" s="83">
        <v>447550</v>
      </c>
      <c r="C260" s="83">
        <v>6707843560</v>
      </c>
      <c r="D260" s="36">
        <v>5.3508773083467111E-2</v>
      </c>
      <c r="E260" s="69">
        <v>149.8791991956206</v>
      </c>
      <c r="F260" s="73"/>
      <c r="G260" s="14" t="str">
        <f t="shared" si="13"/>
        <v>(140, 160]</v>
      </c>
      <c r="H260" s="70">
        <v>0.17947761547474694</v>
      </c>
      <c r="I260" s="36">
        <v>9.603627E-3</v>
      </c>
      <c r="J260" s="36">
        <v>9.6036269999999983E-3</v>
      </c>
      <c r="K260" s="71">
        <v>9603627</v>
      </c>
      <c r="L260" s="36">
        <v>9.603627E-3</v>
      </c>
      <c r="M260" s="36">
        <v>1.4393839241334403</v>
      </c>
      <c r="N260" s="73"/>
      <c r="O260" s="59">
        <v>140</v>
      </c>
      <c r="P260" s="59">
        <v>160</v>
      </c>
      <c r="Q260" s="36">
        <v>9.603627E-3</v>
      </c>
      <c r="R260" s="36">
        <v>8.5653104925053538E-3</v>
      </c>
      <c r="T260" s="36"/>
      <c r="U260" s="74">
        <v>0</v>
      </c>
    </row>
    <row r="261" spans="1:21" x14ac:dyDescent="0.3">
      <c r="A261" s="14" t="str">
        <f t="shared" si="12"/>
        <v>(160, 180]</v>
      </c>
      <c r="B261" s="83">
        <v>401699</v>
      </c>
      <c r="C261" s="83">
        <v>6824039140</v>
      </c>
      <c r="D261" s="36">
        <v>4.8026858761826954E-2</v>
      </c>
      <c r="E261" s="69">
        <v>169.87941568189115</v>
      </c>
      <c r="F261" s="73"/>
      <c r="G261" s="14" t="str">
        <f t="shared" si="13"/>
        <v>(160, 180]</v>
      </c>
      <c r="H261" s="70">
        <v>9.6061269026134002E-2</v>
      </c>
      <c r="I261" s="36">
        <v>4.6135209999999998E-3</v>
      </c>
      <c r="J261" s="36">
        <v>4.6135209999999989E-3</v>
      </c>
      <c r="K261" s="71">
        <v>4613521</v>
      </c>
      <c r="L261" s="36">
        <v>4.6135209999999998E-3</v>
      </c>
      <c r="M261" s="36">
        <v>0.7837422517161341</v>
      </c>
      <c r="N261" s="73"/>
      <c r="O261" s="59">
        <v>160</v>
      </c>
      <c r="P261" s="59">
        <v>180</v>
      </c>
      <c r="Q261" s="36">
        <v>4.6135209999999998E-3</v>
      </c>
      <c r="R261" s="36">
        <v>3.5688793718772305E-3</v>
      </c>
      <c r="T261" s="36"/>
      <c r="U261" s="74">
        <v>0</v>
      </c>
    </row>
    <row r="262" spans="1:21" x14ac:dyDescent="0.3">
      <c r="A262" s="14" t="str">
        <f t="shared" si="12"/>
        <v>(180, 200]</v>
      </c>
      <c r="B262" s="83">
        <v>359175</v>
      </c>
      <c r="C262" s="83">
        <v>6819468580</v>
      </c>
      <c r="D262" s="36">
        <v>4.2942718293496371E-2</v>
      </c>
      <c r="E262" s="69">
        <v>189.86478958724857</v>
      </c>
      <c r="F262" s="73"/>
      <c r="G262" s="14" t="str">
        <f t="shared" si="13"/>
        <v>(180, 200]</v>
      </c>
      <c r="H262" s="70">
        <v>7.4311620847795634E-2</v>
      </c>
      <c r="I262" s="36">
        <v>3.191143E-3</v>
      </c>
      <c r="J262" s="36">
        <v>3.1911429999999992E-3</v>
      </c>
      <c r="K262" s="71">
        <v>3191143</v>
      </c>
      <c r="L262" s="36">
        <v>3.191143E-3</v>
      </c>
      <c r="M262" s="36">
        <v>0.60588569423782113</v>
      </c>
      <c r="N262" s="73"/>
      <c r="O262" s="59">
        <v>180</v>
      </c>
      <c r="P262" s="59">
        <v>200</v>
      </c>
      <c r="Q262" s="36">
        <v>3.191143E-3</v>
      </c>
      <c r="R262" s="36">
        <v>2.1413276231263384E-3</v>
      </c>
      <c r="T262" s="36"/>
      <c r="U262" s="74">
        <v>0</v>
      </c>
    </row>
    <row r="263" spans="1:21" x14ac:dyDescent="0.3">
      <c r="A263" s="14" t="str">
        <f t="shared" si="12"/>
        <v>(200, 250]</v>
      </c>
      <c r="B263" s="83">
        <v>728579</v>
      </c>
      <c r="C263" s="83">
        <v>16300420450</v>
      </c>
      <c r="D263" s="36">
        <v>8.7108408857958633E-2</v>
      </c>
      <c r="E263" s="69">
        <v>223.72893605223319</v>
      </c>
      <c r="F263" s="73"/>
      <c r="G263" s="14" t="str">
        <f t="shared" si="13"/>
        <v>(200, 250]</v>
      </c>
      <c r="H263" s="70">
        <v>0.13984948364588329</v>
      </c>
      <c r="I263" s="36">
        <v>1.2182066E-2</v>
      </c>
      <c r="J263" s="36">
        <v>1.2182065999999997E-2</v>
      </c>
      <c r="K263" s="71">
        <v>12182066</v>
      </c>
      <c r="L263" s="36">
        <v>1.2182066E-2</v>
      </c>
      <c r="M263" s="36">
        <v>2.7254806650980843</v>
      </c>
      <c r="N263" s="73"/>
      <c r="O263" s="59">
        <v>200</v>
      </c>
      <c r="P263" s="59">
        <v>250</v>
      </c>
      <c r="Q263" s="36">
        <v>1.2182066E-2</v>
      </c>
      <c r="R263" s="36">
        <v>6.4239828693790149E-3</v>
      </c>
      <c r="T263" s="36"/>
      <c r="U263" s="74">
        <v>0</v>
      </c>
    </row>
    <row r="264" spans="1:21" x14ac:dyDescent="0.3">
      <c r="A264" s="14" t="str">
        <f t="shared" si="12"/>
        <v>(250, 300]</v>
      </c>
      <c r="B264" s="83">
        <v>527104</v>
      </c>
      <c r="C264" s="83">
        <v>14424519190</v>
      </c>
      <c r="D264" s="36">
        <v>6.3020195123199299E-2</v>
      </c>
      <c r="E264" s="69">
        <v>273.65603732849684</v>
      </c>
      <c r="F264" s="73"/>
      <c r="G264" s="14" t="str">
        <f t="shared" si="13"/>
        <v>(250, 300]</v>
      </c>
      <c r="H264" s="70">
        <v>1.1597869517400741E-4</v>
      </c>
      <c r="I264" s="36">
        <v>7.3089999999999998E-6</v>
      </c>
      <c r="J264" s="36">
        <v>7.3089999999999981E-6</v>
      </c>
      <c r="K264" s="71">
        <v>7309</v>
      </c>
      <c r="L264" s="36">
        <v>7.3089999999999998E-6</v>
      </c>
      <c r="M264" s="36">
        <v>2.0001519768339834E-3</v>
      </c>
      <c r="N264" s="73"/>
      <c r="O264" s="59">
        <v>250</v>
      </c>
      <c r="P264" s="59">
        <v>300</v>
      </c>
      <c r="Q264" s="36">
        <v>7.3089999999999998E-6</v>
      </c>
      <c r="R264" s="36">
        <v>7.1377587437544611E-4</v>
      </c>
      <c r="T264" s="36"/>
      <c r="U264" s="74">
        <v>0</v>
      </c>
    </row>
    <row r="265" spans="1:21" x14ac:dyDescent="0.3">
      <c r="A265" s="14" t="str">
        <f t="shared" si="12"/>
        <v>(300, 350]</v>
      </c>
      <c r="B265" s="83">
        <v>376240</v>
      </c>
      <c r="C265" s="83">
        <v>12174194450</v>
      </c>
      <c r="D265" s="36">
        <v>4.4982998067084494E-2</v>
      </c>
      <c r="E265" s="69">
        <v>323.5752299064427</v>
      </c>
      <c r="F265" s="73"/>
      <c r="G265" s="14" t="str">
        <f t="shared" si="13"/>
        <v>(300, 350]</v>
      </c>
      <c r="H265" s="70">
        <v>1.3740747094673612E-4</v>
      </c>
      <c r="I265" s="36">
        <v>6.1809999999999998E-6</v>
      </c>
      <c r="J265" s="36">
        <v>6.1809999999999981E-6</v>
      </c>
      <c r="K265" s="71">
        <v>6181</v>
      </c>
      <c r="L265" s="36">
        <v>6.1809999999999998E-6</v>
      </c>
      <c r="M265" s="36">
        <v>2.0000184960517224E-3</v>
      </c>
      <c r="N265" s="73"/>
      <c r="O265" s="59">
        <v>300</v>
      </c>
      <c r="P265" s="59">
        <v>350</v>
      </c>
      <c r="Q265" s="36">
        <v>6.1809999999999998E-6</v>
      </c>
      <c r="R265" s="36">
        <v>0</v>
      </c>
      <c r="T265" s="36"/>
      <c r="U265" s="74">
        <v>0</v>
      </c>
    </row>
    <row r="266" spans="1:21" x14ac:dyDescent="0.3">
      <c r="A266" s="14" t="str">
        <f t="shared" si="12"/>
        <v>(350, 400]</v>
      </c>
      <c r="B266" s="83">
        <v>263520</v>
      </c>
      <c r="C266" s="83">
        <v>9845768370</v>
      </c>
      <c r="D266" s="36">
        <v>3.1506271663401302E-2</v>
      </c>
      <c r="E266" s="69">
        <v>373.62508993624778</v>
      </c>
      <c r="F266" s="73"/>
      <c r="G266" s="14" t="str">
        <f t="shared" si="13"/>
        <v>(350, 400]</v>
      </c>
      <c r="H266" s="70">
        <v>0.24965984817356937</v>
      </c>
      <c r="I266" s="36">
        <v>7.8658510000000001E-3</v>
      </c>
      <c r="J266" s="36">
        <v>7.8658509999999984E-3</v>
      </c>
      <c r="K266" s="71">
        <v>7865851</v>
      </c>
      <c r="L266" s="36">
        <v>7.8658510000000001E-3</v>
      </c>
      <c r="M266" s="36">
        <v>2.9388792873001246</v>
      </c>
      <c r="N266" s="73"/>
      <c r="O266" s="59">
        <v>350</v>
      </c>
      <c r="P266" s="59">
        <v>400</v>
      </c>
      <c r="Q266" s="36">
        <v>7.8658510000000001E-3</v>
      </c>
      <c r="R266" s="36">
        <v>1.4275517487508922E-3</v>
      </c>
      <c r="T266" s="36"/>
      <c r="U266" s="74">
        <v>0</v>
      </c>
    </row>
    <row r="267" spans="1:21" x14ac:dyDescent="0.3">
      <c r="A267" s="14" t="str">
        <f t="shared" si="12"/>
        <v>(400, 450]</v>
      </c>
      <c r="B267" s="83">
        <v>184753</v>
      </c>
      <c r="C267" s="83">
        <v>7824656320</v>
      </c>
      <c r="D267" s="36">
        <v>2.208894280748475E-2</v>
      </c>
      <c r="E267" s="69">
        <v>423.51985191038847</v>
      </c>
      <c r="F267" s="73"/>
      <c r="G267" s="14" t="str">
        <f t="shared" si="13"/>
        <v>(400, 450]</v>
      </c>
      <c r="H267" s="70">
        <v>2.1381738552012688E-4</v>
      </c>
      <c r="I267" s="36">
        <v>4.7230000000000004E-6</v>
      </c>
      <c r="J267" s="36">
        <v>4.7229999999999995E-6</v>
      </c>
      <c r="K267" s="71">
        <v>4723</v>
      </c>
      <c r="L267" s="36">
        <v>4.7230000000000004E-6</v>
      </c>
      <c r="M267" s="36">
        <v>2.0002842605727649E-3</v>
      </c>
      <c r="N267" s="73"/>
      <c r="O267" s="59">
        <v>400</v>
      </c>
      <c r="P267" s="59">
        <v>450</v>
      </c>
      <c r="Q267" s="36">
        <v>4.7230000000000004E-6</v>
      </c>
      <c r="R267" s="36">
        <v>0</v>
      </c>
      <c r="T267" s="36"/>
      <c r="U267" s="74">
        <v>0</v>
      </c>
    </row>
    <row r="268" spans="1:21" x14ac:dyDescent="0.3">
      <c r="A268" s="14" t="str">
        <f t="shared" si="12"/>
        <v>(450, 500]</v>
      </c>
      <c r="B268" s="83">
        <v>128657</v>
      </c>
      <c r="C268" s="83">
        <v>6093245310</v>
      </c>
      <c r="D268" s="36">
        <v>1.5382143265779528E-2</v>
      </c>
      <c r="E268" s="69">
        <v>473.60386997986899</v>
      </c>
      <c r="F268" s="73"/>
      <c r="G268" s="14" t="str">
        <f t="shared" si="13"/>
        <v>(450, 500]</v>
      </c>
      <c r="H268" s="70">
        <v>2.7453911506563966E-4</v>
      </c>
      <c r="I268" s="36">
        <v>4.2230000000000001E-6</v>
      </c>
      <c r="J268" s="36">
        <v>4.2229999999999992E-6</v>
      </c>
      <c r="K268" s="71">
        <v>4223</v>
      </c>
      <c r="L268" s="36">
        <v>4.2230000000000001E-6</v>
      </c>
      <c r="M268" s="36">
        <v>2.0000291429249869E-3</v>
      </c>
      <c r="N268" s="73"/>
      <c r="O268" s="59">
        <v>450</v>
      </c>
      <c r="P268" s="59">
        <v>500</v>
      </c>
      <c r="Q268" s="36">
        <v>4.2230000000000001E-6</v>
      </c>
      <c r="R268" s="36">
        <v>7.1377587437544611E-4</v>
      </c>
      <c r="T268" s="36"/>
      <c r="U268" s="74">
        <v>0</v>
      </c>
    </row>
    <row r="269" spans="1:21" x14ac:dyDescent="0.3">
      <c r="A269" s="14" t="str">
        <f t="shared" si="12"/>
        <v>(500, 550]</v>
      </c>
      <c r="B269" s="83">
        <v>88357</v>
      </c>
      <c r="C269" s="83">
        <v>4625117990</v>
      </c>
      <c r="D269" s="36">
        <v>1.0563902722234172E-2</v>
      </c>
      <c r="E269" s="69">
        <v>523.45801577690509</v>
      </c>
      <c r="F269" s="73"/>
      <c r="G269" s="14" t="str">
        <f t="shared" si="13"/>
        <v>(500, 550]</v>
      </c>
      <c r="H269" s="70">
        <v>3.6170344431114685E-4</v>
      </c>
      <c r="I269" s="36">
        <v>3.8210000000000003E-6</v>
      </c>
      <c r="J269" s="36">
        <v>3.8209999999999995E-6</v>
      </c>
      <c r="K269" s="71">
        <v>3821</v>
      </c>
      <c r="L269" s="36">
        <v>3.8210000000000003E-6</v>
      </c>
      <c r="M269" s="36">
        <v>2.0001330782835544E-3</v>
      </c>
      <c r="N269" s="73"/>
      <c r="O269" s="59">
        <v>500</v>
      </c>
      <c r="P269" s="59">
        <v>550</v>
      </c>
      <c r="Q269" s="36">
        <v>3.8210000000000003E-6</v>
      </c>
      <c r="R269" s="36">
        <v>0</v>
      </c>
      <c r="T269" s="36"/>
      <c r="U269" s="74">
        <v>0</v>
      </c>
    </row>
    <row r="270" spans="1:21" x14ac:dyDescent="0.3">
      <c r="A270" s="14" t="str">
        <f t="shared" si="12"/>
        <v>(550, 600]</v>
      </c>
      <c r="B270" s="83">
        <v>61353</v>
      </c>
      <c r="C270" s="83">
        <v>3518119460</v>
      </c>
      <c r="D270" s="36">
        <v>7.3353228801026869E-3</v>
      </c>
      <c r="E270" s="69">
        <v>573.42256450377329</v>
      </c>
      <c r="F270" s="73"/>
      <c r="G270" s="14" t="str">
        <f t="shared" si="13"/>
        <v>(550, 600]</v>
      </c>
      <c r="H270" s="70">
        <v>4.755073576190243E-4</v>
      </c>
      <c r="I270" s="36">
        <v>3.4879999999999999E-6</v>
      </c>
      <c r="J270" s="36">
        <v>3.487999999999999E-6</v>
      </c>
      <c r="K270" s="71">
        <v>3488</v>
      </c>
      <c r="L270" s="36">
        <v>3.4879999999999999E-6</v>
      </c>
      <c r="M270" s="36">
        <v>2.000097904989161E-3</v>
      </c>
      <c r="N270" s="73"/>
      <c r="O270" s="59">
        <v>550</v>
      </c>
      <c r="P270" s="59">
        <v>600</v>
      </c>
      <c r="Q270" s="36">
        <v>3.4879999999999999E-6</v>
      </c>
      <c r="R270" s="36">
        <v>0</v>
      </c>
      <c r="T270" s="36"/>
      <c r="U270" s="74">
        <v>0</v>
      </c>
    </row>
    <row r="271" spans="1:21" x14ac:dyDescent="0.3">
      <c r="A271" s="14" t="str">
        <f t="shared" si="12"/>
        <v>(600, 650]</v>
      </c>
      <c r="B271" s="83">
        <v>42665</v>
      </c>
      <c r="C271" s="83">
        <v>2660290870</v>
      </c>
      <c r="D271" s="36">
        <v>5.1009983322670635E-3</v>
      </c>
      <c r="E271" s="69">
        <v>623.53002929801949</v>
      </c>
      <c r="F271" s="73"/>
      <c r="G271" s="14" t="str">
        <f t="shared" si="13"/>
        <v>(600, 650]</v>
      </c>
      <c r="H271" s="70">
        <v>6.2889650045704906E-4</v>
      </c>
      <c r="I271" s="36">
        <v>3.2079999999999996E-6</v>
      </c>
      <c r="J271" s="36">
        <v>3.2079999999999988E-6</v>
      </c>
      <c r="K271" s="71">
        <v>3208</v>
      </c>
      <c r="L271" s="36">
        <v>3.208E-6</v>
      </c>
      <c r="M271" s="36">
        <v>2.0002843339880466E-3</v>
      </c>
      <c r="N271" s="73"/>
      <c r="O271" s="59">
        <v>600</v>
      </c>
      <c r="P271" s="59">
        <v>650</v>
      </c>
      <c r="Q271" s="36">
        <v>3.208E-6</v>
      </c>
      <c r="R271" s="36">
        <v>0</v>
      </c>
      <c r="T271" s="36"/>
      <c r="U271" s="74">
        <v>0</v>
      </c>
    </row>
    <row r="272" spans="1:21" x14ac:dyDescent="0.3">
      <c r="A272" s="14" t="str">
        <f t="shared" si="12"/>
        <v>(650, 700]</v>
      </c>
      <c r="B272" s="83">
        <v>29296</v>
      </c>
      <c r="C272" s="83">
        <v>1972914430</v>
      </c>
      <c r="D272" s="36">
        <v>3.502609800588208E-3</v>
      </c>
      <c r="E272" s="69">
        <v>673.44157222829062</v>
      </c>
      <c r="F272" s="73"/>
      <c r="G272" s="14" t="str">
        <f t="shared" si="13"/>
        <v>(650, 700]</v>
      </c>
      <c r="H272" s="70">
        <v>8.4793915654014199E-4</v>
      </c>
      <c r="I272" s="36">
        <v>2.9699999999999999E-6</v>
      </c>
      <c r="J272" s="36">
        <v>2.9699999999999991E-6</v>
      </c>
      <c r="K272" s="71">
        <v>2970</v>
      </c>
      <c r="L272" s="36">
        <v>2.9699999999999999E-6</v>
      </c>
      <c r="M272" s="36">
        <v>2.0001214695180231E-3</v>
      </c>
      <c r="N272" s="73"/>
      <c r="O272" s="59">
        <v>650</v>
      </c>
      <c r="P272" s="59">
        <v>700</v>
      </c>
      <c r="Q272" s="36">
        <v>2.9699999999999999E-6</v>
      </c>
      <c r="R272" s="36">
        <v>0</v>
      </c>
      <c r="T272" s="36"/>
      <c r="U272" s="74">
        <v>0</v>
      </c>
    </row>
    <row r="273" spans="1:21" x14ac:dyDescent="0.3">
      <c r="A273" s="14" t="str">
        <f t="shared" si="12"/>
        <v>(700, 750]</v>
      </c>
      <c r="B273" s="83">
        <v>20236</v>
      </c>
      <c r="C273" s="83">
        <v>1463960560</v>
      </c>
      <c r="D273" s="36">
        <v>2.4194023731807404E-3</v>
      </c>
      <c r="E273" s="69">
        <v>723.44364498912819</v>
      </c>
      <c r="F273" s="73"/>
      <c r="G273" s="14" t="str">
        <f t="shared" si="13"/>
        <v>(700, 750]</v>
      </c>
      <c r="H273" s="70">
        <v>1.1428442125420045E-3</v>
      </c>
      <c r="I273" s="36">
        <v>2.7650000000000002E-6</v>
      </c>
      <c r="J273" s="36">
        <v>2.7649999999999998E-6</v>
      </c>
      <c r="K273" s="71">
        <v>2765</v>
      </c>
      <c r="L273" s="36">
        <v>2.7650000000000002E-6</v>
      </c>
      <c r="M273" s="36">
        <v>2.0003216783949394E-3</v>
      </c>
      <c r="N273" s="73"/>
      <c r="O273" s="59">
        <v>700</v>
      </c>
      <c r="P273" s="59">
        <v>750</v>
      </c>
      <c r="Q273" s="36">
        <v>2.7650000000000002E-6</v>
      </c>
      <c r="R273" s="36">
        <v>0</v>
      </c>
      <c r="T273" s="36"/>
      <c r="U273" s="74">
        <v>0</v>
      </c>
    </row>
    <row r="274" spans="1:21" x14ac:dyDescent="0.3">
      <c r="A274" s="14" t="str">
        <f t="shared" si="12"/>
        <v>(750, 800]</v>
      </c>
      <c r="B274" s="83">
        <v>14051</v>
      </c>
      <c r="C274" s="83">
        <v>1086775270</v>
      </c>
      <c r="D274" s="36">
        <v>1.6799279870311616E-3</v>
      </c>
      <c r="E274" s="69">
        <v>773.45048039285462</v>
      </c>
      <c r="F274" s="73"/>
      <c r="G274" s="14" t="str">
        <f t="shared" si="13"/>
        <v>(750, 800]</v>
      </c>
      <c r="H274" s="70">
        <v>1.5393516983844566E-3</v>
      </c>
      <c r="I274" s="36">
        <v>2.5859999999999999E-6</v>
      </c>
      <c r="J274" s="36">
        <v>2.5859999999999995E-6</v>
      </c>
      <c r="K274" s="71">
        <v>2586</v>
      </c>
      <c r="L274" s="36">
        <v>2.5859999999999999E-6</v>
      </c>
      <c r="M274" s="36">
        <v>2.0001429422959217E-3</v>
      </c>
      <c r="N274" s="73"/>
      <c r="O274" s="59">
        <v>750</v>
      </c>
      <c r="P274" s="59">
        <v>800</v>
      </c>
      <c r="Q274" s="36">
        <v>2.5859999999999999E-6</v>
      </c>
      <c r="R274" s="36">
        <v>7.1377587437544611E-4</v>
      </c>
      <c r="T274" s="36"/>
      <c r="U274" s="74">
        <v>0</v>
      </c>
    </row>
    <row r="275" spans="1:21" x14ac:dyDescent="0.3">
      <c r="A275" s="14" t="str">
        <f t="shared" si="12"/>
        <v>(800, 850]</v>
      </c>
      <c r="B275" s="83">
        <v>9888</v>
      </c>
      <c r="C275" s="83">
        <v>814515590</v>
      </c>
      <c r="D275" s="36">
        <v>1.1822025432897392E-3</v>
      </c>
      <c r="E275" s="69">
        <v>823.74149474110027</v>
      </c>
      <c r="F275" s="73"/>
      <c r="G275" s="14" t="str">
        <f t="shared" si="13"/>
        <v>(800, 850]</v>
      </c>
      <c r="H275" s="70">
        <v>2.0537935853559871E-3</v>
      </c>
      <c r="I275" s="36">
        <v>2.4279999999999999E-6</v>
      </c>
      <c r="J275" s="36">
        <v>2.4279999999999995E-6</v>
      </c>
      <c r="K275" s="71">
        <v>2428</v>
      </c>
      <c r="L275" s="36">
        <v>2.4279999999999999E-6</v>
      </c>
      <c r="M275" s="36">
        <v>2.0000443492313915E-3</v>
      </c>
      <c r="N275" s="73"/>
      <c r="O275" s="59">
        <v>800</v>
      </c>
      <c r="P275" s="59">
        <v>850</v>
      </c>
      <c r="Q275" s="36">
        <v>2.4279999999999999E-6</v>
      </c>
      <c r="R275" s="36">
        <v>0</v>
      </c>
      <c r="T275" s="36"/>
      <c r="U275" s="74">
        <v>0</v>
      </c>
    </row>
    <row r="276" spans="1:21" x14ac:dyDescent="0.3">
      <c r="A276" s="14" t="str">
        <f t="shared" si="12"/>
        <v>(850, 900]</v>
      </c>
      <c r="B276" s="83">
        <v>6851</v>
      </c>
      <c r="C276" s="83">
        <v>598465100</v>
      </c>
      <c r="D276" s="36">
        <v>8.1910089240271066E-4</v>
      </c>
      <c r="E276" s="69">
        <v>873.54415413808204</v>
      </c>
      <c r="F276" s="73"/>
      <c r="G276" s="14" t="str">
        <f t="shared" si="13"/>
        <v>(850, 900]</v>
      </c>
      <c r="H276" s="70">
        <v>0.36427258566982923</v>
      </c>
      <c r="I276" s="36">
        <v>2.9837599999999999E-4</v>
      </c>
      <c r="J276" s="36">
        <v>2.9837599999999994E-4</v>
      </c>
      <c r="K276" s="72">
        <v>298376</v>
      </c>
      <c r="L276" s="36">
        <v>2.9837599999999999E-4</v>
      </c>
      <c r="M276" s="36">
        <v>0.26064461053510435</v>
      </c>
      <c r="N276" s="73"/>
      <c r="O276" s="59">
        <v>850</v>
      </c>
      <c r="P276" s="59">
        <v>900</v>
      </c>
      <c r="Q276" s="36">
        <v>2.9837599999999999E-4</v>
      </c>
      <c r="R276" s="36">
        <v>0</v>
      </c>
      <c r="T276" s="36"/>
      <c r="U276" s="74">
        <v>0</v>
      </c>
    </row>
    <row r="277" spans="1:21" x14ac:dyDescent="0.3">
      <c r="A277" s="14" t="str">
        <f t="shared" si="12"/>
        <v>(900, 950]</v>
      </c>
      <c r="B277" s="83">
        <v>4931</v>
      </c>
      <c r="C277" s="83">
        <v>455292250</v>
      </c>
      <c r="D277" s="36">
        <v>5.895470005017905E-4</v>
      </c>
      <c r="E277" s="69">
        <v>923.3264043804503</v>
      </c>
      <c r="F277" s="73"/>
      <c r="G277" s="14" t="str">
        <f t="shared" si="13"/>
        <v>(900, 950]</v>
      </c>
      <c r="H277" s="70">
        <v>0.47519196902291616</v>
      </c>
      <c r="I277" s="36">
        <v>2.8014799999999997E-4</v>
      </c>
      <c r="J277" s="36">
        <v>2.8014799999999992E-4</v>
      </c>
      <c r="K277" s="72">
        <v>280148</v>
      </c>
      <c r="L277" s="36">
        <v>2.8014799999999997E-4</v>
      </c>
      <c r="M277" s="36">
        <v>0.25866804553437439</v>
      </c>
      <c r="N277" s="73"/>
      <c r="O277" s="59">
        <v>900</v>
      </c>
      <c r="P277" s="59">
        <v>950</v>
      </c>
      <c r="Q277" s="36">
        <v>2.8014799999999997E-4</v>
      </c>
      <c r="R277" s="36">
        <v>0</v>
      </c>
      <c r="T277" s="36"/>
      <c r="U277" s="74">
        <v>0</v>
      </c>
    </row>
    <row r="278" spans="1:21" x14ac:dyDescent="0.3">
      <c r="A278" s="14" t="str">
        <f t="shared" si="12"/>
        <v>(950, 1000]</v>
      </c>
      <c r="B278" s="83">
        <v>3379</v>
      </c>
      <c r="C278" s="83">
        <v>328959390</v>
      </c>
      <c r="D278" s="36">
        <v>4.0399093788187992E-4</v>
      </c>
      <c r="E278" s="69">
        <v>973.54066291802314</v>
      </c>
      <c r="F278" s="73"/>
      <c r="G278" s="14" t="str">
        <f t="shared" si="13"/>
        <v>(950, 1000]</v>
      </c>
      <c r="H278" s="70">
        <v>0.62131591692630961</v>
      </c>
      <c r="I278" s="36">
        <v>2.5100600000000002E-4</v>
      </c>
      <c r="J278" s="36">
        <v>2.5100599999999996E-4</v>
      </c>
      <c r="K278" s="72">
        <v>251006</v>
      </c>
      <c r="L278" s="36">
        <v>2.5100600000000002E-4</v>
      </c>
      <c r="M278" s="36">
        <v>0.24436454763640134</v>
      </c>
      <c r="N278" s="73"/>
      <c r="O278" s="59">
        <v>950</v>
      </c>
      <c r="P278" s="59">
        <v>1000</v>
      </c>
      <c r="Q278" s="36">
        <v>2.5100600000000002E-4</v>
      </c>
      <c r="R278" s="36">
        <v>0</v>
      </c>
      <c r="T278" s="36"/>
      <c r="U278" s="74">
        <v>0</v>
      </c>
    </row>
    <row r="279" spans="1:21" x14ac:dyDescent="0.3">
      <c r="A279" s="14" t="str">
        <f t="shared" si="12"/>
        <v>(1000, 2000]</v>
      </c>
      <c r="B279" s="83">
        <v>9282</v>
      </c>
      <c r="C279" s="83">
        <v>1088039000</v>
      </c>
      <c r="D279" s="36">
        <v>1.1097495961585112E-3</v>
      </c>
      <c r="E279" s="69">
        <v>1172.2031889678949</v>
      </c>
      <c r="F279" s="73"/>
      <c r="G279" s="14" t="str">
        <f t="shared" si="13"/>
        <v>(1000, 2000]</v>
      </c>
      <c r="H279" s="70">
        <v>1.5381848354880415E-3</v>
      </c>
      <c r="I279" s="36">
        <v>1.7070000000000001E-6</v>
      </c>
      <c r="J279" s="36">
        <v>1.7069999999999997E-6</v>
      </c>
      <c r="K279" s="72">
        <v>1707</v>
      </c>
      <c r="L279" s="36">
        <v>1.7069999999999999E-6</v>
      </c>
      <c r="M279" s="36">
        <v>2.0009508435681967E-3</v>
      </c>
      <c r="N279" s="73"/>
      <c r="O279" s="59">
        <v>1000</v>
      </c>
      <c r="P279" s="59">
        <v>2000</v>
      </c>
      <c r="Q279" s="36">
        <v>1.7069999999999999E-6</v>
      </c>
      <c r="R279" s="36">
        <v>0</v>
      </c>
      <c r="T279" s="36"/>
      <c r="U279" s="74">
        <v>0</v>
      </c>
    </row>
    <row r="280" spans="1:21" x14ac:dyDescent="0.3">
      <c r="A280" s="14" t="str">
        <f t="shared" si="12"/>
        <v>(2000, 3000]</v>
      </c>
      <c r="B280" s="83">
        <v>96</v>
      </c>
      <c r="C280" s="83">
        <v>21722990</v>
      </c>
      <c r="D280" s="36">
        <v>1.1477694595046011E-5</v>
      </c>
      <c r="E280" s="69">
        <v>2262.8114583333336</v>
      </c>
      <c r="F280" s="73"/>
      <c r="G280" s="14" t="str">
        <f t="shared" si="13"/>
        <v>(2000, 3000]</v>
      </c>
      <c r="H280" s="70">
        <v>606.80705017243758</v>
      </c>
      <c r="I280" s="36">
        <v>6.9647460000000008E-3</v>
      </c>
      <c r="J280" s="36">
        <v>6.9647459999999991E-3</v>
      </c>
      <c r="K280" s="72">
        <v>6964746</v>
      </c>
      <c r="L280" s="36">
        <v>6.964746E-3</v>
      </c>
      <c r="M280" s="36">
        <v>15.759907053181252</v>
      </c>
      <c r="N280" s="73"/>
      <c r="O280" s="59">
        <v>2000</v>
      </c>
      <c r="P280" s="59">
        <v>3000</v>
      </c>
      <c r="Q280" s="36">
        <v>6.964746E-3</v>
      </c>
      <c r="R280" s="36">
        <v>0</v>
      </c>
      <c r="T280" s="36"/>
      <c r="U280" s="74">
        <v>0</v>
      </c>
    </row>
    <row r="281" spans="1:21" x14ac:dyDescent="0.3">
      <c r="A281" s="14" t="str">
        <f t="shared" si="12"/>
        <v>(3000, 4000]</v>
      </c>
      <c r="B281" s="83">
        <v>2</v>
      </c>
      <c r="C281" s="83">
        <v>673350</v>
      </c>
      <c r="D281" s="36">
        <v>2.3911863739679191E-7</v>
      </c>
      <c r="E281" s="69">
        <v>3366.75</v>
      </c>
      <c r="F281" s="73"/>
      <c r="G281" s="14" t="str">
        <f t="shared" si="13"/>
        <v>(3000, 4000]</v>
      </c>
      <c r="H281" s="70">
        <v>220300.21822425601</v>
      </c>
      <c r="I281" s="36">
        <v>5.2677887999999999E-2</v>
      </c>
      <c r="J281" s="36">
        <v>5.2677887999999985E-2</v>
      </c>
      <c r="K281" s="72">
        <v>52677888</v>
      </c>
      <c r="L281" s="36">
        <v>5.2677887999999999E-2</v>
      </c>
      <c r="M281" s="36">
        <v>177.35327942399999</v>
      </c>
      <c r="N281" s="73"/>
      <c r="O281" s="59">
        <v>3000</v>
      </c>
      <c r="P281" s="59">
        <v>4000</v>
      </c>
      <c r="Q281" s="36">
        <v>5.2677887999999999E-2</v>
      </c>
      <c r="R281" s="36">
        <v>0</v>
      </c>
      <c r="T281" s="36"/>
      <c r="U281" s="74">
        <v>0</v>
      </c>
    </row>
    <row r="282" spans="1:21" x14ac:dyDescent="0.3">
      <c r="A282" s="14" t="str">
        <f t="shared" si="12"/>
        <v>(4000, 5000]</v>
      </c>
      <c r="B282" s="83">
        <v>0</v>
      </c>
      <c r="C282" s="83">
        <v>0</v>
      </c>
      <c r="D282" s="36">
        <v>0</v>
      </c>
      <c r="E282" s="69">
        <v>0</v>
      </c>
      <c r="F282" s="73"/>
      <c r="G282" s="14" t="str">
        <f t="shared" si="13"/>
        <v>(4000, 5000]</v>
      </c>
      <c r="H282" s="70">
        <v>0</v>
      </c>
      <c r="I282" s="36">
        <v>0</v>
      </c>
      <c r="J282" s="36">
        <v>0</v>
      </c>
      <c r="K282" s="72">
        <v>0</v>
      </c>
      <c r="L282" s="36">
        <v>0</v>
      </c>
      <c r="M282" s="36">
        <v>0</v>
      </c>
      <c r="N282" s="73"/>
      <c r="O282" s="59">
        <v>4000</v>
      </c>
      <c r="P282" s="59">
        <v>5000</v>
      </c>
      <c r="Q282" s="36">
        <v>0</v>
      </c>
      <c r="R282" s="36">
        <v>0</v>
      </c>
      <c r="T282" s="36"/>
      <c r="U282" s="74">
        <v>0</v>
      </c>
    </row>
    <row r="283" spans="1:21" x14ac:dyDescent="0.3">
      <c r="A283" s="14" t="str">
        <f t="shared" si="12"/>
        <v>(5000, 6000]</v>
      </c>
      <c r="B283" s="83">
        <v>0</v>
      </c>
      <c r="C283" s="83">
        <v>0</v>
      </c>
      <c r="D283" s="36">
        <v>0</v>
      </c>
      <c r="E283" s="69">
        <v>0</v>
      </c>
      <c r="F283" s="73"/>
      <c r="G283" s="14" t="str">
        <f t="shared" si="13"/>
        <v>(5000, 6000]</v>
      </c>
      <c r="H283" s="70">
        <v>0</v>
      </c>
      <c r="I283" s="36">
        <v>0</v>
      </c>
      <c r="J283" s="36">
        <v>0</v>
      </c>
      <c r="K283" s="72">
        <v>0</v>
      </c>
      <c r="L283" s="36">
        <v>0</v>
      </c>
      <c r="M283" s="36">
        <v>0</v>
      </c>
      <c r="N283" s="73"/>
      <c r="O283" s="59">
        <v>5000</v>
      </c>
      <c r="P283" s="59">
        <v>6000</v>
      </c>
      <c r="Q283" s="36">
        <v>0</v>
      </c>
      <c r="R283" s="36">
        <v>0</v>
      </c>
      <c r="T283" s="36"/>
      <c r="U283" s="74">
        <v>0</v>
      </c>
    </row>
    <row r="284" spans="1:21" x14ac:dyDescent="0.3">
      <c r="A284" s="14" t="str">
        <f t="shared" si="12"/>
        <v>(6000, 7000]</v>
      </c>
      <c r="B284" s="83">
        <v>0</v>
      </c>
      <c r="C284" s="83">
        <v>0</v>
      </c>
      <c r="D284" s="36">
        <v>0</v>
      </c>
      <c r="E284" s="69">
        <v>0</v>
      </c>
      <c r="F284" s="73"/>
      <c r="G284" s="14" t="str">
        <f t="shared" si="13"/>
        <v>(6000, 7000]</v>
      </c>
      <c r="H284" s="70">
        <v>0</v>
      </c>
      <c r="I284" s="36">
        <v>0</v>
      </c>
      <c r="J284" s="36">
        <v>0</v>
      </c>
      <c r="K284" s="72">
        <v>0</v>
      </c>
      <c r="L284" s="36">
        <v>0</v>
      </c>
      <c r="M284" s="36">
        <v>0</v>
      </c>
      <c r="N284" s="73"/>
      <c r="O284" s="59">
        <v>6000</v>
      </c>
      <c r="P284" s="59">
        <v>7000</v>
      </c>
      <c r="Q284" s="36">
        <v>0</v>
      </c>
      <c r="R284" s="36">
        <v>0</v>
      </c>
      <c r="T284" s="36"/>
      <c r="U284" s="74">
        <v>0</v>
      </c>
    </row>
    <row r="285" spans="1:21" x14ac:dyDescent="0.3">
      <c r="A285" s="14" t="str">
        <f t="shared" si="12"/>
        <v>(7000, 8000]</v>
      </c>
      <c r="B285" s="83">
        <v>0</v>
      </c>
      <c r="C285" s="83">
        <v>0</v>
      </c>
      <c r="D285" s="36">
        <v>0</v>
      </c>
      <c r="E285" s="69">
        <v>0</v>
      </c>
      <c r="F285" s="73"/>
      <c r="G285" s="14" t="str">
        <f t="shared" si="13"/>
        <v>(7000, 8000]</v>
      </c>
      <c r="H285" s="70">
        <v>0</v>
      </c>
      <c r="I285" s="36">
        <v>0</v>
      </c>
      <c r="J285" s="36">
        <v>0</v>
      </c>
      <c r="K285" s="72">
        <v>0</v>
      </c>
      <c r="L285" s="36">
        <v>0</v>
      </c>
      <c r="M285" s="36">
        <v>0</v>
      </c>
      <c r="N285" s="73"/>
      <c r="O285" s="59">
        <v>7000</v>
      </c>
      <c r="P285" s="59">
        <v>8000</v>
      </c>
      <c r="Q285" s="36">
        <v>0</v>
      </c>
      <c r="R285" s="36">
        <v>0</v>
      </c>
      <c r="T285" s="36"/>
      <c r="U285" s="74">
        <v>0</v>
      </c>
    </row>
    <row r="286" spans="1:21" x14ac:dyDescent="0.3">
      <c r="A286" s="14" t="str">
        <f t="shared" si="12"/>
        <v>(8000, 9000]</v>
      </c>
      <c r="B286" s="83">
        <v>0</v>
      </c>
      <c r="C286" s="83">
        <v>0</v>
      </c>
      <c r="D286" s="36">
        <v>0</v>
      </c>
      <c r="E286" s="69">
        <v>0</v>
      </c>
      <c r="F286" s="73"/>
      <c r="G286" s="14" t="str">
        <f t="shared" si="13"/>
        <v>(8000, 9000]</v>
      </c>
      <c r="H286" s="70">
        <v>0</v>
      </c>
      <c r="I286" s="36">
        <v>0</v>
      </c>
      <c r="J286" s="36">
        <v>0</v>
      </c>
      <c r="K286" s="72">
        <v>0</v>
      </c>
      <c r="L286" s="36">
        <v>0</v>
      </c>
      <c r="M286" s="36">
        <v>0</v>
      </c>
      <c r="N286" s="73"/>
      <c r="O286" s="59">
        <v>8000</v>
      </c>
      <c r="P286" s="59">
        <v>9000</v>
      </c>
      <c r="Q286" s="36">
        <v>0</v>
      </c>
      <c r="R286" s="36">
        <v>0</v>
      </c>
      <c r="T286" s="36"/>
      <c r="U286" s="74">
        <v>0</v>
      </c>
    </row>
    <row r="287" spans="1:21" x14ac:dyDescent="0.3">
      <c r="A287" s="14" t="str">
        <f t="shared" si="12"/>
        <v>(9000, 10000]</v>
      </c>
      <c r="B287" s="83">
        <v>0</v>
      </c>
      <c r="C287" s="83">
        <v>0</v>
      </c>
      <c r="D287" s="36">
        <v>0</v>
      </c>
      <c r="E287" s="69">
        <v>0</v>
      </c>
      <c r="F287" s="73"/>
      <c r="G287" s="14" t="str">
        <f t="shared" si="13"/>
        <v>(9000, 10000]</v>
      </c>
      <c r="H287" s="70">
        <v>0</v>
      </c>
      <c r="I287" s="36">
        <v>0</v>
      </c>
      <c r="J287" s="36">
        <v>0</v>
      </c>
      <c r="K287" s="72">
        <v>0</v>
      </c>
      <c r="L287" s="36">
        <v>0</v>
      </c>
      <c r="M287" s="36">
        <v>0</v>
      </c>
      <c r="N287" s="73"/>
      <c r="O287" s="59">
        <v>9000</v>
      </c>
      <c r="P287" s="59">
        <v>10000</v>
      </c>
      <c r="Q287" s="36">
        <v>0</v>
      </c>
      <c r="R287" s="36">
        <v>0</v>
      </c>
      <c r="T287" s="36"/>
      <c r="U287" s="74">
        <v>0</v>
      </c>
    </row>
    <row r="288" spans="1:21" x14ac:dyDescent="0.3">
      <c r="A288" s="14" t="str">
        <f t="shared" si="12"/>
        <v>(10000, 20000]</v>
      </c>
      <c r="B288" s="83">
        <v>0</v>
      </c>
      <c r="C288" s="83">
        <v>0</v>
      </c>
      <c r="D288" s="36">
        <v>0</v>
      </c>
      <c r="E288" s="69">
        <v>0</v>
      </c>
      <c r="F288" s="73"/>
      <c r="G288" s="14" t="str">
        <f t="shared" si="13"/>
        <v>(10000, 20000]</v>
      </c>
      <c r="H288" s="70">
        <v>0</v>
      </c>
      <c r="I288" s="36">
        <v>0</v>
      </c>
      <c r="J288" s="36">
        <v>0</v>
      </c>
      <c r="K288" s="72">
        <v>0</v>
      </c>
      <c r="L288" s="36">
        <v>0</v>
      </c>
      <c r="M288" s="36">
        <v>0</v>
      </c>
      <c r="N288" s="73"/>
      <c r="O288" s="59">
        <v>10000</v>
      </c>
      <c r="P288" s="59">
        <v>20000</v>
      </c>
      <c r="Q288" s="36">
        <v>0</v>
      </c>
      <c r="R288" s="36">
        <v>0</v>
      </c>
      <c r="T288" s="36"/>
      <c r="U288" s="74">
        <v>0</v>
      </c>
    </row>
    <row r="289" spans="1:21" x14ac:dyDescent="0.3">
      <c r="A289" s="14" t="str">
        <f t="shared" si="12"/>
        <v>(20000, 30000]</v>
      </c>
      <c r="B289" s="83">
        <v>0</v>
      </c>
      <c r="C289" s="83">
        <v>0</v>
      </c>
      <c r="D289" s="36">
        <v>0</v>
      </c>
      <c r="E289" s="69">
        <v>0</v>
      </c>
      <c r="F289" s="73"/>
      <c r="G289" s="14" t="str">
        <f t="shared" si="13"/>
        <v>(20000, 30000]</v>
      </c>
      <c r="H289" s="70">
        <v>0</v>
      </c>
      <c r="I289" s="36">
        <v>0</v>
      </c>
      <c r="J289" s="36">
        <v>0</v>
      </c>
      <c r="K289" s="72">
        <v>0</v>
      </c>
      <c r="L289" s="36">
        <v>0</v>
      </c>
      <c r="M289" s="36">
        <v>0</v>
      </c>
      <c r="N289" s="73"/>
      <c r="O289" s="59">
        <v>20000</v>
      </c>
      <c r="P289" s="59">
        <v>30000</v>
      </c>
      <c r="Q289" s="36">
        <v>0</v>
      </c>
      <c r="R289" s="36">
        <v>0</v>
      </c>
      <c r="T289" s="36"/>
      <c r="U289" s="74">
        <v>0</v>
      </c>
    </row>
    <row r="290" spans="1:21" x14ac:dyDescent="0.3">
      <c r="A290" s="14" t="str">
        <f t="shared" si="12"/>
        <v>(30000, 40000]</v>
      </c>
      <c r="B290" s="83">
        <v>0</v>
      </c>
      <c r="C290" s="83">
        <v>0</v>
      </c>
      <c r="D290" s="36">
        <v>0</v>
      </c>
      <c r="E290" s="69">
        <v>0</v>
      </c>
      <c r="F290" s="73"/>
      <c r="G290" s="14" t="str">
        <f t="shared" si="13"/>
        <v>(30000, 40000]</v>
      </c>
      <c r="H290" s="70">
        <v>0</v>
      </c>
      <c r="I290" s="36">
        <v>0</v>
      </c>
      <c r="J290" s="36">
        <v>0</v>
      </c>
      <c r="K290" s="72">
        <v>0</v>
      </c>
      <c r="L290" s="36">
        <v>0</v>
      </c>
      <c r="M290" s="36">
        <v>0</v>
      </c>
      <c r="N290" s="73"/>
      <c r="O290" s="59">
        <v>30000</v>
      </c>
      <c r="P290" s="59">
        <v>40000</v>
      </c>
      <c r="Q290" s="36">
        <v>0</v>
      </c>
      <c r="R290" s="36">
        <v>0</v>
      </c>
      <c r="T290" s="36"/>
      <c r="U290" s="74">
        <v>0</v>
      </c>
    </row>
    <row r="291" spans="1:21" x14ac:dyDescent="0.3">
      <c r="A291" s="14" t="str">
        <f t="shared" si="12"/>
        <v>(40000, 50000]</v>
      </c>
      <c r="B291" s="83">
        <v>0</v>
      </c>
      <c r="C291" s="83">
        <v>0</v>
      </c>
      <c r="D291" s="36">
        <v>0</v>
      </c>
      <c r="E291" s="69">
        <v>0</v>
      </c>
      <c r="F291" s="73"/>
      <c r="G291" s="14" t="str">
        <f t="shared" si="13"/>
        <v>(40000, 50000]</v>
      </c>
      <c r="H291" s="70">
        <v>0</v>
      </c>
      <c r="I291" s="36">
        <v>0</v>
      </c>
      <c r="J291" s="36">
        <v>0</v>
      </c>
      <c r="K291" s="72">
        <v>0</v>
      </c>
      <c r="L291" s="36">
        <v>0</v>
      </c>
      <c r="M291" s="36">
        <v>0</v>
      </c>
      <c r="N291" s="73"/>
      <c r="O291" s="59">
        <v>40000</v>
      </c>
      <c r="P291" s="59">
        <v>50000</v>
      </c>
      <c r="Q291" s="36">
        <v>0</v>
      </c>
      <c r="R291" s="36">
        <v>0</v>
      </c>
      <c r="T291" s="36"/>
      <c r="U291" s="74">
        <v>0</v>
      </c>
    </row>
    <row r="292" spans="1:21" x14ac:dyDescent="0.3">
      <c r="A292" s="14" t="str">
        <f t="shared" si="12"/>
        <v>(50000, 60000]</v>
      </c>
      <c r="B292" s="83">
        <v>0</v>
      </c>
      <c r="C292" s="83">
        <v>0</v>
      </c>
      <c r="D292" s="36">
        <v>0</v>
      </c>
      <c r="E292" s="69">
        <v>0</v>
      </c>
      <c r="F292" s="73"/>
      <c r="G292" s="14" t="str">
        <f t="shared" si="13"/>
        <v>(50000, 60000]</v>
      </c>
      <c r="H292" s="70">
        <v>0</v>
      </c>
      <c r="I292" s="36">
        <v>0</v>
      </c>
      <c r="J292" s="36">
        <v>0</v>
      </c>
      <c r="K292" s="72">
        <v>0</v>
      </c>
      <c r="L292" s="36">
        <v>0</v>
      </c>
      <c r="M292" s="36">
        <v>0</v>
      </c>
      <c r="N292" s="73"/>
      <c r="O292" s="59">
        <v>50000</v>
      </c>
      <c r="P292" s="59">
        <v>60000</v>
      </c>
      <c r="Q292" s="36">
        <v>0</v>
      </c>
      <c r="R292" s="36">
        <v>0</v>
      </c>
      <c r="T292" s="36"/>
      <c r="U292" s="74">
        <v>0</v>
      </c>
    </row>
    <row r="293" spans="1:21" x14ac:dyDescent="0.3">
      <c r="A293" s="14" t="str">
        <f t="shared" si="12"/>
        <v>(60000, 70000]</v>
      </c>
      <c r="B293" s="83">
        <v>0</v>
      </c>
      <c r="C293" s="83">
        <v>0</v>
      </c>
      <c r="D293" s="36">
        <v>0</v>
      </c>
      <c r="E293" s="69">
        <v>0</v>
      </c>
      <c r="F293" s="73"/>
      <c r="G293" s="14" t="str">
        <f t="shared" si="13"/>
        <v>(60000, 70000]</v>
      </c>
      <c r="H293" s="70">
        <v>0</v>
      </c>
      <c r="I293" s="36">
        <v>0</v>
      </c>
      <c r="J293" s="36">
        <v>0</v>
      </c>
      <c r="K293" s="72">
        <v>0</v>
      </c>
      <c r="L293" s="36">
        <v>0</v>
      </c>
      <c r="M293" s="36">
        <v>0</v>
      </c>
      <c r="N293" s="73"/>
      <c r="O293" s="59">
        <v>60000</v>
      </c>
      <c r="P293" s="59">
        <v>70000</v>
      </c>
      <c r="Q293" s="36">
        <v>0</v>
      </c>
      <c r="R293" s="36">
        <v>0</v>
      </c>
      <c r="T293" s="36"/>
      <c r="U293" s="74">
        <v>0</v>
      </c>
    </row>
    <row r="294" spans="1:21" x14ac:dyDescent="0.3">
      <c r="A294" s="14" t="str">
        <f t="shared" si="12"/>
        <v>(70000, 80000]</v>
      </c>
      <c r="B294" s="83">
        <v>0</v>
      </c>
      <c r="C294" s="83">
        <v>0</v>
      </c>
      <c r="D294" s="36">
        <v>0</v>
      </c>
      <c r="E294" s="69">
        <v>0</v>
      </c>
      <c r="F294" s="73"/>
      <c r="G294" s="14" t="str">
        <f t="shared" si="13"/>
        <v>(70000, 80000]</v>
      </c>
      <c r="H294" s="70">
        <v>0</v>
      </c>
      <c r="I294" s="36">
        <v>0</v>
      </c>
      <c r="J294" s="36">
        <v>0</v>
      </c>
      <c r="K294" s="72">
        <v>0</v>
      </c>
      <c r="L294" s="36">
        <v>0</v>
      </c>
      <c r="M294" s="36">
        <v>0</v>
      </c>
      <c r="N294" s="73"/>
      <c r="O294" s="59">
        <v>70000</v>
      </c>
      <c r="P294" s="59">
        <v>80000</v>
      </c>
      <c r="Q294" s="36">
        <v>0</v>
      </c>
      <c r="R294" s="36">
        <v>0</v>
      </c>
      <c r="T294" s="36"/>
      <c r="U294" s="74">
        <v>0</v>
      </c>
    </row>
    <row r="295" spans="1:21" x14ac:dyDescent="0.3">
      <c r="A295" s="14" t="str">
        <f t="shared" si="12"/>
        <v>(80000, 90000]</v>
      </c>
      <c r="B295" s="83">
        <v>0</v>
      </c>
      <c r="C295" s="83">
        <v>0</v>
      </c>
      <c r="D295" s="36">
        <v>0</v>
      </c>
      <c r="E295" s="69">
        <v>0</v>
      </c>
      <c r="F295" s="73"/>
      <c r="G295" s="14" t="str">
        <f t="shared" si="13"/>
        <v>(80000, 90000]</v>
      </c>
      <c r="H295" s="70">
        <v>0</v>
      </c>
      <c r="I295" s="36">
        <v>0</v>
      </c>
      <c r="J295" s="36">
        <v>0</v>
      </c>
      <c r="K295" s="72">
        <v>0</v>
      </c>
      <c r="L295" s="36">
        <v>0</v>
      </c>
      <c r="M295" s="36">
        <v>0</v>
      </c>
      <c r="N295" s="73"/>
      <c r="O295" s="59">
        <v>80000</v>
      </c>
      <c r="P295" s="59">
        <v>90000</v>
      </c>
      <c r="Q295" s="36">
        <v>0</v>
      </c>
      <c r="R295" s="36">
        <v>0</v>
      </c>
      <c r="T295" s="36"/>
      <c r="U295" s="74">
        <v>0</v>
      </c>
    </row>
    <row r="296" spans="1:21" x14ac:dyDescent="0.3">
      <c r="A296" s="14" t="str">
        <f t="shared" si="12"/>
        <v>(90000, 100000]</v>
      </c>
      <c r="B296" s="83">
        <v>0</v>
      </c>
      <c r="C296" s="83">
        <v>0</v>
      </c>
      <c r="D296" s="36">
        <v>0</v>
      </c>
      <c r="E296" s="69">
        <v>0</v>
      </c>
      <c r="F296" s="73"/>
      <c r="G296" s="14" t="str">
        <f t="shared" si="13"/>
        <v>(90000, 100000]</v>
      </c>
      <c r="H296" s="70">
        <v>0</v>
      </c>
      <c r="I296" s="36">
        <v>0</v>
      </c>
      <c r="J296" s="36">
        <v>0</v>
      </c>
      <c r="K296" s="72">
        <v>0</v>
      </c>
      <c r="L296" s="36">
        <v>0</v>
      </c>
      <c r="M296" s="36">
        <v>0</v>
      </c>
      <c r="N296" s="73"/>
      <c r="O296" s="59">
        <v>90000</v>
      </c>
      <c r="P296" s="59">
        <v>100000</v>
      </c>
      <c r="Q296" s="36">
        <v>0</v>
      </c>
      <c r="R296" s="36">
        <v>0</v>
      </c>
      <c r="T296" s="36"/>
      <c r="U296" s="74">
        <v>0</v>
      </c>
    </row>
    <row r="297" spans="1:21" x14ac:dyDescent="0.3">
      <c r="A297" s="14" t="str">
        <f t="shared" si="12"/>
        <v>(100000, 9999999]</v>
      </c>
      <c r="B297" s="83">
        <v>0</v>
      </c>
      <c r="C297" s="83">
        <v>0</v>
      </c>
      <c r="D297" s="36">
        <v>0</v>
      </c>
      <c r="E297" s="69">
        <v>0</v>
      </c>
      <c r="F297" s="73"/>
      <c r="G297" s="14" t="str">
        <f t="shared" si="13"/>
        <v>(100000, 9999999]</v>
      </c>
      <c r="H297" s="70">
        <v>0</v>
      </c>
      <c r="I297" s="36">
        <v>0</v>
      </c>
      <c r="J297" s="36">
        <v>0</v>
      </c>
      <c r="K297" s="72">
        <v>0</v>
      </c>
      <c r="L297" s="36">
        <v>0</v>
      </c>
      <c r="M297" s="36">
        <v>0</v>
      </c>
      <c r="N297" s="73"/>
      <c r="O297" s="59">
        <v>100000</v>
      </c>
      <c r="P297" s="59">
        <v>9999999</v>
      </c>
      <c r="Q297" s="36">
        <v>0</v>
      </c>
      <c r="R297" s="36">
        <v>0</v>
      </c>
      <c r="T297" s="36"/>
      <c r="U297" s="74">
        <v>0</v>
      </c>
    </row>
  </sheetData>
  <phoneticPr fontId="20" type="noConversion"/>
  <conditionalFormatting sqref="D79">
    <cfRule type="cellIs" dxfId="10" priority="16" operator="lessThan">
      <formula>0.001</formula>
    </cfRule>
  </conditionalFormatting>
  <conditionalFormatting sqref="D86:D149">
    <cfRule type="cellIs" dxfId="9" priority="30" operator="lessThan">
      <formula>0.001</formula>
    </cfRule>
  </conditionalFormatting>
  <conditionalFormatting sqref="L17:L78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8" priority="31" operator="lessThan">
      <formula>0.001</formula>
    </cfRule>
  </conditionalFormatting>
  <conditionalFormatting sqref="L163:L226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7" priority="26" operator="lessThan">
      <formula>0.001</formula>
    </cfRule>
  </conditionalFormatting>
  <conditionalFormatting sqref="M15:M79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3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6" priority="15" operator="lessThan">
      <formula>0.001</formula>
    </cfRule>
  </conditionalFormatting>
  <conditionalFormatting sqref="M15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conditionalFormatting sqref="L234:L297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{1062475C-A37E-4EFF-A79B-D397A8D0461B}</x14:id>
        </ext>
      </extLst>
    </cfRule>
  </conditionalFormatting>
  <conditionalFormatting sqref="M234:M297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{B592DB04-B98E-4A5C-AEC4-20149AF58146}</x14:id>
        </ext>
      </extLst>
    </cfRule>
  </conditionalFormatting>
  <conditionalFormatting sqref="Q236:Q297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{9FA7AB66-86B9-494C-A21A-6F92BA2C4E93}</x14:id>
        </ext>
      </extLst>
    </cfRule>
  </conditionalFormatting>
  <conditionalFormatting sqref="D234:D297">
    <cfRule type="cellIs" dxfId="5" priority="10" operator="lessThan">
      <formula>0.001</formula>
    </cfRule>
  </conditionalFormatting>
  <conditionalFormatting sqref="R236:R297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{49D4817F-0F91-42B8-932E-95B33E76F039}</x14:id>
        </ext>
      </extLst>
    </cfRule>
  </conditionalFormatting>
  <conditionalFormatting sqref="T236:T297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{45BE4816-60AA-4AFE-BA52-492552DD7FEF}</x14:id>
        </ext>
      </extLst>
    </cfRule>
  </conditionalFormatting>
  <conditionalFormatting sqref="N88:N92">
    <cfRule type="cellIs" dxfId="4" priority="2" operator="equal">
      <formula>0</formula>
    </cfRule>
  </conditionalFormatting>
  <conditionalFormatting sqref="Y15:Z78">
    <cfRule type="cellIs" dxfId="3" priority="1" operator="equal">
      <formula>0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  <x14:conditionalFormatting xmlns:xm="http://schemas.microsoft.com/office/excel/2006/main">
          <x14:cfRule type="dataBar" id="{1062475C-A37E-4EFF-A79B-D397A8D046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B592DB04-B98E-4A5C-AEC4-20149AF581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9FA7AB66-86B9-494C-A21A-6F92BA2C4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Q236:Q297</xm:sqref>
        </x14:conditionalFormatting>
        <x14:conditionalFormatting xmlns:xm="http://schemas.microsoft.com/office/excel/2006/main">
          <x14:cfRule type="dataBar" id="{49D4817F-0F91-42B8-932E-95B33E76F0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R236:R297</xm:sqref>
        </x14:conditionalFormatting>
        <x14:conditionalFormatting xmlns:xm="http://schemas.microsoft.com/office/excel/2006/main">
          <x14:cfRule type="dataBar" id="{45BE4816-60AA-4AFE-BA52-492552DD7F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T236:T297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topLeftCell="A10" workbookViewId="0">
      <selection activeCell="K29" sqref="G17:K29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0.69999999876358521</v>
      </c>
      <c r="D7" s="40">
        <f>SUM(_xlfn.ANCHORARRAY(M86))*F7</f>
        <v>0.22999999960088918</v>
      </c>
      <c r="E7" s="41">
        <f>SUM(C7:D7)</f>
        <v>0.92999999836447445</v>
      </c>
      <c r="F7" s="42">
        <f>L79</f>
        <v>8.4372176308072852E-3</v>
      </c>
      <c r="G7" s="43">
        <f>1/F7</f>
        <v>118.5224849894406</v>
      </c>
      <c r="H7" s="44">
        <f>D7*G7</f>
        <v>27.260171500267731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120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642768432</v>
      </c>
      <c r="C15" s="67">
        <v>0</v>
      </c>
      <c r="D15" s="37" cm="1">
        <f t="array" ref="D15:D78">_xlfn.LET(_xlpm.x, B15:B78, _xlpm.x/SUM(_xlpm.x))</f>
        <v>0.642768432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1.1345265194977716</v>
      </c>
      <c r="I15" s="36" cm="1">
        <f t="array" ref="I15:I79">D15:D79*H15:H79</f>
        <v>0.72923783200000014</v>
      </c>
      <c r="J15" s="36" cm="1">
        <f t="array" ref="J15:J78">I15:I78/SUM(I15:I78)</f>
        <v>0.72923783200000003</v>
      </c>
      <c r="K15" s="71" cm="1">
        <f t="array" ref="K15:K79">INT(J15:J79*$B$2)</f>
        <v>729237832</v>
      </c>
      <c r="L15" s="36" cm="1">
        <f t="array" ref="L15:L79">_xlfn.LET(_xlpm.x, K15:K79, _xlpm.x/SUM(_xlpm.x))</f>
        <v>0.72308509370679797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0.72308509370679797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165067367</v>
      </c>
      <c r="C16" s="75">
        <v>6883193835</v>
      </c>
      <c r="D16" s="36">
        <v>0.16506736699999999</v>
      </c>
      <c r="E16" s="69">
        <v>0.41699301079903939</v>
      </c>
      <c r="G16" s="14" t="str">
        <f t="shared" si="1"/>
        <v>(0, 1]</v>
      </c>
      <c r="H16" s="70">
        <v>0.92131636775911008</v>
      </c>
      <c r="I16" s="36">
        <v>0.15207926699999999</v>
      </c>
      <c r="J16" s="36">
        <v>0.15207926699999996</v>
      </c>
      <c r="K16" s="71">
        <v>152079267</v>
      </c>
      <c r="L16" s="36">
        <v>0.15079614112718734</v>
      </c>
      <c r="M16" s="36">
        <v>6.2880936905502699E-2</v>
      </c>
      <c r="N16" s="73"/>
      <c r="O16" s="59">
        <v>0</v>
      </c>
      <c r="P16" s="59">
        <v>1</v>
      </c>
      <c r="Q16" s="36">
        <v>0.15079614112718734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48607194</v>
      </c>
      <c r="C17" s="75">
        <v>7281533335</v>
      </c>
      <c r="D17" s="36">
        <v>4.8607193999999999E-2</v>
      </c>
      <c r="E17" s="69">
        <v>1.4980361415225902</v>
      </c>
      <c r="F17" s="76"/>
      <c r="G17" s="14" t="str">
        <f t="shared" si="1"/>
        <v>(1, 2]</v>
      </c>
      <c r="H17" s="70">
        <v>0.7840639597504846</v>
      </c>
      <c r="I17" s="36">
        <v>3.8111148999999997E-2</v>
      </c>
      <c r="J17" s="36">
        <v>3.811114899999999E-2</v>
      </c>
      <c r="K17" s="71">
        <v>38111149</v>
      </c>
      <c r="L17" s="36">
        <v>3.7789596941726879E-2</v>
      </c>
      <c r="M17" s="36">
        <v>5.6610181992278408E-2</v>
      </c>
      <c r="N17" s="73"/>
      <c r="O17" s="59">
        <v>1</v>
      </c>
      <c r="P17" s="59">
        <v>2</v>
      </c>
      <c r="Q17" s="36">
        <v>3.7789596941726879E-2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26919097</v>
      </c>
      <c r="C18" s="75">
        <v>6802776700</v>
      </c>
      <c r="D18" s="36">
        <v>2.6919096999999999E-2</v>
      </c>
      <c r="E18" s="69">
        <v>2.5271192046300812</v>
      </c>
      <c r="F18" s="76"/>
      <c r="G18" s="14" t="str">
        <f t="shared" si="1"/>
        <v>(2, 3]</v>
      </c>
      <c r="H18" s="70">
        <v>0.78867066008937814</v>
      </c>
      <c r="I18" s="36">
        <v>2.1230302E-2</v>
      </c>
      <c r="J18" s="36">
        <v>2.1230301999999996E-2</v>
      </c>
      <c r="K18" s="71">
        <v>21230302</v>
      </c>
      <c r="L18" s="36">
        <v>2.1051177321658236E-2</v>
      </c>
      <c r="M18" s="36">
        <v>5.3198834489635763E-2</v>
      </c>
      <c r="N18" s="73"/>
      <c r="O18" s="59">
        <v>2</v>
      </c>
      <c r="P18" s="59">
        <v>3</v>
      </c>
      <c r="Q18" s="36">
        <v>2.1051177321658236E-2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17682966</v>
      </c>
      <c r="C19" s="75">
        <v>6307283715</v>
      </c>
      <c r="D19" s="36">
        <v>1.7682966000000001E-2</v>
      </c>
      <c r="E19" s="69">
        <v>3.5668697858718952</v>
      </c>
      <c r="F19" s="77"/>
      <c r="G19" s="14" t="str">
        <f t="shared" si="1"/>
        <v>(3, 4]</v>
      </c>
      <c r="H19" s="70">
        <v>0.7577860524077239</v>
      </c>
      <c r="I19" s="36">
        <v>1.3399905E-2</v>
      </c>
      <c r="J19" s="36">
        <v>1.3399904999999997E-2</v>
      </c>
      <c r="K19" s="71">
        <v>13399905</v>
      </c>
      <c r="L19" s="36">
        <v>1.3286847085282858E-2</v>
      </c>
      <c r="M19" s="36">
        <v>4.739245341799548E-2</v>
      </c>
      <c r="N19" s="73"/>
      <c r="O19" s="59">
        <v>3</v>
      </c>
      <c r="P19" s="59">
        <v>4</v>
      </c>
      <c r="Q19" s="36">
        <v>1.3286847085282858E-2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13063433</v>
      </c>
      <c r="C20" s="75">
        <v>5912495700</v>
      </c>
      <c r="D20" s="36">
        <v>1.3063432999999999E-2</v>
      </c>
      <c r="E20" s="69">
        <v>4.5259892250375531</v>
      </c>
      <c r="F20" s="77"/>
      <c r="G20" s="14" t="str">
        <f t="shared" si="1"/>
        <v>(4, 5]</v>
      </c>
      <c r="H20" s="70">
        <v>0.83052525320105364</v>
      </c>
      <c r="I20" s="36">
        <v>1.0849510999999999E-2</v>
      </c>
      <c r="J20" s="36">
        <v>1.0849510999999997E-2</v>
      </c>
      <c r="K20" s="71">
        <v>10849511</v>
      </c>
      <c r="L20" s="36">
        <v>1.0757971314505163E-2</v>
      </c>
      <c r="M20" s="36">
        <v>4.8690462252713451E-2</v>
      </c>
      <c r="N20" s="73"/>
      <c r="O20" s="59">
        <v>4</v>
      </c>
      <c r="P20" s="59">
        <v>5</v>
      </c>
      <c r="Q20" s="36">
        <v>1.0757971314505163E-2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9983714</v>
      </c>
      <c r="C21" s="75">
        <v>5549114420</v>
      </c>
      <c r="D21" s="36">
        <v>9.9837139999999994E-3</v>
      </c>
      <c r="E21" s="69">
        <v>5.5581664498802752</v>
      </c>
      <c r="F21" s="77"/>
      <c r="G21" s="14" t="str">
        <f t="shared" si="1"/>
        <v>(5, 6]</v>
      </c>
      <c r="H21" s="70">
        <v>0.44532084953555362</v>
      </c>
      <c r="I21" s="36">
        <v>4.445956E-3</v>
      </c>
      <c r="J21" s="36">
        <v>4.4459559999999992E-3</v>
      </c>
      <c r="K21" s="71">
        <v>4445956</v>
      </c>
      <c r="L21" s="36">
        <v>4.4084445016510064E-3</v>
      </c>
      <c r="M21" s="36">
        <v>2.4502868325235794E-2</v>
      </c>
      <c r="N21" s="73"/>
      <c r="O21" s="59">
        <v>5</v>
      </c>
      <c r="P21" s="59">
        <v>6</v>
      </c>
      <c r="Q21" s="36">
        <v>4.4084445016510064E-3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7840713</v>
      </c>
      <c r="C22" s="75">
        <v>5105038170</v>
      </c>
      <c r="D22" s="36">
        <v>7.8407129999999992E-3</v>
      </c>
      <c r="E22" s="69">
        <v>6.510936148281413</v>
      </c>
      <c r="F22" s="77"/>
      <c r="G22" s="14" t="str">
        <f t="shared" si="1"/>
        <v>(6, 7]</v>
      </c>
      <c r="H22" s="70">
        <v>0.48527614771768846</v>
      </c>
      <c r="I22" s="36">
        <v>3.8049109999999998E-3</v>
      </c>
      <c r="J22" s="36">
        <v>3.8049109999999989E-3</v>
      </c>
      <c r="K22" s="71">
        <v>3804911</v>
      </c>
      <c r="L22" s="36">
        <v>3.7728081378271476E-3</v>
      </c>
      <c r="M22" s="36">
        <v>2.4564512885109059E-2</v>
      </c>
      <c r="N22" s="73"/>
      <c r="O22" s="59">
        <v>6</v>
      </c>
      <c r="P22" s="59">
        <v>7</v>
      </c>
      <c r="Q22" s="36">
        <v>3.7728081378271476E-3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7134958</v>
      </c>
      <c r="C23" s="75">
        <v>5377533620</v>
      </c>
      <c r="D23" s="36">
        <v>7.1349580000000003E-3</v>
      </c>
      <c r="E23" s="69">
        <v>7.5368819550164128</v>
      </c>
      <c r="F23" s="77"/>
      <c r="G23" s="14" t="str">
        <f t="shared" si="1"/>
        <v>(7, 8]</v>
      </c>
      <c r="H23" s="70">
        <v>0.46371933794144271</v>
      </c>
      <c r="I23" s="36">
        <v>3.3086180000000001E-3</v>
      </c>
      <c r="J23" s="36">
        <v>3.3086179999999993E-3</v>
      </c>
      <c r="K23" s="71">
        <v>3308618</v>
      </c>
      <c r="L23" s="36">
        <v>3.2807024698767936E-3</v>
      </c>
      <c r="M23" s="36">
        <v>2.4726267244992182E-2</v>
      </c>
      <c r="N23" s="73"/>
      <c r="O23" s="59">
        <v>7</v>
      </c>
      <c r="P23" s="59">
        <v>8</v>
      </c>
      <c r="Q23" s="36">
        <v>3.2807024698767936E-3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5766826</v>
      </c>
      <c r="C24" s="75">
        <v>4914562050</v>
      </c>
      <c r="D24" s="36">
        <v>5.7668260000000001E-3</v>
      </c>
      <c r="E24" s="69">
        <v>8.5221264695692227</v>
      </c>
      <c r="F24" s="77"/>
      <c r="G24" s="14" t="str">
        <f t="shared" si="1"/>
        <v>(8, 9]</v>
      </c>
      <c r="H24" s="70">
        <v>0.48886840005229915</v>
      </c>
      <c r="I24" s="36">
        <v>2.819219E-3</v>
      </c>
      <c r="J24" s="36">
        <v>2.8192189999999995E-3</v>
      </c>
      <c r="K24" s="71">
        <v>2819219</v>
      </c>
      <c r="L24" s="36">
        <v>2.7954326357480931E-3</v>
      </c>
      <c r="M24" s="36">
        <v>2.3823030459006484E-2</v>
      </c>
      <c r="N24" s="73"/>
      <c r="O24" s="59">
        <v>8</v>
      </c>
      <c r="P24" s="59">
        <v>9</v>
      </c>
      <c r="Q24" s="36">
        <v>2.7954326357480931E-3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4689306</v>
      </c>
      <c r="C25" s="75">
        <v>4469552495</v>
      </c>
      <c r="D25" s="36">
        <v>4.6893059999999999E-3</v>
      </c>
      <c r="E25" s="69">
        <v>9.5313730752482346</v>
      </c>
      <c r="F25" s="77"/>
      <c r="G25" s="14" t="str">
        <f t="shared" si="1"/>
        <v>(9, 10]</v>
      </c>
      <c r="H25" s="70">
        <v>0.59091217335784874</v>
      </c>
      <c r="I25" s="36">
        <v>2.770968E-3</v>
      </c>
      <c r="J25" s="36">
        <v>2.7709679999999995E-3</v>
      </c>
      <c r="K25" s="71">
        <v>2770968</v>
      </c>
      <c r="L25" s="36">
        <v>2.747588739935997E-3</v>
      </c>
      <c r="M25" s="36">
        <v>2.6188293337681186E-2</v>
      </c>
      <c r="N25" s="73"/>
      <c r="O25" s="59">
        <v>9</v>
      </c>
      <c r="P25" s="59">
        <v>10</v>
      </c>
      <c r="Q25" s="36">
        <v>2.747588739935997E-3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16458688</v>
      </c>
      <c r="C26" s="75">
        <v>20262859505</v>
      </c>
      <c r="D26" s="36">
        <v>1.6458687999999999E-2</v>
      </c>
      <c r="E26" s="69">
        <v>12.311345536776686</v>
      </c>
      <c r="F26" s="77"/>
      <c r="G26" s="14" t="str">
        <f t="shared" si="1"/>
        <v>(10, 15]</v>
      </c>
      <c r="H26" s="70">
        <v>0.6273675641703641</v>
      </c>
      <c r="I26" s="36">
        <v>1.0325647E-2</v>
      </c>
      <c r="J26" s="36">
        <v>1.0325646999999999E-2</v>
      </c>
      <c r="K26" s="71">
        <v>10325647</v>
      </c>
      <c r="L26" s="36">
        <v>1.0238527269082108E-2</v>
      </c>
      <c r="M26" s="36">
        <v>0.1260500469973804</v>
      </c>
      <c r="N26" s="73"/>
      <c r="O26" s="59">
        <v>10</v>
      </c>
      <c r="P26" s="59">
        <v>15</v>
      </c>
      <c r="Q26" s="36">
        <v>1.0238527269082108E-2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9533587</v>
      </c>
      <c r="C27" s="75">
        <v>16541096140</v>
      </c>
      <c r="D27" s="36">
        <v>9.5335869999999996E-3</v>
      </c>
      <c r="E27" s="69">
        <v>17.350338482252273</v>
      </c>
      <c r="F27" s="77"/>
      <c r="G27" s="14" t="str">
        <f t="shared" si="1"/>
        <v>(15, 20]</v>
      </c>
      <c r="H27" s="70">
        <v>0.33041918010503291</v>
      </c>
      <c r="I27" s="36">
        <v>3.1500800000000004E-3</v>
      </c>
      <c r="J27" s="36">
        <v>3.1500799999999995E-3</v>
      </c>
      <c r="K27" s="71">
        <v>3150080</v>
      </c>
      <c r="L27" s="36">
        <v>3.1235020894855468E-3</v>
      </c>
      <c r="M27" s="36">
        <v>5.4193818502596462E-2</v>
      </c>
      <c r="N27" s="73"/>
      <c r="O27" s="59">
        <v>15</v>
      </c>
      <c r="P27" s="59">
        <v>20</v>
      </c>
      <c r="Q27" s="36">
        <v>3.1235020894855468E-3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6177309</v>
      </c>
      <c r="C28" s="75">
        <v>13847458525</v>
      </c>
      <c r="D28" s="36">
        <v>6.1773089999999998E-3</v>
      </c>
      <c r="E28" s="69">
        <v>22.416651854391613</v>
      </c>
      <c r="F28" s="77"/>
      <c r="G28" s="14" t="str">
        <f t="shared" si="1"/>
        <v>(20, 25]</v>
      </c>
      <c r="H28" s="70">
        <v>0.40505388349522425</v>
      </c>
      <c r="I28" s="36">
        <v>2.5021430000000001E-3</v>
      </c>
      <c r="J28" s="36">
        <v>2.5021429999999996E-3</v>
      </c>
      <c r="K28" s="71">
        <v>2502143</v>
      </c>
      <c r="L28" s="36">
        <v>2.481031874965599E-3</v>
      </c>
      <c r="M28" s="36">
        <v>5.5616427780752292E-2</v>
      </c>
      <c r="N28" s="73"/>
      <c r="O28" s="59">
        <v>20</v>
      </c>
      <c r="P28" s="59">
        <v>25</v>
      </c>
      <c r="Q28" s="36">
        <v>2.481031874965599E-3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4284185</v>
      </c>
      <c r="C29" s="75">
        <v>11720617050</v>
      </c>
      <c r="D29" s="36">
        <v>4.2841850000000002E-3</v>
      </c>
      <c r="E29" s="69">
        <v>27.357868649463086</v>
      </c>
      <c r="F29" s="77"/>
      <c r="G29" s="14" t="str">
        <f t="shared" si="1"/>
        <v>(25, 30]</v>
      </c>
      <c r="H29" s="70">
        <v>0.45854509083991468</v>
      </c>
      <c r="I29" s="36">
        <v>1.964492E-3</v>
      </c>
      <c r="J29" s="36">
        <v>1.9644919999999995E-3</v>
      </c>
      <c r="K29" s="71">
        <v>1964492</v>
      </c>
      <c r="L29" s="36">
        <v>1.9479171534620202E-3</v>
      </c>
      <c r="M29" s="36">
        <v>5.329086162444998E-2</v>
      </c>
      <c r="N29" s="73"/>
      <c r="O29" s="59">
        <v>25</v>
      </c>
      <c r="P29" s="59">
        <v>30</v>
      </c>
      <c r="Q29" s="36">
        <v>1.9479171534620202E-3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3019933</v>
      </c>
      <c r="C30" s="75">
        <v>9787573815</v>
      </c>
      <c r="D30" s="36">
        <v>3.0199329999999998E-3</v>
      </c>
      <c r="E30" s="69">
        <v>32.409903845548889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2320118</v>
      </c>
      <c r="C31" s="75">
        <v>8680968890</v>
      </c>
      <c r="D31" s="36">
        <v>2.3201179999999999E-3</v>
      </c>
      <c r="E31" s="69">
        <v>37.41606629490397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1700714</v>
      </c>
      <c r="C32" s="75">
        <v>7213356120</v>
      </c>
      <c r="D32" s="36">
        <v>1.7007140000000001E-3</v>
      </c>
      <c r="E32" s="69">
        <v>42.413692837243651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1324002</v>
      </c>
      <c r="C33" s="75">
        <v>6284776125</v>
      </c>
      <c r="D33" s="36">
        <v>1.3240019999999999E-3</v>
      </c>
      <c r="E33" s="69">
        <v>47.468025916879277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1847035</v>
      </c>
      <c r="C34" s="75">
        <v>10084132345</v>
      </c>
      <c r="D34" s="36">
        <v>1.8470349999999999E-3</v>
      </c>
      <c r="E34" s="69">
        <v>54.596325164385078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1173994</v>
      </c>
      <c r="C35" s="75">
        <v>7594701825</v>
      </c>
      <c r="D35" s="36">
        <v>1.173994E-3</v>
      </c>
      <c r="E35" s="69">
        <v>64.69114684572493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783561</v>
      </c>
      <c r="C36" s="75">
        <v>5852326655</v>
      </c>
      <c r="D36" s="36">
        <v>7.83561E-4</v>
      </c>
      <c r="E36" s="69">
        <v>74.688845603596917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514288</v>
      </c>
      <c r="C37" s="75">
        <v>4355235275</v>
      </c>
      <c r="D37" s="36">
        <v>5.1428800000000001E-4</v>
      </c>
      <c r="E37" s="69">
        <v>84.684753970537912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363270</v>
      </c>
      <c r="C38" s="75">
        <v>3443690050</v>
      </c>
      <c r="D38" s="36">
        <v>3.6327000000000001E-4</v>
      </c>
      <c r="E38" s="69">
        <v>94.796984336719248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428416</v>
      </c>
      <c r="C39" s="75">
        <v>4661097590</v>
      </c>
      <c r="D39" s="36">
        <v>4.2841599999999999E-4</v>
      </c>
      <c r="E39" s="69">
        <v>108.79840132021212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228606</v>
      </c>
      <c r="C40" s="75">
        <v>2949643405</v>
      </c>
      <c r="D40" s="36">
        <v>2.2860600000000001E-4</v>
      </c>
      <c r="E40" s="69">
        <v>129.02738357698396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124806</v>
      </c>
      <c r="C41" s="75">
        <v>1859796675</v>
      </c>
      <c r="D41" s="36">
        <v>1.2480600000000001E-4</v>
      </c>
      <c r="E41" s="69">
        <v>149.01500528820731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69153</v>
      </c>
      <c r="C42" s="75">
        <v>1168637345</v>
      </c>
      <c r="D42" s="36">
        <v>6.9152999999999993E-5</v>
      </c>
      <c r="E42" s="69">
        <v>168.99300753401877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44984</v>
      </c>
      <c r="C43" s="75">
        <v>851786160</v>
      </c>
      <c r="D43" s="36">
        <v>4.4984000000000002E-5</v>
      </c>
      <c r="E43" s="69">
        <v>189.35313889382891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47840</v>
      </c>
      <c r="C44" s="75">
        <v>1054156880</v>
      </c>
      <c r="D44" s="36">
        <v>4.7840000000000003E-5</v>
      </c>
      <c r="E44" s="69">
        <v>220.35051839464882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18019</v>
      </c>
      <c r="C45" s="75">
        <v>487888510</v>
      </c>
      <c r="D45" s="36">
        <v>1.8019000000000001E-5</v>
      </c>
      <c r="E45" s="69">
        <v>270.76336644652866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6545</v>
      </c>
      <c r="C46" s="75">
        <v>210151740</v>
      </c>
      <c r="D46" s="36">
        <v>6.545E-6</v>
      </c>
      <c r="E46" s="69">
        <v>321.08745607333844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3388</v>
      </c>
      <c r="C47" s="75">
        <v>126557180</v>
      </c>
      <c r="D47" s="36">
        <v>3.388E-6</v>
      </c>
      <c r="E47" s="69">
        <v>373.54539551357732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1445</v>
      </c>
      <c r="C48" s="75">
        <v>60909905</v>
      </c>
      <c r="D48" s="36">
        <v>1.4449999999999999E-6</v>
      </c>
      <c r="E48" s="69">
        <v>421.52183391003462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859</v>
      </c>
      <c r="C49" s="75">
        <v>40850940</v>
      </c>
      <c r="D49" s="36">
        <v>8.5899999999999995E-7</v>
      </c>
      <c r="E49" s="69">
        <v>475.56391152502908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461</v>
      </c>
      <c r="C50" s="75">
        <v>24059565</v>
      </c>
      <c r="D50" s="36">
        <v>4.6100000000000001E-7</v>
      </c>
      <c r="E50" s="69">
        <v>521.89945770065071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321</v>
      </c>
      <c r="C51" s="75">
        <v>18281215</v>
      </c>
      <c r="D51" s="36">
        <v>3.2099999999999998E-7</v>
      </c>
      <c r="E51" s="69">
        <v>569.50825545171347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135</v>
      </c>
      <c r="C52" s="75">
        <v>8432440</v>
      </c>
      <c r="D52" s="36">
        <v>1.35E-7</v>
      </c>
      <c r="E52" s="69">
        <v>624.62518518518516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74</v>
      </c>
      <c r="C53" s="75">
        <v>4951330</v>
      </c>
      <c r="D53" s="36">
        <v>7.4000000000000001E-8</v>
      </c>
      <c r="E53" s="69">
        <v>669.09864864864869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91</v>
      </c>
      <c r="C54" s="75">
        <v>6648350</v>
      </c>
      <c r="D54" s="36">
        <v>9.0999999999999994E-8</v>
      </c>
      <c r="E54" s="69">
        <v>730.58791208791217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59</v>
      </c>
      <c r="C55" s="75">
        <v>4532570</v>
      </c>
      <c r="D55" s="36">
        <v>5.8999999999999999E-8</v>
      </c>
      <c r="E55" s="69">
        <v>768.23220338983049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38</v>
      </c>
      <c r="C56" s="75">
        <v>3142735</v>
      </c>
      <c r="D56" s="36">
        <v>3.8000000000000003E-8</v>
      </c>
      <c r="E56" s="69">
        <v>827.03552631578941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11</v>
      </c>
      <c r="C57" s="75">
        <v>959050</v>
      </c>
      <c r="D57" s="36">
        <v>1.0999999999999999E-8</v>
      </c>
      <c r="E57" s="69">
        <v>871.86363636363637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16</v>
      </c>
      <c r="C58" s="75">
        <v>1478095</v>
      </c>
      <c r="D58" s="36">
        <v>1.6000000000000001E-8</v>
      </c>
      <c r="E58" s="69">
        <v>923.80937500000005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13</v>
      </c>
      <c r="C59" s="75">
        <v>1274470</v>
      </c>
      <c r="D59" s="36">
        <v>1.3000000000000001E-8</v>
      </c>
      <c r="E59" s="69">
        <v>980.36153846153843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30</v>
      </c>
      <c r="C60" s="75">
        <v>3442955</v>
      </c>
      <c r="D60" s="36">
        <v>2.9999999999999997E-8</v>
      </c>
      <c r="E60" s="69">
        <v>1147.6516666666666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8364049</v>
      </c>
      <c r="C79" s="75">
        <v>1811255407.6445401</v>
      </c>
      <c r="D79" s="36">
        <f>B79/B13</f>
        <v>8.3640490000000001E-3</v>
      </c>
      <c r="E79" s="69">
        <v>2.1655246252676665</v>
      </c>
      <c r="F79" s="77"/>
      <c r="G79" s="14" t="s">
        <v>117</v>
      </c>
      <c r="H79" s="70">
        <v>1.017331438397838</v>
      </c>
      <c r="I79" s="36">
        <v>8.5090099999999991E-3</v>
      </c>
      <c r="J79" s="36">
        <f>I79</f>
        <v>8.5090099999999991E-3</v>
      </c>
      <c r="K79" s="72">
        <v>8509010</v>
      </c>
      <c r="L79" s="36">
        <v>8.4372176308072852E-3</v>
      </c>
      <c r="M79" s="36">
        <v>1.8271002548255696E-2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55218</v>
      </c>
      <c r="C86" s="67">
        <v>0</v>
      </c>
      <c r="D86" s="36" cm="1">
        <f t="array" ref="D86:D149">_xlfn.LET(_xlpm.x, B86:B149, _xlpm.x/SUM(_xlpm.x))</f>
        <v>6.6018264598880277E-3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84581</v>
      </c>
      <c r="C87" s="75">
        <v>4760560</v>
      </c>
      <c r="D87" s="36">
        <v>1.0112446734829028E-2</v>
      </c>
      <c r="E87" s="69">
        <v>0.56284035421666812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64013</v>
      </c>
      <c r="C88" s="75">
        <v>10029540</v>
      </c>
      <c r="D88" s="36">
        <v>7.6533506678404207E-3</v>
      </c>
      <c r="E88" s="69">
        <v>1.566797369284364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55751</v>
      </c>
      <c r="C89" s="75">
        <v>14330930</v>
      </c>
      <c r="D89" s="36">
        <v>6.6655515767542733E-3</v>
      </c>
      <c r="E89" s="69">
        <v>2.5705242955283314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49939</v>
      </c>
      <c r="C90" s="75">
        <v>17889880</v>
      </c>
      <c r="D90" s="36">
        <v>5.9706728164791957E-3</v>
      </c>
      <c r="E90" s="69">
        <v>3.5823464626844754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47937</v>
      </c>
      <c r="C91" s="75">
        <v>21917950</v>
      </c>
      <c r="D91" s="36">
        <v>5.7313150604450074E-3</v>
      </c>
      <c r="E91" s="69">
        <v>4.5722406491853897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46015</v>
      </c>
      <c r="C92" s="75">
        <v>25632270</v>
      </c>
      <c r="D92" s="36">
        <v>5.5015220499066899E-3</v>
      </c>
      <c r="E92" s="69">
        <v>5.5704161686406612</v>
      </c>
      <c r="F92" s="73"/>
      <c r="G92" s="14" t="str">
        <f t="shared" si="3"/>
        <v>(5, 6]</v>
      </c>
      <c r="H92" s="70">
        <v>7.8182871230570683</v>
      </c>
      <c r="I92" s="36">
        <v>4.3012478999999999E-2</v>
      </c>
      <c r="J92" s="36">
        <v>4.3012478999999999E-2</v>
      </c>
      <c r="K92" s="71">
        <v>43012479</v>
      </c>
      <c r="L92" s="36">
        <v>4.3012478999999999E-2</v>
      </c>
      <c r="M92" s="36">
        <v>0.2395974084749169</v>
      </c>
      <c r="N92" s="73"/>
      <c r="O92" s="59">
        <v>5</v>
      </c>
      <c r="P92" s="59">
        <v>6</v>
      </c>
      <c r="Q92" s="36">
        <v>4.3012478999999999E-2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43596</v>
      </c>
      <c r="C93" s="75">
        <v>28617500</v>
      </c>
      <c r="D93" s="36">
        <v>5.2123080579752701E-3</v>
      </c>
      <c r="E93" s="69">
        <v>6.5642490136709783</v>
      </c>
      <c r="F93" s="73"/>
      <c r="G93" s="14" t="str">
        <f t="shared" si="3"/>
        <v>(6, 7]</v>
      </c>
      <c r="H93" s="70">
        <v>7.0431855891227864</v>
      </c>
      <c r="I93" s="36">
        <v>3.6711252999999999E-2</v>
      </c>
      <c r="J93" s="36">
        <v>3.6711252999999999E-2</v>
      </c>
      <c r="K93" s="71">
        <v>36711253</v>
      </c>
      <c r="L93" s="36">
        <v>3.6711252999999999E-2</v>
      </c>
      <c r="M93" s="36">
        <v>0.24098180629587573</v>
      </c>
      <c r="N93" s="73"/>
      <c r="O93" s="59">
        <v>6</v>
      </c>
      <c r="P93" s="59">
        <v>7</v>
      </c>
      <c r="Q93" s="36">
        <v>3.6711252999999999E-2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43437</v>
      </c>
      <c r="C94" s="75">
        <v>32884090</v>
      </c>
      <c r="D94" s="36">
        <v>5.1932981263022255E-3</v>
      </c>
      <c r="E94" s="69">
        <v>7.5705251283468007</v>
      </c>
      <c r="F94" s="73"/>
      <c r="G94" s="14" t="str">
        <f t="shared" si="3"/>
        <v>(7, 8]</v>
      </c>
      <c r="H94" s="70">
        <v>7.5043032485695598</v>
      </c>
      <c r="I94" s="36">
        <v>3.8972083999999997E-2</v>
      </c>
      <c r="J94" s="36">
        <v>3.8972083999999997E-2</v>
      </c>
      <c r="K94" s="71">
        <v>38972084</v>
      </c>
      <c r="L94" s="36">
        <v>3.8972083999999997E-2</v>
      </c>
      <c r="M94" s="36">
        <v>0.2950391412260423</v>
      </c>
      <c r="N94" s="73"/>
      <c r="O94" s="59">
        <v>7</v>
      </c>
      <c r="P94" s="59">
        <v>8</v>
      </c>
      <c r="Q94" s="36">
        <v>3.8972083999999997E-2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42950</v>
      </c>
      <c r="C95" s="75">
        <v>36789480</v>
      </c>
      <c r="D95" s="36">
        <v>5.135072738096106E-3</v>
      </c>
      <c r="E95" s="69">
        <v>8.5656530849825376</v>
      </c>
      <c r="F95" s="73"/>
      <c r="G95" s="14" t="str">
        <f t="shared" si="3"/>
        <v>(8, 9]</v>
      </c>
      <c r="H95" s="70">
        <v>7.2045002840050527</v>
      </c>
      <c r="I95" s="36">
        <v>3.6995633E-2</v>
      </c>
      <c r="J95" s="36">
        <v>3.6995633E-2</v>
      </c>
      <c r="K95" s="71">
        <v>36995633</v>
      </c>
      <c r="L95" s="36">
        <v>3.6995633E-2</v>
      </c>
      <c r="M95" s="36">
        <v>0.31689175793733176</v>
      </c>
      <c r="N95" s="73"/>
      <c r="O95" s="59">
        <v>8</v>
      </c>
      <c r="P95" s="59">
        <v>9</v>
      </c>
      <c r="Q95" s="36">
        <v>3.6995633E-2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42155</v>
      </c>
      <c r="C96" s="75">
        <v>40319540</v>
      </c>
      <c r="D96" s="36">
        <v>5.0400230797308819E-3</v>
      </c>
      <c r="E96" s="69">
        <v>9.5645925750207574</v>
      </c>
      <c r="F96" s="73"/>
      <c r="G96" s="14" t="str">
        <f t="shared" si="3"/>
        <v>(9, 10]</v>
      </c>
      <c r="H96" s="70">
        <v>7.7813056368174598</v>
      </c>
      <c r="I96" s="36">
        <v>3.9217960000000003E-2</v>
      </c>
      <c r="J96" s="36">
        <v>3.9217960000000003E-2</v>
      </c>
      <c r="K96" s="71">
        <v>39217960</v>
      </c>
      <c r="L96" s="36">
        <v>3.9217960000000003E-2</v>
      </c>
      <c r="M96" s="36">
        <v>0.37510380902346108</v>
      </c>
      <c r="N96" s="73"/>
      <c r="O96" s="59">
        <v>9</v>
      </c>
      <c r="P96" s="59">
        <v>10</v>
      </c>
      <c r="Q96" s="36">
        <v>3.9217960000000003E-2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202809</v>
      </c>
      <c r="C97" s="75">
        <v>254308990</v>
      </c>
      <c r="D97" s="36">
        <v>2.4247705865902986E-2</v>
      </c>
      <c r="E97" s="69">
        <v>12.539334546297255</v>
      </c>
      <c r="F97" s="73"/>
      <c r="G97" s="14" t="str">
        <f t="shared" si="3"/>
        <v>(10, 15]</v>
      </c>
      <c r="H97" s="70">
        <v>6.8625872864118556</v>
      </c>
      <c r="I97" s="36">
        <v>0.166401998</v>
      </c>
      <c r="J97" s="36">
        <v>0.166401998</v>
      </c>
      <c r="K97" s="71">
        <v>166401998</v>
      </c>
      <c r="L97" s="36">
        <v>0.166401998</v>
      </c>
      <c r="M97" s="36">
        <v>2.0865703220942868</v>
      </c>
      <c r="N97" s="73"/>
      <c r="O97" s="59">
        <v>10</v>
      </c>
      <c r="P97" s="59">
        <v>15</v>
      </c>
      <c r="Q97" s="36">
        <v>0.166401998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194393</v>
      </c>
      <c r="C98" s="75">
        <v>341185810</v>
      </c>
      <c r="D98" s="36">
        <v>2.3241494639737285E-2</v>
      </c>
      <c r="E98" s="69">
        <v>17.551342383727807</v>
      </c>
      <c r="F98" s="73"/>
      <c r="G98" s="14" t="str">
        <f t="shared" si="3"/>
        <v>(15, 20]</v>
      </c>
      <c r="H98" s="70">
        <v>4.8304741472198636</v>
      </c>
      <c r="I98" s="36">
        <v>0.112267439</v>
      </c>
      <c r="J98" s="36">
        <v>0.112267439</v>
      </c>
      <c r="K98" s="71">
        <v>112267439</v>
      </c>
      <c r="L98" s="36">
        <v>0.112267439</v>
      </c>
      <c r="M98" s="36">
        <v>1.9704442604332761</v>
      </c>
      <c r="N98" s="73"/>
      <c r="O98" s="59">
        <v>15</v>
      </c>
      <c r="P98" s="59">
        <v>20</v>
      </c>
      <c r="Q98" s="36">
        <v>0.112267439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188251</v>
      </c>
      <c r="C99" s="75">
        <v>424612980</v>
      </c>
      <c r="D99" s="36">
        <v>2.2507161304291739E-2</v>
      </c>
      <c r="E99" s="69">
        <v>22.555682572735336</v>
      </c>
      <c r="F99" s="73"/>
      <c r="G99" s="14" t="str">
        <f t="shared" si="3"/>
        <v>(20, 25]</v>
      </c>
      <c r="H99" s="70">
        <v>4.5997311078167442</v>
      </c>
      <c r="I99" s="36">
        <v>0.10352689</v>
      </c>
      <c r="J99" s="36">
        <v>0.10352689</v>
      </c>
      <c r="K99" s="71">
        <v>103526890</v>
      </c>
      <c r="L99" s="36">
        <v>0.10352689</v>
      </c>
      <c r="M99" s="36">
        <v>2.3351196685824882</v>
      </c>
      <c r="N99" s="73"/>
      <c r="O99" s="59">
        <v>20</v>
      </c>
      <c r="P99" s="59">
        <v>25</v>
      </c>
      <c r="Q99" s="36">
        <v>0.10352689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184695</v>
      </c>
      <c r="C100" s="75">
        <v>508784530</v>
      </c>
      <c r="D100" s="36">
        <v>2.2082008367000239E-2</v>
      </c>
      <c r="E100" s="69">
        <v>27.547282276185062</v>
      </c>
      <c r="F100" s="73"/>
      <c r="G100" s="14" t="str">
        <f t="shared" si="3"/>
        <v>(25, 30]</v>
      </c>
      <c r="H100" s="70">
        <v>3.491860962938071</v>
      </c>
      <c r="I100" s="36">
        <v>7.7107303000000002E-2</v>
      </c>
      <c r="J100" s="36">
        <v>7.7107303000000002E-2</v>
      </c>
      <c r="K100" s="71">
        <v>77107303</v>
      </c>
      <c r="L100" s="36">
        <v>7.7107303000000002E-2</v>
      </c>
      <c r="M100" s="36">
        <v>2.1240966412963314</v>
      </c>
      <c r="N100" s="73"/>
      <c r="O100" s="59">
        <v>25</v>
      </c>
      <c r="P100" s="59">
        <v>30</v>
      </c>
      <c r="Q100" s="36">
        <v>7.7107303000000002E-2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180804</v>
      </c>
      <c r="C101" s="75">
        <v>588557320</v>
      </c>
      <c r="D101" s="36">
        <v>2.1616803057944781E-2</v>
      </c>
      <c r="E101" s="69">
        <v>32.552228932988207</v>
      </c>
      <c r="F101" s="73"/>
      <c r="G101" s="14" t="str">
        <f t="shared" si="3"/>
        <v>(30, 35]</v>
      </c>
      <c r="H101" s="70">
        <v>2.9798803193669055</v>
      </c>
      <c r="I101" s="36">
        <v>6.4415485999999994E-2</v>
      </c>
      <c r="J101" s="36">
        <v>6.4415485999999994E-2</v>
      </c>
      <c r="K101" s="71">
        <v>64415486</v>
      </c>
      <c r="L101" s="36">
        <v>6.4415485999999994E-2</v>
      </c>
      <c r="M101" s="36">
        <v>2.0968676471016967</v>
      </c>
      <c r="N101" s="73"/>
      <c r="O101" s="59">
        <v>30</v>
      </c>
      <c r="P101" s="59">
        <v>35</v>
      </c>
      <c r="Q101" s="36">
        <v>6.4415485999999994E-2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177130</v>
      </c>
      <c r="C102" s="75">
        <v>665155830</v>
      </c>
      <c r="D102" s="36">
        <v>2.1177542121046875E-2</v>
      </c>
      <c r="E102" s="69">
        <v>37.55184497261898</v>
      </c>
      <c r="F102" s="73"/>
      <c r="G102" s="14" t="str">
        <f t="shared" si="3"/>
        <v>(35, 40]</v>
      </c>
      <c r="H102" s="70">
        <v>2.7368804967408007</v>
      </c>
      <c r="I102" s="36">
        <v>5.7960402000000001E-2</v>
      </c>
      <c r="J102" s="36">
        <v>5.7960402000000001E-2</v>
      </c>
      <c r="K102" s="71">
        <v>57960402</v>
      </c>
      <c r="L102" s="36">
        <v>5.7960402000000001E-2</v>
      </c>
      <c r="M102" s="36">
        <v>2.1765200304546752</v>
      </c>
      <c r="N102" s="73"/>
      <c r="O102" s="59">
        <v>35</v>
      </c>
      <c r="P102" s="59">
        <v>40</v>
      </c>
      <c r="Q102" s="36">
        <v>5.7960402000000001E-2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174735</v>
      </c>
      <c r="C103" s="75">
        <v>743586950</v>
      </c>
      <c r="D103" s="36">
        <v>2.0891197552764217E-2</v>
      </c>
      <c r="E103" s="69">
        <v>42.555123472687207</v>
      </c>
      <c r="F103" s="73"/>
      <c r="G103" s="14" t="str">
        <f t="shared" si="3"/>
        <v>(40, 45]</v>
      </c>
      <c r="H103" s="70">
        <v>2.7636175884211465</v>
      </c>
      <c r="I103" s="36">
        <v>5.7735280999999999E-2</v>
      </c>
      <c r="J103" s="36">
        <v>5.7735280999999999E-2</v>
      </c>
      <c r="K103" s="71">
        <v>57735281</v>
      </c>
      <c r="L103" s="36">
        <v>5.7735280999999999E-2</v>
      </c>
      <c r="M103" s="36">
        <v>2.4569320116852915</v>
      </c>
      <c r="N103" s="73"/>
      <c r="O103" s="59">
        <v>40</v>
      </c>
      <c r="P103" s="59">
        <v>45</v>
      </c>
      <c r="Q103" s="36">
        <v>5.7735280999999999E-2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171139</v>
      </c>
      <c r="C104" s="75">
        <v>813719490</v>
      </c>
      <c r="D104" s="36">
        <v>2.0461262242724786E-2</v>
      </c>
      <c r="E104" s="69">
        <v>47.547285539824351</v>
      </c>
      <c r="F104" s="73"/>
      <c r="G104" s="14" t="str">
        <f t="shared" si="3"/>
        <v>(45, 50]</v>
      </c>
      <c r="H104" s="70">
        <v>2.2584254310327569</v>
      </c>
      <c r="I104" s="36">
        <v>4.6210235000000002E-2</v>
      </c>
      <c r="J104" s="36">
        <v>4.6210235000000002E-2</v>
      </c>
      <c r="K104" s="71">
        <v>46210235</v>
      </c>
      <c r="L104" s="36">
        <v>4.6210235000000002E-2</v>
      </c>
      <c r="M104" s="36">
        <v>2.1971712384073854</v>
      </c>
      <c r="N104" s="73"/>
      <c r="O104" s="59">
        <v>45</v>
      </c>
      <c r="P104" s="59">
        <v>50</v>
      </c>
      <c r="Q104" s="36">
        <v>4.6210235000000002E-2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334569</v>
      </c>
      <c r="C105" s="75">
        <v>1841082090</v>
      </c>
      <c r="D105" s="36">
        <v>4.0000841697603637E-2</v>
      </c>
      <c r="E105" s="69">
        <v>55.028472153726135</v>
      </c>
      <c r="F105" s="73"/>
      <c r="G105" s="14" t="str">
        <f t="shared" si="3"/>
        <v>(50, 60]</v>
      </c>
      <c r="H105" s="70">
        <v>1.2975561462525278</v>
      </c>
      <c r="I105" s="36">
        <v>5.1903338E-2</v>
      </c>
      <c r="J105" s="36">
        <v>5.1903338E-2</v>
      </c>
      <c r="K105" s="71">
        <v>51903338</v>
      </c>
      <c r="L105" s="36">
        <v>5.1903338E-2</v>
      </c>
      <c r="M105" s="36">
        <v>2.8561613898184355</v>
      </c>
      <c r="N105" s="73"/>
      <c r="O105" s="59">
        <v>50</v>
      </c>
      <c r="P105" s="59">
        <v>60</v>
      </c>
      <c r="Q105" s="36">
        <v>5.1903338E-2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324502</v>
      </c>
      <c r="C106" s="75">
        <v>2110213430</v>
      </c>
      <c r="D106" s="36">
        <v>3.8797238036266883E-2</v>
      </c>
      <c r="E106" s="69">
        <v>65.029288879575475</v>
      </c>
      <c r="F106" s="73"/>
      <c r="G106" s="14" t="str">
        <f t="shared" si="3"/>
        <v>(60, 70]</v>
      </c>
      <c r="H106" s="70">
        <v>0.56341384352068402</v>
      </c>
      <c r="I106" s="36">
        <v>2.1858901E-2</v>
      </c>
      <c r="J106" s="36">
        <v>2.1858901E-2</v>
      </c>
      <c r="K106" s="71">
        <v>21858901</v>
      </c>
      <c r="L106" s="36">
        <v>2.1858901E-2</v>
      </c>
      <c r="M106" s="36">
        <v>1.4214687877190413</v>
      </c>
      <c r="N106" s="73"/>
      <c r="O106" s="59">
        <v>60</v>
      </c>
      <c r="P106" s="59">
        <v>70</v>
      </c>
      <c r="Q106" s="36">
        <v>2.1858901E-2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313591</v>
      </c>
      <c r="C107" s="75">
        <v>2352848560</v>
      </c>
      <c r="D107" s="36">
        <v>3.7492726309948689E-2</v>
      </c>
      <c r="E107" s="69">
        <v>75.029211935291514</v>
      </c>
      <c r="F107" s="73"/>
      <c r="G107" s="14" t="str">
        <f t="shared" si="3"/>
        <v>(70, 80]</v>
      </c>
      <c r="H107" s="70">
        <v>0.41864090837894263</v>
      </c>
      <c r="I107" s="36">
        <v>1.5695989E-2</v>
      </c>
      <c r="J107" s="36">
        <v>1.5695989E-2</v>
      </c>
      <c r="K107" s="71">
        <v>15695989</v>
      </c>
      <c r="L107" s="36">
        <v>1.5695989E-2</v>
      </c>
      <c r="M107" s="36">
        <v>1.1776576852150042</v>
      </c>
      <c r="N107" s="73"/>
      <c r="O107" s="59">
        <v>70</v>
      </c>
      <c r="P107" s="59">
        <v>80</v>
      </c>
      <c r="Q107" s="36">
        <v>1.5695989E-2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302583</v>
      </c>
      <c r="C108" s="75">
        <v>2572701950</v>
      </c>
      <c r="D108" s="36">
        <v>3.6176617329716741E-2</v>
      </c>
      <c r="E108" s="69">
        <v>85.024669264301025</v>
      </c>
      <c r="F108" s="73"/>
      <c r="G108" s="14" t="str">
        <f t="shared" si="3"/>
        <v>(80, 90]</v>
      </c>
      <c r="H108" s="70">
        <v>0.29826365195113408</v>
      </c>
      <c r="I108" s="36">
        <v>1.079017E-2</v>
      </c>
      <c r="J108" s="36">
        <v>1.079017E-2</v>
      </c>
      <c r="K108" s="71">
        <v>10790170</v>
      </c>
      <c r="L108" s="36">
        <v>1.079017E-2</v>
      </c>
      <c r="M108" s="36">
        <v>0.91743063555558302</v>
      </c>
      <c r="N108" s="73"/>
      <c r="O108" s="59">
        <v>80</v>
      </c>
      <c r="P108" s="59">
        <v>90</v>
      </c>
      <c r="Q108" s="36">
        <v>1.079017E-2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290174</v>
      </c>
      <c r="C109" s="75">
        <v>2757205050</v>
      </c>
      <c r="D109" s="36">
        <v>3.4693005743988349E-2</v>
      </c>
      <c r="E109" s="69">
        <v>95.019024792021341</v>
      </c>
      <c r="F109" s="73"/>
      <c r="G109" s="14" t="str">
        <f t="shared" si="3"/>
        <v>(90, 100]</v>
      </c>
      <c r="H109" s="81">
        <v>0.26312064360643611</v>
      </c>
      <c r="I109" s="79">
        <v>9.1284460000000001E-3</v>
      </c>
      <c r="J109" s="79">
        <v>9.1284460000000001E-3</v>
      </c>
      <c r="K109" s="71">
        <v>9128446</v>
      </c>
      <c r="L109" s="79">
        <v>9.1284460000000001E-3</v>
      </c>
      <c r="M109" s="79">
        <v>0.867376036786628</v>
      </c>
      <c r="N109" s="73"/>
      <c r="O109" s="59">
        <v>90</v>
      </c>
      <c r="P109" s="59">
        <v>100</v>
      </c>
      <c r="Q109" s="36">
        <v>9.1284460000000001E-3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544944</v>
      </c>
      <c r="C110" s="75">
        <v>5988889530</v>
      </c>
      <c r="D110" s="36">
        <v>6.515313336877869E-2</v>
      </c>
      <c r="E110" s="69">
        <v>109.89917367656126</v>
      </c>
      <c r="F110" s="73"/>
      <c r="G110" s="14" t="str">
        <f t="shared" si="3"/>
        <v>(100, 120]</v>
      </c>
      <c r="H110" s="81">
        <v>0.15484616745745799</v>
      </c>
      <c r="I110" s="79">
        <v>1.0088712999999999E-2</v>
      </c>
      <c r="J110" s="79">
        <v>1.0088712999999999E-2</v>
      </c>
      <c r="K110" s="71">
        <v>10088713</v>
      </c>
      <c r="L110" s="79">
        <v>1.0088712999999999E-2</v>
      </c>
      <c r="M110" s="79">
        <v>1.1087412221599813</v>
      </c>
      <c r="N110" s="73"/>
      <c r="O110" s="59">
        <v>100</v>
      </c>
      <c r="P110" s="59">
        <v>120</v>
      </c>
      <c r="Q110" s="36">
        <v>1.0088712999999999E-2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496474</v>
      </c>
      <c r="C111" s="75">
        <v>6448866850</v>
      </c>
      <c r="D111" s="36">
        <v>5.9358093191467433E-2</v>
      </c>
      <c r="E111" s="69">
        <v>129.89334486800919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447550</v>
      </c>
      <c r="C112" s="75">
        <v>6707843560</v>
      </c>
      <c r="D112" s="36">
        <v>5.3508773083467111E-2</v>
      </c>
      <c r="E112" s="69">
        <v>149.8791991956206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401699</v>
      </c>
      <c r="C113" s="75">
        <v>6824039140</v>
      </c>
      <c r="D113" s="36">
        <v>4.8026858761826954E-2</v>
      </c>
      <c r="E113" s="69">
        <v>169.87941568189115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359175</v>
      </c>
      <c r="C114" s="75">
        <v>6819468580</v>
      </c>
      <c r="D114" s="36">
        <v>4.2942718293496371E-2</v>
      </c>
      <c r="E114" s="69">
        <v>189.86478958724857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728579</v>
      </c>
      <c r="C115" s="75">
        <v>16300420450</v>
      </c>
      <c r="D115" s="36">
        <v>8.7108408857958633E-2</v>
      </c>
      <c r="E115" s="69">
        <v>223.72893605223319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527104</v>
      </c>
      <c r="C116" s="75">
        <v>14424519190</v>
      </c>
      <c r="D116" s="36">
        <v>6.3020195123199299E-2</v>
      </c>
      <c r="E116" s="69">
        <v>273.65603732849684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376240</v>
      </c>
      <c r="C117" s="75">
        <v>12174194450</v>
      </c>
      <c r="D117" s="36">
        <v>4.4982998067084494E-2</v>
      </c>
      <c r="E117" s="69">
        <v>323.5752299064427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263520</v>
      </c>
      <c r="C118" s="75">
        <v>9845768370</v>
      </c>
      <c r="D118" s="36">
        <v>3.1506271663401302E-2</v>
      </c>
      <c r="E118" s="69">
        <v>373.62508993624778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184753</v>
      </c>
      <c r="C119" s="75">
        <v>7824656320</v>
      </c>
      <c r="D119" s="36">
        <v>2.208894280748475E-2</v>
      </c>
      <c r="E119" s="69">
        <v>423.51985191038847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128657</v>
      </c>
      <c r="C120" s="75">
        <v>6093245310</v>
      </c>
      <c r="D120" s="36">
        <v>1.5382143265779528E-2</v>
      </c>
      <c r="E120" s="69">
        <v>473.60386997986899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88357</v>
      </c>
      <c r="C121" s="75">
        <v>4625117990</v>
      </c>
      <c r="D121" s="36">
        <v>1.0563902722234172E-2</v>
      </c>
      <c r="E121" s="69">
        <v>523.45801577690509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61353</v>
      </c>
      <c r="C122" s="75">
        <v>3518119460</v>
      </c>
      <c r="D122" s="36">
        <v>7.3353228801026869E-3</v>
      </c>
      <c r="E122" s="69">
        <v>573.42256450377329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42665</v>
      </c>
      <c r="C123" s="75">
        <v>2660290870</v>
      </c>
      <c r="D123" s="36">
        <v>5.1009983322670635E-3</v>
      </c>
      <c r="E123" s="69">
        <v>623.53002929801949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29296</v>
      </c>
      <c r="C124" s="75">
        <v>1972914430</v>
      </c>
      <c r="D124" s="36">
        <v>3.502609800588208E-3</v>
      </c>
      <c r="E124" s="69">
        <v>673.44157222829062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20236</v>
      </c>
      <c r="C125" s="75">
        <v>1463960560</v>
      </c>
      <c r="D125" s="36">
        <v>2.4194023731807404E-3</v>
      </c>
      <c r="E125" s="69">
        <v>723.44364498912819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14051</v>
      </c>
      <c r="C126" s="75">
        <v>1086775270</v>
      </c>
      <c r="D126" s="36">
        <v>1.6799279870311616E-3</v>
      </c>
      <c r="E126" s="69">
        <v>773.45048039285462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9888</v>
      </c>
      <c r="C127" s="75">
        <v>814515590</v>
      </c>
      <c r="D127" s="36">
        <v>1.1822025432897392E-3</v>
      </c>
      <c r="E127" s="69">
        <v>823.74149474110027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6851</v>
      </c>
      <c r="C128" s="75">
        <v>598465100</v>
      </c>
      <c r="D128" s="36">
        <v>8.1910089240271066E-4</v>
      </c>
      <c r="E128" s="69">
        <v>873.54415413808204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4931</v>
      </c>
      <c r="C129" s="75">
        <v>455292250</v>
      </c>
      <c r="D129" s="36">
        <v>5.895470005017905E-4</v>
      </c>
      <c r="E129" s="69">
        <v>923.3264043804503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3379</v>
      </c>
      <c r="C130" s="75">
        <v>328959390</v>
      </c>
      <c r="D130" s="36">
        <v>4.0399093788187992E-4</v>
      </c>
      <c r="E130" s="69">
        <v>973.54066291802314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9282</v>
      </c>
      <c r="C131" s="75">
        <v>1088039000</v>
      </c>
      <c r="D131" s="36">
        <v>1.1097495961585112E-3</v>
      </c>
      <c r="E131" s="69">
        <v>1172.2031889678949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96</v>
      </c>
      <c r="C132" s="75">
        <v>21722990</v>
      </c>
      <c r="D132" s="36">
        <v>1.1477694595046011E-5</v>
      </c>
      <c r="E132" s="69">
        <v>2262.8114583333336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</v>
      </c>
      <c r="C133" s="75">
        <v>673350</v>
      </c>
      <c r="D133" s="36">
        <v>2.3911863739679191E-7</v>
      </c>
      <c r="E133" s="69">
        <v>3366.75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0</v>
      </c>
      <c r="C134" s="75">
        <v>0</v>
      </c>
      <c r="D134" s="36">
        <v>0</v>
      </c>
      <c r="E134" s="69">
        <v>0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0</v>
      </c>
      <c r="C135" s="75">
        <v>0</v>
      </c>
      <c r="D135" s="36">
        <v>0</v>
      </c>
      <c r="E135" s="69">
        <v>0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0</v>
      </c>
      <c r="C136" s="75">
        <v>0</v>
      </c>
      <c r="D136" s="36">
        <v>0</v>
      </c>
      <c r="E136" s="69">
        <v>0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0</v>
      </c>
      <c r="C137" s="75">
        <v>0</v>
      </c>
      <c r="D137" s="36">
        <v>0</v>
      </c>
      <c r="E137" s="69">
        <v>0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0</v>
      </c>
      <c r="C138" s="75">
        <v>0</v>
      </c>
      <c r="D138" s="36">
        <v>0</v>
      </c>
      <c r="E138" s="69">
        <v>0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0</v>
      </c>
      <c r="C139" s="75">
        <v>0</v>
      </c>
      <c r="D139" s="36">
        <v>0</v>
      </c>
      <c r="E139" s="69">
        <v>0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0</v>
      </c>
      <c r="C140" s="75">
        <v>0</v>
      </c>
      <c r="D140" s="36">
        <v>0</v>
      </c>
      <c r="E140" s="69">
        <v>0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/>
    </row>
    <row r="6" spans="1:3" x14ac:dyDescent="0.3">
      <c r="B6" s="15" t="s">
        <v>83</v>
      </c>
      <c r="C6" s="22"/>
    </row>
    <row r="7" spans="1:3" x14ac:dyDescent="0.3">
      <c r="A7" s="21"/>
      <c r="B7" s="15" t="s">
        <v>84</v>
      </c>
      <c r="C7" s="22"/>
    </row>
    <row r="8" spans="1:3" x14ac:dyDescent="0.3">
      <c r="B8" s="15" t="s">
        <v>85</v>
      </c>
      <c r="C8" s="22"/>
    </row>
    <row r="9" spans="1:3" x14ac:dyDescent="0.3">
      <c r="A9" s="21"/>
      <c r="B9" s="15" t="s">
        <v>86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2026-08-14T01:55:44Z</dcterms:modified>
</cp:coreProperties>
</file>