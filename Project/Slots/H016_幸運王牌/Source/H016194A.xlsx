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CC8EA5FC-AFAF-44FE-AB97-3B01DF13699A}" xr6:coauthVersionLast="47" xr6:coauthVersionMax="47" xr10:uidLastSave="{00000000-0000-0000-0000-000000000000}"/>
  <bookViews>
    <workbookView xWindow="-26790" yWindow="2355" windowWidth="21600" windowHeight="11100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122" i="4" l="1"/>
  <c r="E123" i="4"/>
  <c r="J138" i="4"/>
  <c r="K138" i="4" s="1"/>
  <c r="J137" i="4"/>
  <c r="K137" i="4" s="1"/>
  <c r="J136" i="4"/>
  <c r="K136" i="4" s="1"/>
  <c r="J135" i="4"/>
  <c r="K135" i="4" s="1"/>
  <c r="J96" i="4"/>
  <c r="K96" i="4" s="1"/>
  <c r="J147" i="4"/>
  <c r="K147" i="4" s="1"/>
  <c r="J127" i="4"/>
  <c r="K127" i="4" s="1"/>
  <c r="J87" i="4"/>
  <c r="K87" i="4" s="1"/>
  <c r="J146" i="4"/>
  <c r="K146" i="4" s="1"/>
  <c r="J126" i="4"/>
  <c r="K126" i="4" s="1"/>
  <c r="J106" i="4"/>
  <c r="K106" i="4" s="1"/>
  <c r="J86" i="4"/>
  <c r="K86" i="4" s="1"/>
  <c r="J125" i="4"/>
  <c r="K125" i="4" s="1"/>
  <c r="J124" i="4"/>
  <c r="K124" i="4" s="1"/>
  <c r="J123" i="4"/>
  <c r="K123" i="4" s="1"/>
  <c r="J119" i="4"/>
  <c r="K119" i="4" s="1"/>
  <c r="J102" i="4"/>
  <c r="K102" i="4" s="1"/>
  <c r="J101" i="4"/>
  <c r="K101" i="4" s="1"/>
  <c r="J140" i="4"/>
  <c r="K140" i="4" s="1"/>
  <c r="J120" i="4"/>
  <c r="K120" i="4" s="1"/>
  <c r="J100" i="4"/>
  <c r="K100" i="4" s="1"/>
  <c r="J98" i="4"/>
  <c r="K98" i="4" s="1"/>
  <c r="J97" i="4"/>
  <c r="K97" i="4" s="1"/>
  <c r="J95" i="4"/>
  <c r="K95" i="4" s="1"/>
  <c r="J107" i="4"/>
  <c r="K107" i="4" s="1"/>
  <c r="J145" i="4"/>
  <c r="K145" i="4" s="1"/>
  <c r="J105" i="4"/>
  <c r="K105" i="4" s="1"/>
  <c r="J144" i="4"/>
  <c r="K144" i="4" s="1"/>
  <c r="J104" i="4"/>
  <c r="K104" i="4" s="1"/>
  <c r="J143" i="4"/>
  <c r="K143" i="4" s="1"/>
  <c r="J103" i="4"/>
  <c r="K103" i="4" s="1"/>
  <c r="J142" i="4"/>
  <c r="K142" i="4" s="1"/>
  <c r="J122" i="4"/>
  <c r="K122" i="4" s="1"/>
  <c r="J118" i="4"/>
  <c r="K118" i="4" s="1"/>
  <c r="J141" i="4"/>
  <c r="K141" i="4" s="1"/>
  <c r="J121" i="4"/>
  <c r="K121" i="4" s="1"/>
  <c r="J117" i="4"/>
  <c r="K117" i="4" s="1"/>
  <c r="J116" i="4"/>
  <c r="K116" i="4" s="1"/>
  <c r="J139" i="4"/>
  <c r="K139" i="4" s="1"/>
  <c r="J99" i="4"/>
  <c r="K99" i="4" s="1"/>
  <c r="J115" i="4"/>
  <c r="K115" i="4" s="1"/>
  <c r="J134" i="4"/>
  <c r="K134" i="4" s="1"/>
  <c r="J94" i="4"/>
  <c r="K94" i="4" s="1"/>
  <c r="J133" i="4"/>
  <c r="K133" i="4" s="1"/>
  <c r="J113" i="4"/>
  <c r="K113" i="4" s="1"/>
  <c r="J112" i="4"/>
  <c r="K112" i="4" s="1"/>
  <c r="J131" i="4"/>
  <c r="K131" i="4" s="1"/>
  <c r="J91" i="4"/>
  <c r="K91" i="4" s="1"/>
  <c r="J114" i="4"/>
  <c r="K114" i="4" s="1"/>
  <c r="J93" i="4"/>
  <c r="K93" i="4" s="1"/>
  <c r="J132" i="4"/>
  <c r="K132" i="4" s="1"/>
  <c r="J92" i="4"/>
  <c r="K92" i="4" s="1"/>
  <c r="J111" i="4"/>
  <c r="K111" i="4" s="1"/>
  <c r="J130" i="4"/>
  <c r="K130" i="4" s="1"/>
  <c r="J110" i="4"/>
  <c r="K110" i="4" s="1"/>
  <c r="J90" i="4"/>
  <c r="K90" i="4" s="1"/>
  <c r="J149" i="4"/>
  <c r="K149" i="4" s="1"/>
  <c r="J129" i="4"/>
  <c r="K129" i="4" s="1"/>
  <c r="J109" i="4"/>
  <c r="K109" i="4" s="1"/>
  <c r="J89" i="4"/>
  <c r="K89" i="4" s="1"/>
  <c r="J148" i="4"/>
  <c r="K148" i="4" s="1"/>
  <c r="J128" i="4"/>
  <c r="K128" i="4" s="1"/>
  <c r="J108" i="4"/>
  <c r="K108" i="4" s="1"/>
  <c r="J88" i="4"/>
  <c r="K88" i="4" s="1"/>
  <c r="E120" i="4"/>
  <c r="E118" i="4"/>
  <c r="E117" i="4"/>
  <c r="E144" i="4"/>
  <c r="E143" i="4"/>
  <c r="E101" i="4"/>
  <c r="E141" i="4"/>
  <c r="E99" i="4"/>
  <c r="E139" i="4"/>
  <c r="E138" i="4"/>
  <c r="E137" i="4"/>
  <c r="E121" i="4"/>
  <c r="E119" i="4"/>
  <c r="E145" i="4"/>
  <c r="E103" i="4"/>
  <c r="E142" i="4"/>
  <c r="E100" i="4"/>
  <c r="E125" i="4"/>
  <c r="E105" i="4"/>
  <c r="E104" i="4"/>
  <c r="E102" i="4"/>
  <c r="E140" i="4"/>
  <c r="E98" i="4"/>
  <c r="E97" i="4"/>
  <c r="E124" i="4"/>
  <c r="E96" i="4"/>
  <c r="E134" i="4"/>
  <c r="E93" i="4"/>
  <c r="E132" i="4"/>
  <c r="E91" i="4"/>
  <c r="E90" i="4"/>
  <c r="E149" i="4"/>
  <c r="E129" i="4"/>
  <c r="E148" i="4"/>
  <c r="E128" i="4"/>
  <c r="E108" i="4"/>
  <c r="E88" i="4"/>
  <c r="E136" i="4"/>
  <c r="E115" i="4"/>
  <c r="E114" i="4"/>
  <c r="E113" i="4"/>
  <c r="E92" i="4"/>
  <c r="E111" i="4"/>
  <c r="E110" i="4"/>
  <c r="E89" i="4"/>
  <c r="E147" i="4"/>
  <c r="E127" i="4"/>
  <c r="E107" i="4"/>
  <c r="E87" i="4"/>
  <c r="E116" i="4"/>
  <c r="E135" i="4"/>
  <c r="E95" i="4"/>
  <c r="E94" i="4"/>
  <c r="E133" i="4"/>
  <c r="E112" i="4"/>
  <c r="E131" i="4"/>
  <c r="E130" i="4"/>
  <c r="E109" i="4"/>
  <c r="E146" i="4"/>
  <c r="E126" i="4"/>
  <c r="E106" i="4"/>
  <c r="E86" i="4"/>
  <c r="J77" i="4"/>
  <c r="K77" i="4" s="1"/>
  <c r="J57" i="4"/>
  <c r="K57" i="4" s="1"/>
  <c r="J37" i="4"/>
  <c r="K37" i="4" s="1"/>
  <c r="J17" i="4"/>
  <c r="K17" i="4" s="1"/>
  <c r="J76" i="4"/>
  <c r="K76" i="4" s="1"/>
  <c r="J56" i="4"/>
  <c r="K56" i="4" s="1"/>
  <c r="J36" i="4"/>
  <c r="K36" i="4" s="1"/>
  <c r="J16" i="4"/>
  <c r="K16" i="4" s="1"/>
  <c r="J75" i="4"/>
  <c r="K75" i="4" s="1"/>
  <c r="J55" i="4"/>
  <c r="K55" i="4" s="1"/>
  <c r="J35" i="4"/>
  <c r="K35" i="4" s="1"/>
  <c r="J15" i="4"/>
  <c r="K15" i="4" s="1"/>
  <c r="J74" i="4"/>
  <c r="K74" i="4" s="1"/>
  <c r="J54" i="4"/>
  <c r="K54" i="4" s="1"/>
  <c r="J34" i="4"/>
  <c r="K34" i="4" s="1"/>
  <c r="E52" i="4"/>
  <c r="E51" i="4"/>
  <c r="E50" i="4"/>
  <c r="J73" i="4"/>
  <c r="K73" i="4" s="1"/>
  <c r="J52" i="4"/>
  <c r="K52" i="4" s="1"/>
  <c r="J50" i="4"/>
  <c r="K50" i="4" s="1"/>
  <c r="J48" i="4"/>
  <c r="K48" i="4" s="1"/>
  <c r="J65" i="4"/>
  <c r="K65" i="4" s="1"/>
  <c r="J25" i="4"/>
  <c r="K25" i="4" s="1"/>
  <c r="J33" i="4"/>
  <c r="K33" i="4" s="1"/>
  <c r="J72" i="4"/>
  <c r="K72" i="4" s="1"/>
  <c r="J71" i="4"/>
  <c r="K71" i="4" s="1"/>
  <c r="J49" i="4"/>
  <c r="K49" i="4" s="1"/>
  <c r="J68" i="4"/>
  <c r="K68" i="4" s="1"/>
  <c r="J53" i="4"/>
  <c r="K53" i="4" s="1"/>
  <c r="J32" i="4"/>
  <c r="K32" i="4" s="1"/>
  <c r="J51" i="4"/>
  <c r="K51" i="4" s="1"/>
  <c r="J70" i="4"/>
  <c r="K70" i="4" s="1"/>
  <c r="J69" i="4"/>
  <c r="K69" i="4" s="1"/>
  <c r="J28" i="4"/>
  <c r="K28" i="4" s="1"/>
  <c r="J67" i="4"/>
  <c r="K67" i="4" s="1"/>
  <c r="J27" i="4"/>
  <c r="K27" i="4" s="1"/>
  <c r="J46" i="4"/>
  <c r="K46" i="4" s="1"/>
  <c r="J31" i="4"/>
  <c r="K31" i="4" s="1"/>
  <c r="J30" i="4"/>
  <c r="K30" i="4" s="1"/>
  <c r="J29" i="4"/>
  <c r="K29" i="4" s="1"/>
  <c r="J47" i="4"/>
  <c r="K47" i="4" s="1"/>
  <c r="J66" i="4"/>
  <c r="K66" i="4" s="1"/>
  <c r="J26" i="4"/>
  <c r="K26" i="4" s="1"/>
  <c r="J45" i="4"/>
  <c r="K45" i="4" s="1"/>
  <c r="J44" i="4"/>
  <c r="K44" i="4" s="1"/>
  <c r="J63" i="4"/>
  <c r="K63" i="4" s="1"/>
  <c r="J62" i="4"/>
  <c r="K62" i="4" s="1"/>
  <c r="J61" i="4"/>
  <c r="K61" i="4" s="1"/>
  <c r="J60" i="4"/>
  <c r="K60" i="4" s="1"/>
  <c r="J59" i="4"/>
  <c r="K59" i="4" s="1"/>
  <c r="J78" i="4"/>
  <c r="K78" i="4" s="1"/>
  <c r="J58" i="4"/>
  <c r="K58" i="4" s="1"/>
  <c r="J38" i="4"/>
  <c r="K38" i="4" s="1"/>
  <c r="J18" i="4"/>
  <c r="K18" i="4" s="1"/>
  <c r="J64" i="4"/>
  <c r="K64" i="4" s="1"/>
  <c r="J23" i="4"/>
  <c r="K23" i="4" s="1"/>
  <c r="J42" i="4"/>
  <c r="K42" i="4" s="1"/>
  <c r="J21" i="4"/>
  <c r="K21" i="4" s="1"/>
  <c r="J40" i="4"/>
  <c r="K40" i="4" s="1"/>
  <c r="J39" i="4"/>
  <c r="K39" i="4" s="1"/>
  <c r="J24" i="4"/>
  <c r="K24" i="4" s="1"/>
  <c r="J43" i="4"/>
  <c r="K43" i="4" s="1"/>
  <c r="J22" i="4"/>
  <c r="K22" i="4" s="1"/>
  <c r="J41" i="4"/>
  <c r="K41" i="4" s="1"/>
  <c r="J20" i="4"/>
  <c r="K20" i="4" s="1"/>
  <c r="J19" i="4"/>
  <c r="K19" i="4" s="1"/>
  <c r="E34" i="4"/>
  <c r="E31" i="4"/>
  <c r="E74" i="4"/>
  <c r="E30" i="4"/>
  <c r="E29" i="4"/>
  <c r="E69" i="4"/>
  <c r="I79" i="4"/>
  <c r="J79" i="4" s="1"/>
  <c r="K79" i="4" s="1"/>
  <c r="E68" i="4"/>
  <c r="E54" i="4"/>
  <c r="E49" i="4"/>
  <c r="E48" i="4"/>
  <c r="E47" i="4"/>
  <c r="E33" i="4"/>
  <c r="E32" i="4"/>
  <c r="E73" i="4"/>
  <c r="E72" i="4"/>
  <c r="E28" i="4"/>
  <c r="E71" i="4"/>
  <c r="E27" i="4"/>
  <c r="E70" i="4"/>
  <c r="E22" i="4"/>
  <c r="E67" i="4"/>
  <c r="E53" i="4"/>
  <c r="E26" i="4"/>
  <c r="E25" i="4"/>
  <c r="E64" i="4"/>
  <c r="E44" i="4"/>
  <c r="E63" i="4"/>
  <c r="E23" i="4"/>
  <c r="E62" i="4"/>
  <c r="E61" i="4"/>
  <c r="E21" i="4"/>
  <c r="E20" i="4"/>
  <c r="E79" i="4"/>
  <c r="E39" i="4"/>
  <c r="E78" i="4"/>
  <c r="E58" i="4"/>
  <c r="E38" i="4"/>
  <c r="E18" i="4"/>
  <c r="E66" i="4"/>
  <c r="E46" i="4"/>
  <c r="E65" i="4"/>
  <c r="E45" i="4"/>
  <c r="E24" i="4"/>
  <c r="E43" i="4"/>
  <c r="E42" i="4"/>
  <c r="E41" i="4"/>
  <c r="E40" i="4"/>
  <c r="E19" i="4"/>
  <c r="E77" i="4"/>
  <c r="E57" i="4"/>
  <c r="E37" i="4"/>
  <c r="E17" i="4"/>
  <c r="E60" i="4"/>
  <c r="E59" i="4"/>
  <c r="E76" i="4"/>
  <c r="E56" i="4"/>
  <c r="E36" i="4"/>
  <c r="E16" i="4"/>
  <c r="E75" i="4"/>
  <c r="E55" i="4"/>
  <c r="E35" i="4"/>
  <c r="J293" i="3"/>
  <c r="K293" i="3" s="1"/>
  <c r="J273" i="3"/>
  <c r="K273" i="3" s="1"/>
  <c r="E264" i="3"/>
  <c r="J284" i="3"/>
  <c r="K284" i="3" s="1"/>
  <c r="J282" i="3"/>
  <c r="K282" i="3" s="1"/>
  <c r="J280" i="3"/>
  <c r="K280" i="3" s="1"/>
  <c r="J263" i="3"/>
  <c r="K263" i="3" s="1"/>
  <c r="J297" i="3"/>
  <c r="K297" i="3" s="1"/>
  <c r="J292" i="3"/>
  <c r="K292" i="3" s="1"/>
  <c r="J271" i="3"/>
  <c r="K271" i="3" s="1"/>
  <c r="J270" i="3"/>
  <c r="K270" i="3" s="1"/>
  <c r="J289" i="3"/>
  <c r="K289" i="3" s="1"/>
  <c r="J268" i="3"/>
  <c r="K268" i="3" s="1"/>
  <c r="J287" i="3"/>
  <c r="K287" i="3" s="1"/>
  <c r="J286" i="3"/>
  <c r="K286" i="3" s="1"/>
  <c r="J285" i="3"/>
  <c r="K285" i="3" s="1"/>
  <c r="J264" i="3"/>
  <c r="K264" i="3" s="1"/>
  <c r="J261" i="3"/>
  <c r="K261" i="3" s="1"/>
  <c r="J239" i="3"/>
  <c r="K239" i="3" s="1"/>
  <c r="J253" i="3"/>
  <c r="K253" i="3" s="1"/>
  <c r="J258" i="3"/>
  <c r="K258" i="3" s="1"/>
  <c r="J257" i="3"/>
  <c r="K257" i="3" s="1"/>
  <c r="J296" i="3"/>
  <c r="K296" i="3" s="1"/>
  <c r="J276" i="3"/>
  <c r="K276" i="3" s="1"/>
  <c r="J236" i="3"/>
  <c r="K236" i="3" s="1"/>
  <c r="J272" i="3"/>
  <c r="K272" i="3" s="1"/>
  <c r="J291" i="3"/>
  <c r="K291" i="3" s="1"/>
  <c r="J290" i="3"/>
  <c r="K290" i="3" s="1"/>
  <c r="J269" i="3"/>
  <c r="K269" i="3" s="1"/>
  <c r="J288" i="3"/>
  <c r="K288" i="3" s="1"/>
  <c r="J267" i="3"/>
  <c r="K267" i="3" s="1"/>
  <c r="J266" i="3"/>
  <c r="K266" i="3" s="1"/>
  <c r="J265" i="3"/>
  <c r="K265" i="3" s="1"/>
  <c r="J259" i="3"/>
  <c r="K259" i="3" s="1"/>
  <c r="J252" i="3"/>
  <c r="K252" i="3" s="1"/>
  <c r="J277" i="3"/>
  <c r="K277" i="3" s="1"/>
  <c r="J283" i="3"/>
  <c r="K283" i="3" s="1"/>
  <c r="J281" i="3"/>
  <c r="K281" i="3" s="1"/>
  <c r="J262" i="3"/>
  <c r="K262" i="3" s="1"/>
  <c r="J260" i="3"/>
  <c r="K260" i="3" s="1"/>
  <c r="J279" i="3"/>
  <c r="K279" i="3" s="1"/>
  <c r="J278" i="3"/>
  <c r="K278" i="3" s="1"/>
  <c r="J237" i="3"/>
  <c r="K237" i="3" s="1"/>
  <c r="J256" i="3"/>
  <c r="K256" i="3" s="1"/>
  <c r="J295" i="3"/>
  <c r="K295" i="3" s="1"/>
  <c r="J275" i="3"/>
  <c r="K275" i="3" s="1"/>
  <c r="J255" i="3"/>
  <c r="K255" i="3" s="1"/>
  <c r="J235" i="3"/>
  <c r="K235" i="3" s="1"/>
  <c r="J294" i="3"/>
  <c r="K294" i="3" s="1"/>
  <c r="J274" i="3"/>
  <c r="K274" i="3" s="1"/>
  <c r="J254" i="3"/>
  <c r="K254" i="3" s="1"/>
  <c r="J234" i="3"/>
  <c r="K234" i="3" s="1"/>
  <c r="E253" i="3"/>
  <c r="J250" i="3"/>
  <c r="K250" i="3" s="1"/>
  <c r="E250" i="3"/>
  <c r="E293" i="3"/>
  <c r="E249" i="3"/>
  <c r="E292" i="3"/>
  <c r="J246" i="3"/>
  <c r="K246" i="3" s="1"/>
  <c r="E263" i="3"/>
  <c r="J251" i="3"/>
  <c r="K251" i="3" s="1"/>
  <c r="J249" i="3"/>
  <c r="K249" i="3" s="1"/>
  <c r="J248" i="3"/>
  <c r="K248" i="3" s="1"/>
  <c r="E248" i="3"/>
  <c r="E246" i="3"/>
  <c r="J244" i="3"/>
  <c r="K244" i="3" s="1"/>
  <c r="J242" i="3"/>
  <c r="K242" i="3" s="1"/>
  <c r="E284" i="3"/>
  <c r="J238" i="3"/>
  <c r="K238" i="3" s="1"/>
  <c r="E283" i="3"/>
  <c r="E288" i="3"/>
  <c r="E286" i="3"/>
  <c r="E267" i="3"/>
  <c r="E252" i="3"/>
  <c r="J245" i="3"/>
  <c r="K245" i="3" s="1"/>
  <c r="E289" i="3"/>
  <c r="J243" i="3"/>
  <c r="K243" i="3" s="1"/>
  <c r="E287" i="3"/>
  <c r="J240" i="3"/>
  <c r="K240" i="3" s="1"/>
  <c r="E266" i="3"/>
  <c r="E251" i="3"/>
  <c r="J247" i="3"/>
  <c r="K247" i="3" s="1"/>
  <c r="E291" i="3"/>
  <c r="E247" i="3"/>
  <c r="E290" i="3"/>
  <c r="E245" i="3"/>
  <c r="J241" i="3"/>
  <c r="K241" i="3" s="1"/>
  <c r="E285" i="3"/>
  <c r="E265" i="3"/>
  <c r="E273" i="3"/>
  <c r="E272" i="3"/>
  <c r="E243" i="3"/>
  <c r="E244" i="3"/>
  <c r="E271" i="3"/>
  <c r="E270" i="3"/>
  <c r="E269" i="3"/>
  <c r="E268" i="3"/>
  <c r="E242" i="3"/>
  <c r="E279" i="3"/>
  <c r="E259" i="3"/>
  <c r="E278" i="3"/>
  <c r="E258" i="3"/>
  <c r="E238" i="3"/>
  <c r="E281" i="3"/>
  <c r="E280" i="3"/>
  <c r="E239" i="3"/>
  <c r="E297" i="3"/>
  <c r="E277" i="3"/>
  <c r="E257" i="3"/>
  <c r="E237" i="3"/>
  <c r="E296" i="3"/>
  <c r="E276" i="3"/>
  <c r="E256" i="3"/>
  <c r="E236" i="3"/>
  <c r="E282" i="3"/>
  <c r="E241" i="3"/>
  <c r="E260" i="3"/>
  <c r="E295" i="3"/>
  <c r="E275" i="3"/>
  <c r="E255" i="3"/>
  <c r="E235" i="3"/>
  <c r="E262" i="3"/>
  <c r="E261" i="3"/>
  <c r="E240" i="3"/>
  <c r="E294" i="3"/>
  <c r="E274" i="3"/>
  <c r="E254" i="3"/>
  <c r="E234" i="3"/>
  <c r="E215" i="3"/>
  <c r="E214" i="3"/>
  <c r="E213" i="3"/>
  <c r="E212" i="3"/>
  <c r="E202" i="3"/>
  <c r="E201" i="3"/>
  <c r="E200" i="3"/>
  <c r="E199" i="3"/>
  <c r="E175" i="3"/>
  <c r="E174" i="3"/>
  <c r="E173" i="3"/>
  <c r="E172" i="3"/>
  <c r="J187" i="3"/>
  <c r="K187" i="3" s="1"/>
  <c r="J167" i="3"/>
  <c r="K167" i="3" s="1"/>
  <c r="J185" i="3"/>
  <c r="K185" i="3" s="1"/>
  <c r="J184" i="3"/>
  <c r="K184" i="3" s="1"/>
  <c r="J223" i="3"/>
  <c r="K223" i="3" s="1"/>
  <c r="J203" i="3"/>
  <c r="K203" i="3" s="1"/>
  <c r="J175" i="3"/>
  <c r="K175" i="3" s="1"/>
  <c r="J174" i="3"/>
  <c r="K174" i="3" s="1"/>
  <c r="J173" i="3"/>
  <c r="K173" i="3" s="1"/>
  <c r="J172" i="3"/>
  <c r="K172" i="3" s="1"/>
  <c r="J171" i="3"/>
  <c r="K171" i="3" s="1"/>
  <c r="J226" i="3"/>
  <c r="K226" i="3" s="1"/>
  <c r="J186" i="3"/>
  <c r="K186" i="3" s="1"/>
  <c r="J225" i="3"/>
  <c r="K225" i="3" s="1"/>
  <c r="J165" i="3"/>
  <c r="K165" i="3" s="1"/>
  <c r="J224" i="3"/>
  <c r="K224" i="3" s="1"/>
  <c r="J164" i="3"/>
  <c r="K164" i="3" s="1"/>
  <c r="J163" i="3"/>
  <c r="K163" i="3" s="1"/>
  <c r="J207" i="3"/>
  <c r="K207" i="3" s="1"/>
  <c r="J195" i="3"/>
  <c r="K195" i="3" s="1"/>
  <c r="J193" i="3"/>
  <c r="K193" i="3" s="1"/>
  <c r="J216" i="3"/>
  <c r="K216" i="3" s="1"/>
  <c r="J217" i="3"/>
  <c r="K217" i="3" s="1"/>
  <c r="J198" i="3"/>
  <c r="K198" i="3" s="1"/>
  <c r="J219" i="3"/>
  <c r="K219" i="3" s="1"/>
  <c r="J196" i="3"/>
  <c r="K196" i="3" s="1"/>
  <c r="J197" i="3"/>
  <c r="K197" i="3" s="1"/>
  <c r="J200" i="3"/>
  <c r="K200" i="3" s="1"/>
  <c r="J221" i="3"/>
  <c r="K221" i="3" s="1"/>
  <c r="J222" i="3"/>
  <c r="K222" i="3" s="1"/>
  <c r="J166" i="3"/>
  <c r="K166" i="3" s="1"/>
  <c r="J218" i="3"/>
  <c r="K218" i="3" s="1"/>
  <c r="J199" i="3"/>
  <c r="K199" i="3" s="1"/>
  <c r="J220" i="3"/>
  <c r="K220" i="3" s="1"/>
  <c r="J201" i="3"/>
  <c r="K201" i="3" s="1"/>
  <c r="J202" i="3"/>
  <c r="K202" i="3" s="1"/>
  <c r="J205" i="3"/>
  <c r="K205" i="3" s="1"/>
  <c r="J204" i="3"/>
  <c r="K204" i="3" s="1"/>
  <c r="J183" i="3"/>
  <c r="K183" i="3" s="1"/>
  <c r="J182" i="3"/>
  <c r="K182" i="3" s="1"/>
  <c r="J206" i="3"/>
  <c r="K206" i="3" s="1"/>
  <c r="J215" i="3"/>
  <c r="K215" i="3" s="1"/>
  <c r="J214" i="3"/>
  <c r="K214" i="3" s="1"/>
  <c r="J194" i="3"/>
  <c r="K194" i="3" s="1"/>
  <c r="J213" i="3"/>
  <c r="K213" i="3" s="1"/>
  <c r="J181" i="3"/>
  <c r="K181" i="3" s="1"/>
  <c r="J212" i="3"/>
  <c r="K212" i="3" s="1"/>
  <c r="J192" i="3"/>
  <c r="K192" i="3" s="1"/>
  <c r="J180" i="3"/>
  <c r="K180" i="3" s="1"/>
  <c r="J211" i="3"/>
  <c r="K211" i="3" s="1"/>
  <c r="J191" i="3"/>
  <c r="K191" i="3" s="1"/>
  <c r="J179" i="3"/>
  <c r="K179" i="3" s="1"/>
  <c r="J210" i="3"/>
  <c r="K210" i="3" s="1"/>
  <c r="J190" i="3"/>
  <c r="K190" i="3" s="1"/>
  <c r="J170" i="3"/>
  <c r="K170" i="3" s="1"/>
  <c r="J178" i="3"/>
  <c r="K178" i="3" s="1"/>
  <c r="J209" i="3"/>
  <c r="K209" i="3" s="1"/>
  <c r="J189" i="3"/>
  <c r="K189" i="3" s="1"/>
  <c r="J169" i="3"/>
  <c r="K169" i="3" s="1"/>
  <c r="J177" i="3"/>
  <c r="K177" i="3" s="1"/>
  <c r="J208" i="3"/>
  <c r="K208" i="3" s="1"/>
  <c r="J188" i="3"/>
  <c r="K188" i="3" s="1"/>
  <c r="J168" i="3"/>
  <c r="K168" i="3" s="1"/>
  <c r="J176" i="3"/>
  <c r="K176" i="3" s="1"/>
  <c r="E196" i="3"/>
  <c r="E194" i="3"/>
  <c r="E222" i="3"/>
  <c r="E220" i="3"/>
  <c r="E219" i="3"/>
  <c r="E179" i="3"/>
  <c r="E218" i="3"/>
  <c r="E178" i="3"/>
  <c r="E195" i="3"/>
  <c r="E193" i="3"/>
  <c r="E192" i="3"/>
  <c r="E182" i="3"/>
  <c r="E181" i="3"/>
  <c r="E217" i="3"/>
  <c r="E177" i="3"/>
  <c r="E221" i="3"/>
  <c r="E180" i="3"/>
  <c r="E216" i="3"/>
  <c r="E176" i="3"/>
  <c r="E198" i="3"/>
  <c r="E197" i="3"/>
  <c r="E171" i="3"/>
  <c r="E210" i="3"/>
  <c r="E170" i="3"/>
  <c r="E189" i="3"/>
  <c r="E188" i="3"/>
  <c r="E187" i="3"/>
  <c r="E186" i="3"/>
  <c r="E165" i="3"/>
  <c r="E224" i="3"/>
  <c r="E204" i="3"/>
  <c r="E184" i="3"/>
  <c r="E164" i="3"/>
  <c r="E211" i="3"/>
  <c r="E191" i="3"/>
  <c r="E190" i="3"/>
  <c r="E209" i="3"/>
  <c r="E169" i="3"/>
  <c r="E208" i="3"/>
  <c r="E168" i="3"/>
  <c r="E207" i="3"/>
  <c r="E167" i="3"/>
  <c r="E226" i="3"/>
  <c r="E206" i="3"/>
  <c r="E166" i="3"/>
  <c r="E225" i="3"/>
  <c r="E205" i="3"/>
  <c r="E185" i="3"/>
  <c r="E223" i="3"/>
  <c r="E203" i="3"/>
  <c r="E183" i="3"/>
  <c r="E163" i="3"/>
  <c r="E138" i="3"/>
  <c r="E97" i="3"/>
  <c r="E96" i="3"/>
  <c r="E125" i="3"/>
  <c r="E95" i="3"/>
  <c r="E137" i="3"/>
  <c r="E136" i="3"/>
  <c r="E135" i="3"/>
  <c r="E124" i="3"/>
  <c r="E123" i="3"/>
  <c r="E122" i="3"/>
  <c r="E98" i="3"/>
  <c r="J90" i="3"/>
  <c r="K90" i="3" s="1"/>
  <c r="J110" i="3"/>
  <c r="K110" i="3" s="1"/>
  <c r="J89" i="3"/>
  <c r="K89" i="3" s="1"/>
  <c r="J119" i="3"/>
  <c r="K119" i="3" s="1"/>
  <c r="J139" i="3"/>
  <c r="K139" i="3" s="1"/>
  <c r="J120" i="3"/>
  <c r="K120" i="3" s="1"/>
  <c r="J140" i="3"/>
  <c r="K140" i="3" s="1"/>
  <c r="J141" i="3"/>
  <c r="K141" i="3" s="1"/>
  <c r="J122" i="3"/>
  <c r="K122" i="3" s="1"/>
  <c r="J142" i="3"/>
  <c r="K142" i="3" s="1"/>
  <c r="J123" i="3"/>
  <c r="K123" i="3" s="1"/>
  <c r="J143" i="3"/>
  <c r="K143" i="3" s="1"/>
  <c r="J144" i="3"/>
  <c r="K144" i="3" s="1"/>
  <c r="J125" i="3"/>
  <c r="K125" i="3" s="1"/>
  <c r="J145" i="3"/>
  <c r="K145" i="3" s="1"/>
  <c r="J121" i="3"/>
  <c r="K121" i="3" s="1"/>
  <c r="J124" i="3"/>
  <c r="K124" i="3" s="1"/>
  <c r="J128" i="3"/>
  <c r="K128" i="3" s="1"/>
  <c r="J88" i="3"/>
  <c r="K88" i="3" s="1"/>
  <c r="J127" i="3"/>
  <c r="K127" i="3" s="1"/>
  <c r="J87" i="3"/>
  <c r="K87" i="3" s="1"/>
  <c r="J146" i="3"/>
  <c r="K146" i="3" s="1"/>
  <c r="J86" i="3"/>
  <c r="K86" i="3" s="1"/>
  <c r="J130" i="3"/>
  <c r="K130" i="3" s="1"/>
  <c r="J138" i="3"/>
  <c r="K138" i="3" s="1"/>
  <c r="J118" i="3"/>
  <c r="K118" i="3" s="1"/>
  <c r="J117" i="3"/>
  <c r="K117" i="3" s="1"/>
  <c r="J116" i="3"/>
  <c r="K116" i="3" s="1"/>
  <c r="J135" i="3"/>
  <c r="K135" i="3" s="1"/>
  <c r="J115" i="3"/>
  <c r="K115" i="3" s="1"/>
  <c r="J95" i="3"/>
  <c r="K95" i="3" s="1"/>
  <c r="J103" i="3"/>
  <c r="K103" i="3" s="1"/>
  <c r="J134" i="3"/>
  <c r="K134" i="3" s="1"/>
  <c r="J114" i="3"/>
  <c r="K114" i="3" s="1"/>
  <c r="J94" i="3"/>
  <c r="K94" i="3" s="1"/>
  <c r="J102" i="3"/>
  <c r="K102" i="3" s="1"/>
  <c r="J133" i="3"/>
  <c r="K133" i="3" s="1"/>
  <c r="J113" i="3"/>
  <c r="K113" i="3" s="1"/>
  <c r="J93" i="3"/>
  <c r="K93" i="3" s="1"/>
  <c r="J149" i="3"/>
  <c r="K149" i="3" s="1"/>
  <c r="J101" i="3"/>
  <c r="K101" i="3" s="1"/>
  <c r="J132" i="3"/>
  <c r="K132" i="3" s="1"/>
  <c r="J112" i="3"/>
  <c r="K112" i="3" s="1"/>
  <c r="J92" i="3"/>
  <c r="K92" i="3" s="1"/>
  <c r="J100" i="3"/>
  <c r="K100" i="3" s="1"/>
  <c r="J109" i="3"/>
  <c r="K109" i="3" s="1"/>
  <c r="J148" i="3"/>
  <c r="K148" i="3" s="1"/>
  <c r="J108" i="3"/>
  <c r="K108" i="3" s="1"/>
  <c r="J147" i="3"/>
  <c r="K147" i="3" s="1"/>
  <c r="J107" i="3"/>
  <c r="K107" i="3" s="1"/>
  <c r="J126" i="3"/>
  <c r="K126" i="3" s="1"/>
  <c r="J106" i="3"/>
  <c r="K106" i="3" s="1"/>
  <c r="J105" i="3"/>
  <c r="K105" i="3" s="1"/>
  <c r="J129" i="3"/>
  <c r="K129" i="3" s="1"/>
  <c r="J98" i="3"/>
  <c r="K98" i="3" s="1"/>
  <c r="J137" i="3"/>
  <c r="K137" i="3" s="1"/>
  <c r="J97" i="3"/>
  <c r="K97" i="3" s="1"/>
  <c r="J136" i="3"/>
  <c r="K136" i="3" s="1"/>
  <c r="J96" i="3"/>
  <c r="K96" i="3" s="1"/>
  <c r="J104" i="3"/>
  <c r="K104" i="3" s="1"/>
  <c r="J131" i="3"/>
  <c r="K131" i="3" s="1"/>
  <c r="J111" i="3"/>
  <c r="K111" i="3" s="1"/>
  <c r="J91" i="3"/>
  <c r="K91" i="3" s="1"/>
  <c r="J99" i="3"/>
  <c r="K99" i="3" s="1"/>
  <c r="E116" i="3"/>
  <c r="E115" i="3"/>
  <c r="E145" i="3"/>
  <c r="E105" i="3"/>
  <c r="E144" i="3"/>
  <c r="E104" i="3"/>
  <c r="E142" i="3"/>
  <c r="E102" i="3"/>
  <c r="E141" i="3"/>
  <c r="E101" i="3"/>
  <c r="E140" i="3"/>
  <c r="E100" i="3"/>
  <c r="E119" i="3"/>
  <c r="E118" i="3"/>
  <c r="E117" i="3"/>
  <c r="E143" i="3"/>
  <c r="E103" i="3"/>
  <c r="E139" i="3"/>
  <c r="E99" i="3"/>
  <c r="E121" i="3"/>
  <c r="E120" i="3"/>
  <c r="E114" i="3"/>
  <c r="E133" i="3"/>
  <c r="E93" i="3"/>
  <c r="E132" i="3"/>
  <c r="E92" i="3"/>
  <c r="E131" i="3"/>
  <c r="E91" i="3"/>
  <c r="E130" i="3"/>
  <c r="E110" i="3"/>
  <c r="E149" i="3"/>
  <c r="E129" i="3"/>
  <c r="E109" i="3"/>
  <c r="E89" i="3"/>
  <c r="E148" i="3"/>
  <c r="E128" i="3"/>
  <c r="E108" i="3"/>
  <c r="E88" i="3"/>
  <c r="E147" i="3"/>
  <c r="E127" i="3"/>
  <c r="E107" i="3"/>
  <c r="E87" i="3"/>
  <c r="E134" i="3"/>
  <c r="E94" i="3"/>
  <c r="E113" i="3"/>
  <c r="E112" i="3"/>
  <c r="E111" i="3"/>
  <c r="E90" i="3"/>
  <c r="E146" i="3"/>
  <c r="E126" i="3"/>
  <c r="E106" i="3"/>
  <c r="J65" i="3"/>
  <c r="K65" i="3" s="1"/>
  <c r="J64" i="3"/>
  <c r="K64" i="3" s="1"/>
  <c r="J34" i="3"/>
  <c r="K34" i="3" s="1"/>
  <c r="J74" i="3"/>
  <c r="K74" i="3" s="1"/>
  <c r="J71" i="3"/>
  <c r="K71" i="3" s="1"/>
  <c r="J70" i="3"/>
  <c r="K70" i="3" s="1"/>
  <c r="J69" i="3"/>
  <c r="K69" i="3" s="1"/>
  <c r="J68" i="3"/>
  <c r="K68" i="3" s="1"/>
  <c r="J67" i="3"/>
  <c r="K67" i="3" s="1"/>
  <c r="J66" i="3"/>
  <c r="K66" i="3" s="1"/>
  <c r="J45" i="3"/>
  <c r="K45" i="3" s="1"/>
  <c r="J25" i="3"/>
  <c r="K25" i="3" s="1"/>
  <c r="J44" i="3"/>
  <c r="K44" i="3" s="1"/>
  <c r="J24" i="3"/>
  <c r="K24" i="3" s="1"/>
  <c r="J63" i="3"/>
  <c r="K63" i="3" s="1"/>
  <c r="J43" i="3"/>
  <c r="K43" i="3" s="1"/>
  <c r="J23" i="3"/>
  <c r="K23" i="3" s="1"/>
  <c r="J40" i="3"/>
  <c r="K40" i="3" s="1"/>
  <c r="J62" i="3"/>
  <c r="K62" i="3" s="1"/>
  <c r="J42" i="3"/>
  <c r="K42" i="3" s="1"/>
  <c r="J22" i="3"/>
  <c r="K22" i="3" s="1"/>
  <c r="J61" i="3"/>
  <c r="K61" i="3" s="1"/>
  <c r="J41" i="3"/>
  <c r="K41" i="3" s="1"/>
  <c r="J21" i="3"/>
  <c r="K21" i="3" s="1"/>
  <c r="J60" i="3"/>
  <c r="K60" i="3" s="1"/>
  <c r="J20" i="3"/>
  <c r="K20" i="3" s="1"/>
  <c r="J29" i="3"/>
  <c r="K29" i="3" s="1"/>
  <c r="J49" i="3"/>
  <c r="K49" i="3" s="1"/>
  <c r="J30" i="3"/>
  <c r="K30" i="3" s="1"/>
  <c r="J50" i="3"/>
  <c r="K50" i="3" s="1"/>
  <c r="J31" i="3"/>
  <c r="K31" i="3" s="1"/>
  <c r="J51" i="3"/>
  <c r="K51" i="3" s="1"/>
  <c r="J32" i="3"/>
  <c r="K32" i="3" s="1"/>
  <c r="J52" i="3"/>
  <c r="K52" i="3" s="1"/>
  <c r="J33" i="3"/>
  <c r="K33" i="3" s="1"/>
  <c r="J53" i="3"/>
  <c r="K53" i="3" s="1"/>
  <c r="J59" i="3"/>
  <c r="K59" i="3" s="1"/>
  <c r="J39" i="3"/>
  <c r="K39" i="3" s="1"/>
  <c r="J19" i="3"/>
  <c r="K19" i="3" s="1"/>
  <c r="J78" i="3"/>
  <c r="K78" i="3" s="1"/>
  <c r="J58" i="3"/>
  <c r="K58" i="3" s="1"/>
  <c r="J38" i="3"/>
  <c r="K38" i="3" s="1"/>
  <c r="J18" i="3"/>
  <c r="K18" i="3" s="1"/>
  <c r="J77" i="3"/>
  <c r="K77" i="3" s="1"/>
  <c r="J57" i="3"/>
  <c r="K57" i="3" s="1"/>
  <c r="J37" i="3"/>
  <c r="K37" i="3" s="1"/>
  <c r="J17" i="3"/>
  <c r="K17" i="3" s="1"/>
  <c r="J76" i="3"/>
  <c r="K76" i="3" s="1"/>
  <c r="J56" i="3"/>
  <c r="K56" i="3" s="1"/>
  <c r="J36" i="3"/>
  <c r="K36" i="3" s="1"/>
  <c r="J16" i="3"/>
  <c r="K16" i="3" s="1"/>
  <c r="J75" i="3"/>
  <c r="K75" i="3" s="1"/>
  <c r="J55" i="3"/>
  <c r="K55" i="3" s="1"/>
  <c r="J35" i="3"/>
  <c r="K35" i="3" s="1"/>
  <c r="J15" i="3"/>
  <c r="K15" i="3" s="1"/>
  <c r="J73" i="3"/>
  <c r="K73" i="3" s="1"/>
  <c r="J72" i="3"/>
  <c r="K72" i="3" s="1"/>
  <c r="J54" i="3"/>
  <c r="K54" i="3" s="1"/>
  <c r="J48" i="3"/>
  <c r="K48" i="3" s="1"/>
  <c r="J28" i="3"/>
  <c r="K28" i="3" s="1"/>
  <c r="J47" i="3"/>
  <c r="K47" i="3" s="1"/>
  <c r="J27" i="3"/>
  <c r="K27" i="3" s="1"/>
  <c r="J46" i="3"/>
  <c r="K46" i="3" s="1"/>
  <c r="J26" i="3"/>
  <c r="K26" i="3" s="1"/>
  <c r="E45" i="3"/>
  <c r="E72" i="3"/>
  <c r="E32" i="3"/>
  <c r="E29" i="3"/>
  <c r="E66" i="3"/>
  <c r="E65" i="3"/>
  <c r="E54" i="3"/>
  <c r="I79" i="3"/>
  <c r="J79" i="3" s="1"/>
  <c r="K79" i="3" s="1"/>
  <c r="E53" i="3"/>
  <c r="E33" i="3"/>
  <c r="E26" i="3"/>
  <c r="E25" i="3"/>
  <c r="E52" i="3"/>
  <c r="E49" i="3"/>
  <c r="E47" i="3"/>
  <c r="E46" i="3"/>
  <c r="E71" i="3"/>
  <c r="E31" i="3"/>
  <c r="E30" i="3"/>
  <c r="E67" i="3"/>
  <c r="E27" i="3"/>
  <c r="E51" i="3"/>
  <c r="E48" i="3"/>
  <c r="E74" i="3"/>
  <c r="E34" i="3"/>
  <c r="E73" i="3"/>
  <c r="E70" i="3"/>
  <c r="E69" i="3"/>
  <c r="E68" i="3"/>
  <c r="E28" i="3"/>
  <c r="E50" i="3"/>
  <c r="E64" i="3"/>
  <c r="E44" i="3"/>
  <c r="E24" i="3"/>
  <c r="E63" i="3"/>
  <c r="E43" i="3"/>
  <c r="E23" i="3"/>
  <c r="E62" i="3"/>
  <c r="E42" i="3"/>
  <c r="E22" i="3"/>
  <c r="E61" i="3"/>
  <c r="E41" i="3"/>
  <c r="E21" i="3"/>
  <c r="E60" i="3"/>
  <c r="E40" i="3"/>
  <c r="E20" i="3"/>
  <c r="E79" i="3"/>
  <c r="E59" i="3"/>
  <c r="E39" i="3"/>
  <c r="E19" i="3"/>
  <c r="E78" i="3"/>
  <c r="E58" i="3"/>
  <c r="E38" i="3"/>
  <c r="E18" i="3"/>
  <c r="E77" i="3"/>
  <c r="E57" i="3"/>
  <c r="E37" i="3"/>
  <c r="E17" i="3"/>
  <c r="E76" i="3"/>
  <c r="E56" i="3"/>
  <c r="E36" i="3"/>
  <c r="E16" i="3"/>
  <c r="E75" i="3"/>
  <c r="E55" i="3"/>
  <c r="E35" i="3"/>
  <c r="E15" i="3"/>
  <c r="E156" i="3"/>
  <c r="M156" i="3" s="1"/>
  <c r="C8" i="3" s="1"/>
  <c r="B21" i="1" s="1"/>
  <c r="I7" i="4" l="1"/>
  <c r="J7" i="4"/>
  <c r="L109" i="4"/>
  <c r="U109" i="4" s="1"/>
  <c r="L139" i="4"/>
  <c r="U139" i="4" s="1"/>
  <c r="L140" i="4"/>
  <c r="U140" i="4" s="1"/>
  <c r="L129" i="4"/>
  <c r="U129" i="4" s="1"/>
  <c r="L116" i="4"/>
  <c r="U116" i="4" s="1"/>
  <c r="L101" i="4"/>
  <c r="U101" i="4" s="1"/>
  <c r="L149" i="4"/>
  <c r="U149" i="4" s="1"/>
  <c r="L117" i="4"/>
  <c r="U117" i="4" s="1"/>
  <c r="L102" i="4"/>
  <c r="U102" i="4" s="1"/>
  <c r="L90" i="4"/>
  <c r="U90" i="4" s="1"/>
  <c r="L121" i="4"/>
  <c r="U121" i="4" s="1"/>
  <c r="L119" i="4"/>
  <c r="U119" i="4" s="1"/>
  <c r="L110" i="4"/>
  <c r="U110" i="4" s="1"/>
  <c r="L141" i="4"/>
  <c r="U141" i="4" s="1"/>
  <c r="L123" i="4"/>
  <c r="U123" i="4" s="1"/>
  <c r="L130" i="4"/>
  <c r="U130" i="4" s="1"/>
  <c r="L118" i="4"/>
  <c r="U118" i="4" s="1"/>
  <c r="L124" i="4"/>
  <c r="U124" i="4" s="1"/>
  <c r="L111" i="4"/>
  <c r="U111" i="4" s="1"/>
  <c r="L122" i="4"/>
  <c r="U122" i="4" s="1"/>
  <c r="L125" i="4"/>
  <c r="U125" i="4" s="1"/>
  <c r="L92" i="4"/>
  <c r="U92" i="4" s="1"/>
  <c r="L142" i="4"/>
  <c r="U142" i="4" s="1"/>
  <c r="L86" i="4"/>
  <c r="U86" i="4" s="1"/>
  <c r="L132" i="4"/>
  <c r="U132" i="4" s="1"/>
  <c r="L103" i="4"/>
  <c r="U103" i="4" s="1"/>
  <c r="L106" i="4"/>
  <c r="U106" i="4" s="1"/>
  <c r="L93" i="4"/>
  <c r="U93" i="4" s="1"/>
  <c r="L143" i="4"/>
  <c r="U143" i="4" s="1"/>
  <c r="L126" i="4"/>
  <c r="U126" i="4" s="1"/>
  <c r="L114" i="4"/>
  <c r="U114" i="4" s="1"/>
  <c r="L104" i="4"/>
  <c r="U104" i="4" s="1"/>
  <c r="L146" i="4"/>
  <c r="U146" i="4" s="1"/>
  <c r="L91" i="4"/>
  <c r="U91" i="4" s="1"/>
  <c r="L144" i="4"/>
  <c r="U144" i="4" s="1"/>
  <c r="L87" i="4"/>
  <c r="U87" i="4" s="1"/>
  <c r="L131" i="4"/>
  <c r="U131" i="4" s="1"/>
  <c r="L105" i="4"/>
  <c r="U105" i="4" s="1"/>
  <c r="L127" i="4"/>
  <c r="U127" i="4" s="1"/>
  <c r="L112" i="4"/>
  <c r="U112" i="4" s="1"/>
  <c r="L145" i="4"/>
  <c r="U145" i="4" s="1"/>
  <c r="L147" i="4"/>
  <c r="U147" i="4" s="1"/>
  <c r="L113" i="4"/>
  <c r="U113" i="4" s="1"/>
  <c r="L107" i="4"/>
  <c r="U107" i="4" s="1"/>
  <c r="L96" i="4"/>
  <c r="U96" i="4" s="1"/>
  <c r="L88" i="4"/>
  <c r="U88" i="4" s="1"/>
  <c r="L133" i="4"/>
  <c r="U133" i="4" s="1"/>
  <c r="L95" i="4"/>
  <c r="U95" i="4" s="1"/>
  <c r="L135" i="4"/>
  <c r="U135" i="4" s="1"/>
  <c r="L108" i="4"/>
  <c r="U108" i="4" s="1"/>
  <c r="L94" i="4"/>
  <c r="U94" i="4" s="1"/>
  <c r="L97" i="4"/>
  <c r="U97" i="4" s="1"/>
  <c r="L136" i="4"/>
  <c r="U136" i="4" s="1"/>
  <c r="L128" i="4"/>
  <c r="U128" i="4" s="1"/>
  <c r="L134" i="4"/>
  <c r="U134" i="4" s="1"/>
  <c r="L98" i="4"/>
  <c r="U98" i="4" s="1"/>
  <c r="L137" i="4"/>
  <c r="U137" i="4" s="1"/>
  <c r="L148" i="4"/>
  <c r="U148" i="4" s="1"/>
  <c r="L115" i="4"/>
  <c r="U115" i="4" s="1"/>
  <c r="L100" i="4"/>
  <c r="U100" i="4" s="1"/>
  <c r="L138" i="4"/>
  <c r="U138" i="4" s="1"/>
  <c r="L89" i="4"/>
  <c r="U89" i="4" s="1"/>
  <c r="L99" i="4"/>
  <c r="U99" i="4" s="1"/>
  <c r="L120" i="4"/>
  <c r="U120" i="4" s="1"/>
  <c r="L52" i="4"/>
  <c r="U52" i="4" s="1"/>
  <c r="L40" i="4"/>
  <c r="U40" i="4" s="1"/>
  <c r="L30" i="4"/>
  <c r="U30" i="4" s="1"/>
  <c r="L21" i="4"/>
  <c r="U21" i="4" s="1"/>
  <c r="L73" i="4"/>
  <c r="U73" i="4" s="1"/>
  <c r="L46" i="4"/>
  <c r="U46" i="4" s="1"/>
  <c r="L23" i="4"/>
  <c r="U23" i="4" s="1"/>
  <c r="L64" i="4"/>
  <c r="U64" i="4" s="1"/>
  <c r="L67" i="4"/>
  <c r="U67" i="4" s="1"/>
  <c r="L18" i="4"/>
  <c r="U18" i="4" s="1"/>
  <c r="L34" i="4"/>
  <c r="U34" i="4" s="1"/>
  <c r="L69" i="4"/>
  <c r="U69" i="4" s="1"/>
  <c r="L58" i="4"/>
  <c r="U58" i="4" s="1"/>
  <c r="L74" i="4"/>
  <c r="U74" i="4" s="1"/>
  <c r="L51" i="4"/>
  <c r="U51" i="4" s="1"/>
  <c r="L59" i="4"/>
  <c r="U59" i="4" s="1"/>
  <c r="L35" i="4"/>
  <c r="U35" i="4" s="1"/>
  <c r="L55" i="4"/>
  <c r="U55" i="4" s="1"/>
  <c r="L75" i="4"/>
  <c r="U75" i="4" s="1"/>
  <c r="L62" i="4"/>
  <c r="U62" i="4" s="1"/>
  <c r="L16" i="4"/>
  <c r="U16" i="4" s="1"/>
  <c r="L36" i="4"/>
  <c r="U36" i="4" s="1"/>
  <c r="L56" i="4"/>
  <c r="U56" i="4" s="1"/>
  <c r="L43" i="4"/>
  <c r="U43" i="4" s="1"/>
  <c r="L66" i="4"/>
  <c r="U66" i="4" s="1"/>
  <c r="L65" i="4"/>
  <c r="U65" i="4" s="1"/>
  <c r="L24" i="4"/>
  <c r="U24" i="4" s="1"/>
  <c r="L47" i="4"/>
  <c r="U47" i="4" s="1"/>
  <c r="L48" i="4"/>
  <c r="U48" i="4" s="1"/>
  <c r="L57" i="4"/>
  <c r="U57" i="4" s="1"/>
  <c r="L31" i="4"/>
  <c r="U31" i="4" s="1"/>
  <c r="L42" i="4"/>
  <c r="U42" i="4" s="1"/>
  <c r="L27" i="4"/>
  <c r="U27" i="4" s="1"/>
  <c r="L28" i="4"/>
  <c r="U28" i="4" s="1"/>
  <c r="L79" i="4"/>
  <c r="M79" i="4" s="1"/>
  <c r="L38" i="4"/>
  <c r="U38" i="4" s="1"/>
  <c r="L54" i="4"/>
  <c r="U54" i="4" s="1"/>
  <c r="L70" i="4"/>
  <c r="U70" i="4" s="1"/>
  <c r="L78" i="4"/>
  <c r="U78" i="4" s="1"/>
  <c r="L15" i="4"/>
  <c r="U15" i="4" s="1"/>
  <c r="L32" i="4"/>
  <c r="U32" i="4" s="1"/>
  <c r="L60" i="4"/>
  <c r="U60" i="4" s="1"/>
  <c r="L53" i="4"/>
  <c r="U53" i="4" s="1"/>
  <c r="L61" i="4"/>
  <c r="U61" i="4" s="1"/>
  <c r="L68" i="4"/>
  <c r="U68" i="4" s="1"/>
  <c r="L49" i="4"/>
  <c r="U49" i="4" s="1"/>
  <c r="L19" i="4"/>
  <c r="U19" i="4" s="1"/>
  <c r="L63" i="4"/>
  <c r="U63" i="4" s="1"/>
  <c r="L71" i="4"/>
  <c r="U71" i="4" s="1"/>
  <c r="L20" i="4"/>
  <c r="U20" i="4" s="1"/>
  <c r="L44" i="4"/>
  <c r="U44" i="4" s="1"/>
  <c r="L72" i="4"/>
  <c r="U72" i="4" s="1"/>
  <c r="L41" i="4"/>
  <c r="U41" i="4" s="1"/>
  <c r="L45" i="4"/>
  <c r="U45" i="4" s="1"/>
  <c r="L33" i="4"/>
  <c r="U33" i="4" s="1"/>
  <c r="L76" i="4"/>
  <c r="U76" i="4" s="1"/>
  <c r="L22" i="4"/>
  <c r="U22" i="4" s="1"/>
  <c r="L26" i="4"/>
  <c r="U26" i="4" s="1"/>
  <c r="L25" i="4"/>
  <c r="U25" i="4" s="1"/>
  <c r="L17" i="4"/>
  <c r="U17" i="4" s="1"/>
  <c r="L37" i="4"/>
  <c r="U37" i="4" s="1"/>
  <c r="L39" i="4"/>
  <c r="U39" i="4" s="1"/>
  <c r="L29" i="4"/>
  <c r="U29" i="4" s="1"/>
  <c r="L50" i="4"/>
  <c r="U50" i="4" s="1"/>
  <c r="L77" i="4"/>
  <c r="U77" i="4" s="1"/>
  <c r="J9" i="3"/>
  <c r="J8" i="3"/>
  <c r="J7" i="3"/>
  <c r="I7" i="3"/>
  <c r="L253" i="3"/>
  <c r="U253" i="3" s="1"/>
  <c r="L239" i="3"/>
  <c r="U239" i="3" s="1"/>
  <c r="L281" i="3"/>
  <c r="U281" i="3" s="1"/>
  <c r="L283" i="3"/>
  <c r="U283" i="3" s="1"/>
  <c r="L264" i="3"/>
  <c r="U264" i="3" s="1"/>
  <c r="L277" i="3"/>
  <c r="U277" i="3" s="1"/>
  <c r="L252" i="3"/>
  <c r="U252" i="3" s="1"/>
  <c r="L259" i="3"/>
  <c r="U259" i="3" s="1"/>
  <c r="L266" i="3"/>
  <c r="U266" i="3" s="1"/>
  <c r="L254" i="3"/>
  <c r="U254" i="3" s="1"/>
  <c r="L274" i="3"/>
  <c r="U274" i="3" s="1"/>
  <c r="L269" i="3"/>
  <c r="U269" i="3" s="1"/>
  <c r="L242" i="3"/>
  <c r="U242" i="3" s="1"/>
  <c r="L280" i="3"/>
  <c r="U280" i="3" s="1"/>
  <c r="L256" i="3"/>
  <c r="U256" i="3" s="1"/>
  <c r="L276" i="3"/>
  <c r="U276" i="3" s="1"/>
  <c r="L284" i="3"/>
  <c r="U284" i="3" s="1"/>
  <c r="L240" i="3"/>
  <c r="U240" i="3" s="1"/>
  <c r="L246" i="3"/>
  <c r="U246" i="3" s="1"/>
  <c r="L297" i="3"/>
  <c r="U297" i="3" s="1"/>
  <c r="L263" i="3"/>
  <c r="U263" i="3" s="1"/>
  <c r="L244" i="3"/>
  <c r="U244" i="3" s="1"/>
  <c r="L282" i="3"/>
  <c r="U282" i="3" s="1"/>
  <c r="L248" i="3"/>
  <c r="U248" i="3" s="1"/>
  <c r="L237" i="3"/>
  <c r="U237" i="3" s="1"/>
  <c r="L296" i="3"/>
  <c r="U296" i="3" s="1"/>
  <c r="L260" i="3"/>
  <c r="U260" i="3" s="1"/>
  <c r="L262" i="3"/>
  <c r="U262" i="3" s="1"/>
  <c r="L261" i="3"/>
  <c r="U261" i="3" s="1"/>
  <c r="L243" i="3"/>
  <c r="U243" i="3" s="1"/>
  <c r="L285" i="3"/>
  <c r="U285" i="3" s="1"/>
  <c r="L286" i="3"/>
  <c r="U286" i="3" s="1"/>
  <c r="L250" i="3"/>
  <c r="U250" i="3" s="1"/>
  <c r="L265" i="3"/>
  <c r="U265" i="3" s="1"/>
  <c r="L234" i="3"/>
  <c r="U234" i="3" s="1"/>
  <c r="L270" i="3"/>
  <c r="U270" i="3" s="1"/>
  <c r="L288" i="3"/>
  <c r="U288" i="3" s="1"/>
  <c r="L294" i="3"/>
  <c r="U294" i="3" s="1"/>
  <c r="L235" i="3"/>
  <c r="U235" i="3" s="1"/>
  <c r="L241" i="3"/>
  <c r="U241" i="3" s="1"/>
  <c r="L255" i="3"/>
  <c r="U255" i="3" s="1"/>
  <c r="L275" i="3"/>
  <c r="U275" i="3" s="1"/>
  <c r="L236" i="3"/>
  <c r="U236" i="3" s="1"/>
  <c r="L247" i="3"/>
  <c r="U247" i="3" s="1"/>
  <c r="L249" i="3"/>
  <c r="U249" i="3" s="1"/>
  <c r="L278" i="3"/>
  <c r="U278" i="3" s="1"/>
  <c r="L257" i="3"/>
  <c r="U257" i="3" s="1"/>
  <c r="L273" i="3"/>
  <c r="U273" i="3" s="1"/>
  <c r="L245" i="3"/>
  <c r="U245" i="3" s="1"/>
  <c r="L287" i="3"/>
  <c r="U287" i="3" s="1"/>
  <c r="L268" i="3"/>
  <c r="U268" i="3" s="1"/>
  <c r="L289" i="3"/>
  <c r="U289" i="3" s="1"/>
  <c r="L267" i="3"/>
  <c r="U267" i="3" s="1"/>
  <c r="L271" i="3"/>
  <c r="U271" i="3" s="1"/>
  <c r="L238" i="3"/>
  <c r="U238" i="3" s="1"/>
  <c r="L292" i="3"/>
  <c r="U292" i="3" s="1"/>
  <c r="L290" i="3"/>
  <c r="U290" i="3" s="1"/>
  <c r="L291" i="3"/>
  <c r="U291" i="3" s="1"/>
  <c r="L272" i="3"/>
  <c r="U272" i="3" s="1"/>
  <c r="L295" i="3"/>
  <c r="U295" i="3" s="1"/>
  <c r="L251" i="3"/>
  <c r="U251" i="3" s="1"/>
  <c r="L279" i="3"/>
  <c r="U279" i="3" s="1"/>
  <c r="L258" i="3"/>
  <c r="U258" i="3" s="1"/>
  <c r="L293" i="3"/>
  <c r="U293" i="3" s="1"/>
  <c r="L177" i="3"/>
  <c r="U177" i="3" s="1"/>
  <c r="L182" i="3"/>
  <c r="U182" i="3" s="1"/>
  <c r="L169" i="3"/>
  <c r="U169" i="3" s="1"/>
  <c r="L207" i="3"/>
  <c r="U207" i="3" s="1"/>
  <c r="L189" i="3"/>
  <c r="U189" i="3" s="1"/>
  <c r="L204" i="3"/>
  <c r="U204" i="3" s="1"/>
  <c r="L209" i="3"/>
  <c r="U209" i="3" s="1"/>
  <c r="L164" i="3"/>
  <c r="U164" i="3" s="1"/>
  <c r="L178" i="3"/>
  <c r="U178" i="3" s="1"/>
  <c r="L224" i="3"/>
  <c r="U224" i="3" s="1"/>
  <c r="L170" i="3"/>
  <c r="U170" i="3" s="1"/>
  <c r="L165" i="3"/>
  <c r="U165" i="3" s="1"/>
  <c r="L220" i="3"/>
  <c r="U220" i="3" s="1"/>
  <c r="L210" i="3"/>
  <c r="U210" i="3" s="1"/>
  <c r="L186" i="3"/>
  <c r="U186" i="3" s="1"/>
  <c r="L218" i="3"/>
  <c r="U218" i="3" s="1"/>
  <c r="L171" i="3"/>
  <c r="U171" i="3" s="1"/>
  <c r="L211" i="3"/>
  <c r="U211" i="3" s="1"/>
  <c r="L172" i="3"/>
  <c r="U172" i="3" s="1"/>
  <c r="L221" i="3"/>
  <c r="U221" i="3" s="1"/>
  <c r="L192" i="3"/>
  <c r="U192" i="3" s="1"/>
  <c r="L200" i="3"/>
  <c r="U200" i="3" s="1"/>
  <c r="L175" i="3"/>
  <c r="U175" i="3" s="1"/>
  <c r="L196" i="3"/>
  <c r="U196" i="3" s="1"/>
  <c r="L223" i="3"/>
  <c r="U223" i="3" s="1"/>
  <c r="L176" i="3"/>
  <c r="U176" i="3" s="1"/>
  <c r="L194" i="3"/>
  <c r="U194" i="3" s="1"/>
  <c r="L198" i="3"/>
  <c r="U198" i="3" s="1"/>
  <c r="L188" i="3"/>
  <c r="U188" i="3" s="1"/>
  <c r="L215" i="3"/>
  <c r="U215" i="3" s="1"/>
  <c r="L216" i="3"/>
  <c r="U216" i="3" s="1"/>
  <c r="L167" i="3"/>
  <c r="U167" i="3" s="1"/>
  <c r="L195" i="3"/>
  <c r="U195" i="3" s="1"/>
  <c r="L183" i="3"/>
  <c r="U183" i="3" s="1"/>
  <c r="L163" i="3"/>
  <c r="U163" i="3" s="1"/>
  <c r="L205" i="3"/>
  <c r="U205" i="3" s="1"/>
  <c r="L202" i="3"/>
  <c r="U202" i="3" s="1"/>
  <c r="L201" i="3"/>
  <c r="U201" i="3" s="1"/>
  <c r="L190" i="3"/>
  <c r="U190" i="3" s="1"/>
  <c r="L225" i="3"/>
  <c r="U225" i="3" s="1"/>
  <c r="L199" i="3"/>
  <c r="U199" i="3" s="1"/>
  <c r="L179" i="3"/>
  <c r="U179" i="3" s="1"/>
  <c r="L226" i="3"/>
  <c r="U226" i="3" s="1"/>
  <c r="L191" i="3"/>
  <c r="U191" i="3" s="1"/>
  <c r="L166" i="3"/>
  <c r="U166" i="3" s="1"/>
  <c r="L222" i="3"/>
  <c r="U222" i="3" s="1"/>
  <c r="L180" i="3"/>
  <c r="U180" i="3" s="1"/>
  <c r="L173" i="3"/>
  <c r="U173" i="3" s="1"/>
  <c r="L174" i="3"/>
  <c r="U174" i="3" s="1"/>
  <c r="L212" i="3"/>
  <c r="U212" i="3" s="1"/>
  <c r="L197" i="3"/>
  <c r="U197" i="3" s="1"/>
  <c r="L181" i="3"/>
  <c r="U181" i="3" s="1"/>
  <c r="L203" i="3"/>
  <c r="U203" i="3" s="1"/>
  <c r="L213" i="3"/>
  <c r="U213" i="3" s="1"/>
  <c r="L219" i="3"/>
  <c r="U219" i="3" s="1"/>
  <c r="L184" i="3"/>
  <c r="U184" i="3" s="1"/>
  <c r="L168" i="3"/>
  <c r="U168" i="3" s="1"/>
  <c r="L214" i="3"/>
  <c r="U214" i="3" s="1"/>
  <c r="L217" i="3"/>
  <c r="U217" i="3" s="1"/>
  <c r="L185" i="3"/>
  <c r="U185" i="3" s="1"/>
  <c r="L208" i="3"/>
  <c r="U208" i="3" s="1"/>
  <c r="L206" i="3"/>
  <c r="U206" i="3" s="1"/>
  <c r="L193" i="3"/>
  <c r="U193" i="3" s="1"/>
  <c r="L187" i="3"/>
  <c r="U187" i="3" s="1"/>
  <c r="L104" i="3"/>
  <c r="U104" i="3" s="1"/>
  <c r="L127" i="3"/>
  <c r="U127" i="3" s="1"/>
  <c r="L93" i="3"/>
  <c r="U93" i="3" s="1"/>
  <c r="L136" i="3"/>
  <c r="U136" i="3" s="1"/>
  <c r="L113" i="3"/>
  <c r="U113" i="3" s="1"/>
  <c r="L133" i="3"/>
  <c r="U133" i="3" s="1"/>
  <c r="L137" i="3"/>
  <c r="U137" i="3" s="1"/>
  <c r="L102" i="3"/>
  <c r="U102" i="3" s="1"/>
  <c r="L145" i="3"/>
  <c r="U145" i="3" s="1"/>
  <c r="L129" i="3"/>
  <c r="U129" i="3" s="1"/>
  <c r="L125" i="3"/>
  <c r="U125" i="3" s="1"/>
  <c r="L126" i="3"/>
  <c r="U126" i="3" s="1"/>
  <c r="L142" i="3"/>
  <c r="U142" i="3" s="1"/>
  <c r="L135" i="3"/>
  <c r="U135" i="3" s="1"/>
  <c r="L106" i="3"/>
  <c r="U106" i="3" s="1"/>
  <c r="L103" i="3"/>
  <c r="U103" i="3" s="1"/>
  <c r="L95" i="3"/>
  <c r="U95" i="3" s="1"/>
  <c r="L107" i="3"/>
  <c r="U107" i="3" s="1"/>
  <c r="L122" i="3"/>
  <c r="U122" i="3" s="1"/>
  <c r="L108" i="3"/>
  <c r="U108" i="3" s="1"/>
  <c r="L141" i="3"/>
  <c r="U141" i="3" s="1"/>
  <c r="L117" i="3"/>
  <c r="U117" i="3" s="1"/>
  <c r="L109" i="3"/>
  <c r="U109" i="3" s="1"/>
  <c r="L120" i="3"/>
  <c r="U120" i="3" s="1"/>
  <c r="L119" i="3"/>
  <c r="U119" i="3" s="1"/>
  <c r="L91" i="3"/>
  <c r="U91" i="3" s="1"/>
  <c r="L112" i="3"/>
  <c r="U112" i="3" s="1"/>
  <c r="L86" i="3"/>
  <c r="U86" i="3" s="1"/>
  <c r="L111" i="3"/>
  <c r="U111" i="3" s="1"/>
  <c r="L132" i="3"/>
  <c r="U132" i="3" s="1"/>
  <c r="L146" i="3"/>
  <c r="U146" i="3" s="1"/>
  <c r="L110" i="3"/>
  <c r="U110" i="3" s="1"/>
  <c r="L149" i="3"/>
  <c r="U149" i="3" s="1"/>
  <c r="L96" i="3"/>
  <c r="U96" i="3" s="1"/>
  <c r="L88" i="3"/>
  <c r="U88" i="3" s="1"/>
  <c r="L128" i="3"/>
  <c r="U128" i="3" s="1"/>
  <c r="L97" i="3"/>
  <c r="U97" i="3" s="1"/>
  <c r="L124" i="3"/>
  <c r="U124" i="3" s="1"/>
  <c r="L121" i="3"/>
  <c r="U121" i="3" s="1"/>
  <c r="L98" i="3"/>
  <c r="U98" i="3" s="1"/>
  <c r="L94" i="3"/>
  <c r="U94" i="3" s="1"/>
  <c r="L114" i="3"/>
  <c r="U114" i="3" s="1"/>
  <c r="L105" i="3"/>
  <c r="U105" i="3" s="1"/>
  <c r="L134" i="3"/>
  <c r="U134" i="3" s="1"/>
  <c r="L144" i="3"/>
  <c r="U144" i="3" s="1"/>
  <c r="L143" i="3"/>
  <c r="U143" i="3" s="1"/>
  <c r="L123" i="3"/>
  <c r="U123" i="3" s="1"/>
  <c r="L115" i="3"/>
  <c r="U115" i="3" s="1"/>
  <c r="L147" i="3"/>
  <c r="U147" i="3" s="1"/>
  <c r="L116" i="3"/>
  <c r="U116" i="3" s="1"/>
  <c r="L148" i="3"/>
  <c r="U148" i="3" s="1"/>
  <c r="L140" i="3"/>
  <c r="U140" i="3" s="1"/>
  <c r="L118" i="3"/>
  <c r="U118" i="3" s="1"/>
  <c r="L100" i="3"/>
  <c r="U100" i="3" s="1"/>
  <c r="L138" i="3"/>
  <c r="U138" i="3" s="1"/>
  <c r="L139" i="3"/>
  <c r="U139" i="3" s="1"/>
  <c r="L99" i="3"/>
  <c r="U99" i="3" s="1"/>
  <c r="L92" i="3"/>
  <c r="U92" i="3" s="1"/>
  <c r="L130" i="3"/>
  <c r="U130" i="3" s="1"/>
  <c r="L89" i="3"/>
  <c r="U89" i="3" s="1"/>
  <c r="L131" i="3"/>
  <c r="U131" i="3" s="1"/>
  <c r="L101" i="3"/>
  <c r="U101" i="3" s="1"/>
  <c r="L87" i="3"/>
  <c r="U87" i="3" s="1"/>
  <c r="L90" i="3"/>
  <c r="U90" i="3" s="1"/>
  <c r="L28" i="3"/>
  <c r="U28" i="3" s="1"/>
  <c r="L78" i="3"/>
  <c r="U78" i="3" s="1"/>
  <c r="L42" i="3"/>
  <c r="U42" i="3" s="1"/>
  <c r="L40" i="3"/>
  <c r="U40" i="3" s="1"/>
  <c r="L72" i="3"/>
  <c r="U72" i="3" s="1"/>
  <c r="L52" i="3"/>
  <c r="U52" i="3" s="1"/>
  <c r="L39" i="3"/>
  <c r="U39" i="3" s="1"/>
  <c r="L73" i="3"/>
  <c r="U73" i="3" s="1"/>
  <c r="L63" i="3"/>
  <c r="U63" i="3" s="1"/>
  <c r="L79" i="3"/>
  <c r="M79" i="3" s="1"/>
  <c r="L31" i="3"/>
  <c r="U31" i="3" s="1"/>
  <c r="L66" i="3"/>
  <c r="U66" i="3" s="1"/>
  <c r="L37" i="3"/>
  <c r="U37" i="3" s="1"/>
  <c r="L20" i="3"/>
  <c r="U20" i="3" s="1"/>
  <c r="L70" i="3"/>
  <c r="U70" i="3" s="1"/>
  <c r="L62" i="3"/>
  <c r="U62" i="3" s="1"/>
  <c r="L67" i="3"/>
  <c r="U67" i="3" s="1"/>
  <c r="L48" i="3"/>
  <c r="U48" i="3" s="1"/>
  <c r="L23" i="3"/>
  <c r="U23" i="3" s="1"/>
  <c r="L33" i="3"/>
  <c r="U33" i="3" s="1"/>
  <c r="L24" i="3"/>
  <c r="U24" i="3" s="1"/>
  <c r="L75" i="3"/>
  <c r="U75" i="3" s="1"/>
  <c r="L16" i="3"/>
  <c r="U16" i="3" s="1"/>
  <c r="L36" i="3"/>
  <c r="U36" i="3" s="1"/>
  <c r="L49" i="3"/>
  <c r="U49" i="3" s="1"/>
  <c r="L71" i="3"/>
  <c r="U71" i="3" s="1"/>
  <c r="L26" i="3"/>
  <c r="U26" i="3" s="1"/>
  <c r="L77" i="3"/>
  <c r="U77" i="3" s="1"/>
  <c r="L21" i="3"/>
  <c r="U21" i="3" s="1"/>
  <c r="L74" i="3"/>
  <c r="U74" i="3" s="1"/>
  <c r="L19" i="3"/>
  <c r="U19" i="3" s="1"/>
  <c r="L59" i="3"/>
  <c r="U59" i="3" s="1"/>
  <c r="L53" i="3"/>
  <c r="U53" i="3" s="1"/>
  <c r="L35" i="3"/>
  <c r="U35" i="3" s="1"/>
  <c r="L44" i="3"/>
  <c r="U44" i="3" s="1"/>
  <c r="L45" i="3"/>
  <c r="U45" i="3" s="1"/>
  <c r="L30" i="3"/>
  <c r="U30" i="3" s="1"/>
  <c r="L68" i="3"/>
  <c r="U68" i="3" s="1"/>
  <c r="L69" i="3"/>
  <c r="U69" i="3" s="1"/>
  <c r="L46" i="3"/>
  <c r="U46" i="3" s="1"/>
  <c r="L18" i="3"/>
  <c r="U18" i="3" s="1"/>
  <c r="L41" i="3"/>
  <c r="U41" i="3" s="1"/>
  <c r="L34" i="3"/>
  <c r="U34" i="3" s="1"/>
  <c r="L43" i="3"/>
  <c r="U43" i="3" s="1"/>
  <c r="L15" i="3"/>
  <c r="U15" i="3" s="1"/>
  <c r="L55" i="3"/>
  <c r="U55" i="3" s="1"/>
  <c r="L51" i="3"/>
  <c r="U51" i="3" s="1"/>
  <c r="L29" i="3"/>
  <c r="U29" i="3" s="1"/>
  <c r="L60" i="3"/>
  <c r="U60" i="3" s="1"/>
  <c r="L27" i="3"/>
  <c r="U27" i="3" s="1"/>
  <c r="L38" i="3"/>
  <c r="U38" i="3" s="1"/>
  <c r="L61" i="3"/>
  <c r="U61" i="3" s="1"/>
  <c r="L64" i="3"/>
  <c r="U64" i="3" s="1"/>
  <c r="L54" i="3"/>
  <c r="U54" i="3" s="1"/>
  <c r="L32" i="3"/>
  <c r="U32" i="3" s="1"/>
  <c r="L25" i="3"/>
  <c r="U25" i="3" s="1"/>
  <c r="L50" i="3"/>
  <c r="U50" i="3" s="1"/>
  <c r="L56" i="3"/>
  <c r="U56" i="3" s="1"/>
  <c r="L76" i="3"/>
  <c r="U76" i="3" s="1"/>
  <c r="L17" i="3"/>
  <c r="U17" i="3" s="1"/>
  <c r="L57" i="3"/>
  <c r="U57" i="3" s="1"/>
  <c r="L47" i="3"/>
  <c r="U47" i="3" s="1"/>
  <c r="L58" i="3"/>
  <c r="U58" i="3" s="1"/>
  <c r="L22" i="3"/>
  <c r="U22" i="3" s="1"/>
  <c r="L65" i="3"/>
  <c r="U65" i="3" s="1"/>
  <c r="M100" i="4" l="1"/>
  <c r="Q100" i="4"/>
  <c r="M127" i="4"/>
  <c r="Q127" i="4"/>
  <c r="M148" i="4"/>
  <c r="Q148" i="4"/>
  <c r="M118" i="4"/>
  <c r="Q118" i="4"/>
  <c r="M130" i="4"/>
  <c r="Q130" i="4"/>
  <c r="M123" i="4"/>
  <c r="Q123" i="4"/>
  <c r="M146" i="4"/>
  <c r="Q146" i="4"/>
  <c r="M97" i="4"/>
  <c r="Q97" i="4"/>
  <c r="M104" i="4"/>
  <c r="Q104" i="4"/>
  <c r="M119" i="4"/>
  <c r="Q119" i="4"/>
  <c r="M94" i="4"/>
  <c r="Q94" i="4"/>
  <c r="M114" i="4"/>
  <c r="Q114" i="4"/>
  <c r="M121" i="4"/>
  <c r="Q121" i="4"/>
  <c r="M108" i="4"/>
  <c r="Q108" i="4"/>
  <c r="M126" i="4"/>
  <c r="Q126" i="4"/>
  <c r="M90" i="4"/>
  <c r="Q90" i="4"/>
  <c r="M122" i="4"/>
  <c r="Q122" i="4"/>
  <c r="M105" i="4"/>
  <c r="Q105" i="4"/>
  <c r="M87" i="4"/>
  <c r="Q87" i="4"/>
  <c r="M134" i="4"/>
  <c r="Q134" i="4"/>
  <c r="M91" i="4"/>
  <c r="Q91" i="4"/>
  <c r="M136" i="4"/>
  <c r="Q136" i="4"/>
  <c r="M110" i="4"/>
  <c r="Q110" i="4"/>
  <c r="M143" i="4"/>
  <c r="Q143" i="4"/>
  <c r="M95" i="4"/>
  <c r="Q95" i="4"/>
  <c r="M149" i="4"/>
  <c r="Q149" i="4"/>
  <c r="M88" i="4"/>
  <c r="Q88" i="4"/>
  <c r="M132" i="4"/>
  <c r="Q132" i="4"/>
  <c r="M120" i="4"/>
  <c r="Q120" i="4"/>
  <c r="M107" i="4"/>
  <c r="Q107" i="4"/>
  <c r="M86" i="4"/>
  <c r="Q86" i="4"/>
  <c r="M129" i="4"/>
  <c r="Q129" i="4"/>
  <c r="M112" i="4"/>
  <c r="Q112" i="4"/>
  <c r="M124" i="4"/>
  <c r="Q124" i="4"/>
  <c r="M137" i="4"/>
  <c r="Q137" i="4"/>
  <c r="M98" i="4"/>
  <c r="Q98" i="4"/>
  <c r="M128" i="4"/>
  <c r="Q128" i="4"/>
  <c r="M135" i="4"/>
  <c r="Q135" i="4"/>
  <c r="M93" i="4"/>
  <c r="Q93" i="4"/>
  <c r="M133" i="4"/>
  <c r="Q133" i="4"/>
  <c r="M103" i="4"/>
  <c r="Q103" i="4"/>
  <c r="M96" i="4"/>
  <c r="Q96" i="4"/>
  <c r="M99" i="4"/>
  <c r="Q99" i="4"/>
  <c r="M113" i="4"/>
  <c r="Q113" i="4"/>
  <c r="M142" i="4"/>
  <c r="Q142" i="4"/>
  <c r="M140" i="4"/>
  <c r="Q140" i="4"/>
  <c r="M115" i="4"/>
  <c r="Q115" i="4"/>
  <c r="M131" i="4"/>
  <c r="Q131" i="4"/>
  <c r="M144" i="4"/>
  <c r="Q144" i="4"/>
  <c r="M141" i="4"/>
  <c r="Q141" i="4"/>
  <c r="M102" i="4"/>
  <c r="Q102" i="4"/>
  <c r="M117" i="4"/>
  <c r="Q117" i="4"/>
  <c r="M106" i="4"/>
  <c r="Q106" i="4"/>
  <c r="M101" i="4"/>
  <c r="Q101" i="4"/>
  <c r="M116" i="4"/>
  <c r="Q116" i="4"/>
  <c r="M89" i="4"/>
  <c r="Q89" i="4"/>
  <c r="M147" i="4"/>
  <c r="Q147" i="4"/>
  <c r="M92" i="4"/>
  <c r="Q92" i="4"/>
  <c r="M139" i="4"/>
  <c r="Q139" i="4"/>
  <c r="M111" i="4"/>
  <c r="Q111" i="4"/>
  <c r="M138" i="4"/>
  <c r="Q138" i="4"/>
  <c r="M145" i="4"/>
  <c r="Q145" i="4"/>
  <c r="M125" i="4"/>
  <c r="Q125" i="4"/>
  <c r="M109" i="4"/>
  <c r="Q109" i="4"/>
  <c r="M62" i="4"/>
  <c r="Q62" i="4"/>
  <c r="M25" i="4"/>
  <c r="Q25" i="4"/>
  <c r="M55" i="4"/>
  <c r="Q55" i="4"/>
  <c r="M54" i="4"/>
  <c r="Q54" i="4"/>
  <c r="M76" i="4"/>
  <c r="Q76" i="4"/>
  <c r="M51" i="4"/>
  <c r="Q51" i="4"/>
  <c r="M74" i="4"/>
  <c r="Q74" i="4"/>
  <c r="M27" i="4"/>
  <c r="Q27" i="4"/>
  <c r="M42" i="4"/>
  <c r="Q42" i="4"/>
  <c r="M44" i="4"/>
  <c r="Q44" i="4"/>
  <c r="M34" i="4"/>
  <c r="Q34" i="4"/>
  <c r="M57" i="4"/>
  <c r="Q57" i="4"/>
  <c r="M17" i="4"/>
  <c r="Q17" i="4"/>
  <c r="M78" i="4"/>
  <c r="Q78" i="4"/>
  <c r="M26" i="4"/>
  <c r="Q26" i="4"/>
  <c r="M35" i="4"/>
  <c r="Q35" i="4"/>
  <c r="M59" i="4"/>
  <c r="Q59" i="4"/>
  <c r="M33" i="4"/>
  <c r="Q33" i="4"/>
  <c r="M45" i="4"/>
  <c r="Q45" i="4"/>
  <c r="M58" i="4"/>
  <c r="Q58" i="4"/>
  <c r="M69" i="4"/>
  <c r="Q69" i="4"/>
  <c r="M31" i="4"/>
  <c r="Q31" i="4"/>
  <c r="M20" i="4"/>
  <c r="Q20" i="4"/>
  <c r="M18" i="4"/>
  <c r="Q18" i="4"/>
  <c r="M71" i="4"/>
  <c r="Q71" i="4"/>
  <c r="M48" i="4"/>
  <c r="Q48" i="4"/>
  <c r="M67" i="4"/>
  <c r="Q67" i="4"/>
  <c r="M47" i="4"/>
  <c r="Q47" i="4"/>
  <c r="M24" i="4"/>
  <c r="Q24" i="4"/>
  <c r="M15" i="4"/>
  <c r="Q15" i="4"/>
  <c r="M75" i="4"/>
  <c r="Q75" i="4"/>
  <c r="M70" i="4"/>
  <c r="Q70" i="4"/>
  <c r="M22" i="4"/>
  <c r="Q22" i="4"/>
  <c r="M38" i="4"/>
  <c r="Q38" i="4"/>
  <c r="M28" i="4"/>
  <c r="Q28" i="4"/>
  <c r="M41" i="4"/>
  <c r="Q41" i="4"/>
  <c r="M72" i="4"/>
  <c r="Q72" i="4"/>
  <c r="M63" i="4"/>
  <c r="Q63" i="4"/>
  <c r="M64" i="4"/>
  <c r="Q64" i="4"/>
  <c r="M19" i="4"/>
  <c r="Q19" i="4"/>
  <c r="M23" i="4"/>
  <c r="Q23" i="4"/>
  <c r="M49" i="4"/>
  <c r="Q49" i="4"/>
  <c r="M65" i="4"/>
  <c r="Q65" i="4"/>
  <c r="M46" i="4"/>
  <c r="Q46" i="4"/>
  <c r="M77" i="4"/>
  <c r="Q77" i="4"/>
  <c r="M68" i="4"/>
  <c r="Q68" i="4"/>
  <c r="M66" i="4"/>
  <c r="Q66" i="4"/>
  <c r="M73" i="4"/>
  <c r="Q73" i="4"/>
  <c r="M50" i="4"/>
  <c r="Q50" i="4"/>
  <c r="M61" i="4"/>
  <c r="Q61" i="4"/>
  <c r="M43" i="4"/>
  <c r="Q43" i="4"/>
  <c r="M21" i="4"/>
  <c r="Q21" i="4"/>
  <c r="M29" i="4"/>
  <c r="Q29" i="4"/>
  <c r="M53" i="4"/>
  <c r="Q53" i="4"/>
  <c r="M56" i="4"/>
  <c r="Q56" i="4"/>
  <c r="M30" i="4"/>
  <c r="Q30" i="4"/>
  <c r="M39" i="4"/>
  <c r="Q39" i="4"/>
  <c r="M60" i="4"/>
  <c r="Q60" i="4"/>
  <c r="M36" i="4"/>
  <c r="Q36" i="4"/>
  <c r="M40" i="4"/>
  <c r="Q40" i="4"/>
  <c r="M37" i="4"/>
  <c r="Q37" i="4"/>
  <c r="M32" i="4"/>
  <c r="Q32" i="4"/>
  <c r="M16" i="4"/>
  <c r="Q16" i="4"/>
  <c r="M52" i="4"/>
  <c r="Q52" i="4"/>
  <c r="Q253" i="3"/>
  <c r="M253" i="3"/>
  <c r="M235" i="3"/>
  <c r="Q235" i="3"/>
  <c r="M294" i="3"/>
  <c r="Q294" i="3"/>
  <c r="M288" i="3"/>
  <c r="Q288" i="3"/>
  <c r="M270" i="3"/>
  <c r="Q270" i="3"/>
  <c r="M271" i="3"/>
  <c r="Q271" i="3"/>
  <c r="M250" i="3"/>
  <c r="Q250" i="3"/>
  <c r="M261" i="3"/>
  <c r="Q261" i="3"/>
  <c r="M273" i="3"/>
  <c r="Q273" i="3"/>
  <c r="M257" i="3"/>
  <c r="Q257" i="3"/>
  <c r="M293" i="3"/>
  <c r="Q293" i="3"/>
  <c r="M247" i="3"/>
  <c r="Q247" i="3"/>
  <c r="M248" i="3"/>
  <c r="Q248" i="3"/>
  <c r="M283" i="3"/>
  <c r="Q283" i="3"/>
  <c r="M240" i="3"/>
  <c r="Q240" i="3"/>
  <c r="M284" i="3"/>
  <c r="Q284" i="3"/>
  <c r="M238" i="3"/>
  <c r="Q238" i="3"/>
  <c r="M280" i="3"/>
  <c r="Q280" i="3"/>
  <c r="M267" i="3"/>
  <c r="Q267" i="3"/>
  <c r="M286" i="3"/>
  <c r="Q286" i="3"/>
  <c r="M243" i="3"/>
  <c r="Q243" i="3"/>
  <c r="M266" i="3"/>
  <c r="Q266" i="3"/>
  <c r="M252" i="3"/>
  <c r="Q252" i="3"/>
  <c r="M278" i="3"/>
  <c r="Q278" i="3"/>
  <c r="M264" i="3"/>
  <c r="Q264" i="3"/>
  <c r="M258" i="3"/>
  <c r="Q258" i="3"/>
  <c r="M236" i="3"/>
  <c r="Q236" i="3"/>
  <c r="M282" i="3"/>
  <c r="Q282" i="3"/>
  <c r="M281" i="3"/>
  <c r="Q281" i="3"/>
  <c r="M246" i="3"/>
  <c r="Q246" i="3"/>
  <c r="M292" i="3"/>
  <c r="Q292" i="3"/>
  <c r="M234" i="3"/>
  <c r="Q234" i="3"/>
  <c r="M265" i="3"/>
  <c r="Q265" i="3"/>
  <c r="M242" i="3"/>
  <c r="Q242" i="3"/>
  <c r="M269" i="3"/>
  <c r="Q269" i="3"/>
  <c r="M285" i="3"/>
  <c r="Q285" i="3"/>
  <c r="M254" i="3"/>
  <c r="Q254" i="3"/>
  <c r="M262" i="3"/>
  <c r="Q262" i="3"/>
  <c r="M260" i="3"/>
  <c r="Q260" i="3"/>
  <c r="M296" i="3"/>
  <c r="Q296" i="3"/>
  <c r="M237" i="3"/>
  <c r="Q237" i="3"/>
  <c r="M279" i="3"/>
  <c r="Q279" i="3"/>
  <c r="M275" i="3"/>
  <c r="Q275" i="3"/>
  <c r="M244" i="3"/>
  <c r="Q244" i="3"/>
  <c r="M239" i="3"/>
  <c r="Q239" i="3"/>
  <c r="M272" i="3"/>
  <c r="Q272" i="3"/>
  <c r="M291" i="3"/>
  <c r="Q291" i="3"/>
  <c r="M290" i="3"/>
  <c r="Q290" i="3"/>
  <c r="M276" i="3"/>
  <c r="Q276" i="3"/>
  <c r="M256" i="3"/>
  <c r="Q256" i="3"/>
  <c r="M289" i="3"/>
  <c r="Q289" i="3"/>
  <c r="M268" i="3"/>
  <c r="Q268" i="3"/>
  <c r="M274" i="3"/>
  <c r="Q274" i="3"/>
  <c r="M287" i="3"/>
  <c r="Q287" i="3"/>
  <c r="M245" i="3"/>
  <c r="Q245" i="3"/>
  <c r="M259" i="3"/>
  <c r="Q259" i="3"/>
  <c r="M277" i="3"/>
  <c r="Q277" i="3"/>
  <c r="M249" i="3"/>
  <c r="Q249" i="3"/>
  <c r="M251" i="3"/>
  <c r="Q251" i="3"/>
  <c r="M255" i="3"/>
  <c r="Q255" i="3"/>
  <c r="M263" i="3"/>
  <c r="Q263" i="3"/>
  <c r="M295" i="3"/>
  <c r="Q295" i="3"/>
  <c r="M241" i="3"/>
  <c r="Q241" i="3"/>
  <c r="M297" i="3"/>
  <c r="Q297" i="3"/>
  <c r="M221" i="3"/>
  <c r="Q221" i="3"/>
  <c r="M217" i="3"/>
  <c r="Q217" i="3"/>
  <c r="M190" i="3"/>
  <c r="Q190" i="3"/>
  <c r="M214" i="3"/>
  <c r="Q214" i="3"/>
  <c r="M211" i="3"/>
  <c r="Q211" i="3"/>
  <c r="M168" i="3"/>
  <c r="Q168" i="3"/>
  <c r="M171" i="3"/>
  <c r="Q171" i="3"/>
  <c r="M205" i="3"/>
  <c r="Q205" i="3"/>
  <c r="M219" i="3"/>
  <c r="Q219" i="3"/>
  <c r="M163" i="3"/>
  <c r="Q163" i="3"/>
  <c r="M186" i="3"/>
  <c r="Q186" i="3"/>
  <c r="M213" i="3"/>
  <c r="Q213" i="3"/>
  <c r="M183" i="3"/>
  <c r="Q183" i="3"/>
  <c r="M220" i="3"/>
  <c r="Q220" i="3"/>
  <c r="M167" i="3"/>
  <c r="Q167" i="3"/>
  <c r="M197" i="3"/>
  <c r="Q197" i="3"/>
  <c r="M170" i="3"/>
  <c r="Q170" i="3"/>
  <c r="M212" i="3"/>
  <c r="Q212" i="3"/>
  <c r="M224" i="3"/>
  <c r="Q224" i="3"/>
  <c r="M166" i="3"/>
  <c r="Q166" i="3"/>
  <c r="M189" i="3"/>
  <c r="Q189" i="3"/>
  <c r="M191" i="3"/>
  <c r="Q191" i="3"/>
  <c r="M207" i="3"/>
  <c r="Q207" i="3"/>
  <c r="M226" i="3"/>
  <c r="Q226" i="3"/>
  <c r="M175" i="3"/>
  <c r="Q175" i="3"/>
  <c r="M206" i="3"/>
  <c r="Q206" i="3"/>
  <c r="M179" i="3"/>
  <c r="Q179" i="3"/>
  <c r="M200" i="3"/>
  <c r="Q200" i="3"/>
  <c r="M182" i="3"/>
  <c r="Q182" i="3"/>
  <c r="M185" i="3"/>
  <c r="Q185" i="3"/>
  <c r="M225" i="3"/>
  <c r="Q225" i="3"/>
  <c r="M172" i="3"/>
  <c r="Q172" i="3"/>
  <c r="M201" i="3"/>
  <c r="Q201" i="3"/>
  <c r="M202" i="3"/>
  <c r="Q202" i="3"/>
  <c r="M184" i="3"/>
  <c r="Q184" i="3"/>
  <c r="M218" i="3"/>
  <c r="Q218" i="3"/>
  <c r="M210" i="3"/>
  <c r="Q210" i="3"/>
  <c r="M203" i="3"/>
  <c r="Q203" i="3"/>
  <c r="M195" i="3"/>
  <c r="Q195" i="3"/>
  <c r="M181" i="3"/>
  <c r="Q181" i="3"/>
  <c r="M165" i="3"/>
  <c r="Q165" i="3"/>
  <c r="M216" i="3"/>
  <c r="Q216" i="3"/>
  <c r="M215" i="3"/>
  <c r="Q215" i="3"/>
  <c r="M174" i="3"/>
  <c r="Q174" i="3"/>
  <c r="M188" i="3"/>
  <c r="Q188" i="3"/>
  <c r="M178" i="3"/>
  <c r="Q178" i="3"/>
  <c r="M173" i="3"/>
  <c r="Q173" i="3"/>
  <c r="M198" i="3"/>
  <c r="Q198" i="3"/>
  <c r="M164" i="3"/>
  <c r="Q164" i="3"/>
  <c r="M180" i="3"/>
  <c r="Q180" i="3"/>
  <c r="M194" i="3"/>
  <c r="Q194" i="3"/>
  <c r="M209" i="3"/>
  <c r="Q209" i="3"/>
  <c r="M222" i="3"/>
  <c r="Q222" i="3"/>
  <c r="M176" i="3"/>
  <c r="Q176" i="3"/>
  <c r="M204" i="3"/>
  <c r="Q204" i="3"/>
  <c r="M223" i="3"/>
  <c r="Q223" i="3"/>
  <c r="M187" i="3"/>
  <c r="Q187" i="3"/>
  <c r="M196" i="3"/>
  <c r="Q196" i="3"/>
  <c r="M193" i="3"/>
  <c r="Q193" i="3"/>
  <c r="M169" i="3"/>
  <c r="Q169" i="3"/>
  <c r="M208" i="3"/>
  <c r="Q208" i="3"/>
  <c r="M199" i="3"/>
  <c r="Q199" i="3"/>
  <c r="M192" i="3"/>
  <c r="Q192" i="3"/>
  <c r="M177" i="3"/>
  <c r="Q177" i="3"/>
  <c r="M108" i="3"/>
  <c r="Q108" i="3"/>
  <c r="M107" i="3"/>
  <c r="Q107" i="3"/>
  <c r="M97" i="3"/>
  <c r="Q97" i="3"/>
  <c r="M106" i="3"/>
  <c r="Q106" i="3"/>
  <c r="M135" i="3"/>
  <c r="Q135" i="3"/>
  <c r="M118" i="3"/>
  <c r="Q118" i="3"/>
  <c r="M140" i="3"/>
  <c r="Q140" i="3"/>
  <c r="M146" i="3"/>
  <c r="Q146" i="3"/>
  <c r="M132" i="3"/>
  <c r="Q132" i="3"/>
  <c r="M111" i="3"/>
  <c r="Q111" i="3"/>
  <c r="M115" i="3"/>
  <c r="Q115" i="3"/>
  <c r="M123" i="3"/>
  <c r="Q123" i="3"/>
  <c r="M143" i="3"/>
  <c r="Q143" i="3"/>
  <c r="M133" i="3"/>
  <c r="Q133" i="3"/>
  <c r="M144" i="3"/>
  <c r="Q144" i="3"/>
  <c r="M119" i="3"/>
  <c r="Q119" i="3"/>
  <c r="M113" i="3"/>
  <c r="Q113" i="3"/>
  <c r="M89" i="3"/>
  <c r="Q89" i="3"/>
  <c r="M121" i="3"/>
  <c r="Q121" i="3"/>
  <c r="M92" i="3"/>
  <c r="Q92" i="3"/>
  <c r="M99" i="3"/>
  <c r="Q99" i="3"/>
  <c r="M128" i="3"/>
  <c r="Q128" i="3"/>
  <c r="M88" i="3"/>
  <c r="Q88" i="3"/>
  <c r="M142" i="3"/>
  <c r="Q142" i="3"/>
  <c r="M116" i="3"/>
  <c r="Q116" i="3"/>
  <c r="M147" i="3"/>
  <c r="Q147" i="3"/>
  <c r="M86" i="3"/>
  <c r="Q86" i="3"/>
  <c r="M112" i="3"/>
  <c r="Q112" i="3"/>
  <c r="M91" i="3"/>
  <c r="Q91" i="3"/>
  <c r="M90" i="3"/>
  <c r="Q90" i="3"/>
  <c r="M134" i="3"/>
  <c r="Q134" i="3"/>
  <c r="M120" i="3"/>
  <c r="Q120" i="3"/>
  <c r="M136" i="3"/>
  <c r="Q136" i="3"/>
  <c r="M98" i="3"/>
  <c r="Q98" i="3"/>
  <c r="M130" i="3"/>
  <c r="Q130" i="3"/>
  <c r="M95" i="3"/>
  <c r="Q95" i="3"/>
  <c r="M103" i="3"/>
  <c r="Q103" i="3"/>
  <c r="M96" i="3"/>
  <c r="Q96" i="3"/>
  <c r="M126" i="3"/>
  <c r="Q126" i="3"/>
  <c r="M125" i="3"/>
  <c r="Q125" i="3"/>
  <c r="M129" i="3"/>
  <c r="Q129" i="3"/>
  <c r="M102" i="3"/>
  <c r="Q102" i="3"/>
  <c r="M137" i="3"/>
  <c r="Q137" i="3"/>
  <c r="M87" i="3"/>
  <c r="Q87" i="3"/>
  <c r="M105" i="3"/>
  <c r="Q105" i="3"/>
  <c r="M109" i="3"/>
  <c r="Q109" i="3"/>
  <c r="M93" i="3"/>
  <c r="Q93" i="3"/>
  <c r="M122" i="3"/>
  <c r="Q122" i="3"/>
  <c r="M124" i="3"/>
  <c r="Q124" i="3"/>
  <c r="M139" i="3"/>
  <c r="Q139" i="3"/>
  <c r="M138" i="3"/>
  <c r="Q138" i="3"/>
  <c r="M100" i="3"/>
  <c r="Q100" i="3"/>
  <c r="M149" i="3"/>
  <c r="Q149" i="3"/>
  <c r="M110" i="3"/>
  <c r="Q110" i="3"/>
  <c r="M148" i="3"/>
  <c r="Q148" i="3"/>
  <c r="M145" i="3"/>
  <c r="Q145" i="3"/>
  <c r="M101" i="3"/>
  <c r="Q101" i="3"/>
  <c r="M114" i="3"/>
  <c r="Q114" i="3"/>
  <c r="M117" i="3"/>
  <c r="Q117" i="3"/>
  <c r="M127" i="3"/>
  <c r="Q127" i="3"/>
  <c r="M131" i="3"/>
  <c r="Q131" i="3"/>
  <c r="M94" i="3"/>
  <c r="Q94" i="3"/>
  <c r="M141" i="3"/>
  <c r="Q141" i="3"/>
  <c r="M104" i="3"/>
  <c r="Q104" i="3"/>
  <c r="Q28" i="3"/>
  <c r="M28" i="3"/>
  <c r="M61" i="3"/>
  <c r="Q61" i="3"/>
  <c r="M76" i="3"/>
  <c r="Q76" i="3"/>
  <c r="M69" i="3"/>
  <c r="Q69" i="3"/>
  <c r="M23" i="3"/>
  <c r="Q23" i="3"/>
  <c r="M56" i="3"/>
  <c r="Q56" i="3"/>
  <c r="M68" i="3"/>
  <c r="Q68" i="3"/>
  <c r="M48" i="3"/>
  <c r="Q48" i="3"/>
  <c r="M50" i="3"/>
  <c r="Q50" i="3"/>
  <c r="M30" i="3"/>
  <c r="Q30" i="3"/>
  <c r="M67" i="3"/>
  <c r="Q67" i="3"/>
  <c r="M25" i="3"/>
  <c r="Q25" i="3"/>
  <c r="M45" i="3"/>
  <c r="Q45" i="3"/>
  <c r="M62" i="3"/>
  <c r="Q62" i="3"/>
  <c r="M32" i="3"/>
  <c r="Q32" i="3"/>
  <c r="M44" i="3"/>
  <c r="Q44" i="3"/>
  <c r="M70" i="3"/>
  <c r="Q70" i="3"/>
  <c r="M54" i="3"/>
  <c r="Q54" i="3"/>
  <c r="M35" i="3"/>
  <c r="Q35" i="3"/>
  <c r="M20" i="3"/>
  <c r="Q20" i="3"/>
  <c r="M37" i="3"/>
  <c r="Q37" i="3"/>
  <c r="M66" i="3"/>
  <c r="Q66" i="3"/>
  <c r="M31" i="3"/>
  <c r="Q31" i="3"/>
  <c r="M27" i="3"/>
  <c r="Q27" i="3"/>
  <c r="M21" i="3"/>
  <c r="Q21" i="3"/>
  <c r="M73" i="3"/>
  <c r="Q73" i="3"/>
  <c r="M26" i="3"/>
  <c r="Q26" i="3"/>
  <c r="M55" i="3"/>
  <c r="Q55" i="3"/>
  <c r="M71" i="3"/>
  <c r="Q71" i="3"/>
  <c r="M65" i="3"/>
  <c r="Q65" i="3"/>
  <c r="M49" i="3"/>
  <c r="Q49" i="3"/>
  <c r="M43" i="3"/>
  <c r="Q43" i="3"/>
  <c r="M36" i="3"/>
  <c r="Q36" i="3"/>
  <c r="M58" i="3"/>
  <c r="Q58" i="3"/>
  <c r="M42" i="3"/>
  <c r="Q42" i="3"/>
  <c r="M47" i="3"/>
  <c r="Q47" i="3"/>
  <c r="M41" i="3"/>
  <c r="Q41" i="3"/>
  <c r="M75" i="3"/>
  <c r="Q75" i="3"/>
  <c r="M78" i="3"/>
  <c r="Q78" i="3"/>
  <c r="M64" i="3"/>
  <c r="Q64" i="3"/>
  <c r="M38" i="3"/>
  <c r="Q38" i="3"/>
  <c r="M74" i="3"/>
  <c r="Q74" i="3"/>
  <c r="M63" i="3"/>
  <c r="Q63" i="3"/>
  <c r="M77" i="3"/>
  <c r="Q77" i="3"/>
  <c r="M51" i="3"/>
  <c r="Q51" i="3"/>
  <c r="M52" i="3"/>
  <c r="Q52" i="3"/>
  <c r="M15" i="3"/>
  <c r="Q15" i="3"/>
  <c r="M72" i="3"/>
  <c r="Q72" i="3"/>
  <c r="M22" i="3"/>
  <c r="Q22" i="3"/>
  <c r="M40" i="3"/>
  <c r="Q40" i="3"/>
  <c r="M34" i="3"/>
  <c r="Q34" i="3"/>
  <c r="M16" i="3"/>
  <c r="Q16" i="3"/>
  <c r="M57" i="3"/>
  <c r="Q57" i="3"/>
  <c r="M18" i="3"/>
  <c r="Q18" i="3"/>
  <c r="M24" i="3"/>
  <c r="Q24" i="3"/>
  <c r="M53" i="3"/>
  <c r="Q53" i="3"/>
  <c r="M59" i="3"/>
  <c r="Q59" i="3"/>
  <c r="M19" i="3"/>
  <c r="Q19" i="3"/>
  <c r="M60" i="3"/>
  <c r="Q60" i="3"/>
  <c r="M29" i="3"/>
  <c r="Q29" i="3"/>
  <c r="M39" i="3"/>
  <c r="Q39" i="3"/>
  <c r="M17" i="3"/>
  <c r="Q17" i="3"/>
  <c r="M46" i="3"/>
  <c r="Q46" i="3"/>
  <c r="M33" i="3"/>
  <c r="Q33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<sst xmlns="http://schemas.openxmlformats.org/spreadsheetml/2006/main" count="325" uniqueCount="121">
  <si>
    <t>Model:</t>
  </si>
  <si>
    <t>H016194</t>
  </si>
  <si>
    <t>Version:</t>
  </si>
  <si>
    <t>3.0.0.0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</si>
  <si>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</si>
  <si>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</si>
  <si>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</si>
  <si>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</si>
  <si>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</si>
  <si>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</si>
  <si>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</si>
  <si>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</si>
  <si>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</si>
  <si>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</si>
  <si>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</si>
  <si>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</si>
  <si>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</si>
  <si>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</si>
  <si>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</si>
  <si>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</si>
  <si>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</si>
  <si>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</si>
  <si>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</si>
  <si>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</si>
  <si>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</si>
  <si>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</si>
  <si>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</si>
  <si>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</si>
  <si>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</si>
  <si>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</si>
  <si>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</si>
  <si>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</si>
  <si>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</si>
  <si>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</si>
  <si>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</si>
  <si>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</si>
  <si>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</si>
  <si>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</si>
  <si>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</si>
  <si>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</si>
  <si>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</si>
  <si>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</si>
  <si>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</si>
  <si>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</si>
  <si>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</si>
  <si>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</si>
  <si>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</si>
  <si>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</si>
  <si>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</si>
  <si>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</si>
  <si>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</si>
  <si>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</si>
  <si>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</si>
  <si>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</si>
  <si>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</si>
  <si>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</si>
  <si>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</si>
  <si>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</si>
  <si>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</si>
  <si>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</si>
  <si>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</si>
  <si>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</si>
  <si>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</si>
  <si>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</si>
  <si>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</si>
  <si>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</si>
  <si>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</si>
  <si>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</si>
  <si>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</si>
  <si>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</si>
  <si>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</si>
  <si>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</si>
  <si>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</si>
  <si>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</si>
  <si>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</si>
  <si>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</si>
  <si>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</si>
  <si>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</si>
  <si>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</si>
  <si>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</si>
  <si>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</si>
  <si>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</si>
  <si>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</si>
  <si>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</si>
  <si>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</si>
  <si>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</si>
  <si>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</si>
  <si>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</si>
  <si>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</si>
  <si>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</si>
  <si>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</si>
  <si>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</si>
  <si>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</si>
  <si>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</si>
  <si>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</si>
  <si>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</si>
  <si>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</si>
  <si>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</si>
  <si>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</si>
  <si>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</si>
  <si>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</si>
  <si>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</si>
  <si>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</si>
  <si>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</si>
  <si>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</si>
  <si>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</si>
  <si>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</si>
  <si>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</si>
  <si>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</si>
  <si>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</si>
  <si>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</si>
  <si>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</si>
  <si>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</si>
  <si>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</si>
  <si>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</si>
  <si>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</si>
  <si>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</si>
  <si>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EB_Newbie</t>
  </si>
  <si>
    <t>NB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</si>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</sst>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1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 x14ac:dyDescent="0.3">
      <c r="A2" s="3" t="s">
        <v>0</v>
      </c>
      <c r="B2" s="67" t="s">
        <v>1</v>
      </c>
    </row>
    <row r="3" spans="1:10" x14ac:dyDescent="0.3">
      <c r="A3" s="3" t="s">
        <v>2</v>
      </c>
      <c r="B3" s="23" t="s">
        <v>3</v>
      </c>
      <c r="C3" s="23"/>
    </row>
    <row r="5" spans="1:10" x14ac:dyDescent="0.3">
      <c r="A5" s="3"/>
      <c r="B5" s="6"/>
      <c r="C5" s="6"/>
    </row>
    <row r="6" spans="1:10" x14ac:dyDescent="0.3">
      <c r="A6" s="9" t="s">
        <v>4</v>
      </c>
      <c r="B6" s="9" t="s">
        <v>5</v>
      </c>
      <c r="E6" s="69"/>
      <c r="F6" s="69"/>
      <c r="G6" s="70"/>
      <c r="H6" s="70"/>
      <c r="I6" s="70"/>
      <c r="J6" s="69"/>
    </row>
    <row r="7" spans="1:10" x14ac:dyDescent="0.3">
      <c r="A7" s="24">
        <v>100</v>
      </c>
      <c r="B7" s="24">
        <v>1024</v>
      </c>
      <c r="H7" s="25"/>
      <c r="I7" s="71"/>
      <c r="J7" s="72"/>
    </row>
    <row r="8" spans="1:10" x14ac:dyDescent="0.3">
      <c r="H8" s="25"/>
      <c r="I8" s="71"/>
      <c r="J8" s="72"/>
    </row>
    <row r="9" spans="1:10" x14ac:dyDescent="0.3">
      <c r="H9" s="25"/>
      <c r="I9" s="71"/>
      <c r="J9" s="72"/>
    </row>
    <row r="10" spans="1:10" x14ac:dyDescent="0.3">
      <c r="A10" s="9" t="s">
        <v>6</v>
      </c>
      <c r="B10" s="9" t="s">
        <v>7</v>
      </c>
      <c r="C10" s="17" t="s">
        <v>8</v>
      </c>
      <c r="D10" s="17" t="s">
        <v>9</v>
      </c>
      <c r="E10" s="25"/>
      <c r="F10" s="71"/>
      <c r="G10" s="72"/>
    </row>
    <row r="11" spans="1:10" x14ac:dyDescent="0.3">
      <c r="A11" s="26">
        <f t="shared" ref="A11:A12" si="0">B11*$A$7</f>
        <v>100</v>
      </c>
      <c r="B11" s="24">
        <v>1</v>
      </c>
      <c r="C11" s="68">
        <f>B17+B18</f>
        <v>0.939999978215317</v>
      </c>
      <c r="D11" s="68" t="s">
        <v>10</v>
      </c>
      <c r="E11" s="25"/>
      <c r="F11" s="71"/>
      <c r="G11" s="72"/>
    </row>
    <row r="12" spans="1:10" x14ac:dyDescent="0.3">
      <c r="A12" s="26">
        <f t="shared" si="0"/>
        <v>4050</v>
      </c>
      <c r="B12" s="24">
        <v>40.5</v>
      </c>
      <c r="C12" s="68">
        <f>B21+B22</f>
        <v>0.92500000309783292</v>
      </c>
      <c r="D12" s="68" t="s">
        <v>11</v>
      </c>
      <c r="E12" s="25"/>
      <c r="F12" s="71"/>
      <c r="G12" s="72"/>
    </row>
    <row r="13" spans="1:10" x14ac:dyDescent="0.3">
      <c r="A13" s="26">
        <f>B13*A7</f>
        <v>25000</v>
      </c>
      <c r="B13" s="24">
        <v>250</v>
      </c>
      <c r="C13" s="68">
        <f>B25+B26</f>
        <v>0</v>
      </c>
      <c r="D13" s="68" t="s">
        <v>12</v>
      </c>
      <c r="H13" s="25"/>
      <c r="I13" s="71"/>
      <c r="J13" s="72"/>
    </row>
    <row r="14" spans="1:10" x14ac:dyDescent="0.3">
      <c r="H14" s="25"/>
      <c r="I14" s="71"/>
      <c r="J14" s="72"/>
    </row>
    <row r="15" spans="1:10" x14ac:dyDescent="0.3">
      <c r="A15" s="5" t="s">
        <v>13</v>
      </c>
      <c r="B15" s="7"/>
      <c r="C15" s="18"/>
      <c r="D15" s="73"/>
      <c r="E15" s="25"/>
      <c r="H15" s="25"/>
      <c r="I15" s="71"/>
      <c r="J15" s="72"/>
    </row>
    <row r="16" spans="1:10" x14ac:dyDescent="0.3">
      <c r="A16" s="17" t="s">
        <v>9</v>
      </c>
      <c r="B16" s="9" t="s">
        <v>14</v>
      </c>
      <c r="C16" s="9" t="s">
        <v>15</v>
      </c>
      <c r="D16" s="9" t="s">
        <v>16</v>
      </c>
      <c r="E16" s="9" t="s">
        <v>17</v>
      </c>
      <c r="H16" s="25"/>
      <c r="I16" s="71"/>
      <c r="J16" s="72"/>
    </row>
    <row r="17" spans="1:10" x14ac:dyDescent="0.3">
      <c r="A17" s="102" t="str">
        <f>D11</f>
        <v>Normal Bet</v>
      </c>
      <c r="B17" s="19">
        <f>Detail!C7</f>
        <v>0.69999997806497138</v>
      </c>
      <c r="C17" s="106">
        <f>1/D17</f>
        <v>8.4372176308072852E-3</v>
      </c>
      <c r="D17" s="108">
        <f>Detail!G7</f>
        <v>118.5224849894406</v>
      </c>
      <c r="E17" s="16" t="s">
        <v>18</v>
      </c>
      <c r="H17" s="25"/>
      <c r="I17" s="71"/>
      <c r="J17" s="72"/>
    </row>
    <row r="18" spans="1:10" ht="15.6" customHeight="1" x14ac:dyDescent="0.3">
      <c r="A18" s="103"/>
      <c r="B18" s="19">
        <f>Detail!D7</f>
        <v>0.24000000015034556</v>
      </c>
      <c r="C18" s="103"/>
      <c r="D18" s="103"/>
      <c r="E18" s="16" t="s">
        <v>19</v>
      </c>
      <c r="H18" s="25"/>
      <c r="I18" s="71"/>
      <c r="J18" s="72"/>
    </row>
    <row r="19" spans="1:10" ht="15.6" customHeight="1" x14ac:dyDescent="0.3">
      <c r="A19" s="20"/>
      <c r="B19" s="7"/>
      <c r="C19" s="18"/>
      <c r="D19" s="73"/>
      <c r="E19" s="25"/>
      <c r="H19" s="25"/>
      <c r="I19" s="71"/>
      <c r="J19" s="72"/>
    </row>
    <row r="20" spans="1:10" x14ac:dyDescent="0.3">
      <c r="A20" s="17" t="s">
        <v>9</v>
      </c>
      <c r="B20" s="9" t="s">
        <v>14</v>
      </c>
      <c r="C20" s="9" t="s">
        <v>15</v>
      </c>
      <c r="D20" s="9" t="s">
        <v>16</v>
      </c>
      <c r="E20" s="9" t="s">
        <v>17</v>
      </c>
      <c r="H20" s="25"/>
      <c r="I20" s="71"/>
      <c r="J20" s="72"/>
    </row>
    <row r="21" spans="1:10" x14ac:dyDescent="0.3">
      <c r="A21" s="104" t="str">
        <f>D12</f>
        <v>Buy Feature</v>
      </c>
      <c r="B21" s="19">
        <f>Detail!C8</f>
        <v>0</v>
      </c>
      <c r="C21" s="106">
        <f>1/D21</f>
        <v>1</v>
      </c>
      <c r="D21" s="107">
        <v>1</v>
      </c>
      <c r="E21" s="16" t="s">
        <v>18</v>
      </c>
      <c r="H21" s="25"/>
      <c r="I21" s="71"/>
      <c r="J21" s="72"/>
    </row>
    <row r="22" spans="1:10" x14ac:dyDescent="0.3">
      <c r="A22" s="105"/>
      <c r="B22" s="19">
        <f>Detail!D8</f>
        <v>0.92500000309783292</v>
      </c>
      <c r="C22" s="103"/>
      <c r="D22" s="103"/>
      <c r="E22" s="16" t="s">
        <v>19</v>
      </c>
      <c r="H22" s="25"/>
      <c r="I22" s="71"/>
      <c r="J22" s="72"/>
    </row>
    <row r="23" spans="1:10" ht="15.6" customHeight="1" x14ac:dyDescent="0.3">
      <c r="H23" s="25"/>
      <c r="I23" s="71"/>
      <c r="J23" s="72"/>
    </row>
    <row r="24" spans="1:10" x14ac:dyDescent="0.3">
      <c r="A24" s="17" t="s">
        <v>9</v>
      </c>
      <c r="B24" s="9" t="s">
        <v>14</v>
      </c>
      <c r="C24" s="9" t="s">
        <v>15</v>
      </c>
      <c r="D24" s="9" t="s">
        <v>16</v>
      </c>
      <c r="E24" s="9" t="s">
        <v>17</v>
      </c>
      <c r="F24" s="4"/>
      <c r="G24" s="4"/>
      <c r="H24" s="4"/>
      <c r="I24" s="4"/>
    </row>
    <row r="25" spans="1:10" x14ac:dyDescent="0.3">
      <c r="A25" s="104" t="str">
        <f>D13</f>
        <v>Super Buy</v>
      </c>
      <c r="B25" s="19">
        <f>Detail!C9</f>
        <v>0</v>
      </c>
      <c r="C25" s="106">
        <f>IFERROR(1/D25,0)</f>
        <v>1</v>
      </c>
      <c r="D25" s="107">
        <v>1</v>
      </c>
      <c r="E25" s="16" t="s">
        <v>18</v>
      </c>
      <c r="F25" s="4"/>
      <c r="G25" s="4"/>
      <c r="H25" s="4"/>
      <c r="I25" s="4"/>
    </row>
    <row r="26" spans="1:10" x14ac:dyDescent="0.3">
      <c r="A26" s="105"/>
      <c r="B26" s="19">
        <f>Detail!D9</f>
        <v>0</v>
      </c>
      <c r="C26" s="103"/>
      <c r="D26" s="103"/>
      <c r="E26" s="16" t="s">
        <v>19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</row>
    <row r="3" spans="1:7" x14ac:dyDescent="0.3">
      <c r="A3" s="14" t="s">
        <v>27</v>
      </c>
      <c r="B3" s="10">
        <f>Detail_Newbie!K15</f>
        <v>734440364</v>
      </c>
      <c r="C3" s="10">
        <f>Detail_Newbie!K86</f>
        <v>0</v>
      </c>
      <c r="D3" s="10">
        <f>Detail!K15</f>
        <v>766048009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4" t="s">
        <v>28</v>
      </c>
      <c r="B4" s="10">
        <f>Detail_Newbie!K16</f>
        <v>149157156</v>
      </c>
      <c r="C4" s="10">
        <f>Detail_Newbie!K87</f>
        <v>0</v>
      </c>
      <c r="D4" s="10">
        <f>Detail!K16</f>
        <v>130273152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4" t="s">
        <v>29</v>
      </c>
      <c r="B5" s="10">
        <f>Detail_Newbie!K17</f>
        <v>37378866</v>
      </c>
      <c r="C5" s="10">
        <f>Detail_Newbie!K88</f>
        <v>0</v>
      </c>
      <c r="D5" s="10">
        <f>Detail!K17</f>
        <v>32646524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4" t="s">
        <v>30</v>
      </c>
      <c r="B6" s="10">
        <f>Detail_Newbie!K18</f>
        <v>20822374</v>
      </c>
      <c r="C6" s="10">
        <f>Detail_Newbie!K89</f>
        <v>0</v>
      </c>
      <c r="D6" s="10">
        <f>Detail!K18</f>
        <v>18186163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4" t="s">
        <v>31</v>
      </c>
      <c r="B7" s="10">
        <f>Detail_Newbie!K19</f>
        <v>13142434</v>
      </c>
      <c r="C7" s="10">
        <f>Detail_Newbie!K90</f>
        <v>0</v>
      </c>
      <c r="D7" s="10">
        <f>Detail!K19</f>
        <v>11478540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4" t="s">
        <v>32</v>
      </c>
      <c r="B8" s="10">
        <f>Detail_Newbie!K20</f>
        <v>10641044</v>
      </c>
      <c r="C8" s="10">
        <f>Detail_Newbie!K91</f>
        <v>0</v>
      </c>
      <c r="D8" s="10">
        <f>Detail!K20</f>
        <v>9293837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4" t="s">
        <v>33</v>
      </c>
      <c r="B9" s="10">
        <f>Detail_Newbie!K21</f>
        <v>4360530</v>
      </c>
      <c r="C9" s="10">
        <f>Detail_Newbie!K92</f>
        <v>43012479</v>
      </c>
      <c r="D9" s="10">
        <f>Detail!K21</f>
        <v>3808466</v>
      </c>
      <c r="E9" s="10">
        <f>Detail!K92</f>
        <v>44171607</v>
      </c>
      <c r="F9" s="10">
        <f>Detail!K169</f>
        <v>34462987</v>
      </c>
      <c r="G9" s="10">
        <f>Detail!K240</f>
        <v>0</v>
      </c>
    </row>
    <row r="10" spans="1:7" x14ac:dyDescent="0.3">
      <c r="A10" s="14" t="s">
        <v>34</v>
      </c>
      <c r="B10" s="10">
        <f>Detail_Newbie!K22</f>
        <v>3731802</v>
      </c>
      <c r="C10" s="10">
        <f>Detail_Newbie!K93</f>
        <v>36711253</v>
      </c>
      <c r="D10" s="10">
        <f>Detail!K22</f>
        <v>3259338</v>
      </c>
      <c r="E10" s="10">
        <f>Detail!K93</f>
        <v>37634466</v>
      </c>
      <c r="F10" s="10">
        <f>Detail!K170</f>
        <v>29644161</v>
      </c>
      <c r="G10" s="10">
        <f>Detail!K241</f>
        <v>0</v>
      </c>
    </row>
    <row r="11" spans="1:7" x14ac:dyDescent="0.3">
      <c r="A11" s="14" t="s">
        <v>35</v>
      </c>
      <c r="B11" s="10">
        <f>Detail_Newbie!K23</f>
        <v>3245045</v>
      </c>
      <c r="C11" s="10">
        <f>Detail_Newbie!K94</f>
        <v>38972084</v>
      </c>
      <c r="D11" s="10">
        <f>Detail!K23</f>
        <v>2834207</v>
      </c>
      <c r="E11" s="10">
        <f>Detail!K94</f>
        <v>39881222</v>
      </c>
      <c r="F11" s="10">
        <f>Detail!K171</f>
        <v>31718851</v>
      </c>
      <c r="G11" s="10">
        <f>Detail!K242</f>
        <v>0</v>
      </c>
    </row>
    <row r="12" spans="1:7" x14ac:dyDescent="0.3">
      <c r="A12" s="14" t="s">
        <v>36</v>
      </c>
      <c r="B12" s="10">
        <f>Detail_Newbie!K24</f>
        <v>2765049</v>
      </c>
      <c r="C12" s="10">
        <f>Detail_Newbie!K95</f>
        <v>36995633</v>
      </c>
      <c r="D12" s="10">
        <f>Detail!K24</f>
        <v>2414980</v>
      </c>
      <c r="E12" s="10">
        <f>Detail!K95</f>
        <v>37792196</v>
      </c>
      <c r="F12" s="10">
        <f>Detail!K172</f>
        <v>30345913</v>
      </c>
      <c r="G12" s="10">
        <f>Detail!K243</f>
        <v>0</v>
      </c>
    </row>
    <row r="13" spans="1:7" x14ac:dyDescent="0.3">
      <c r="A13" s="14" t="s">
        <v>37</v>
      </c>
      <c r="B13" s="10">
        <f>Detail_Newbie!K25</f>
        <v>2717726</v>
      </c>
      <c r="C13" s="10">
        <f>Detail_Newbie!K96</f>
        <v>39217960</v>
      </c>
      <c r="D13" s="10">
        <f>Detail!K25</f>
        <v>2373648</v>
      </c>
      <c r="E13" s="10">
        <f>Detail!K96</f>
        <v>39991765</v>
      </c>
      <c r="F13" s="10">
        <f>Detail!K173</f>
        <v>32421541</v>
      </c>
      <c r="G13" s="10">
        <f>Detail!K244</f>
        <v>0</v>
      </c>
    </row>
    <row r="14" spans="1:7" x14ac:dyDescent="0.3">
      <c r="A14" s="14" t="s">
        <v>38</v>
      </c>
      <c r="B14" s="10">
        <f>Detail_Newbie!K26</f>
        <v>10127246</v>
      </c>
      <c r="C14" s="10">
        <f>Detail_Newbie!K97</f>
        <v>166401998</v>
      </c>
      <c r="D14" s="10">
        <f>Detail!K26</f>
        <v>8845088</v>
      </c>
      <c r="E14" s="10">
        <f>Detail!K97</f>
        <v>168796246</v>
      </c>
      <c r="F14" s="10">
        <f>Detail!K174</f>
        <v>140808471</v>
      </c>
      <c r="G14" s="10">
        <f>Detail!K245</f>
        <v>0</v>
      </c>
    </row>
    <row r="15" spans="1:7" x14ac:dyDescent="0.3">
      <c r="A15" s="14" t="s">
        <v>39</v>
      </c>
      <c r="B15" s="10">
        <f>Detail_Newbie!K27</f>
        <v>3089553</v>
      </c>
      <c r="C15" s="10">
        <f>Detail_Newbie!K98</f>
        <v>112267439</v>
      </c>
      <c r="D15" s="10">
        <f>Detail!K27</f>
        <v>2698401</v>
      </c>
      <c r="E15" s="10">
        <f>Detail!K98</f>
        <v>112879311</v>
      </c>
      <c r="F15" s="10">
        <f>Detail!K175</f>
        <v>98804669</v>
      </c>
      <c r="G15" s="10">
        <f>Detail!K246</f>
        <v>0</v>
      </c>
    </row>
    <row r="16" spans="1:7" x14ac:dyDescent="0.3">
      <c r="A16" s="14" t="s">
        <v>40</v>
      </c>
      <c r="B16" s="10">
        <f>Detail_Newbie!K28</f>
        <v>2454066</v>
      </c>
      <c r="C16" s="10">
        <f>Detail_Newbie!K99</f>
        <v>103526890</v>
      </c>
      <c r="D16" s="10">
        <f>Detail!K28</f>
        <v>2143369</v>
      </c>
      <c r="E16" s="10">
        <f>Detail!K99</f>
        <v>103175331</v>
      </c>
      <c r="F16" s="10">
        <f>Detail!K176</f>
        <v>94755436</v>
      </c>
      <c r="G16" s="10">
        <f>Detail!K247</f>
        <v>0</v>
      </c>
    </row>
    <row r="17" spans="1:7" x14ac:dyDescent="0.3">
      <c r="A17" s="14" t="s">
        <v>41</v>
      </c>
      <c r="B17" s="10">
        <f>Detail_Newbie!K29</f>
        <v>1926745</v>
      </c>
      <c r="C17" s="10">
        <f>Detail_Newbie!K100</f>
        <v>77107303</v>
      </c>
      <c r="D17" s="10">
        <f>Detail!K29</f>
        <v>1682810</v>
      </c>
      <c r="E17" s="10">
        <f>Detail!K100</f>
        <v>76171086</v>
      </c>
      <c r="F17" s="10">
        <f>Detail!K177</f>
        <v>73388911</v>
      </c>
      <c r="G17" s="10">
        <f>Detail!K248</f>
        <v>0</v>
      </c>
    </row>
    <row r="18" spans="1:7" x14ac:dyDescent="0.3">
      <c r="A18" s="14" t="s">
        <v>42</v>
      </c>
      <c r="B18" s="10">
        <f>Detail_Newbie!K30</f>
        <v>0</v>
      </c>
      <c r="C18" s="10">
        <f>Detail_Newbie!K101</f>
        <v>64415486</v>
      </c>
      <c r="D18" s="10">
        <f>Detail!K30</f>
        <v>531414</v>
      </c>
      <c r="E18" s="10">
        <f>Detail!K101</f>
        <v>63073456</v>
      </c>
      <c r="F18" s="10">
        <f>Detail!K178</f>
        <v>63760923</v>
      </c>
      <c r="G18" s="10">
        <f>Detail!K249</f>
        <v>0</v>
      </c>
    </row>
    <row r="19" spans="1:7" x14ac:dyDescent="0.3">
      <c r="A19" s="14" t="s">
        <v>43</v>
      </c>
      <c r="B19" s="10">
        <f>Detail_Newbie!K31</f>
        <v>0</v>
      </c>
      <c r="C19" s="10">
        <f>Detail_Newbie!K102</f>
        <v>57960402</v>
      </c>
      <c r="D19" s="10">
        <f>Detail!K31</f>
        <v>419226</v>
      </c>
      <c r="E19" s="10">
        <f>Detail!K102</f>
        <v>56254014</v>
      </c>
      <c r="F19" s="10">
        <f>Detail!K179</f>
        <v>59663254</v>
      </c>
      <c r="G19" s="10">
        <f>Detail!K250</f>
        <v>0</v>
      </c>
    </row>
    <row r="20" spans="1:7" x14ac:dyDescent="0.3">
      <c r="A20" s="14" t="s">
        <v>44</v>
      </c>
      <c r="B20" s="10">
        <f>Detail_Newbie!K32</f>
        <v>0</v>
      </c>
      <c r="C20" s="10">
        <f>Detail_Newbie!K103</f>
        <v>57735281</v>
      </c>
      <c r="D20" s="10">
        <f>Detail!K32</f>
        <v>360181</v>
      </c>
      <c r="E20" s="10">
        <f>Detail!K103</f>
        <v>55542624</v>
      </c>
      <c r="F20" s="10">
        <f>Detail!K180</f>
        <v>61807408</v>
      </c>
      <c r="G20" s="10">
        <f>Detail!K251</f>
        <v>0</v>
      </c>
    </row>
    <row r="21" spans="1:7" x14ac:dyDescent="0.3">
      <c r="A21" s="14" t="s">
        <v>45</v>
      </c>
      <c r="B21" s="10">
        <f>Detail_Newbie!K33</f>
        <v>0</v>
      </c>
      <c r="C21" s="10">
        <f>Detail_Newbie!K104</f>
        <v>46210235</v>
      </c>
      <c r="D21" s="10">
        <f>Detail!K33</f>
        <v>307039</v>
      </c>
      <c r="E21" s="10">
        <f>Detail!K104</f>
        <v>44065103</v>
      </c>
      <c r="F21" s="10">
        <f>Detail!K181</f>
        <v>51442647</v>
      </c>
      <c r="G21" s="10">
        <f>Detail!K252</f>
        <v>0</v>
      </c>
    </row>
    <row r="22" spans="1:7" x14ac:dyDescent="0.3">
      <c r="A22" s="14" t="s">
        <v>46</v>
      </c>
      <c r="B22" s="10">
        <f>Detail_Newbie!K34</f>
        <v>0</v>
      </c>
      <c r="C22" s="10">
        <f>Detail_Newbie!K105</f>
        <v>51903338</v>
      </c>
      <c r="D22" s="10">
        <f>Detail!K34</f>
        <v>295230</v>
      </c>
      <c r="E22" s="10">
        <f>Detail!K105</f>
        <v>48844377</v>
      </c>
      <c r="F22" s="10">
        <f>Detail!K182</f>
        <v>61268215</v>
      </c>
      <c r="G22" s="10">
        <f>Detail!K253</f>
        <v>0</v>
      </c>
    </row>
    <row r="23" spans="1:7" x14ac:dyDescent="0.3">
      <c r="A23" s="14" t="s">
        <v>47</v>
      </c>
      <c r="B23" s="10">
        <f>Detail_Newbie!K35</f>
        <v>0</v>
      </c>
      <c r="C23" s="10">
        <f>Detail_Newbie!K106</f>
        <v>21858901</v>
      </c>
      <c r="D23" s="10">
        <f>Detail!K35</f>
        <v>100378</v>
      </c>
      <c r="E23" s="10">
        <f>Detail!K106</f>
        <v>20210542</v>
      </c>
      <c r="F23" s="10">
        <f>Detail!K183</f>
        <v>27905906</v>
      </c>
      <c r="G23" s="10">
        <f>Detail!K254</f>
        <v>0</v>
      </c>
    </row>
    <row r="24" spans="1:7" x14ac:dyDescent="0.3">
      <c r="A24" s="14" t="s">
        <v>48</v>
      </c>
      <c r="B24" s="10">
        <f>Detail_Newbie!K36</f>
        <v>0</v>
      </c>
      <c r="C24" s="10">
        <f>Detail_Newbie!K107</f>
        <v>15695989</v>
      </c>
      <c r="D24" s="10">
        <f>Detail!K36</f>
        <v>0</v>
      </c>
      <c r="E24" s="10">
        <f>Detail!K107</f>
        <v>14258354</v>
      </c>
      <c r="F24" s="10">
        <f>Detail!K184</f>
        <v>21671118</v>
      </c>
      <c r="G24" s="10">
        <f>Detail!K255</f>
        <v>0</v>
      </c>
    </row>
    <row r="25" spans="1:7" x14ac:dyDescent="0.3">
      <c r="A25" s="14" t="s">
        <v>49</v>
      </c>
      <c r="B25" s="10">
        <f>Detail_Newbie!K37</f>
        <v>0</v>
      </c>
      <c r="C25" s="10">
        <f>Detail_Newbie!K108</f>
        <v>10790170</v>
      </c>
      <c r="D25" s="10">
        <f>Detail!K37</f>
        <v>0</v>
      </c>
      <c r="E25" s="10">
        <f>Detail!K108</f>
        <v>9630381</v>
      </c>
      <c r="F25" s="10">
        <f>Detail!K185</f>
        <v>16111299</v>
      </c>
      <c r="G25" s="10">
        <f>Detail!K256</f>
        <v>0</v>
      </c>
    </row>
    <row r="26" spans="1:7" x14ac:dyDescent="0.3">
      <c r="A26" s="14" t="s">
        <v>50</v>
      </c>
      <c r="B26" s="10">
        <f>Detail_Newbie!K38</f>
        <v>0</v>
      </c>
      <c r="C26" s="10">
        <f>Detail_Newbie!K109</f>
        <v>9128446</v>
      </c>
      <c r="D26" s="10">
        <f>Detail!K38</f>
        <v>0</v>
      </c>
      <c r="E26" s="10">
        <f>Detail!K109</f>
        <v>8004742</v>
      </c>
      <c r="F26" s="10">
        <f>Detail!K186</f>
        <v>14740256</v>
      </c>
      <c r="G26" s="10">
        <f>Detail!K257</f>
        <v>0</v>
      </c>
    </row>
    <row r="27" spans="1:7" x14ac:dyDescent="0.3">
      <c r="A27" s="14" t="s">
        <v>51</v>
      </c>
      <c r="B27" s="10">
        <f>Detail_Newbie!K39</f>
        <v>0</v>
      </c>
      <c r="C27" s="10">
        <f>Detail_Newbie!K110</f>
        <v>10088713</v>
      </c>
      <c r="D27" s="10">
        <f>Detail!K39</f>
        <v>0</v>
      </c>
      <c r="E27" s="10">
        <f>Detail!K110</f>
        <v>8617368</v>
      </c>
      <c r="F27" s="10">
        <f>Detail!K187</f>
        <v>18305170</v>
      </c>
      <c r="G27" s="10">
        <f>Detail!K258</f>
        <v>0</v>
      </c>
    </row>
    <row r="28" spans="1:7" x14ac:dyDescent="0.3">
      <c r="A28" s="14" t="s">
        <v>52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4394646</v>
      </c>
      <c r="F28" s="10">
        <f>Detail!K188</f>
        <v>11310632</v>
      </c>
      <c r="G28" s="10">
        <f>Detail!K259</f>
        <v>0</v>
      </c>
    </row>
    <row r="29" spans="1:7" x14ac:dyDescent="0.3">
      <c r="A29" s="14" t="s">
        <v>53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2731629</v>
      </c>
      <c r="F29" s="10">
        <f>Detail!K189</f>
        <v>8517535</v>
      </c>
      <c r="G29" s="10">
        <f>Detail!K260</f>
        <v>0</v>
      </c>
    </row>
    <row r="30" spans="1:7" x14ac:dyDescent="0.3">
      <c r="A30" s="14" t="s">
        <v>54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943166</v>
      </c>
      <c r="F30" s="10">
        <f>Detail!K190</f>
        <v>3563442</v>
      </c>
      <c r="G30" s="10">
        <f>Detail!K261</f>
        <v>0</v>
      </c>
    </row>
    <row r="31" spans="1:7" x14ac:dyDescent="0.3">
      <c r="A31" s="14" t="s">
        <v>55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469006</v>
      </c>
      <c r="F31" s="10">
        <f>Detail!K191</f>
        <v>2146776</v>
      </c>
      <c r="G31" s="10">
        <f>Detail!K262</f>
        <v>0</v>
      </c>
    </row>
    <row r="32" spans="1:7" x14ac:dyDescent="0.3">
      <c r="A32" s="14" t="s">
        <v>56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1023523</v>
      </c>
      <c r="F32" s="10">
        <f>Detail!K192</f>
        <v>6484849</v>
      </c>
      <c r="G32" s="10">
        <f>Detail!K263</f>
        <v>0</v>
      </c>
    </row>
    <row r="33" spans="1:7" x14ac:dyDescent="0.3">
      <c r="A33" s="14" t="s">
        <v>57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207892</v>
      </c>
      <c r="F33" s="10">
        <f>Detail!K193</f>
        <v>727894</v>
      </c>
      <c r="G33" s="10">
        <f>Detail!K264</f>
        <v>0</v>
      </c>
    </row>
    <row r="34" spans="1:7" x14ac:dyDescent="0.3">
      <c r="A34" s="14" t="s">
        <v>58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175820</v>
      </c>
      <c r="F34" s="10">
        <f>Detail!K194</f>
        <v>231554</v>
      </c>
      <c r="G34" s="10">
        <f>Detail!K265</f>
        <v>0</v>
      </c>
    </row>
    <row r="35" spans="1:7" x14ac:dyDescent="0.3">
      <c r="A35" s="14" t="s">
        <v>59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152268</v>
      </c>
      <c r="F35" s="10">
        <f>Detail!K195</f>
        <v>1485699</v>
      </c>
      <c r="G35" s="10">
        <f>Detail!K266</f>
        <v>0</v>
      </c>
    </row>
    <row r="36" spans="1:7" x14ac:dyDescent="0.3">
      <c r="A36" s="14" t="s">
        <v>60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134329</v>
      </c>
      <c r="F36" s="10">
        <f>Detail!K196</f>
        <v>176911</v>
      </c>
      <c r="G36" s="10">
        <f>Detail!K267</f>
        <v>0</v>
      </c>
    </row>
    <row r="37" spans="1:7" x14ac:dyDescent="0.3">
      <c r="A37" s="14" t="s">
        <v>61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120124</v>
      </c>
      <c r="F37" s="10">
        <f>Detail!K197</f>
        <v>758113</v>
      </c>
      <c r="G37" s="10">
        <f>Detail!K268</f>
        <v>0</v>
      </c>
    </row>
    <row r="38" spans="1:7" x14ac:dyDescent="0.3">
      <c r="A38" s="14" t="s">
        <v>62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108683</v>
      </c>
      <c r="F38" s="10">
        <f>Detail!K198</f>
        <v>143135</v>
      </c>
      <c r="G38" s="10">
        <f>Detail!K269</f>
        <v>0</v>
      </c>
    </row>
    <row r="39" spans="1:7" x14ac:dyDescent="0.3">
      <c r="A39" s="14" t="s">
        <v>63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99213</v>
      </c>
      <c r="F39" s="10">
        <f>Detail!K199</f>
        <v>130663</v>
      </c>
      <c r="G39" s="10">
        <f>Detail!K270</f>
        <v>0</v>
      </c>
    </row>
    <row r="40" spans="1:7" x14ac:dyDescent="0.3">
      <c r="A40" s="14" t="s">
        <v>64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91240</v>
      </c>
      <c r="F40" s="10">
        <f>Detail!K200</f>
        <v>120163</v>
      </c>
      <c r="G40" s="10">
        <f>Detail!K271</f>
        <v>0</v>
      </c>
    </row>
    <row r="41" spans="1:7" x14ac:dyDescent="0.3">
      <c r="A41" s="14" t="s">
        <v>65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84478</v>
      </c>
      <c r="F41" s="10">
        <f>Detail!K201</f>
        <v>111257</v>
      </c>
      <c r="G41" s="10">
        <f>Detail!K272</f>
        <v>0</v>
      </c>
    </row>
    <row r="42" spans="1:7" x14ac:dyDescent="0.3">
      <c r="A42" s="14" t="s">
        <v>66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78639</v>
      </c>
      <c r="F42" s="10">
        <f>Detail!K202</f>
        <v>103568</v>
      </c>
      <c r="G42" s="10">
        <f>Detail!K273</f>
        <v>0</v>
      </c>
    </row>
    <row r="43" spans="1:7" x14ac:dyDescent="0.3">
      <c r="A43" s="14" t="s">
        <v>67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73555</v>
      </c>
      <c r="F43" s="10">
        <f>Detail!K203</f>
        <v>805797</v>
      </c>
      <c r="G43" s="10">
        <f>Detail!K274</f>
        <v>0</v>
      </c>
    </row>
    <row r="44" spans="1:7" x14ac:dyDescent="0.3">
      <c r="A44" s="14" t="s">
        <v>68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69064</v>
      </c>
      <c r="F44" s="10">
        <f>Detail!K204</f>
        <v>90957</v>
      </c>
      <c r="G44" s="10">
        <f>Detail!K275</f>
        <v>0</v>
      </c>
    </row>
    <row r="45" spans="1:7" x14ac:dyDescent="0.3">
      <c r="A45" s="14" t="s">
        <v>69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0</v>
      </c>
    </row>
    <row r="46" spans="1:7" x14ac:dyDescent="0.3">
      <c r="A46" s="14" t="s">
        <v>70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0</v>
      </c>
    </row>
    <row r="47" spans="1:7" x14ac:dyDescent="0.3">
      <c r="A47" s="14" t="s">
        <v>71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0</v>
      </c>
    </row>
    <row r="48" spans="1:7" x14ac:dyDescent="0.3">
      <c r="A48" s="14" t="s">
        <v>72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48534</v>
      </c>
      <c r="F48" s="10">
        <f>Detail!K208</f>
        <v>63919</v>
      </c>
      <c r="G48" s="10">
        <f>Detail!K279</f>
        <v>0</v>
      </c>
    </row>
    <row r="49" spans="1:7" x14ac:dyDescent="0.3">
      <c r="A49" s="14" t="s">
        <v>73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0</v>
      </c>
    </row>
    <row r="50" spans="1:7" x14ac:dyDescent="0.3">
      <c r="A50" s="14" t="s">
        <v>74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0</v>
      </c>
    </row>
    <row r="51" spans="1:7" x14ac:dyDescent="0.3">
      <c r="A51" s="14" t="s">
        <v>75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4" t="s">
        <v>76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4" t="s">
        <v>77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4" t="s">
        <v>78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4" t="s">
        <v>79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4" t="s">
        <v>80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4" t="s">
        <v>81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4" t="s">
        <v>82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4" t="s">
        <v>83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4" t="s">
        <v>84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4" t="s">
        <v>85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4" t="s">
        <v>86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4" t="s">
        <v>87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4" t="s">
        <v>88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4" t="s">
        <v>89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4" t="s">
        <v>90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4" t="s">
        <v>19</v>
      </c>
      <c r="B67" s="10">
        <f>Detail_Newbie!K79</f>
        <v>8509010</v>
      </c>
      <c r="C67" s="28">
        <v>0</v>
      </c>
      <c r="D67" s="27">
        <f>Detail!K79</f>
        <v>8509010</v>
      </c>
      <c r="E67" s="28">
        <v>0</v>
      </c>
      <c r="F67" s="11">
        <v>0</v>
      </c>
      <c r="G67" s="11">
        <f>0</f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workbookViewId="0">
      <selection activeCell="B26" sqref="B2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2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2" customWidth="1"/>
    <col min="15" max="15" width="17.88671875" style="32" bestFit="1" customWidth="1"/>
    <col min="16" max="16" width="14.6640625" style="32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1"/>
      <c r="B1" s="1"/>
      <c r="E1" s="1"/>
      <c r="G1" s="37"/>
      <c r="H1" s="31"/>
      <c r="I1" s="31"/>
      <c r="J1" s="31"/>
      <c r="K1" s="31"/>
      <c r="L1" s="31"/>
      <c r="M1" s="31"/>
      <c r="Q1" s="31"/>
      <c r="R1" s="31"/>
    </row>
    <row r="2" spans="1:21" x14ac:dyDescent="0.3">
      <c r="A2" s="47" t="s">
        <v>91</v>
      </c>
      <c r="B2" s="74">
        <v>1000000000</v>
      </c>
      <c r="C2" s="1"/>
      <c r="F2" s="38"/>
      <c r="G2" s="38"/>
      <c r="K2" s="31"/>
      <c r="L2" s="31"/>
      <c r="M2" s="31"/>
      <c r="Q2" s="31"/>
      <c r="R2" s="31"/>
    </row>
    <row r="3" spans="1:21" x14ac:dyDescent="0.3">
      <c r="A3" s="47" t="s">
        <v>6</v>
      </c>
      <c r="B3" s="74">
        <f>Overview!A7</f>
        <v>100</v>
      </c>
      <c r="C3" s="1"/>
      <c r="F3" s="38"/>
      <c r="G3" s="39"/>
    </row>
    <row r="4" spans="1:21" x14ac:dyDescent="0.3">
      <c r="F4" s="38"/>
      <c r="G4" s="38"/>
      <c r="I4" s="1"/>
      <c r="K4" s="40"/>
      <c r="L4" s="41"/>
      <c r="M4" s="75"/>
      <c r="N4" s="76"/>
      <c r="O4" s="76"/>
      <c r="P4" s="76"/>
      <c r="Q4" s="41"/>
      <c r="R4" s="41"/>
    </row>
    <row r="5" spans="1:21" x14ac:dyDescent="0.3">
      <c r="A5" s="31"/>
      <c r="B5" s="31"/>
      <c r="C5" s="1" t="s">
        <v>92</v>
      </c>
      <c r="F5" s="4"/>
      <c r="G5" s="32"/>
      <c r="I5" s="38"/>
      <c r="K5" s="42"/>
      <c r="L5" s="41"/>
      <c r="M5" s="75"/>
      <c r="N5" s="76"/>
      <c r="O5" s="76"/>
      <c r="P5" s="76"/>
      <c r="Q5" s="41"/>
      <c r="R5" s="41"/>
    </row>
    <row r="6" spans="1:21" x14ac:dyDescent="0.3">
      <c r="A6" s="43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4" t="s">
        <v>98</v>
      </c>
      <c r="J6" s="45" t="s">
        <v>99</v>
      </c>
      <c r="K6" s="39"/>
      <c r="L6" s="39"/>
      <c r="M6" s="46"/>
      <c r="Q6" s="39"/>
      <c r="R6" s="39"/>
    </row>
    <row r="7" spans="1:21" x14ac:dyDescent="0.3">
      <c r="A7" s="47" t="s">
        <v>10</v>
      </c>
      <c r="B7" s="47">
        <f>Overview!B11</f>
        <v>1</v>
      </c>
      <c r="C7" s="77">
        <f>SUM(M15:M79)</f>
        <v>0.69999997806497138</v>
      </c>
      <c r="D7" s="77">
        <f>SUM(M86:M149)*F7</f>
        <v>0.24000000015034556</v>
      </c>
      <c r="E7" s="78">
        <f>SUM(C7:D7)</f>
        <v>0.939999978215317</v>
      </c>
      <c r="F7" s="33">
        <f>L79</f>
        <v>8.4372176308072852E-3</v>
      </c>
      <c r="G7" s="34">
        <f>1/F7</f>
        <v>118.5224849894406</v>
      </c>
      <c r="H7" s="35">
        <f>D7*G7</f>
        <v>28.445396415285074</v>
      </c>
      <c r="I7" s="79">
        <f>IFERROR(LOOKUP(2,1/(K15:K78&lt;&gt;0),P15:P78),0)</f>
        <v>70</v>
      </c>
      <c r="J7" s="79">
        <f>IFERROR(LOOKUP(2,1/(K86:K149&lt;&gt;0),P86:P149),0)</f>
        <v>2000</v>
      </c>
      <c r="K7" s="38"/>
      <c r="L7" s="39"/>
      <c r="M7" s="46"/>
      <c r="Q7" s="39"/>
      <c r="R7" s="39"/>
    </row>
    <row r="8" spans="1:21" x14ac:dyDescent="0.3">
      <c r="A8" s="47" t="s">
        <v>11</v>
      </c>
      <c r="B8" s="47">
        <f>Overview!B12</f>
        <v>40.5</v>
      </c>
      <c r="C8" s="77">
        <f>M156/B8</f>
        <v>0</v>
      </c>
      <c r="D8" s="77">
        <f>SUM(M163:M226)/B8</f>
        <v>0.92500000309783292</v>
      </c>
      <c r="E8" s="78">
        <f>SUM(C8:D8)</f>
        <v>0.92500000309783292</v>
      </c>
      <c r="F8" s="36">
        <f>D156</f>
        <v>1</v>
      </c>
      <c r="G8" s="34">
        <f>1/F8</f>
        <v>1</v>
      </c>
      <c r="H8" s="35">
        <f>D8*G8*B8</f>
        <v>37.462500125462235</v>
      </c>
      <c r="I8" s="80"/>
      <c r="J8" s="80">
        <f>IFERROR(LOOKUP(2,1/(K163:K226&lt;&gt;0),P163:P226),0)</f>
        <v>2000</v>
      </c>
      <c r="K8" s="48"/>
      <c r="L8" s="39"/>
      <c r="M8" s="46"/>
      <c r="Q8" s="39"/>
      <c r="R8" s="39"/>
    </row>
    <row r="9" spans="1:21" x14ac:dyDescent="0.3">
      <c r="A9" s="47" t="s">
        <v>12</v>
      </c>
      <c r="B9" s="47">
        <v>250</v>
      </c>
      <c r="C9" s="77">
        <f>0</f>
        <v>0</v>
      </c>
      <c r="D9" s="77">
        <f>IFERROR(SUM(M234:M297)/B9,0)</f>
        <v>0</v>
      </c>
      <c r="E9" s="78">
        <f>SUM(C9:D9)</f>
        <v>0</v>
      </c>
      <c r="F9" s="36">
        <f>1</f>
        <v>1</v>
      </c>
      <c r="G9" s="34">
        <f>IFERROR(1/F9,0)</f>
        <v>1</v>
      </c>
      <c r="H9" s="35">
        <f>D9*G9*B9</f>
        <v>0</v>
      </c>
      <c r="I9" s="80"/>
      <c r="J9" s="80">
        <f>IFERROR(LOOKUP(2,1/(K234:K297&lt;&gt;0),P234:P297),0)</f>
        <v>0</v>
      </c>
      <c r="K9" s="49"/>
      <c r="L9" s="98"/>
      <c r="M9" s="98"/>
      <c r="Q9" s="98"/>
      <c r="R9" s="98"/>
    </row>
    <row r="10" spans="1:21" x14ac:dyDescent="0.3">
      <c r="A10" s="31"/>
      <c r="B10" s="1"/>
      <c r="C10" s="1"/>
      <c r="D10" s="81"/>
      <c r="E10" s="1"/>
      <c r="G10" s="37"/>
      <c r="H10" s="31"/>
      <c r="I10" s="31"/>
      <c r="J10" s="31"/>
      <c r="K10" s="49"/>
      <c r="L10" s="98"/>
      <c r="M10" s="98"/>
      <c r="Q10" s="98"/>
      <c r="R10" s="98"/>
    </row>
    <row r="11" spans="1:21" s="64" customFormat="1" ht="15.6" customHeight="1" x14ac:dyDescent="0.3">
      <c r="A11" s="65" t="s">
        <v>10</v>
      </c>
      <c r="B11" s="65" t="s">
        <v>18</v>
      </c>
      <c r="C11" s="65"/>
      <c r="D11" s="82"/>
      <c r="E11" s="61"/>
      <c r="F11" s="62"/>
      <c r="G11" s="65" t="s">
        <v>10</v>
      </c>
      <c r="H11" s="65" t="s">
        <v>18</v>
      </c>
      <c r="I11" s="60"/>
      <c r="J11" s="60"/>
      <c r="K11" s="63"/>
      <c r="L11" s="99"/>
      <c r="M11" s="99"/>
      <c r="N11" s="62"/>
      <c r="O11" s="65" t="s">
        <v>10</v>
      </c>
      <c r="P11" s="65" t="s">
        <v>18</v>
      </c>
      <c r="Q11" s="99"/>
      <c r="R11" s="99"/>
    </row>
    <row r="12" spans="1:21" x14ac:dyDescent="0.3">
      <c r="A12" s="31"/>
      <c r="B12" s="1"/>
      <c r="C12" s="1"/>
      <c r="D12" s="81"/>
      <c r="E12" s="1"/>
      <c r="G12" s="37"/>
      <c r="H12" s="31"/>
      <c r="I12" s="31"/>
      <c r="J12" s="31"/>
      <c r="K12" s="49"/>
      <c r="L12" s="98"/>
      <c r="M12" s="98"/>
      <c r="Q12" s="98"/>
      <c r="R12" s="98"/>
    </row>
    <row r="13" spans="1:21" x14ac:dyDescent="0.3">
      <c r="A13" s="50" t="s">
        <v>100</v>
      </c>
      <c r="B13" s="83">
        <v>1000000000</v>
      </c>
      <c r="C13" s="1"/>
      <c r="D13" s="1"/>
      <c r="E13" s="1"/>
      <c r="G13" s="50" t="s">
        <v>101</v>
      </c>
      <c r="H13" s="31"/>
      <c r="I13" s="31"/>
      <c r="J13" s="31"/>
      <c r="K13" s="31"/>
      <c r="L13" s="31"/>
      <c r="M13" s="31"/>
      <c r="Q13" s="31"/>
      <c r="R13" s="31"/>
    </row>
    <row r="14" spans="1:21" x14ac:dyDescent="0.3">
      <c r="A14" s="9" t="s">
        <v>20</v>
      </c>
      <c r="B14" s="9" t="s">
        <v>102</v>
      </c>
      <c r="C14" s="9" t="s">
        <v>103</v>
      </c>
      <c r="D14" s="9" t="s">
        <v>95</v>
      </c>
      <c r="E14" s="9" t="s">
        <v>104</v>
      </c>
      <c r="G14" s="9" t="s">
        <v>20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95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84">
        <v>642768432</v>
      </c>
      <c r="C15" s="84">
        <v>0</v>
      </c>
      <c r="D15" s="30">
        <f t="shared" ref="D15:D46" si="1">IFERROR(B15/SUM($B$15:$B$78),0)</f>
        <v>0.642768432</v>
      </c>
      <c r="E15" s="85">
        <f t="shared" ref="E15:E46" si="2">IFERROR(C15/B15/$B$3,0)</f>
        <v>0</v>
      </c>
      <c r="G15" s="14" t="str">
        <f t="shared" ref="G15:G46" si="3">"("&amp;$O15&amp;", "&amp;$P15&amp;"]"</f>
        <v>(-1, 0]</v>
      </c>
      <c r="H15" s="86">
        <v>1.1917946975342435</v>
      </c>
      <c r="I15" s="29">
        <f t="shared" ref="I15:I46" si="4">D15*H15</f>
        <v>0.76604800899999992</v>
      </c>
      <c r="J15" s="29">
        <f t="shared" ref="J15:J46" si="5">IFERROR(I15/SUM($I$15:$I$78),0)</f>
        <v>0.76604800900000014</v>
      </c>
      <c r="K15" s="87">
        <f t="shared" ref="K15:K46" si="6">INT(J15*$B$2)</f>
        <v>766048009</v>
      </c>
      <c r="L15" s="100">
        <f t="shared" ref="L15:L46" si="7">IFERROR(K15/SUM($K$15:$K$79),0)</f>
        <v>0.75958469523242034</v>
      </c>
      <c r="M15" s="100">
        <f t="shared" ref="M15:M46" si="8">L15*E15</f>
        <v>0</v>
      </c>
      <c r="N15" s="88"/>
      <c r="O15" s="51">
        <v>-1</v>
      </c>
      <c r="P15" s="51">
        <v>0</v>
      </c>
      <c r="Q15" s="100">
        <f t="shared" ref="Q15:Q46" si="9">L15</f>
        <v>0.75958469523242034</v>
      </c>
      <c r="R15" s="100">
        <v>0.72379899999999997</v>
      </c>
      <c r="T15" s="100"/>
      <c r="U15" s="52">
        <f t="shared" ref="U15:U46" si="10">IFERROR(ROUND(T15/L15,2),0)</f>
        <v>0</v>
      </c>
    </row>
    <row r="16" spans="1:21" x14ac:dyDescent="0.3">
      <c r="A16" s="14" t="str">
        <f t="shared" si="0"/>
        <v>(0, 1]</v>
      </c>
      <c r="B16" s="89">
        <v>165067367</v>
      </c>
      <c r="C16" s="89">
        <v>6883193835</v>
      </c>
      <c r="D16" s="29">
        <f t="shared" si="1"/>
        <v>0.16506736699999999</v>
      </c>
      <c r="E16" s="90">
        <f t="shared" si="2"/>
        <v>0.41699301079903939</v>
      </c>
      <c r="G16" s="14" t="str">
        <f t="shared" si="3"/>
        <v>(0, 1]</v>
      </c>
      <c r="H16" s="86">
        <v>0.78921203123086103</v>
      </c>
      <c r="I16" s="29">
        <f t="shared" si="4"/>
        <v>0.130273152</v>
      </c>
      <c r="J16" s="29">
        <f t="shared" si="5"/>
        <v>0.13027315200000006</v>
      </c>
      <c r="K16" s="87">
        <f t="shared" si="6"/>
        <v>130273152</v>
      </c>
      <c r="L16" s="100">
        <f t="shared" si="7"/>
        <v>0.12917400906512477</v>
      </c>
      <c r="M16" s="100">
        <f t="shared" si="8"/>
        <v>5.3864658957048783E-2</v>
      </c>
      <c r="N16" s="88"/>
      <c r="O16" s="47">
        <v>0</v>
      </c>
      <c r="P16" s="47">
        <v>1</v>
      </c>
      <c r="Q16" s="100">
        <f t="shared" si="9"/>
        <v>0.12917400906512477</v>
      </c>
      <c r="R16" s="100">
        <v>0.15426599999999999</v>
      </c>
      <c r="T16" s="100"/>
      <c r="U16" s="52">
        <f t="shared" si="10"/>
        <v>0</v>
      </c>
    </row>
    <row r="17" spans="1:21" x14ac:dyDescent="0.3">
      <c r="A17" s="14" t="str">
        <f t="shared" si="0"/>
        <v>(1, 2]</v>
      </c>
      <c r="B17" s="89">
        <v>48607194</v>
      </c>
      <c r="C17" s="89">
        <v>7281533335</v>
      </c>
      <c r="D17" s="29">
        <f t="shared" si="1"/>
        <v>4.8607193999999999E-2</v>
      </c>
      <c r="E17" s="90">
        <f t="shared" si="2"/>
        <v>1.4980361415225902</v>
      </c>
      <c r="F17" s="53"/>
      <c r="G17" s="14" t="str">
        <f t="shared" si="3"/>
        <v>(1, 2]</v>
      </c>
      <c r="H17" s="86">
        <v>0.67163975768689721</v>
      </c>
      <c r="I17" s="29">
        <f t="shared" si="4"/>
        <v>3.2646524000000003E-2</v>
      </c>
      <c r="J17" s="29">
        <f t="shared" si="5"/>
        <v>3.2646524000000017E-2</v>
      </c>
      <c r="K17" s="87">
        <f t="shared" si="6"/>
        <v>32646524</v>
      </c>
      <c r="L17" s="100">
        <f t="shared" si="7"/>
        <v>3.2371078172122626E-2</v>
      </c>
      <c r="M17" s="100">
        <f t="shared" si="8"/>
        <v>4.8493045041892724E-2</v>
      </c>
      <c r="N17" s="88"/>
      <c r="O17" s="47">
        <v>1</v>
      </c>
      <c r="P17" s="47">
        <v>2</v>
      </c>
      <c r="Q17" s="100">
        <f t="shared" si="9"/>
        <v>3.2371078172122626E-2</v>
      </c>
      <c r="R17" s="100">
        <v>4.5428000000000003E-2</v>
      </c>
      <c r="T17" s="100"/>
      <c r="U17" s="52">
        <f t="shared" si="10"/>
        <v>0</v>
      </c>
    </row>
    <row r="18" spans="1:21" x14ac:dyDescent="0.3">
      <c r="A18" s="14" t="str">
        <f t="shared" si="0"/>
        <v>(2, 3]</v>
      </c>
      <c r="B18" s="89">
        <v>26919097</v>
      </c>
      <c r="C18" s="89">
        <v>6802776700</v>
      </c>
      <c r="D18" s="29">
        <f t="shared" si="1"/>
        <v>2.6919096999999999E-2</v>
      </c>
      <c r="E18" s="90">
        <f t="shared" si="2"/>
        <v>2.5271192046300812</v>
      </c>
      <c r="F18" s="53"/>
      <c r="G18" s="14" t="str">
        <f t="shared" si="3"/>
        <v>(2, 3]</v>
      </c>
      <c r="H18" s="86">
        <v>0.6755859232573812</v>
      </c>
      <c r="I18" s="29">
        <f t="shared" si="4"/>
        <v>1.8186163000000002E-2</v>
      </c>
      <c r="J18" s="29">
        <f t="shared" si="5"/>
        <v>1.8186163000000009E-2</v>
      </c>
      <c r="K18" s="87">
        <f t="shared" si="6"/>
        <v>18186163</v>
      </c>
      <c r="L18" s="100">
        <f t="shared" si="7"/>
        <v>1.8032722384899665E-2</v>
      </c>
      <c r="M18" s="100">
        <f t="shared" si="8"/>
        <v>4.55708390506427E-2</v>
      </c>
      <c r="N18" s="88"/>
      <c r="O18" s="47">
        <v>2</v>
      </c>
      <c r="P18" s="47">
        <v>3</v>
      </c>
      <c r="Q18" s="100">
        <f t="shared" si="9"/>
        <v>1.8032722384899665E-2</v>
      </c>
      <c r="R18" s="100">
        <v>2.0910000000000002E-2</v>
      </c>
      <c r="T18" s="100"/>
      <c r="U18" s="52">
        <f t="shared" si="10"/>
        <v>0</v>
      </c>
    </row>
    <row r="19" spans="1:21" x14ac:dyDescent="0.3">
      <c r="A19" s="14" t="str">
        <f t="shared" si="0"/>
        <v>(3, 4]</v>
      </c>
      <c r="B19" s="89">
        <v>17682966</v>
      </c>
      <c r="C19" s="89">
        <v>6307283715</v>
      </c>
      <c r="D19" s="29">
        <f t="shared" si="1"/>
        <v>1.7682966000000001E-2</v>
      </c>
      <c r="E19" s="90">
        <f t="shared" si="2"/>
        <v>3.5668697858718952</v>
      </c>
      <c r="F19" s="91"/>
      <c r="G19" s="14" t="str">
        <f t="shared" si="3"/>
        <v>(3, 4]</v>
      </c>
      <c r="H19" s="86">
        <v>0.6491297896518039</v>
      </c>
      <c r="I19" s="29">
        <f t="shared" si="4"/>
        <v>1.1478540000000001E-2</v>
      </c>
      <c r="J19" s="29">
        <f t="shared" si="5"/>
        <v>1.1478540000000004E-2</v>
      </c>
      <c r="K19" s="87">
        <f t="shared" si="6"/>
        <v>11478540</v>
      </c>
      <c r="L19" s="100">
        <f t="shared" si="7"/>
        <v>1.1381693059936073E-2</v>
      </c>
      <c r="M19" s="100">
        <f t="shared" si="8"/>
        <v>4.0597017087553817E-2</v>
      </c>
      <c r="N19" s="88"/>
      <c r="O19" s="47">
        <v>3</v>
      </c>
      <c r="P19" s="47">
        <v>4</v>
      </c>
      <c r="Q19" s="100">
        <f t="shared" si="9"/>
        <v>1.1381693059936073E-2</v>
      </c>
      <c r="R19" s="100">
        <v>1.2886E-2</v>
      </c>
      <c r="T19" s="100"/>
      <c r="U19" s="52">
        <f t="shared" si="10"/>
        <v>0</v>
      </c>
    </row>
    <row r="20" spans="1:21" x14ac:dyDescent="0.3">
      <c r="A20" s="14" t="str">
        <f t="shared" si="0"/>
        <v>(4, 5]</v>
      </c>
      <c r="B20" s="89">
        <v>13063433</v>
      </c>
      <c r="C20" s="89">
        <v>5912495700</v>
      </c>
      <c r="D20" s="29">
        <f t="shared" si="1"/>
        <v>1.3063432999999999E-2</v>
      </c>
      <c r="E20" s="90">
        <f t="shared" si="2"/>
        <v>4.5259892250375531</v>
      </c>
      <c r="F20" s="91"/>
      <c r="G20" s="14" t="str">
        <f t="shared" si="3"/>
        <v>(4, 5]</v>
      </c>
      <c r="H20" s="86">
        <v>0.71143909874226785</v>
      </c>
      <c r="I20" s="29">
        <f t="shared" si="4"/>
        <v>9.2938369999999992E-3</v>
      </c>
      <c r="J20" s="29">
        <f t="shared" si="5"/>
        <v>9.2938370000000027E-3</v>
      </c>
      <c r="K20" s="87">
        <f t="shared" si="6"/>
        <v>9293837</v>
      </c>
      <c r="L20" s="100">
        <f t="shared" si="7"/>
        <v>9.2154228746057516E-3</v>
      </c>
      <c r="M20" s="100">
        <f t="shared" si="8"/>
        <v>4.1708904634630228E-2</v>
      </c>
      <c r="N20" s="88"/>
      <c r="O20" s="47">
        <v>4</v>
      </c>
      <c r="P20" s="47">
        <v>5</v>
      </c>
      <c r="Q20" s="100">
        <f t="shared" si="9"/>
        <v>9.2154228746057516E-3</v>
      </c>
      <c r="R20" s="100">
        <v>8.4060000000000003E-3</v>
      </c>
      <c r="T20" s="100"/>
      <c r="U20" s="52">
        <f t="shared" si="10"/>
        <v>0</v>
      </c>
    </row>
    <row r="21" spans="1:21" x14ac:dyDescent="0.3">
      <c r="A21" s="14" t="str">
        <f t="shared" si="0"/>
        <v>(5, 6]</v>
      </c>
      <c r="B21" s="89">
        <v>9983714</v>
      </c>
      <c r="C21" s="89">
        <v>5549114420</v>
      </c>
      <c r="D21" s="29">
        <f t="shared" si="1"/>
        <v>9.9837139999999994E-3</v>
      </c>
      <c r="E21" s="90">
        <f t="shared" si="2"/>
        <v>5.5581664498802752</v>
      </c>
      <c r="F21" s="91"/>
      <c r="G21" s="14" t="str">
        <f t="shared" si="3"/>
        <v>(5, 6]</v>
      </c>
      <c r="H21" s="86">
        <v>0.38146785855444176</v>
      </c>
      <c r="I21" s="29">
        <f t="shared" si="4"/>
        <v>3.8084659999999999E-3</v>
      </c>
      <c r="J21" s="29">
        <f t="shared" si="5"/>
        <v>3.8084660000000012E-3</v>
      </c>
      <c r="K21" s="87">
        <f t="shared" si="6"/>
        <v>3808466</v>
      </c>
      <c r="L21" s="100">
        <f t="shared" si="7"/>
        <v>3.7763331435184699E-3</v>
      </c>
      <c r="M21" s="100">
        <f t="shared" si="8"/>
        <v>2.0989488181875272E-2</v>
      </c>
      <c r="N21" s="88"/>
      <c r="O21" s="47">
        <v>5</v>
      </c>
      <c r="P21" s="47">
        <v>6</v>
      </c>
      <c r="Q21" s="100">
        <f t="shared" si="9"/>
        <v>3.7763331435184699E-3</v>
      </c>
      <c r="R21" s="100">
        <v>6.5170000000000002E-3</v>
      </c>
      <c r="T21" s="100"/>
      <c r="U21" s="52">
        <f t="shared" si="10"/>
        <v>0</v>
      </c>
    </row>
    <row r="22" spans="1:21" x14ac:dyDescent="0.3">
      <c r="A22" s="14" t="str">
        <f t="shared" si="0"/>
        <v>(6, 7]</v>
      </c>
      <c r="B22" s="89">
        <v>7840713</v>
      </c>
      <c r="C22" s="89">
        <v>5105038170</v>
      </c>
      <c r="D22" s="29">
        <f t="shared" si="1"/>
        <v>7.8407129999999992E-3</v>
      </c>
      <c r="E22" s="90">
        <f t="shared" si="2"/>
        <v>6.510936148281413</v>
      </c>
      <c r="F22" s="91"/>
      <c r="G22" s="14" t="str">
        <f t="shared" si="3"/>
        <v>(6, 7]</v>
      </c>
      <c r="H22" s="86">
        <v>0.41569408292332605</v>
      </c>
      <c r="I22" s="29">
        <f t="shared" si="4"/>
        <v>3.2593380000000001E-3</v>
      </c>
      <c r="J22" s="29">
        <f t="shared" si="5"/>
        <v>3.2593380000000014E-3</v>
      </c>
      <c r="K22" s="87">
        <f t="shared" si="6"/>
        <v>3259338</v>
      </c>
      <c r="L22" s="100">
        <f t="shared" si="7"/>
        <v>3.2318382559616398E-3</v>
      </c>
      <c r="M22" s="100">
        <f t="shared" si="8"/>
        <v>2.10422925261394E-2</v>
      </c>
      <c r="N22" s="88"/>
      <c r="O22" s="47">
        <v>6</v>
      </c>
      <c r="P22" s="47">
        <v>7</v>
      </c>
      <c r="Q22" s="100">
        <f t="shared" si="9"/>
        <v>3.2318382559616398E-3</v>
      </c>
      <c r="R22" s="100">
        <v>3.5239999999999998E-3</v>
      </c>
      <c r="T22" s="100"/>
      <c r="U22" s="52">
        <f t="shared" si="10"/>
        <v>0</v>
      </c>
    </row>
    <row r="23" spans="1:21" x14ac:dyDescent="0.3">
      <c r="A23" s="14" t="str">
        <f t="shared" si="0"/>
        <v>(7, 8]</v>
      </c>
      <c r="B23" s="89">
        <v>7134958</v>
      </c>
      <c r="C23" s="89">
        <v>5377533620</v>
      </c>
      <c r="D23" s="29">
        <f t="shared" si="1"/>
        <v>7.1349580000000003E-3</v>
      </c>
      <c r="E23" s="90">
        <f t="shared" si="2"/>
        <v>7.5368819550164128</v>
      </c>
      <c r="F23" s="91"/>
      <c r="G23" s="14" t="str">
        <f t="shared" si="3"/>
        <v>(7, 8]</v>
      </c>
      <c r="H23" s="86">
        <v>0.39722826679568402</v>
      </c>
      <c r="I23" s="29">
        <f t="shared" si="4"/>
        <v>2.834207E-3</v>
      </c>
      <c r="J23" s="29">
        <f t="shared" si="5"/>
        <v>2.8342070000000009E-3</v>
      </c>
      <c r="K23" s="87">
        <f t="shared" si="6"/>
        <v>2834207</v>
      </c>
      <c r="L23" s="100">
        <f t="shared" si="7"/>
        <v>2.8102941787302425E-3</v>
      </c>
      <c r="M23" s="100">
        <f t="shared" si="8"/>
        <v>2.1180855483959635E-2</v>
      </c>
      <c r="N23" s="88"/>
      <c r="O23" s="47">
        <v>7</v>
      </c>
      <c r="P23" s="47">
        <v>8</v>
      </c>
      <c r="Q23" s="100">
        <f t="shared" si="9"/>
        <v>2.8102941787302425E-3</v>
      </c>
      <c r="R23" s="100">
        <v>3.9699999999999996E-3</v>
      </c>
      <c r="T23" s="100"/>
      <c r="U23" s="52">
        <f t="shared" si="10"/>
        <v>0</v>
      </c>
    </row>
    <row r="24" spans="1:21" x14ac:dyDescent="0.3">
      <c r="A24" s="14" t="str">
        <f t="shared" si="0"/>
        <v>(8, 9]</v>
      </c>
      <c r="B24" s="89">
        <v>5766826</v>
      </c>
      <c r="C24" s="89">
        <v>4914562050</v>
      </c>
      <c r="D24" s="29">
        <f t="shared" si="1"/>
        <v>5.7668260000000001E-3</v>
      </c>
      <c r="E24" s="90">
        <f t="shared" si="2"/>
        <v>8.5221264695692227</v>
      </c>
      <c r="F24" s="91"/>
      <c r="G24" s="14" t="str">
        <f t="shared" si="3"/>
        <v>(8, 9]</v>
      </c>
      <c r="H24" s="86">
        <v>0.41877108829016174</v>
      </c>
      <c r="I24" s="29">
        <f t="shared" si="4"/>
        <v>2.4149800000000002E-3</v>
      </c>
      <c r="J24" s="29">
        <f t="shared" si="5"/>
        <v>2.414980000000001E-3</v>
      </c>
      <c r="K24" s="87">
        <f t="shared" si="6"/>
        <v>2414980</v>
      </c>
      <c r="L24" s="100">
        <f t="shared" si="7"/>
        <v>2.3946042881659532E-3</v>
      </c>
      <c r="M24" s="100">
        <f t="shared" si="8"/>
        <v>2.0407120588323037E-2</v>
      </c>
      <c r="N24" s="88"/>
      <c r="O24" s="47">
        <v>8</v>
      </c>
      <c r="P24" s="47">
        <v>9</v>
      </c>
      <c r="Q24" s="100">
        <f t="shared" si="9"/>
        <v>2.3946042881659532E-3</v>
      </c>
      <c r="R24" s="100">
        <v>3.2269999999999998E-3</v>
      </c>
      <c r="T24" s="100"/>
      <c r="U24" s="52">
        <f t="shared" si="10"/>
        <v>0</v>
      </c>
    </row>
    <row r="25" spans="1:21" x14ac:dyDescent="0.3">
      <c r="A25" s="14" t="str">
        <f t="shared" si="0"/>
        <v>(9, 10]</v>
      </c>
      <c r="B25" s="89">
        <v>4689306</v>
      </c>
      <c r="C25" s="89">
        <v>4469552495</v>
      </c>
      <c r="D25" s="29">
        <f t="shared" si="1"/>
        <v>4.6893059999999999E-3</v>
      </c>
      <c r="E25" s="90">
        <f t="shared" si="2"/>
        <v>9.5313730752482346</v>
      </c>
      <c r="F25" s="91"/>
      <c r="G25" s="14" t="str">
        <f t="shared" si="3"/>
        <v>(9, 10]</v>
      </c>
      <c r="H25" s="86">
        <v>0.50618321772987307</v>
      </c>
      <c r="I25" s="29">
        <f t="shared" si="4"/>
        <v>2.3736479999999999E-3</v>
      </c>
      <c r="J25" s="29">
        <f t="shared" si="5"/>
        <v>2.3736480000000008E-3</v>
      </c>
      <c r="K25" s="87">
        <f t="shared" si="6"/>
        <v>2373648</v>
      </c>
      <c r="L25" s="100">
        <f t="shared" si="7"/>
        <v>2.3536210152450697E-3</v>
      </c>
      <c r="M25" s="100">
        <f t="shared" si="8"/>
        <v>2.2433239974045272E-2</v>
      </c>
      <c r="N25" s="88"/>
      <c r="O25" s="47">
        <v>9</v>
      </c>
      <c r="P25" s="47">
        <v>10</v>
      </c>
      <c r="Q25" s="100">
        <f t="shared" si="9"/>
        <v>2.3536210152450697E-3</v>
      </c>
      <c r="R25" s="100">
        <v>2.1020000000000001E-3</v>
      </c>
      <c r="T25" s="100"/>
      <c r="U25" s="52">
        <f t="shared" si="10"/>
        <v>0</v>
      </c>
    </row>
    <row r="26" spans="1:21" x14ac:dyDescent="0.3">
      <c r="A26" s="14" t="str">
        <f t="shared" si="0"/>
        <v>(10, 15]</v>
      </c>
      <c r="B26" s="89">
        <v>16458688</v>
      </c>
      <c r="C26" s="89">
        <v>20262859505</v>
      </c>
      <c r="D26" s="29">
        <f t="shared" si="1"/>
        <v>1.6458687999999999E-2</v>
      </c>
      <c r="E26" s="90">
        <f t="shared" si="2"/>
        <v>12.311345536776686</v>
      </c>
      <c r="F26" s="91"/>
      <c r="G26" s="14" t="str">
        <f t="shared" si="3"/>
        <v>(10, 15]</v>
      </c>
      <c r="H26" s="86">
        <v>0.53741148747700906</v>
      </c>
      <c r="I26" s="29">
        <f t="shared" si="4"/>
        <v>8.8450879999999992E-3</v>
      </c>
      <c r="J26" s="29">
        <f t="shared" si="5"/>
        <v>8.8450880000000027E-3</v>
      </c>
      <c r="K26" s="87">
        <f t="shared" si="6"/>
        <v>8845088</v>
      </c>
      <c r="L26" s="100">
        <f t="shared" si="7"/>
        <v>8.7704600675803587E-3</v>
      </c>
      <c r="M26" s="100">
        <f t="shared" si="8"/>
        <v>0.10797616440848361</v>
      </c>
      <c r="N26" s="88"/>
      <c r="O26" s="47">
        <v>10</v>
      </c>
      <c r="P26" s="47">
        <v>15</v>
      </c>
      <c r="Q26" s="100">
        <f t="shared" si="9"/>
        <v>8.7704600675803587E-3</v>
      </c>
      <c r="R26" s="100">
        <v>6.4320000000000002E-3</v>
      </c>
      <c r="T26" s="100"/>
      <c r="U26" s="52">
        <f t="shared" si="10"/>
        <v>0</v>
      </c>
    </row>
    <row r="27" spans="1:21" x14ac:dyDescent="0.3">
      <c r="A27" s="14" t="str">
        <f t="shared" si="0"/>
        <v>(15, 20]</v>
      </c>
      <c r="B27" s="89">
        <v>9533587</v>
      </c>
      <c r="C27" s="89">
        <v>16541096140</v>
      </c>
      <c r="D27" s="29">
        <f t="shared" si="1"/>
        <v>9.5335869999999996E-3</v>
      </c>
      <c r="E27" s="90">
        <f t="shared" si="2"/>
        <v>17.350338482252273</v>
      </c>
      <c r="F27" s="91"/>
      <c r="G27" s="14" t="str">
        <f t="shared" si="3"/>
        <v>(15, 20]</v>
      </c>
      <c r="H27" s="86">
        <v>0.28304152466432625</v>
      </c>
      <c r="I27" s="29">
        <f t="shared" si="4"/>
        <v>2.698401E-3</v>
      </c>
      <c r="J27" s="29">
        <f t="shared" si="5"/>
        <v>2.6984010000000009E-3</v>
      </c>
      <c r="K27" s="87">
        <f t="shared" si="6"/>
        <v>2698401</v>
      </c>
      <c r="L27" s="100">
        <f t="shared" si="7"/>
        <v>2.6756340035078122E-3</v>
      </c>
      <c r="M27" s="100">
        <f t="shared" si="8"/>
        <v>4.6423155615484303E-2</v>
      </c>
      <c r="N27" s="88"/>
      <c r="O27" s="47">
        <v>15</v>
      </c>
      <c r="P27" s="47">
        <v>20</v>
      </c>
      <c r="Q27" s="100">
        <f t="shared" si="9"/>
        <v>2.6756340035078122E-3</v>
      </c>
      <c r="R27" s="100">
        <v>2.823E-3</v>
      </c>
      <c r="T27" s="100"/>
      <c r="U27" s="52">
        <f t="shared" si="10"/>
        <v>0</v>
      </c>
    </row>
    <row r="28" spans="1:21" x14ac:dyDescent="0.3">
      <c r="A28" s="14" t="str">
        <f t="shared" si="0"/>
        <v>(20, 25]</v>
      </c>
      <c r="B28" s="89">
        <v>6177309</v>
      </c>
      <c r="C28" s="89">
        <v>13847458525</v>
      </c>
      <c r="D28" s="29">
        <f t="shared" si="1"/>
        <v>6.1773089999999998E-3</v>
      </c>
      <c r="E28" s="90">
        <f t="shared" si="2"/>
        <v>22.416651854391613</v>
      </c>
      <c r="F28" s="91"/>
      <c r="G28" s="14" t="str">
        <f t="shared" si="3"/>
        <v>(20, 25]</v>
      </c>
      <c r="H28" s="86">
        <v>0.34697454830250518</v>
      </c>
      <c r="I28" s="29">
        <f t="shared" si="4"/>
        <v>2.143369E-3</v>
      </c>
      <c r="J28" s="29">
        <f t="shared" si="5"/>
        <v>2.1433690000000009E-3</v>
      </c>
      <c r="K28" s="87">
        <f t="shared" si="6"/>
        <v>2143369</v>
      </c>
      <c r="L28" s="100">
        <f t="shared" si="7"/>
        <v>2.1252849292838741E-3</v>
      </c>
      <c r="M28" s="100">
        <f t="shared" si="8"/>
        <v>4.7641772351141906E-2</v>
      </c>
      <c r="N28" s="88"/>
      <c r="O28" s="47">
        <v>20</v>
      </c>
      <c r="P28" s="47">
        <v>25</v>
      </c>
      <c r="Q28" s="100">
        <f t="shared" si="9"/>
        <v>2.1252849292838741E-3</v>
      </c>
      <c r="R28" s="100">
        <v>1.6130000000000001E-3</v>
      </c>
      <c r="T28" s="100"/>
      <c r="U28" s="52">
        <f t="shared" si="10"/>
        <v>0</v>
      </c>
    </row>
    <row r="29" spans="1:21" x14ac:dyDescent="0.3">
      <c r="A29" s="14" t="str">
        <f t="shared" si="0"/>
        <v>(25, 30]</v>
      </c>
      <c r="B29" s="89">
        <v>4284185</v>
      </c>
      <c r="C29" s="89">
        <v>11720617050</v>
      </c>
      <c r="D29" s="29">
        <f t="shared" si="1"/>
        <v>4.2841850000000002E-3</v>
      </c>
      <c r="E29" s="90">
        <f t="shared" si="2"/>
        <v>27.357868649463086</v>
      </c>
      <c r="F29" s="91"/>
      <c r="G29" s="14" t="str">
        <f t="shared" si="3"/>
        <v>(25, 30]</v>
      </c>
      <c r="H29" s="86">
        <v>0.39279582931175938</v>
      </c>
      <c r="I29" s="29">
        <f t="shared" si="4"/>
        <v>1.6828099999999999E-3</v>
      </c>
      <c r="J29" s="29">
        <f t="shared" si="5"/>
        <v>1.6828100000000005E-3</v>
      </c>
      <c r="K29" s="87">
        <f t="shared" si="6"/>
        <v>1682810</v>
      </c>
      <c r="L29" s="100">
        <f t="shared" si="7"/>
        <v>1.6686117657987011E-3</v>
      </c>
      <c r="M29" s="100">
        <f t="shared" si="8"/>
        <v>4.5649661515669529E-2</v>
      </c>
      <c r="N29" s="88"/>
      <c r="O29" s="47">
        <v>25</v>
      </c>
      <c r="P29" s="47">
        <v>30</v>
      </c>
      <c r="Q29" s="100">
        <f t="shared" si="9"/>
        <v>1.6686117657987011E-3</v>
      </c>
      <c r="R29" s="100">
        <v>1.3159999999999999E-3</v>
      </c>
      <c r="T29" s="100"/>
      <c r="U29" s="52">
        <f t="shared" si="10"/>
        <v>0</v>
      </c>
    </row>
    <row r="30" spans="1:21" x14ac:dyDescent="0.3">
      <c r="A30" s="14" t="str">
        <f t="shared" si="0"/>
        <v>(30, 35]</v>
      </c>
      <c r="B30" s="89">
        <v>3019933</v>
      </c>
      <c r="C30" s="89">
        <v>9787573815</v>
      </c>
      <c r="D30" s="29">
        <f t="shared" si="1"/>
        <v>3.0199329999999998E-3</v>
      </c>
      <c r="E30" s="90">
        <f t="shared" si="2"/>
        <v>32.409903845548889</v>
      </c>
      <c r="F30" s="91"/>
      <c r="G30" s="14" t="str">
        <f t="shared" si="3"/>
        <v>(30, 35]</v>
      </c>
      <c r="H30" s="86">
        <v>0.17596880460593001</v>
      </c>
      <c r="I30" s="29">
        <f t="shared" si="4"/>
        <v>5.3141400000000002E-4</v>
      </c>
      <c r="J30" s="29">
        <f t="shared" si="5"/>
        <v>5.3141400000000024E-4</v>
      </c>
      <c r="K30" s="87">
        <f t="shared" si="6"/>
        <v>531414</v>
      </c>
      <c r="L30" s="100">
        <f t="shared" si="7"/>
        <v>5.2693034442994214E-4</v>
      </c>
      <c r="M30" s="100">
        <f t="shared" si="8"/>
        <v>1.7077761796276382E-2</v>
      </c>
      <c r="N30" s="88"/>
      <c r="O30" s="47">
        <v>30</v>
      </c>
      <c r="P30" s="47">
        <v>35</v>
      </c>
      <c r="Q30" s="100">
        <f t="shared" si="9"/>
        <v>5.2693034442994214E-4</v>
      </c>
      <c r="R30" s="100">
        <v>6.3699999999999998E-4</v>
      </c>
      <c r="T30" s="100"/>
      <c r="U30" s="52">
        <f t="shared" si="10"/>
        <v>0</v>
      </c>
    </row>
    <row r="31" spans="1:21" x14ac:dyDescent="0.3">
      <c r="A31" s="14" t="str">
        <f t="shared" si="0"/>
        <v>(35, 40]</v>
      </c>
      <c r="B31" s="89">
        <v>2320118</v>
      </c>
      <c r="C31" s="89">
        <v>8680968890</v>
      </c>
      <c r="D31" s="29">
        <f t="shared" si="1"/>
        <v>2.3201179999999999E-3</v>
      </c>
      <c r="E31" s="90">
        <f t="shared" si="2"/>
        <v>37.41606629490397</v>
      </c>
      <c r="F31" s="91"/>
      <c r="G31" s="14" t="str">
        <f t="shared" si="3"/>
        <v>(35, 40]</v>
      </c>
      <c r="H31" s="86">
        <v>0.18069167171669717</v>
      </c>
      <c r="I31" s="29">
        <f t="shared" si="4"/>
        <v>4.1922599999999997E-4</v>
      </c>
      <c r="J31" s="29">
        <f t="shared" si="5"/>
        <v>4.1922600000000014E-4</v>
      </c>
      <c r="K31" s="87">
        <f t="shared" si="6"/>
        <v>419226</v>
      </c>
      <c r="L31" s="100">
        <f t="shared" si="7"/>
        <v>4.1568889900150718E-4</v>
      </c>
      <c r="M31" s="100">
        <f t="shared" si="8"/>
        <v>1.5553443403096034E-2</v>
      </c>
      <c r="N31" s="88"/>
      <c r="O31" s="47">
        <v>35</v>
      </c>
      <c r="P31" s="47">
        <v>40</v>
      </c>
      <c r="Q31" s="100">
        <f t="shared" si="9"/>
        <v>4.1568889900150718E-4</v>
      </c>
      <c r="R31" s="100">
        <v>4.46E-4</v>
      </c>
      <c r="T31" s="100"/>
      <c r="U31" s="52">
        <f t="shared" si="10"/>
        <v>0</v>
      </c>
    </row>
    <row r="32" spans="1:21" x14ac:dyDescent="0.3">
      <c r="A32" s="14" t="str">
        <f t="shared" si="0"/>
        <v>(40, 45]</v>
      </c>
      <c r="B32" s="89">
        <v>1700714</v>
      </c>
      <c r="C32" s="89">
        <v>7213356120</v>
      </c>
      <c r="D32" s="29">
        <f t="shared" si="1"/>
        <v>1.7007140000000001E-3</v>
      </c>
      <c r="E32" s="90">
        <f t="shared" si="2"/>
        <v>42.413692837243651</v>
      </c>
      <c r="F32" s="91"/>
      <c r="G32" s="14" t="str">
        <f t="shared" si="3"/>
        <v>(40, 45]</v>
      </c>
      <c r="H32" s="86">
        <v>0.21178222793485557</v>
      </c>
      <c r="I32" s="29">
        <f t="shared" si="4"/>
        <v>3.60181E-4</v>
      </c>
      <c r="J32" s="29">
        <f t="shared" si="5"/>
        <v>3.6018100000000011E-4</v>
      </c>
      <c r="K32" s="87">
        <f t="shared" si="6"/>
        <v>360181</v>
      </c>
      <c r="L32" s="100">
        <f t="shared" si="7"/>
        <v>3.5714207451651819E-4</v>
      </c>
      <c r="M32" s="100">
        <f t="shared" si="8"/>
        <v>1.5147714247799586E-2</v>
      </c>
      <c r="N32" s="88"/>
      <c r="O32" s="47">
        <v>40</v>
      </c>
      <c r="P32" s="47">
        <v>45</v>
      </c>
      <c r="Q32" s="100">
        <f t="shared" si="9"/>
        <v>3.5714207451651819E-4</v>
      </c>
      <c r="R32" s="100">
        <v>2.7599999999999999E-4</v>
      </c>
      <c r="T32" s="100"/>
      <c r="U32" s="52">
        <f t="shared" si="10"/>
        <v>0</v>
      </c>
    </row>
    <row r="33" spans="1:21" x14ac:dyDescent="0.3">
      <c r="A33" s="14" t="str">
        <f t="shared" si="0"/>
        <v>(45, 50]</v>
      </c>
      <c r="B33" s="89">
        <v>1324002</v>
      </c>
      <c r="C33" s="89">
        <v>6284776125</v>
      </c>
      <c r="D33" s="29">
        <f t="shared" si="1"/>
        <v>1.3240019999999999E-3</v>
      </c>
      <c r="E33" s="90">
        <f t="shared" si="2"/>
        <v>47.468025916879277</v>
      </c>
      <c r="F33" s="91"/>
      <c r="G33" s="14" t="str">
        <f t="shared" si="3"/>
        <v>(45, 50]</v>
      </c>
      <c r="H33" s="86">
        <v>0.23190221767036606</v>
      </c>
      <c r="I33" s="29">
        <f t="shared" si="4"/>
        <v>3.07039E-4</v>
      </c>
      <c r="J33" s="29">
        <f t="shared" si="5"/>
        <v>3.0703900000000011E-4</v>
      </c>
      <c r="K33" s="87">
        <f t="shared" si="6"/>
        <v>307039</v>
      </c>
      <c r="L33" s="100">
        <f t="shared" si="7"/>
        <v>3.0444844513585458E-4</v>
      </c>
      <c r="M33" s="100">
        <f t="shared" si="8"/>
        <v>1.4451566684062344E-2</v>
      </c>
      <c r="N33" s="88"/>
      <c r="O33" s="47">
        <v>45</v>
      </c>
      <c r="P33" s="47">
        <v>50</v>
      </c>
      <c r="Q33" s="100">
        <f t="shared" si="9"/>
        <v>3.0444844513585458E-4</v>
      </c>
      <c r="R33" s="100">
        <v>2.34E-4</v>
      </c>
      <c r="T33" s="100"/>
      <c r="U33" s="52">
        <f t="shared" si="10"/>
        <v>0</v>
      </c>
    </row>
    <row r="34" spans="1:21" x14ac:dyDescent="0.3">
      <c r="A34" s="14" t="str">
        <f t="shared" si="0"/>
        <v>(50, 60]</v>
      </c>
      <c r="B34" s="89">
        <v>1847035</v>
      </c>
      <c r="C34" s="89">
        <v>10084132345</v>
      </c>
      <c r="D34" s="29">
        <f t="shared" si="1"/>
        <v>1.8470349999999999E-3</v>
      </c>
      <c r="E34" s="90">
        <f t="shared" si="2"/>
        <v>54.596325164385078</v>
      </c>
      <c r="F34" s="91"/>
      <c r="G34" s="14" t="str">
        <f t="shared" si="3"/>
        <v>(50, 60]</v>
      </c>
      <c r="H34" s="86">
        <v>0.15983995971922568</v>
      </c>
      <c r="I34" s="29">
        <f t="shared" si="4"/>
        <v>2.9523E-4</v>
      </c>
      <c r="J34" s="29">
        <f t="shared" si="5"/>
        <v>2.9523000000000011E-4</v>
      </c>
      <c r="K34" s="87">
        <f t="shared" si="6"/>
        <v>295230</v>
      </c>
      <c r="L34" s="100">
        <f t="shared" si="7"/>
        <v>2.9273908023885677E-4</v>
      </c>
      <c r="M34" s="100">
        <f t="shared" si="8"/>
        <v>1.5982478013043637E-2</v>
      </c>
      <c r="N34" s="88"/>
      <c r="O34" s="47">
        <v>50</v>
      </c>
      <c r="P34" s="47">
        <v>60</v>
      </c>
      <c r="Q34" s="100">
        <f t="shared" si="9"/>
        <v>2.9273908023885677E-4</v>
      </c>
      <c r="R34" s="100">
        <v>5.0900000000000001E-4</v>
      </c>
      <c r="T34" s="100"/>
      <c r="U34" s="52">
        <f t="shared" si="10"/>
        <v>0</v>
      </c>
    </row>
    <row r="35" spans="1:21" x14ac:dyDescent="0.3">
      <c r="A35" s="14" t="str">
        <f t="shared" si="0"/>
        <v>(60, 70]</v>
      </c>
      <c r="B35" s="89">
        <v>1173994</v>
      </c>
      <c r="C35" s="89">
        <v>7594701825</v>
      </c>
      <c r="D35" s="29">
        <f t="shared" si="1"/>
        <v>1.173994E-3</v>
      </c>
      <c r="E35" s="90">
        <f t="shared" si="2"/>
        <v>64.69114684572493</v>
      </c>
      <c r="F35" s="91"/>
      <c r="G35" s="14" t="str">
        <f t="shared" si="3"/>
        <v>(60, 70]</v>
      </c>
      <c r="H35" s="86">
        <v>8.5501288762974928E-2</v>
      </c>
      <c r="I35" s="29">
        <f t="shared" si="4"/>
        <v>1.0037799999999999E-4</v>
      </c>
      <c r="J35" s="29">
        <f t="shared" si="5"/>
        <v>1.0037800000000002E-4</v>
      </c>
      <c r="K35" s="87">
        <f t="shared" si="6"/>
        <v>100378</v>
      </c>
      <c r="L35" s="100">
        <f t="shared" si="7"/>
        <v>9.9531088968654824E-5</v>
      </c>
      <c r="M35" s="100">
        <f t="shared" si="8"/>
        <v>6.4387802921861623E-3</v>
      </c>
      <c r="N35" s="88"/>
      <c r="O35" s="47">
        <v>60</v>
      </c>
      <c r="P35" s="47">
        <v>70</v>
      </c>
      <c r="Q35" s="100">
        <f t="shared" si="9"/>
        <v>9.9531088968654824E-5</v>
      </c>
      <c r="R35" s="100">
        <v>2.9700000000000001E-4</v>
      </c>
      <c r="T35" s="100"/>
      <c r="U35" s="52">
        <f t="shared" si="10"/>
        <v>0</v>
      </c>
    </row>
    <row r="36" spans="1:21" x14ac:dyDescent="0.3">
      <c r="A36" s="14" t="str">
        <f t="shared" si="0"/>
        <v>(70, 80]</v>
      </c>
      <c r="B36" s="89">
        <v>783561</v>
      </c>
      <c r="C36" s="89">
        <v>5852326655</v>
      </c>
      <c r="D36" s="29">
        <f t="shared" si="1"/>
        <v>7.83561E-4</v>
      </c>
      <c r="E36" s="90">
        <f t="shared" si="2"/>
        <v>74.688845603596917</v>
      </c>
      <c r="F36" s="91"/>
      <c r="G36" s="14" t="str">
        <f t="shared" si="3"/>
        <v>(70, 80]</v>
      </c>
      <c r="H36" s="86">
        <v>0</v>
      </c>
      <c r="I36" s="29">
        <f t="shared" si="4"/>
        <v>0</v>
      </c>
      <c r="J36" s="29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7">
        <v>70</v>
      </c>
      <c r="P36" s="47">
        <v>80</v>
      </c>
      <c r="Q36" s="100">
        <f t="shared" si="9"/>
        <v>0</v>
      </c>
      <c r="R36" s="100">
        <v>1.06E-4</v>
      </c>
      <c r="T36" s="100"/>
      <c r="U36" s="52">
        <f t="shared" si="10"/>
        <v>0</v>
      </c>
    </row>
    <row r="37" spans="1:21" x14ac:dyDescent="0.3">
      <c r="A37" s="14" t="str">
        <f t="shared" si="0"/>
        <v>(80, 90]</v>
      </c>
      <c r="B37" s="89">
        <v>514288</v>
      </c>
      <c r="C37" s="89">
        <v>4355235275</v>
      </c>
      <c r="D37" s="29">
        <f t="shared" si="1"/>
        <v>5.1428800000000001E-4</v>
      </c>
      <c r="E37" s="90">
        <f t="shared" si="2"/>
        <v>84.684753970537912</v>
      </c>
      <c r="F37" s="91"/>
      <c r="G37" s="14" t="str">
        <f t="shared" si="3"/>
        <v>(80, 90]</v>
      </c>
      <c r="H37" s="86">
        <v>0</v>
      </c>
      <c r="I37" s="29">
        <f t="shared" si="4"/>
        <v>0</v>
      </c>
      <c r="J37" s="29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7">
        <v>80</v>
      </c>
      <c r="P37" s="47">
        <v>90</v>
      </c>
      <c r="Q37" s="100">
        <f t="shared" si="9"/>
        <v>0</v>
      </c>
      <c r="R37" s="100">
        <v>6.3999999999999997E-5</v>
      </c>
      <c r="T37" s="100"/>
      <c r="U37" s="52">
        <f t="shared" si="10"/>
        <v>0</v>
      </c>
    </row>
    <row r="38" spans="1:21" x14ac:dyDescent="0.3">
      <c r="A38" s="14" t="str">
        <f t="shared" si="0"/>
        <v>(90, 100]</v>
      </c>
      <c r="B38" s="89">
        <v>363270</v>
      </c>
      <c r="C38" s="89">
        <v>3443690050</v>
      </c>
      <c r="D38" s="29">
        <f t="shared" si="1"/>
        <v>3.6327000000000001E-4</v>
      </c>
      <c r="E38" s="90">
        <f t="shared" si="2"/>
        <v>94.796984336719248</v>
      </c>
      <c r="F38" s="91"/>
      <c r="G38" s="14" t="str">
        <f t="shared" si="3"/>
        <v>(90, 100]</v>
      </c>
      <c r="H38" s="86">
        <v>0</v>
      </c>
      <c r="I38" s="29">
        <f t="shared" si="4"/>
        <v>0</v>
      </c>
      <c r="J38" s="29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7">
        <v>90</v>
      </c>
      <c r="P38" s="47">
        <v>100</v>
      </c>
      <c r="Q38" s="100">
        <f t="shared" si="9"/>
        <v>0</v>
      </c>
      <c r="R38" s="100">
        <v>1.06E-4</v>
      </c>
      <c r="T38" s="100"/>
      <c r="U38" s="52">
        <f t="shared" si="10"/>
        <v>0</v>
      </c>
    </row>
    <row r="39" spans="1:21" x14ac:dyDescent="0.3">
      <c r="A39" s="14" t="str">
        <f t="shared" si="0"/>
        <v>(100, 120]</v>
      </c>
      <c r="B39" s="89">
        <v>428416</v>
      </c>
      <c r="C39" s="89">
        <v>4661097590</v>
      </c>
      <c r="D39" s="29">
        <f t="shared" si="1"/>
        <v>4.2841599999999999E-4</v>
      </c>
      <c r="E39" s="90">
        <f t="shared" si="2"/>
        <v>108.79840132021212</v>
      </c>
      <c r="F39" s="91"/>
      <c r="G39" s="14" t="str">
        <f t="shared" si="3"/>
        <v>(100, 120]</v>
      </c>
      <c r="H39" s="86">
        <v>0</v>
      </c>
      <c r="I39" s="29">
        <f t="shared" si="4"/>
        <v>0</v>
      </c>
      <c r="J39" s="29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7">
        <v>100</v>
      </c>
      <c r="P39" s="47">
        <v>120</v>
      </c>
      <c r="Q39" s="100">
        <f t="shared" si="9"/>
        <v>0</v>
      </c>
      <c r="R39" s="100">
        <v>6.3999999999999997E-5</v>
      </c>
      <c r="T39" s="100"/>
      <c r="U39" s="52">
        <f t="shared" si="10"/>
        <v>0</v>
      </c>
    </row>
    <row r="40" spans="1:21" x14ac:dyDescent="0.3">
      <c r="A40" s="14" t="str">
        <f t="shared" si="0"/>
        <v>(120, 140]</v>
      </c>
      <c r="B40" s="89">
        <v>228606</v>
      </c>
      <c r="C40" s="89">
        <v>2949643405</v>
      </c>
      <c r="D40" s="29">
        <f t="shared" si="1"/>
        <v>2.2860600000000001E-4</v>
      </c>
      <c r="E40" s="90">
        <f t="shared" si="2"/>
        <v>129.02738357698396</v>
      </c>
      <c r="F40" s="91"/>
      <c r="G40" s="14" t="str">
        <f t="shared" si="3"/>
        <v>(120, 140]</v>
      </c>
      <c r="H40" s="86">
        <v>0</v>
      </c>
      <c r="I40" s="29">
        <f t="shared" si="4"/>
        <v>0</v>
      </c>
      <c r="J40" s="29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7">
        <v>120</v>
      </c>
      <c r="P40" s="47">
        <v>140</v>
      </c>
      <c r="Q40" s="100">
        <f t="shared" si="9"/>
        <v>0</v>
      </c>
      <c r="R40" s="100">
        <v>2.0999999999999999E-5</v>
      </c>
      <c r="T40" s="100"/>
      <c r="U40" s="52">
        <f t="shared" si="10"/>
        <v>0</v>
      </c>
    </row>
    <row r="41" spans="1:21" x14ac:dyDescent="0.3">
      <c r="A41" s="14" t="str">
        <f t="shared" si="0"/>
        <v>(140, 160]</v>
      </c>
      <c r="B41" s="89">
        <v>124806</v>
      </c>
      <c r="C41" s="89">
        <v>1859796675</v>
      </c>
      <c r="D41" s="29">
        <f t="shared" si="1"/>
        <v>1.2480600000000001E-4</v>
      </c>
      <c r="E41" s="90">
        <f t="shared" si="2"/>
        <v>149.01500528820731</v>
      </c>
      <c r="F41" s="91"/>
      <c r="G41" s="14" t="str">
        <f t="shared" si="3"/>
        <v>(140, 160]</v>
      </c>
      <c r="H41" s="86">
        <v>0</v>
      </c>
      <c r="I41" s="29">
        <f t="shared" si="4"/>
        <v>0</v>
      </c>
      <c r="J41" s="29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7">
        <v>140</v>
      </c>
      <c r="P41" s="47">
        <v>160</v>
      </c>
      <c r="Q41" s="100">
        <f t="shared" si="9"/>
        <v>0</v>
      </c>
      <c r="R41" s="100">
        <v>0</v>
      </c>
      <c r="T41" s="100"/>
      <c r="U41" s="52">
        <f t="shared" si="10"/>
        <v>0</v>
      </c>
    </row>
    <row r="42" spans="1:21" x14ac:dyDescent="0.3">
      <c r="A42" s="14" t="str">
        <f t="shared" si="0"/>
        <v>(160, 180]</v>
      </c>
      <c r="B42" s="89">
        <v>69153</v>
      </c>
      <c r="C42" s="89">
        <v>1168637345</v>
      </c>
      <c r="D42" s="29">
        <f t="shared" si="1"/>
        <v>6.9152999999999993E-5</v>
      </c>
      <c r="E42" s="90">
        <f t="shared" si="2"/>
        <v>168.99300753401877</v>
      </c>
      <c r="F42" s="91"/>
      <c r="G42" s="14" t="str">
        <f t="shared" si="3"/>
        <v>(160, 180]</v>
      </c>
      <c r="H42" s="86">
        <v>0</v>
      </c>
      <c r="I42" s="29">
        <f t="shared" si="4"/>
        <v>0</v>
      </c>
      <c r="J42" s="29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7">
        <v>160</v>
      </c>
      <c r="P42" s="47">
        <v>180</v>
      </c>
      <c r="Q42" s="100">
        <f t="shared" si="9"/>
        <v>0</v>
      </c>
      <c r="R42" s="100">
        <v>0</v>
      </c>
      <c r="T42" s="100"/>
      <c r="U42" s="52">
        <f t="shared" si="10"/>
        <v>0</v>
      </c>
    </row>
    <row r="43" spans="1:21" x14ac:dyDescent="0.3">
      <c r="A43" s="14" t="str">
        <f t="shared" si="0"/>
        <v>(180, 200]</v>
      </c>
      <c r="B43" s="89">
        <v>44984</v>
      </c>
      <c r="C43" s="89">
        <v>851786160</v>
      </c>
      <c r="D43" s="29">
        <f t="shared" si="1"/>
        <v>4.4984000000000002E-5</v>
      </c>
      <c r="E43" s="90">
        <f t="shared" si="2"/>
        <v>189.35313889382891</v>
      </c>
      <c r="F43" s="91"/>
      <c r="G43" s="14" t="str">
        <f t="shared" si="3"/>
        <v>(180, 200]</v>
      </c>
      <c r="H43" s="86">
        <v>0</v>
      </c>
      <c r="I43" s="29">
        <f t="shared" si="4"/>
        <v>0</v>
      </c>
      <c r="J43" s="29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7">
        <v>180</v>
      </c>
      <c r="P43" s="47">
        <v>200</v>
      </c>
      <c r="Q43" s="100">
        <f t="shared" si="9"/>
        <v>0</v>
      </c>
      <c r="R43" s="100">
        <v>2.0999999999999999E-5</v>
      </c>
      <c r="T43" s="100"/>
      <c r="U43" s="52">
        <f t="shared" si="10"/>
        <v>0</v>
      </c>
    </row>
    <row r="44" spans="1:21" x14ac:dyDescent="0.3">
      <c r="A44" s="14" t="str">
        <f t="shared" si="0"/>
        <v>(200, 250]</v>
      </c>
      <c r="B44" s="89">
        <v>47840</v>
      </c>
      <c r="C44" s="89">
        <v>1054156880</v>
      </c>
      <c r="D44" s="29">
        <f t="shared" si="1"/>
        <v>4.7840000000000003E-5</v>
      </c>
      <c r="E44" s="90">
        <f t="shared" si="2"/>
        <v>220.35051839464882</v>
      </c>
      <c r="F44" s="91"/>
      <c r="G44" s="14" t="str">
        <f t="shared" si="3"/>
        <v>(200, 250]</v>
      </c>
      <c r="H44" s="86">
        <v>0</v>
      </c>
      <c r="I44" s="29">
        <f t="shared" si="4"/>
        <v>0</v>
      </c>
      <c r="J44" s="29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7">
        <v>200</v>
      </c>
      <c r="P44" s="47">
        <v>250</v>
      </c>
      <c r="Q44" s="100">
        <f t="shared" si="9"/>
        <v>0</v>
      </c>
      <c r="R44" s="100">
        <v>0</v>
      </c>
      <c r="T44" s="100"/>
      <c r="U44" s="52">
        <f t="shared" si="10"/>
        <v>0</v>
      </c>
    </row>
    <row r="45" spans="1:21" x14ac:dyDescent="0.3">
      <c r="A45" s="14" t="str">
        <f t="shared" si="0"/>
        <v>(250, 300]</v>
      </c>
      <c r="B45" s="89">
        <v>18019</v>
      </c>
      <c r="C45" s="89">
        <v>487888510</v>
      </c>
      <c r="D45" s="29">
        <f t="shared" si="1"/>
        <v>1.8019000000000001E-5</v>
      </c>
      <c r="E45" s="90">
        <f t="shared" si="2"/>
        <v>270.76336644652866</v>
      </c>
      <c r="F45" s="91"/>
      <c r="G45" s="14" t="str">
        <f t="shared" si="3"/>
        <v>(250, 300]</v>
      </c>
      <c r="H45" s="86">
        <v>0</v>
      </c>
      <c r="I45" s="29">
        <f t="shared" si="4"/>
        <v>0</v>
      </c>
      <c r="J45" s="29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7">
        <v>250</v>
      </c>
      <c r="P45" s="47">
        <v>300</v>
      </c>
      <c r="Q45" s="100">
        <f t="shared" si="9"/>
        <v>0</v>
      </c>
      <c r="R45" s="100">
        <v>0</v>
      </c>
      <c r="T45" s="100"/>
      <c r="U45" s="52">
        <f t="shared" si="10"/>
        <v>0</v>
      </c>
    </row>
    <row r="46" spans="1:21" x14ac:dyDescent="0.3">
      <c r="A46" s="14" t="str">
        <f t="shared" si="0"/>
        <v>(300, 350]</v>
      </c>
      <c r="B46" s="89">
        <v>6545</v>
      </c>
      <c r="C46" s="89">
        <v>210151740</v>
      </c>
      <c r="D46" s="29">
        <f t="shared" si="1"/>
        <v>6.545E-6</v>
      </c>
      <c r="E46" s="90">
        <f t="shared" si="2"/>
        <v>321.08745607333844</v>
      </c>
      <c r="F46" s="91"/>
      <c r="G46" s="14" t="str">
        <f t="shared" si="3"/>
        <v>(300, 350]</v>
      </c>
      <c r="H46" s="86">
        <v>0</v>
      </c>
      <c r="I46" s="29">
        <f t="shared" si="4"/>
        <v>0</v>
      </c>
      <c r="J46" s="29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7">
        <v>300</v>
      </c>
      <c r="P46" s="47">
        <v>350</v>
      </c>
      <c r="Q46" s="100">
        <f t="shared" si="9"/>
        <v>0</v>
      </c>
      <c r="R46" s="100">
        <v>0</v>
      </c>
      <c r="T46" s="100"/>
      <c r="U46" s="52">
        <f t="shared" si="10"/>
        <v>0</v>
      </c>
    </row>
    <row r="47" spans="1:21" x14ac:dyDescent="0.3">
      <c r="A47" s="14" t="str">
        <f t="shared" ref="A47:A78" si="11">"("&amp;$O47&amp;", "&amp;$P47&amp;"]"</f>
        <v>(350, 400]</v>
      </c>
      <c r="B47" s="89">
        <v>3388</v>
      </c>
      <c r="C47" s="89">
        <v>126557180</v>
      </c>
      <c r="D47" s="29">
        <f t="shared" ref="D47:D78" si="12">IFERROR(B47/SUM($B$15:$B$78),0)</f>
        <v>3.388E-6</v>
      </c>
      <c r="E47" s="90">
        <f t="shared" ref="E47:E79" si="13">IFERROR(C47/B47/$B$3,0)</f>
        <v>373.54539551357732</v>
      </c>
      <c r="F47" s="91"/>
      <c r="G47" s="14" t="str">
        <f t="shared" ref="G47:G78" si="14">"("&amp;$O47&amp;", "&amp;$P47&amp;"]"</f>
        <v>(350, 400]</v>
      </c>
      <c r="H47" s="86">
        <v>0</v>
      </c>
      <c r="I47" s="29">
        <f t="shared" ref="I47:I78" si="15">D47*H47</f>
        <v>0</v>
      </c>
      <c r="J47" s="29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7">
        <v>350</v>
      </c>
      <c r="P47" s="47">
        <v>400</v>
      </c>
      <c r="Q47" s="100">
        <f t="shared" ref="Q47:Q78" si="20">L47</f>
        <v>0</v>
      </c>
      <c r="R47" s="100">
        <v>0</v>
      </c>
      <c r="T47" s="100"/>
      <c r="U47" s="52">
        <f t="shared" ref="U47:U78" si="21">IFERROR(ROUND(T47/L47,2),0)</f>
        <v>0</v>
      </c>
    </row>
    <row r="48" spans="1:21" x14ac:dyDescent="0.3">
      <c r="A48" s="14" t="str">
        <f t="shared" si="11"/>
        <v>(400, 450]</v>
      </c>
      <c r="B48" s="89">
        <v>1445</v>
      </c>
      <c r="C48" s="89">
        <v>60909905</v>
      </c>
      <c r="D48" s="29">
        <f t="shared" si="12"/>
        <v>1.4449999999999999E-6</v>
      </c>
      <c r="E48" s="90">
        <f t="shared" si="13"/>
        <v>421.52183391003462</v>
      </c>
      <c r="F48" s="91"/>
      <c r="G48" s="14" t="str">
        <f t="shared" si="14"/>
        <v>(400, 450]</v>
      </c>
      <c r="H48" s="86">
        <v>0</v>
      </c>
      <c r="I48" s="29">
        <f t="shared" si="15"/>
        <v>0</v>
      </c>
      <c r="J48" s="29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7">
        <v>400</v>
      </c>
      <c r="P48" s="47">
        <v>450</v>
      </c>
      <c r="Q48" s="100">
        <f t="shared" si="20"/>
        <v>0</v>
      </c>
      <c r="R48" s="100">
        <v>0</v>
      </c>
      <c r="T48" s="100"/>
      <c r="U48" s="52">
        <f t="shared" si="21"/>
        <v>0</v>
      </c>
    </row>
    <row r="49" spans="1:21" x14ac:dyDescent="0.3">
      <c r="A49" s="14" t="str">
        <f t="shared" si="11"/>
        <v>(450, 500]</v>
      </c>
      <c r="B49" s="89">
        <v>859</v>
      </c>
      <c r="C49" s="89">
        <v>40850940</v>
      </c>
      <c r="D49" s="29">
        <f t="shared" si="12"/>
        <v>8.5899999999999995E-7</v>
      </c>
      <c r="E49" s="90">
        <f t="shared" si="13"/>
        <v>475.56391152502908</v>
      </c>
      <c r="F49" s="91"/>
      <c r="G49" s="14" t="str">
        <f t="shared" si="14"/>
        <v>(450, 500]</v>
      </c>
      <c r="H49" s="86">
        <v>0</v>
      </c>
      <c r="I49" s="29">
        <f t="shared" si="15"/>
        <v>0</v>
      </c>
      <c r="J49" s="29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7">
        <v>450</v>
      </c>
      <c r="P49" s="47">
        <v>500</v>
      </c>
      <c r="Q49" s="100">
        <f t="shared" si="20"/>
        <v>0</v>
      </c>
      <c r="R49" s="100">
        <v>0</v>
      </c>
      <c r="T49" s="100"/>
      <c r="U49" s="52">
        <f t="shared" si="21"/>
        <v>0</v>
      </c>
    </row>
    <row r="50" spans="1:21" x14ac:dyDescent="0.3">
      <c r="A50" s="14" t="str">
        <f t="shared" si="11"/>
        <v>(500, 550]</v>
      </c>
      <c r="B50" s="89">
        <v>461</v>
      </c>
      <c r="C50" s="89">
        <v>24059565</v>
      </c>
      <c r="D50" s="29">
        <f t="shared" si="12"/>
        <v>4.6100000000000001E-7</v>
      </c>
      <c r="E50" s="90">
        <f t="shared" si="13"/>
        <v>521.89945770065071</v>
      </c>
      <c r="F50" s="91"/>
      <c r="G50" s="14" t="str">
        <f t="shared" si="14"/>
        <v>(500, 550]</v>
      </c>
      <c r="H50" s="86">
        <v>0</v>
      </c>
      <c r="I50" s="29">
        <f t="shared" si="15"/>
        <v>0</v>
      </c>
      <c r="J50" s="29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7">
        <v>500</v>
      </c>
      <c r="P50" s="47">
        <v>550</v>
      </c>
      <c r="Q50" s="100">
        <f t="shared" si="20"/>
        <v>0</v>
      </c>
      <c r="R50" s="100">
        <v>0</v>
      </c>
      <c r="T50" s="100"/>
      <c r="U50" s="52">
        <f t="shared" si="21"/>
        <v>0</v>
      </c>
    </row>
    <row r="51" spans="1:21" x14ac:dyDescent="0.3">
      <c r="A51" s="14" t="str">
        <f t="shared" si="11"/>
        <v>(550, 600]</v>
      </c>
      <c r="B51" s="89">
        <v>321</v>
      </c>
      <c r="C51" s="89">
        <v>18281215</v>
      </c>
      <c r="D51" s="29">
        <f t="shared" si="12"/>
        <v>3.2099999999999998E-7</v>
      </c>
      <c r="E51" s="90">
        <f t="shared" si="13"/>
        <v>569.50825545171347</v>
      </c>
      <c r="F51" s="91"/>
      <c r="G51" s="14" t="str">
        <f t="shared" si="14"/>
        <v>(550, 600]</v>
      </c>
      <c r="H51" s="86">
        <v>0</v>
      </c>
      <c r="I51" s="29">
        <f t="shared" si="15"/>
        <v>0</v>
      </c>
      <c r="J51" s="29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7">
        <v>550</v>
      </c>
      <c r="P51" s="47">
        <v>600</v>
      </c>
      <c r="Q51" s="100">
        <f t="shared" si="20"/>
        <v>0</v>
      </c>
      <c r="R51" s="100">
        <v>0</v>
      </c>
      <c r="T51" s="100"/>
      <c r="U51" s="52">
        <f t="shared" si="21"/>
        <v>0</v>
      </c>
    </row>
    <row r="52" spans="1:21" x14ac:dyDescent="0.3">
      <c r="A52" s="14" t="str">
        <f t="shared" si="11"/>
        <v>(600, 650]</v>
      </c>
      <c r="B52" s="89">
        <v>135</v>
      </c>
      <c r="C52" s="89">
        <v>8432440</v>
      </c>
      <c r="D52" s="29">
        <f t="shared" si="12"/>
        <v>1.35E-7</v>
      </c>
      <c r="E52" s="90">
        <f t="shared" si="13"/>
        <v>624.62518518518516</v>
      </c>
      <c r="F52" s="91"/>
      <c r="G52" s="14" t="str">
        <f t="shared" si="14"/>
        <v>(600, 650]</v>
      </c>
      <c r="H52" s="86">
        <v>0</v>
      </c>
      <c r="I52" s="29">
        <f t="shared" si="15"/>
        <v>0</v>
      </c>
      <c r="J52" s="29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7">
        <v>600</v>
      </c>
      <c r="P52" s="47">
        <v>650</v>
      </c>
      <c r="Q52" s="100">
        <f t="shared" si="20"/>
        <v>0</v>
      </c>
      <c r="R52" s="100">
        <v>0</v>
      </c>
      <c r="T52" s="100"/>
      <c r="U52" s="52">
        <f t="shared" si="21"/>
        <v>0</v>
      </c>
    </row>
    <row r="53" spans="1:21" x14ac:dyDescent="0.3">
      <c r="A53" s="14" t="str">
        <f t="shared" si="11"/>
        <v>(650, 700]</v>
      </c>
      <c r="B53" s="89">
        <v>74</v>
      </c>
      <c r="C53" s="89">
        <v>4951330</v>
      </c>
      <c r="D53" s="29">
        <f t="shared" si="12"/>
        <v>7.4000000000000001E-8</v>
      </c>
      <c r="E53" s="90">
        <f t="shared" si="13"/>
        <v>669.09864864864869</v>
      </c>
      <c r="F53" s="91"/>
      <c r="G53" s="14" t="str">
        <f t="shared" si="14"/>
        <v>(650, 700]</v>
      </c>
      <c r="H53" s="86">
        <v>0</v>
      </c>
      <c r="I53" s="29">
        <f t="shared" si="15"/>
        <v>0</v>
      </c>
      <c r="J53" s="29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7">
        <v>650</v>
      </c>
      <c r="P53" s="47">
        <v>700</v>
      </c>
      <c r="Q53" s="100">
        <f t="shared" si="20"/>
        <v>0</v>
      </c>
      <c r="R53" s="100">
        <v>0</v>
      </c>
      <c r="T53" s="100"/>
      <c r="U53" s="52">
        <f t="shared" si="21"/>
        <v>0</v>
      </c>
    </row>
    <row r="54" spans="1:21" x14ac:dyDescent="0.3">
      <c r="A54" s="14" t="str">
        <f t="shared" si="11"/>
        <v>(700, 750]</v>
      </c>
      <c r="B54" s="89">
        <v>91</v>
      </c>
      <c r="C54" s="89">
        <v>6648350</v>
      </c>
      <c r="D54" s="29">
        <f t="shared" si="12"/>
        <v>9.0999999999999994E-8</v>
      </c>
      <c r="E54" s="90">
        <f t="shared" si="13"/>
        <v>730.58791208791217</v>
      </c>
      <c r="F54" s="91"/>
      <c r="G54" s="14" t="str">
        <f t="shared" si="14"/>
        <v>(700, 750]</v>
      </c>
      <c r="H54" s="86">
        <v>0</v>
      </c>
      <c r="I54" s="29">
        <f t="shared" si="15"/>
        <v>0</v>
      </c>
      <c r="J54" s="29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7">
        <v>700</v>
      </c>
      <c r="P54" s="47">
        <v>750</v>
      </c>
      <c r="Q54" s="100">
        <f t="shared" si="20"/>
        <v>0</v>
      </c>
      <c r="R54" s="100">
        <v>0</v>
      </c>
      <c r="T54" s="100"/>
      <c r="U54" s="52">
        <f t="shared" si="21"/>
        <v>0</v>
      </c>
    </row>
    <row r="55" spans="1:21" x14ac:dyDescent="0.3">
      <c r="A55" s="14" t="str">
        <f t="shared" si="11"/>
        <v>(750, 800]</v>
      </c>
      <c r="B55" s="89">
        <v>59</v>
      </c>
      <c r="C55" s="89">
        <v>4532570</v>
      </c>
      <c r="D55" s="29">
        <f t="shared" si="12"/>
        <v>5.8999999999999999E-8</v>
      </c>
      <c r="E55" s="90">
        <f t="shared" si="13"/>
        <v>768.23220338983049</v>
      </c>
      <c r="F55" s="91"/>
      <c r="G55" s="14" t="str">
        <f t="shared" si="14"/>
        <v>(750, 800]</v>
      </c>
      <c r="H55" s="86">
        <v>0</v>
      </c>
      <c r="I55" s="29">
        <f t="shared" si="15"/>
        <v>0</v>
      </c>
      <c r="J55" s="29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7">
        <v>750</v>
      </c>
      <c r="P55" s="47">
        <v>800</v>
      </c>
      <c r="Q55" s="100">
        <f t="shared" si="20"/>
        <v>0</v>
      </c>
      <c r="R55" s="100">
        <v>0</v>
      </c>
      <c r="T55" s="100"/>
      <c r="U55" s="52">
        <f t="shared" si="21"/>
        <v>0</v>
      </c>
    </row>
    <row r="56" spans="1:21" x14ac:dyDescent="0.3">
      <c r="A56" s="14" t="str">
        <f t="shared" si="11"/>
        <v>(800, 850]</v>
      </c>
      <c r="B56" s="89">
        <v>38</v>
      </c>
      <c r="C56" s="89">
        <v>3142735</v>
      </c>
      <c r="D56" s="29">
        <f t="shared" si="12"/>
        <v>3.8000000000000003E-8</v>
      </c>
      <c r="E56" s="90">
        <f t="shared" si="13"/>
        <v>827.03552631578941</v>
      </c>
      <c r="F56" s="91"/>
      <c r="G56" s="14" t="str">
        <f t="shared" si="14"/>
        <v>(800, 850]</v>
      </c>
      <c r="H56" s="86">
        <v>0</v>
      </c>
      <c r="I56" s="29">
        <f t="shared" si="15"/>
        <v>0</v>
      </c>
      <c r="J56" s="29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7">
        <v>800</v>
      </c>
      <c r="P56" s="47">
        <v>850</v>
      </c>
      <c r="Q56" s="100">
        <f t="shared" si="20"/>
        <v>0</v>
      </c>
      <c r="R56" s="100">
        <v>0</v>
      </c>
      <c r="T56" s="100"/>
      <c r="U56" s="52">
        <f t="shared" si="21"/>
        <v>0</v>
      </c>
    </row>
    <row r="57" spans="1:21" x14ac:dyDescent="0.3">
      <c r="A57" s="14" t="str">
        <f t="shared" si="11"/>
        <v>(850, 900]</v>
      </c>
      <c r="B57" s="89">
        <v>11</v>
      </c>
      <c r="C57" s="89">
        <v>959050</v>
      </c>
      <c r="D57" s="29">
        <f t="shared" si="12"/>
        <v>1.0999999999999999E-8</v>
      </c>
      <c r="E57" s="90">
        <f t="shared" si="13"/>
        <v>871.86363636363637</v>
      </c>
      <c r="F57" s="91"/>
      <c r="G57" s="14" t="str">
        <f t="shared" si="14"/>
        <v>(850, 900]</v>
      </c>
      <c r="H57" s="86">
        <v>0</v>
      </c>
      <c r="I57" s="29">
        <f t="shared" si="15"/>
        <v>0</v>
      </c>
      <c r="J57" s="29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7">
        <v>850</v>
      </c>
      <c r="P57" s="47">
        <v>900</v>
      </c>
      <c r="Q57" s="100">
        <f t="shared" si="20"/>
        <v>0</v>
      </c>
      <c r="R57" s="100">
        <v>0</v>
      </c>
      <c r="T57" s="100"/>
      <c r="U57" s="52">
        <f t="shared" si="21"/>
        <v>0</v>
      </c>
    </row>
    <row r="58" spans="1:21" x14ac:dyDescent="0.3">
      <c r="A58" s="14" t="str">
        <f t="shared" si="11"/>
        <v>(900, 950]</v>
      </c>
      <c r="B58" s="89">
        <v>16</v>
      </c>
      <c r="C58" s="89">
        <v>1478095</v>
      </c>
      <c r="D58" s="29">
        <f t="shared" si="12"/>
        <v>1.6000000000000001E-8</v>
      </c>
      <c r="E58" s="90">
        <f t="shared" si="13"/>
        <v>923.80937500000005</v>
      </c>
      <c r="F58" s="91"/>
      <c r="G58" s="14" t="str">
        <f t="shared" si="14"/>
        <v>(900, 950]</v>
      </c>
      <c r="H58" s="86">
        <v>0</v>
      </c>
      <c r="I58" s="29">
        <f t="shared" si="15"/>
        <v>0</v>
      </c>
      <c r="J58" s="29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7">
        <v>900</v>
      </c>
      <c r="P58" s="47">
        <v>950</v>
      </c>
      <c r="Q58" s="100">
        <f t="shared" si="20"/>
        <v>0</v>
      </c>
      <c r="R58" s="100">
        <v>0</v>
      </c>
      <c r="T58" s="100"/>
      <c r="U58" s="52">
        <f t="shared" si="21"/>
        <v>0</v>
      </c>
    </row>
    <row r="59" spans="1:21" x14ac:dyDescent="0.3">
      <c r="A59" s="14" t="str">
        <f t="shared" si="11"/>
        <v>(950, 1000]</v>
      </c>
      <c r="B59" s="89">
        <v>13</v>
      </c>
      <c r="C59" s="89">
        <v>1274470</v>
      </c>
      <c r="D59" s="29">
        <f t="shared" si="12"/>
        <v>1.3000000000000001E-8</v>
      </c>
      <c r="E59" s="90">
        <f t="shared" si="13"/>
        <v>980.36153846153843</v>
      </c>
      <c r="F59" s="91"/>
      <c r="G59" s="14" t="str">
        <f t="shared" si="14"/>
        <v>(950, 1000]</v>
      </c>
      <c r="H59" s="86">
        <v>0</v>
      </c>
      <c r="I59" s="29">
        <f t="shared" si="15"/>
        <v>0</v>
      </c>
      <c r="J59" s="29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7">
        <v>950</v>
      </c>
      <c r="P59" s="47">
        <v>1000</v>
      </c>
      <c r="Q59" s="100">
        <f t="shared" si="20"/>
        <v>0</v>
      </c>
      <c r="R59" s="100">
        <v>0</v>
      </c>
      <c r="T59" s="100"/>
      <c r="U59" s="52">
        <f t="shared" si="21"/>
        <v>0</v>
      </c>
    </row>
    <row r="60" spans="1:21" x14ac:dyDescent="0.3">
      <c r="A60" s="14" t="str">
        <f t="shared" si="11"/>
        <v>(1000, 2000]</v>
      </c>
      <c r="B60" s="89">
        <v>30</v>
      </c>
      <c r="C60" s="89">
        <v>3442955</v>
      </c>
      <c r="D60" s="29">
        <f t="shared" si="12"/>
        <v>2.9999999999999997E-8</v>
      </c>
      <c r="E60" s="90">
        <f t="shared" si="13"/>
        <v>1147.6516666666666</v>
      </c>
      <c r="F60" s="91"/>
      <c r="G60" s="14" t="str">
        <f t="shared" si="14"/>
        <v>(1000, 2000]</v>
      </c>
      <c r="H60" s="86">
        <v>0</v>
      </c>
      <c r="I60" s="29">
        <f t="shared" si="15"/>
        <v>0</v>
      </c>
      <c r="J60" s="29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7">
        <v>1000</v>
      </c>
      <c r="P60" s="47">
        <v>2000</v>
      </c>
      <c r="Q60" s="100">
        <f t="shared" si="20"/>
        <v>0</v>
      </c>
      <c r="R60" s="100">
        <v>0</v>
      </c>
      <c r="T60" s="100"/>
      <c r="U60" s="52">
        <f t="shared" si="21"/>
        <v>0</v>
      </c>
    </row>
    <row r="61" spans="1:21" x14ac:dyDescent="0.3">
      <c r="A61" s="14" t="str">
        <f t="shared" si="11"/>
        <v>(2000, 3000]</v>
      </c>
      <c r="B61" s="89">
        <v>0</v>
      </c>
      <c r="C61" s="89">
        <v>0</v>
      </c>
      <c r="D61" s="29">
        <f t="shared" si="12"/>
        <v>0</v>
      </c>
      <c r="E61" s="90">
        <f t="shared" si="13"/>
        <v>0</v>
      </c>
      <c r="F61" s="91"/>
      <c r="G61" s="14" t="str">
        <f t="shared" si="14"/>
        <v>(2000, 3000]</v>
      </c>
      <c r="H61" s="86">
        <v>0</v>
      </c>
      <c r="I61" s="29">
        <f t="shared" si="15"/>
        <v>0</v>
      </c>
      <c r="J61" s="29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7">
        <v>2000</v>
      </c>
      <c r="P61" s="47">
        <v>3000</v>
      </c>
      <c r="Q61" s="100">
        <f t="shared" si="20"/>
        <v>0</v>
      </c>
      <c r="R61" s="100">
        <v>0</v>
      </c>
      <c r="T61" s="100"/>
      <c r="U61" s="52">
        <f t="shared" si="21"/>
        <v>0</v>
      </c>
    </row>
    <row r="62" spans="1:21" x14ac:dyDescent="0.3">
      <c r="A62" s="14" t="str">
        <f t="shared" si="11"/>
        <v>(3000, 4000]</v>
      </c>
      <c r="B62" s="89">
        <v>0</v>
      </c>
      <c r="C62" s="89">
        <v>0</v>
      </c>
      <c r="D62" s="29">
        <f t="shared" si="12"/>
        <v>0</v>
      </c>
      <c r="E62" s="90">
        <f t="shared" si="13"/>
        <v>0</v>
      </c>
      <c r="F62" s="91"/>
      <c r="G62" s="14" t="str">
        <f t="shared" si="14"/>
        <v>(3000, 4000]</v>
      </c>
      <c r="H62" s="86">
        <v>0</v>
      </c>
      <c r="I62" s="29">
        <f t="shared" si="15"/>
        <v>0</v>
      </c>
      <c r="J62" s="29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7">
        <v>3000</v>
      </c>
      <c r="P62" s="47">
        <v>4000</v>
      </c>
      <c r="Q62" s="100">
        <f t="shared" si="20"/>
        <v>0</v>
      </c>
      <c r="R62" s="100">
        <v>0</v>
      </c>
      <c r="T62" s="100"/>
      <c r="U62" s="52">
        <f t="shared" si="21"/>
        <v>0</v>
      </c>
    </row>
    <row r="63" spans="1:21" x14ac:dyDescent="0.3">
      <c r="A63" s="14" t="str">
        <f t="shared" si="11"/>
        <v>(4000, 5000]</v>
      </c>
      <c r="B63" s="89">
        <v>0</v>
      </c>
      <c r="C63" s="89">
        <v>0</v>
      </c>
      <c r="D63" s="29">
        <f t="shared" si="12"/>
        <v>0</v>
      </c>
      <c r="E63" s="90">
        <f t="shared" si="13"/>
        <v>0</v>
      </c>
      <c r="F63" s="91"/>
      <c r="G63" s="14" t="str">
        <f t="shared" si="14"/>
        <v>(4000, 5000]</v>
      </c>
      <c r="H63" s="86">
        <v>0</v>
      </c>
      <c r="I63" s="29">
        <f t="shared" si="15"/>
        <v>0</v>
      </c>
      <c r="J63" s="29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7">
        <v>4000</v>
      </c>
      <c r="P63" s="47">
        <v>5000</v>
      </c>
      <c r="Q63" s="100">
        <f t="shared" si="20"/>
        <v>0</v>
      </c>
      <c r="R63" s="100">
        <v>0</v>
      </c>
      <c r="T63" s="100"/>
      <c r="U63" s="52">
        <f t="shared" si="21"/>
        <v>0</v>
      </c>
    </row>
    <row r="64" spans="1:21" x14ac:dyDescent="0.3">
      <c r="A64" s="14" t="str">
        <f t="shared" si="11"/>
        <v>(5000, 6000]</v>
      </c>
      <c r="B64" s="89">
        <v>0</v>
      </c>
      <c r="C64" s="89">
        <v>0</v>
      </c>
      <c r="D64" s="29">
        <f t="shared" si="12"/>
        <v>0</v>
      </c>
      <c r="E64" s="90">
        <f t="shared" si="13"/>
        <v>0</v>
      </c>
      <c r="F64" s="91"/>
      <c r="G64" s="14" t="str">
        <f t="shared" si="14"/>
        <v>(5000, 6000]</v>
      </c>
      <c r="H64" s="86">
        <v>0</v>
      </c>
      <c r="I64" s="29">
        <f t="shared" si="15"/>
        <v>0</v>
      </c>
      <c r="J64" s="29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7">
        <v>5000</v>
      </c>
      <c r="P64" s="47">
        <v>6000</v>
      </c>
      <c r="Q64" s="100">
        <f t="shared" si="20"/>
        <v>0</v>
      </c>
      <c r="R64" s="100">
        <v>0</v>
      </c>
      <c r="T64" s="100"/>
      <c r="U64" s="52">
        <f t="shared" si="21"/>
        <v>0</v>
      </c>
    </row>
    <row r="65" spans="1:21" x14ac:dyDescent="0.3">
      <c r="A65" s="14" t="str">
        <f t="shared" si="11"/>
        <v>(6000, 7000]</v>
      </c>
      <c r="B65" s="89">
        <v>0</v>
      </c>
      <c r="C65" s="89">
        <v>0</v>
      </c>
      <c r="D65" s="29">
        <f t="shared" si="12"/>
        <v>0</v>
      </c>
      <c r="E65" s="90">
        <f t="shared" si="13"/>
        <v>0</v>
      </c>
      <c r="F65" s="91"/>
      <c r="G65" s="14" t="str">
        <f t="shared" si="14"/>
        <v>(6000, 7000]</v>
      </c>
      <c r="H65" s="86">
        <v>0</v>
      </c>
      <c r="I65" s="29">
        <f t="shared" si="15"/>
        <v>0</v>
      </c>
      <c r="J65" s="29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7">
        <v>6000</v>
      </c>
      <c r="P65" s="47">
        <v>7000</v>
      </c>
      <c r="Q65" s="100">
        <f t="shared" si="20"/>
        <v>0</v>
      </c>
      <c r="R65" s="100">
        <v>0</v>
      </c>
      <c r="T65" s="100"/>
      <c r="U65" s="52">
        <f t="shared" si="21"/>
        <v>0</v>
      </c>
    </row>
    <row r="66" spans="1:21" x14ac:dyDescent="0.3">
      <c r="A66" s="14" t="str">
        <f t="shared" si="11"/>
        <v>(7000, 8000]</v>
      </c>
      <c r="B66" s="89">
        <v>0</v>
      </c>
      <c r="C66" s="89">
        <v>0</v>
      </c>
      <c r="D66" s="29">
        <f t="shared" si="12"/>
        <v>0</v>
      </c>
      <c r="E66" s="90">
        <f t="shared" si="13"/>
        <v>0</v>
      </c>
      <c r="F66" s="91"/>
      <c r="G66" s="14" t="str">
        <f t="shared" si="14"/>
        <v>(7000, 8000]</v>
      </c>
      <c r="H66" s="86">
        <v>0</v>
      </c>
      <c r="I66" s="29">
        <f t="shared" si="15"/>
        <v>0</v>
      </c>
      <c r="J66" s="29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7">
        <v>7000</v>
      </c>
      <c r="P66" s="47">
        <v>8000</v>
      </c>
      <c r="Q66" s="100">
        <f t="shared" si="20"/>
        <v>0</v>
      </c>
      <c r="R66" s="100">
        <v>0</v>
      </c>
      <c r="T66" s="100"/>
      <c r="U66" s="52">
        <f t="shared" si="21"/>
        <v>0</v>
      </c>
    </row>
    <row r="67" spans="1:21" x14ac:dyDescent="0.3">
      <c r="A67" s="14" t="str">
        <f t="shared" si="11"/>
        <v>(8000, 9000]</v>
      </c>
      <c r="B67" s="89">
        <v>0</v>
      </c>
      <c r="C67" s="89">
        <v>0</v>
      </c>
      <c r="D67" s="29">
        <f t="shared" si="12"/>
        <v>0</v>
      </c>
      <c r="E67" s="90">
        <f t="shared" si="13"/>
        <v>0</v>
      </c>
      <c r="F67" s="91"/>
      <c r="G67" s="14" t="str">
        <f t="shared" si="14"/>
        <v>(8000, 9000]</v>
      </c>
      <c r="H67" s="86">
        <v>0</v>
      </c>
      <c r="I67" s="29">
        <f t="shared" si="15"/>
        <v>0</v>
      </c>
      <c r="J67" s="29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7">
        <v>8000</v>
      </c>
      <c r="P67" s="47">
        <v>9000</v>
      </c>
      <c r="Q67" s="100">
        <f t="shared" si="20"/>
        <v>0</v>
      </c>
      <c r="R67" s="100">
        <v>0</v>
      </c>
      <c r="T67" s="100"/>
      <c r="U67" s="52">
        <f t="shared" si="21"/>
        <v>0</v>
      </c>
    </row>
    <row r="68" spans="1:21" x14ac:dyDescent="0.3">
      <c r="A68" s="14" t="str">
        <f t="shared" si="11"/>
        <v>(9000, 10000]</v>
      </c>
      <c r="B68" s="89">
        <v>0</v>
      </c>
      <c r="C68" s="89">
        <v>0</v>
      </c>
      <c r="D68" s="29">
        <f t="shared" si="12"/>
        <v>0</v>
      </c>
      <c r="E68" s="90">
        <f t="shared" si="13"/>
        <v>0</v>
      </c>
      <c r="F68" s="91"/>
      <c r="G68" s="14" t="str">
        <f t="shared" si="14"/>
        <v>(9000, 10000]</v>
      </c>
      <c r="H68" s="86">
        <v>0</v>
      </c>
      <c r="I68" s="29">
        <f t="shared" si="15"/>
        <v>0</v>
      </c>
      <c r="J68" s="29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7">
        <v>9000</v>
      </c>
      <c r="P68" s="47">
        <v>10000</v>
      </c>
      <c r="Q68" s="100">
        <f t="shared" si="20"/>
        <v>0</v>
      </c>
      <c r="R68" s="100">
        <v>0</v>
      </c>
      <c r="T68" s="100"/>
      <c r="U68" s="52">
        <f t="shared" si="21"/>
        <v>0</v>
      </c>
    </row>
    <row r="69" spans="1:21" x14ac:dyDescent="0.3">
      <c r="A69" s="14" t="str">
        <f t="shared" si="11"/>
        <v>(10000, 20000]</v>
      </c>
      <c r="B69" s="89">
        <v>0</v>
      </c>
      <c r="C69" s="89">
        <v>0</v>
      </c>
      <c r="D69" s="29">
        <f t="shared" si="12"/>
        <v>0</v>
      </c>
      <c r="E69" s="90">
        <f t="shared" si="13"/>
        <v>0</v>
      </c>
      <c r="F69" s="91"/>
      <c r="G69" s="14" t="str">
        <f t="shared" si="14"/>
        <v>(10000, 20000]</v>
      </c>
      <c r="H69" s="86">
        <v>0</v>
      </c>
      <c r="I69" s="29">
        <f t="shared" si="15"/>
        <v>0</v>
      </c>
      <c r="J69" s="29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7">
        <v>10000</v>
      </c>
      <c r="P69" s="47">
        <v>20000</v>
      </c>
      <c r="Q69" s="100">
        <f t="shared" si="20"/>
        <v>0</v>
      </c>
      <c r="R69" s="100">
        <v>0</v>
      </c>
      <c r="T69" s="100"/>
      <c r="U69" s="52">
        <f t="shared" si="21"/>
        <v>0</v>
      </c>
    </row>
    <row r="70" spans="1:21" x14ac:dyDescent="0.3">
      <c r="A70" s="14" t="str">
        <f t="shared" si="11"/>
        <v>(20000, 30000]</v>
      </c>
      <c r="B70" s="89">
        <v>0</v>
      </c>
      <c r="C70" s="89">
        <v>0</v>
      </c>
      <c r="D70" s="29">
        <f t="shared" si="12"/>
        <v>0</v>
      </c>
      <c r="E70" s="90">
        <f t="shared" si="13"/>
        <v>0</v>
      </c>
      <c r="F70" s="91"/>
      <c r="G70" s="14" t="str">
        <f t="shared" si="14"/>
        <v>(20000, 30000]</v>
      </c>
      <c r="H70" s="86">
        <v>0</v>
      </c>
      <c r="I70" s="29">
        <f t="shared" si="15"/>
        <v>0</v>
      </c>
      <c r="J70" s="29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7">
        <v>20000</v>
      </c>
      <c r="P70" s="47">
        <v>30000</v>
      </c>
      <c r="Q70" s="100">
        <f t="shared" si="20"/>
        <v>0</v>
      </c>
      <c r="R70" s="100">
        <v>0</v>
      </c>
      <c r="T70" s="100"/>
      <c r="U70" s="52">
        <f t="shared" si="21"/>
        <v>0</v>
      </c>
    </row>
    <row r="71" spans="1:21" x14ac:dyDescent="0.3">
      <c r="A71" s="14" t="str">
        <f t="shared" si="11"/>
        <v>(30000, 40000]</v>
      </c>
      <c r="B71" s="89">
        <v>0</v>
      </c>
      <c r="C71" s="89">
        <v>0</v>
      </c>
      <c r="D71" s="29">
        <f t="shared" si="12"/>
        <v>0</v>
      </c>
      <c r="E71" s="90">
        <f t="shared" si="13"/>
        <v>0</v>
      </c>
      <c r="F71" s="91"/>
      <c r="G71" s="14" t="str">
        <f t="shared" si="14"/>
        <v>(30000, 40000]</v>
      </c>
      <c r="H71" s="86">
        <v>0</v>
      </c>
      <c r="I71" s="29">
        <f t="shared" si="15"/>
        <v>0</v>
      </c>
      <c r="J71" s="29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7">
        <v>30000</v>
      </c>
      <c r="P71" s="47">
        <v>40000</v>
      </c>
      <c r="Q71" s="100">
        <f t="shared" si="20"/>
        <v>0</v>
      </c>
      <c r="R71" s="100">
        <v>0</v>
      </c>
      <c r="T71" s="100"/>
      <c r="U71" s="52">
        <f t="shared" si="21"/>
        <v>0</v>
      </c>
    </row>
    <row r="72" spans="1:21" x14ac:dyDescent="0.3">
      <c r="A72" s="14" t="str">
        <f t="shared" si="11"/>
        <v>(40000, 50000]</v>
      </c>
      <c r="B72" s="89">
        <v>0</v>
      </c>
      <c r="C72" s="89">
        <v>0</v>
      </c>
      <c r="D72" s="29">
        <f t="shared" si="12"/>
        <v>0</v>
      </c>
      <c r="E72" s="90">
        <f t="shared" si="13"/>
        <v>0</v>
      </c>
      <c r="F72" s="91"/>
      <c r="G72" s="14" t="str">
        <f t="shared" si="14"/>
        <v>(40000, 50000]</v>
      </c>
      <c r="H72" s="86">
        <v>0</v>
      </c>
      <c r="I72" s="29">
        <f t="shared" si="15"/>
        <v>0</v>
      </c>
      <c r="J72" s="29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7">
        <v>40000</v>
      </c>
      <c r="P72" s="47">
        <v>50000</v>
      </c>
      <c r="Q72" s="100">
        <f t="shared" si="20"/>
        <v>0</v>
      </c>
      <c r="R72" s="100">
        <v>0</v>
      </c>
      <c r="T72" s="100"/>
      <c r="U72" s="52">
        <f t="shared" si="21"/>
        <v>0</v>
      </c>
    </row>
    <row r="73" spans="1:21" x14ac:dyDescent="0.3">
      <c r="A73" s="14" t="str">
        <f t="shared" si="11"/>
        <v>(50000, 60000]</v>
      </c>
      <c r="B73" s="89">
        <v>0</v>
      </c>
      <c r="C73" s="89">
        <v>0</v>
      </c>
      <c r="D73" s="29">
        <f t="shared" si="12"/>
        <v>0</v>
      </c>
      <c r="E73" s="90">
        <f t="shared" si="13"/>
        <v>0</v>
      </c>
      <c r="F73" s="91"/>
      <c r="G73" s="14" t="str">
        <f t="shared" si="14"/>
        <v>(50000, 60000]</v>
      </c>
      <c r="H73" s="86">
        <v>0</v>
      </c>
      <c r="I73" s="29">
        <f t="shared" si="15"/>
        <v>0</v>
      </c>
      <c r="J73" s="29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7">
        <v>50000</v>
      </c>
      <c r="P73" s="47">
        <v>60000</v>
      </c>
      <c r="Q73" s="100">
        <f t="shared" si="20"/>
        <v>0</v>
      </c>
      <c r="R73" s="100">
        <v>0</v>
      </c>
      <c r="T73" s="100"/>
      <c r="U73" s="52">
        <f t="shared" si="21"/>
        <v>0</v>
      </c>
    </row>
    <row r="74" spans="1:21" x14ac:dyDescent="0.3">
      <c r="A74" s="14" t="str">
        <f t="shared" si="11"/>
        <v>(60000, 70000]</v>
      </c>
      <c r="B74" s="89">
        <v>0</v>
      </c>
      <c r="C74" s="89">
        <v>0</v>
      </c>
      <c r="D74" s="29">
        <f t="shared" si="12"/>
        <v>0</v>
      </c>
      <c r="E74" s="90">
        <f t="shared" si="13"/>
        <v>0</v>
      </c>
      <c r="F74" s="91"/>
      <c r="G74" s="14" t="str">
        <f t="shared" si="14"/>
        <v>(60000, 70000]</v>
      </c>
      <c r="H74" s="86">
        <v>0</v>
      </c>
      <c r="I74" s="29">
        <f t="shared" si="15"/>
        <v>0</v>
      </c>
      <c r="J74" s="29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7">
        <v>60000</v>
      </c>
      <c r="P74" s="47">
        <v>70000</v>
      </c>
      <c r="Q74" s="100">
        <f t="shared" si="20"/>
        <v>0</v>
      </c>
      <c r="R74" s="100">
        <v>0</v>
      </c>
      <c r="T74" s="100"/>
      <c r="U74" s="52">
        <f t="shared" si="21"/>
        <v>0</v>
      </c>
    </row>
    <row r="75" spans="1:21" x14ac:dyDescent="0.3">
      <c r="A75" s="14" t="str">
        <f t="shared" si="11"/>
        <v>(70000, 80000]</v>
      </c>
      <c r="B75" s="89">
        <v>0</v>
      </c>
      <c r="C75" s="89">
        <v>0</v>
      </c>
      <c r="D75" s="29">
        <f t="shared" si="12"/>
        <v>0</v>
      </c>
      <c r="E75" s="90">
        <f t="shared" si="13"/>
        <v>0</v>
      </c>
      <c r="F75" s="91"/>
      <c r="G75" s="14" t="str">
        <f t="shared" si="14"/>
        <v>(70000, 80000]</v>
      </c>
      <c r="H75" s="86">
        <v>0</v>
      </c>
      <c r="I75" s="29">
        <f t="shared" si="15"/>
        <v>0</v>
      </c>
      <c r="J75" s="29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7">
        <v>70000</v>
      </c>
      <c r="P75" s="47">
        <v>80000</v>
      </c>
      <c r="Q75" s="100">
        <f t="shared" si="20"/>
        <v>0</v>
      </c>
      <c r="R75" s="100">
        <v>0</v>
      </c>
      <c r="T75" s="100"/>
      <c r="U75" s="52">
        <f t="shared" si="21"/>
        <v>0</v>
      </c>
    </row>
    <row r="76" spans="1:21" x14ac:dyDescent="0.3">
      <c r="A76" s="14" t="str">
        <f t="shared" si="11"/>
        <v>(80000, 90000]</v>
      </c>
      <c r="B76" s="89">
        <v>0</v>
      </c>
      <c r="C76" s="89">
        <v>0</v>
      </c>
      <c r="D76" s="29">
        <f t="shared" si="12"/>
        <v>0</v>
      </c>
      <c r="E76" s="90">
        <f t="shared" si="13"/>
        <v>0</v>
      </c>
      <c r="F76" s="91"/>
      <c r="G76" s="14" t="str">
        <f t="shared" si="14"/>
        <v>(80000, 90000]</v>
      </c>
      <c r="H76" s="86">
        <v>0</v>
      </c>
      <c r="I76" s="29">
        <f t="shared" si="15"/>
        <v>0</v>
      </c>
      <c r="J76" s="29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7">
        <v>80000</v>
      </c>
      <c r="P76" s="47">
        <v>90000</v>
      </c>
      <c r="Q76" s="100">
        <f t="shared" si="20"/>
        <v>0</v>
      </c>
      <c r="R76" s="100">
        <v>0</v>
      </c>
      <c r="T76" s="100"/>
      <c r="U76" s="52">
        <f t="shared" si="21"/>
        <v>0</v>
      </c>
    </row>
    <row r="77" spans="1:21" x14ac:dyDescent="0.3">
      <c r="A77" s="14" t="str">
        <f t="shared" si="11"/>
        <v>(90000, 100000]</v>
      </c>
      <c r="B77" s="89">
        <v>0</v>
      </c>
      <c r="C77" s="89">
        <v>0</v>
      </c>
      <c r="D77" s="29">
        <f t="shared" si="12"/>
        <v>0</v>
      </c>
      <c r="E77" s="90">
        <f t="shared" si="13"/>
        <v>0</v>
      </c>
      <c r="F77" s="91"/>
      <c r="G77" s="14" t="str">
        <f t="shared" si="14"/>
        <v>(90000, 100000]</v>
      </c>
      <c r="H77" s="86">
        <v>0</v>
      </c>
      <c r="I77" s="29">
        <f t="shared" si="15"/>
        <v>0</v>
      </c>
      <c r="J77" s="29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7">
        <v>90000</v>
      </c>
      <c r="P77" s="47">
        <v>100000</v>
      </c>
      <c r="Q77" s="100">
        <f t="shared" si="20"/>
        <v>0</v>
      </c>
      <c r="R77" s="100">
        <v>0</v>
      </c>
      <c r="T77" s="100"/>
      <c r="U77" s="52">
        <f t="shared" si="21"/>
        <v>0</v>
      </c>
    </row>
    <row r="78" spans="1:21" x14ac:dyDescent="0.3">
      <c r="A78" s="14" t="str">
        <f t="shared" si="11"/>
        <v>(100000, 9999999]</v>
      </c>
      <c r="B78" s="89">
        <v>0</v>
      </c>
      <c r="C78" s="89">
        <v>0</v>
      </c>
      <c r="D78" s="29">
        <f t="shared" si="12"/>
        <v>0</v>
      </c>
      <c r="E78" s="90">
        <f t="shared" si="13"/>
        <v>0</v>
      </c>
      <c r="F78" s="91"/>
      <c r="G78" s="14" t="str">
        <f t="shared" si="14"/>
        <v>(100000, 9999999]</v>
      </c>
      <c r="H78" s="86">
        <v>0</v>
      </c>
      <c r="I78" s="29">
        <f t="shared" si="15"/>
        <v>0</v>
      </c>
      <c r="J78" s="29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7">
        <v>100000</v>
      </c>
      <c r="P78" s="47">
        <v>9999999</v>
      </c>
      <c r="Q78" s="100">
        <f t="shared" si="20"/>
        <v>0</v>
      </c>
      <c r="R78" s="100">
        <v>0</v>
      </c>
      <c r="T78" s="100"/>
      <c r="U78" s="52">
        <f t="shared" si="21"/>
        <v>0</v>
      </c>
    </row>
    <row r="79" spans="1:21" x14ac:dyDescent="0.3">
      <c r="A79" s="14" t="s">
        <v>19</v>
      </c>
      <c r="B79" s="89">
        <v>8364049</v>
      </c>
      <c r="C79" s="89">
        <v>3109797340</v>
      </c>
      <c r="D79" s="29">
        <f>B79/B13</f>
        <v>8.3640490000000001E-3</v>
      </c>
      <c r="E79" s="90">
        <f t="shared" si="13"/>
        <v>3.71805251260484</v>
      </c>
      <c r="F79" s="91"/>
      <c r="G79" s="14" t="s">
        <v>19</v>
      </c>
      <c r="H79" s="86">
        <v>1.017331438397838</v>
      </c>
      <c r="I79" s="29">
        <f t="shared" ref="I79" si="22">D79*H79</f>
        <v>8.5090099999999991E-3</v>
      </c>
      <c r="J79" s="29">
        <f>I79</f>
        <v>8.5090099999999991E-3</v>
      </c>
      <c r="K79" s="92">
        <f t="shared" ref="K79" si="23">INT(J79*$B$2)</f>
        <v>8509010</v>
      </c>
      <c r="L79" s="100">
        <f t="shared" ref="L79" si="24">IFERROR(K79/SUM($K$15:$K$79),0)</f>
        <v>8.4372176308072852E-3</v>
      </c>
      <c r="M79" s="100">
        <f t="shared" ref="M79" si="25">L79*E79</f>
        <v>3.1370018211616883E-2</v>
      </c>
      <c r="Q79" s="100"/>
      <c r="R79" s="100"/>
      <c r="T79" s="32"/>
      <c r="U79" s="32"/>
    </row>
    <row r="81" spans="1:21" x14ac:dyDescent="0.3">
      <c r="A81" s="31"/>
      <c r="B81" s="1"/>
      <c r="C81" s="93"/>
      <c r="D81" s="1"/>
      <c r="E81" s="1"/>
      <c r="G81" s="37"/>
      <c r="H81" s="31"/>
      <c r="I81" s="31"/>
      <c r="J81" s="31"/>
      <c r="K81" s="83"/>
      <c r="L81" s="31"/>
      <c r="M81" s="31"/>
      <c r="Q81" s="31"/>
      <c r="R81" s="31"/>
    </row>
    <row r="82" spans="1:21" s="64" customFormat="1" ht="15.6" customHeight="1" x14ac:dyDescent="0.3">
      <c r="A82" s="65" t="s">
        <v>10</v>
      </c>
      <c r="B82" s="65" t="s">
        <v>19</v>
      </c>
      <c r="C82" s="65"/>
      <c r="D82" s="82"/>
      <c r="E82" s="61"/>
      <c r="F82" s="62"/>
      <c r="G82" s="65" t="s">
        <v>10</v>
      </c>
      <c r="H82" s="65" t="s">
        <v>19</v>
      </c>
      <c r="I82" s="60"/>
      <c r="J82" s="60"/>
      <c r="K82" s="63"/>
      <c r="L82" s="99"/>
      <c r="M82" s="99"/>
      <c r="N82" s="62"/>
      <c r="O82" s="65" t="s">
        <v>10</v>
      </c>
      <c r="P82" s="65" t="s">
        <v>19</v>
      </c>
      <c r="Q82" s="99"/>
      <c r="R82" s="99"/>
    </row>
    <row r="83" spans="1:21" x14ac:dyDescent="0.3">
      <c r="A83" s="31"/>
      <c r="B83" s="1"/>
      <c r="C83" s="1"/>
      <c r="D83" s="1"/>
      <c r="E83" s="1"/>
      <c r="G83" s="37"/>
      <c r="H83" s="31"/>
      <c r="I83" s="31"/>
      <c r="J83" s="31"/>
      <c r="K83" s="31"/>
      <c r="L83" s="31"/>
      <c r="M83" s="31"/>
      <c r="Q83" s="31"/>
      <c r="R83" s="31"/>
    </row>
    <row r="84" spans="1:21" x14ac:dyDescent="0.3">
      <c r="A84" s="50" t="s">
        <v>100</v>
      </c>
      <c r="B84" s="50"/>
      <c r="C84" s="1"/>
      <c r="D84" s="1"/>
      <c r="E84" s="1"/>
      <c r="G84" s="50" t="s">
        <v>101</v>
      </c>
      <c r="H84" s="31"/>
      <c r="I84" s="31"/>
      <c r="J84" s="31"/>
      <c r="K84" s="31"/>
      <c r="L84" s="31"/>
      <c r="M84" s="31"/>
      <c r="Q84" s="31"/>
      <c r="R84" s="31"/>
    </row>
    <row r="85" spans="1:21" x14ac:dyDescent="0.3">
      <c r="A85" s="9" t="s">
        <v>20</v>
      </c>
      <c r="B85" s="9" t="s">
        <v>102</v>
      </c>
      <c r="C85" s="9" t="s">
        <v>103</v>
      </c>
      <c r="D85" s="9" t="s">
        <v>95</v>
      </c>
      <c r="E85" s="9" t="s">
        <v>104</v>
      </c>
      <c r="G85" s="9" t="s">
        <v>20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95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4" t="str">
        <f t="shared" ref="A86:A117" si="26">"("&amp;$O86&amp;", "&amp;$P86&amp;"]"</f>
        <v>(-1, 0]</v>
      </c>
      <c r="B86" s="84">
        <v>55218</v>
      </c>
      <c r="C86" s="84">
        <v>0</v>
      </c>
      <c r="D86" s="29">
        <f t="shared" ref="D86:D117" si="27">IFERROR(B86/SUM($B$86:$B$149),0)</f>
        <v>6.6018264598880277E-3</v>
      </c>
      <c r="E86" s="85">
        <f t="shared" ref="E86:E117" si="28">IFERROR(C86/B86/$B$3,0)</f>
        <v>0</v>
      </c>
      <c r="G86" s="14" t="str">
        <f t="shared" ref="G86:G117" si="29">"("&amp;$O86&amp;", "&amp;$P86&amp;"]"</f>
        <v>(-1, 0]</v>
      </c>
      <c r="H86" s="86">
        <v>0</v>
      </c>
      <c r="I86" s="29">
        <f t="shared" ref="I86:I117" si="30">D86*H86</f>
        <v>0</v>
      </c>
      <c r="J86" s="29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51">
        <v>-1</v>
      </c>
      <c r="P86" s="51">
        <v>0</v>
      </c>
      <c r="Q86" s="100">
        <f t="shared" ref="Q86:Q117" si="35">L86</f>
        <v>0</v>
      </c>
      <c r="R86" s="100">
        <v>2.069E-2</v>
      </c>
      <c r="T86" s="100"/>
      <c r="U86" s="52">
        <f t="shared" ref="U86:U117" si="36">IFERROR(ROUND(T86/L86,2),0)</f>
        <v>0</v>
      </c>
    </row>
    <row r="87" spans="1:21" x14ac:dyDescent="0.3">
      <c r="A87" s="14" t="str">
        <f t="shared" si="26"/>
        <v>(0, 1]</v>
      </c>
      <c r="B87" s="89">
        <v>84581</v>
      </c>
      <c r="C87" s="89">
        <v>4760560</v>
      </c>
      <c r="D87" s="29">
        <f t="shared" si="27"/>
        <v>1.0112446734829028E-2</v>
      </c>
      <c r="E87" s="90">
        <f t="shared" si="28"/>
        <v>0.56284035421666812</v>
      </c>
      <c r="G87" s="14" t="str">
        <f t="shared" si="29"/>
        <v>(0, 1]</v>
      </c>
      <c r="H87" s="86">
        <v>0</v>
      </c>
      <c r="I87" s="29">
        <f t="shared" si="30"/>
        <v>0</v>
      </c>
      <c r="J87" s="29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7">
        <v>0</v>
      </c>
      <c r="P87" s="47">
        <v>1</v>
      </c>
      <c r="Q87" s="100">
        <f t="shared" si="35"/>
        <v>0</v>
      </c>
      <c r="R87" s="100">
        <v>6.8970000000000004E-3</v>
      </c>
      <c r="T87" s="100"/>
      <c r="U87" s="52">
        <f t="shared" si="36"/>
        <v>0</v>
      </c>
    </row>
    <row r="88" spans="1:21" x14ac:dyDescent="0.3">
      <c r="A88" s="14" t="str">
        <f t="shared" si="26"/>
        <v>(1, 2]</v>
      </c>
      <c r="B88" s="89">
        <v>64013</v>
      </c>
      <c r="C88" s="89">
        <v>10029540</v>
      </c>
      <c r="D88" s="29">
        <f t="shared" si="27"/>
        <v>7.6533506678404207E-3</v>
      </c>
      <c r="E88" s="90">
        <f t="shared" si="28"/>
        <v>1.566797369284364</v>
      </c>
      <c r="F88" s="53"/>
      <c r="G88" s="14" t="str">
        <f t="shared" si="29"/>
        <v>(1, 2]</v>
      </c>
      <c r="H88" s="86">
        <v>0</v>
      </c>
      <c r="I88" s="29">
        <f t="shared" si="30"/>
        <v>0</v>
      </c>
      <c r="J88" s="29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101"/>
      <c r="O88" s="47">
        <v>1</v>
      </c>
      <c r="P88" s="47">
        <v>2</v>
      </c>
      <c r="Q88" s="100">
        <f t="shared" si="35"/>
        <v>0</v>
      </c>
      <c r="R88" s="100">
        <v>6.8970000000000004E-3</v>
      </c>
      <c r="T88" s="100"/>
      <c r="U88" s="52">
        <f t="shared" si="36"/>
        <v>0</v>
      </c>
    </row>
    <row r="89" spans="1:21" x14ac:dyDescent="0.3">
      <c r="A89" s="14" t="str">
        <f t="shared" si="26"/>
        <v>(2, 3]</v>
      </c>
      <c r="B89" s="89">
        <v>55751</v>
      </c>
      <c r="C89" s="89">
        <v>14330930</v>
      </c>
      <c r="D89" s="29">
        <f t="shared" si="27"/>
        <v>6.6655515767542733E-3</v>
      </c>
      <c r="E89" s="90">
        <f t="shared" si="28"/>
        <v>2.5705242955283314</v>
      </c>
      <c r="F89" s="88"/>
      <c r="G89" s="14" t="str">
        <f t="shared" si="29"/>
        <v>(2, 3]</v>
      </c>
      <c r="H89" s="86">
        <v>0</v>
      </c>
      <c r="I89" s="29">
        <f t="shared" si="30"/>
        <v>0</v>
      </c>
      <c r="J89" s="29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101"/>
      <c r="O89" s="47">
        <v>2</v>
      </c>
      <c r="P89" s="47">
        <v>3</v>
      </c>
      <c r="Q89" s="100">
        <f t="shared" si="35"/>
        <v>0</v>
      </c>
      <c r="R89" s="100">
        <v>6.8970000000000004E-3</v>
      </c>
      <c r="T89" s="100"/>
      <c r="U89" s="52">
        <f t="shared" si="36"/>
        <v>0</v>
      </c>
    </row>
    <row r="90" spans="1:21" x14ac:dyDescent="0.3">
      <c r="A90" s="14" t="str">
        <f t="shared" si="26"/>
        <v>(3, 4]</v>
      </c>
      <c r="B90" s="89">
        <v>49939</v>
      </c>
      <c r="C90" s="89">
        <v>17889880</v>
      </c>
      <c r="D90" s="29">
        <f t="shared" si="27"/>
        <v>5.9706728164791957E-3</v>
      </c>
      <c r="E90" s="90">
        <f t="shared" si="28"/>
        <v>3.5823464626844754</v>
      </c>
      <c r="F90" s="88"/>
      <c r="G90" s="14" t="str">
        <f t="shared" si="29"/>
        <v>(3, 4]</v>
      </c>
      <c r="H90" s="86">
        <v>0</v>
      </c>
      <c r="I90" s="29">
        <f t="shared" si="30"/>
        <v>0</v>
      </c>
      <c r="J90" s="29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101"/>
      <c r="O90" s="47">
        <v>3</v>
      </c>
      <c r="P90" s="47">
        <v>4</v>
      </c>
      <c r="Q90" s="100">
        <f t="shared" si="35"/>
        <v>0</v>
      </c>
      <c r="R90" s="100">
        <v>6.8970000000000004E-3</v>
      </c>
      <c r="T90" s="100"/>
      <c r="U90" s="52">
        <f t="shared" si="36"/>
        <v>0</v>
      </c>
    </row>
    <row r="91" spans="1:21" x14ac:dyDescent="0.3">
      <c r="A91" s="14" t="str">
        <f t="shared" si="26"/>
        <v>(4, 5]</v>
      </c>
      <c r="B91" s="89">
        <v>47937</v>
      </c>
      <c r="C91" s="89">
        <v>21917950</v>
      </c>
      <c r="D91" s="29">
        <f t="shared" si="27"/>
        <v>5.7313150604450074E-3</v>
      </c>
      <c r="E91" s="90">
        <f t="shared" si="28"/>
        <v>4.5722406491853897</v>
      </c>
      <c r="F91" s="88"/>
      <c r="G91" s="14" t="str">
        <f t="shared" si="29"/>
        <v>(4, 5]</v>
      </c>
      <c r="H91" s="86">
        <v>0</v>
      </c>
      <c r="I91" s="29">
        <f t="shared" si="30"/>
        <v>0</v>
      </c>
      <c r="J91" s="29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101"/>
      <c r="O91" s="47">
        <v>4</v>
      </c>
      <c r="P91" s="47">
        <v>5</v>
      </c>
      <c r="Q91" s="100">
        <f t="shared" si="35"/>
        <v>0</v>
      </c>
      <c r="R91" s="100">
        <v>6.8970000000000004E-3</v>
      </c>
      <c r="T91" s="100"/>
      <c r="U91" s="52">
        <f t="shared" si="36"/>
        <v>0</v>
      </c>
    </row>
    <row r="92" spans="1:21" x14ac:dyDescent="0.3">
      <c r="A92" s="14" t="str">
        <f t="shared" si="26"/>
        <v>(5, 6]</v>
      </c>
      <c r="B92" s="89">
        <v>46015</v>
      </c>
      <c r="C92" s="89">
        <v>25632270</v>
      </c>
      <c r="D92" s="29">
        <f t="shared" si="27"/>
        <v>5.5015220499066899E-3</v>
      </c>
      <c r="E92" s="90">
        <f t="shared" si="28"/>
        <v>5.5704161686406612</v>
      </c>
      <c r="F92" s="88"/>
      <c r="G92" s="14" t="str">
        <f t="shared" si="29"/>
        <v>(5, 6]</v>
      </c>
      <c r="H92" s="86">
        <v>8.0289793623110519</v>
      </c>
      <c r="I92" s="29">
        <f t="shared" si="30"/>
        <v>4.4171607000000009E-2</v>
      </c>
      <c r="J92" s="29">
        <f t="shared" si="31"/>
        <v>4.4171607000000002E-2</v>
      </c>
      <c r="K92" s="87">
        <f t="shared" si="32"/>
        <v>44171607</v>
      </c>
      <c r="L92" s="100">
        <f t="shared" si="33"/>
        <v>4.4171607000000002E-2</v>
      </c>
      <c r="M92" s="100">
        <f t="shared" si="34"/>
        <v>0.24605423382764102</v>
      </c>
      <c r="N92" s="101"/>
      <c r="O92" s="47">
        <v>5</v>
      </c>
      <c r="P92" s="47">
        <v>6</v>
      </c>
      <c r="Q92" s="100">
        <f t="shared" si="35"/>
        <v>4.4171607000000002E-2</v>
      </c>
      <c r="R92" s="100">
        <v>6.8970000000000004E-3</v>
      </c>
      <c r="T92" s="100"/>
      <c r="U92" s="52">
        <f t="shared" si="36"/>
        <v>0</v>
      </c>
    </row>
    <row r="93" spans="1:21" x14ac:dyDescent="0.3">
      <c r="A93" s="14" t="str">
        <f t="shared" si="26"/>
        <v>(6, 7]</v>
      </c>
      <c r="B93" s="89">
        <v>43596</v>
      </c>
      <c r="C93" s="89">
        <v>28617500</v>
      </c>
      <c r="D93" s="29">
        <f t="shared" si="27"/>
        <v>5.2123080579752701E-3</v>
      </c>
      <c r="E93" s="90">
        <f t="shared" si="28"/>
        <v>6.5642490136709783</v>
      </c>
      <c r="F93" s="88"/>
      <c r="G93" s="14" t="str">
        <f t="shared" si="29"/>
        <v>(6, 7]</v>
      </c>
      <c r="H93" s="86">
        <v>7.2203073151856589</v>
      </c>
      <c r="I93" s="29">
        <f t="shared" si="30"/>
        <v>3.7634465999999998E-2</v>
      </c>
      <c r="J93" s="29">
        <f t="shared" si="31"/>
        <v>3.7634465999999991E-2</v>
      </c>
      <c r="K93" s="87">
        <f t="shared" si="32"/>
        <v>37634466</v>
      </c>
      <c r="L93" s="100">
        <f t="shared" si="33"/>
        <v>3.7634465999999998E-2</v>
      </c>
      <c r="M93" s="100">
        <f t="shared" si="34"/>
        <v>0.24704200632053397</v>
      </c>
      <c r="N93" s="88"/>
      <c r="O93" s="47">
        <v>6</v>
      </c>
      <c r="P93" s="47">
        <v>7</v>
      </c>
      <c r="Q93" s="100">
        <f t="shared" si="35"/>
        <v>3.7634465999999998E-2</v>
      </c>
      <c r="R93" s="100">
        <v>2.069E-2</v>
      </c>
      <c r="T93" s="100"/>
      <c r="U93" s="52">
        <f t="shared" si="36"/>
        <v>0</v>
      </c>
    </row>
    <row r="94" spans="1:21" x14ac:dyDescent="0.3">
      <c r="A94" s="14" t="str">
        <f t="shared" si="26"/>
        <v>(7, 8]</v>
      </c>
      <c r="B94" s="89">
        <v>43437</v>
      </c>
      <c r="C94" s="89">
        <v>32884090</v>
      </c>
      <c r="D94" s="29">
        <f t="shared" si="27"/>
        <v>5.1932981263022255E-3</v>
      </c>
      <c r="E94" s="90">
        <f t="shared" si="28"/>
        <v>7.5705251283468007</v>
      </c>
      <c r="F94" s="88"/>
      <c r="G94" s="14" t="str">
        <f t="shared" si="29"/>
        <v>(7, 8]</v>
      </c>
      <c r="H94" s="86">
        <v>7.679363100303382</v>
      </c>
      <c r="I94" s="29">
        <f t="shared" si="30"/>
        <v>3.9881222000000001E-2</v>
      </c>
      <c r="J94" s="29">
        <f t="shared" si="31"/>
        <v>3.9881221999999994E-2</v>
      </c>
      <c r="K94" s="87">
        <f t="shared" si="32"/>
        <v>39881222</v>
      </c>
      <c r="L94" s="100">
        <f t="shared" si="33"/>
        <v>3.9881222000000001E-2</v>
      </c>
      <c r="M94" s="100">
        <f t="shared" si="34"/>
        <v>0.30192179330017727</v>
      </c>
      <c r="N94" s="88"/>
      <c r="O94" s="47">
        <v>7</v>
      </c>
      <c r="P94" s="47">
        <v>8</v>
      </c>
      <c r="Q94" s="100">
        <f t="shared" si="35"/>
        <v>3.9881222000000001E-2</v>
      </c>
      <c r="R94" s="100">
        <v>0</v>
      </c>
      <c r="T94" s="100"/>
      <c r="U94" s="52">
        <f t="shared" si="36"/>
        <v>0</v>
      </c>
    </row>
    <row r="95" spans="1:21" x14ac:dyDescent="0.3">
      <c r="A95" s="14" t="str">
        <f t="shared" si="26"/>
        <v>(8, 9]</v>
      </c>
      <c r="B95" s="89">
        <v>42950</v>
      </c>
      <c r="C95" s="89">
        <v>36789480</v>
      </c>
      <c r="D95" s="29">
        <f t="shared" si="27"/>
        <v>5.135072738096106E-3</v>
      </c>
      <c r="E95" s="90">
        <f t="shared" si="28"/>
        <v>8.5656530849825376</v>
      </c>
      <c r="F95" s="88"/>
      <c r="G95" s="14" t="str">
        <f t="shared" si="29"/>
        <v>(8, 9]</v>
      </c>
      <c r="H95" s="86">
        <v>7.3596223320513161</v>
      </c>
      <c r="I95" s="29">
        <f t="shared" si="30"/>
        <v>3.7792196E-2</v>
      </c>
      <c r="J95" s="29">
        <f t="shared" si="31"/>
        <v>3.7792195999999993E-2</v>
      </c>
      <c r="K95" s="87">
        <f t="shared" si="32"/>
        <v>37792196</v>
      </c>
      <c r="L95" s="100">
        <f t="shared" si="33"/>
        <v>3.7792196E-2</v>
      </c>
      <c r="M95" s="100">
        <f t="shared" si="34"/>
        <v>0.32371484025566472</v>
      </c>
      <c r="N95" s="88"/>
      <c r="O95" s="47">
        <v>8</v>
      </c>
      <c r="P95" s="47">
        <v>9</v>
      </c>
      <c r="Q95" s="100">
        <f t="shared" si="35"/>
        <v>3.7792196E-2</v>
      </c>
      <c r="R95" s="100">
        <v>6.8970000000000004E-3</v>
      </c>
      <c r="T95" s="100"/>
      <c r="U95" s="52">
        <f t="shared" si="36"/>
        <v>0</v>
      </c>
    </row>
    <row r="96" spans="1:21" x14ac:dyDescent="0.3">
      <c r="A96" s="14" t="str">
        <f t="shared" si="26"/>
        <v>(9, 10]</v>
      </c>
      <c r="B96" s="89">
        <v>42155</v>
      </c>
      <c r="C96" s="89">
        <v>40319540</v>
      </c>
      <c r="D96" s="29">
        <f t="shared" si="27"/>
        <v>5.0400230797308819E-3</v>
      </c>
      <c r="E96" s="90">
        <f t="shared" si="28"/>
        <v>9.5645925750207574</v>
      </c>
      <c r="F96" s="88"/>
      <c r="G96" s="14" t="str">
        <f t="shared" si="29"/>
        <v>(9, 10]</v>
      </c>
      <c r="H96" s="86">
        <v>7.9348376718416551</v>
      </c>
      <c r="I96" s="29">
        <f t="shared" si="30"/>
        <v>3.9991764999999999E-2</v>
      </c>
      <c r="J96" s="29">
        <f t="shared" si="31"/>
        <v>3.9991764999999992E-2</v>
      </c>
      <c r="K96" s="87">
        <f t="shared" si="32"/>
        <v>39991765</v>
      </c>
      <c r="L96" s="100">
        <f t="shared" si="33"/>
        <v>3.9991764999999999E-2</v>
      </c>
      <c r="M96" s="100">
        <f t="shared" si="34"/>
        <v>0.38250493858097501</v>
      </c>
      <c r="N96" s="88"/>
      <c r="O96" s="47">
        <v>9</v>
      </c>
      <c r="P96" s="47">
        <v>10</v>
      </c>
      <c r="Q96" s="100">
        <f t="shared" si="35"/>
        <v>3.9991764999999999E-2</v>
      </c>
      <c r="R96" s="100">
        <v>0</v>
      </c>
      <c r="T96" s="100"/>
      <c r="U96" s="52">
        <f t="shared" si="36"/>
        <v>0</v>
      </c>
    </row>
    <row r="97" spans="1:21" x14ac:dyDescent="0.3">
      <c r="A97" s="14" t="str">
        <f t="shared" si="26"/>
        <v>(10, 15]</v>
      </c>
      <c r="B97" s="89">
        <v>202809</v>
      </c>
      <c r="C97" s="89">
        <v>254308990</v>
      </c>
      <c r="D97" s="29">
        <f t="shared" si="27"/>
        <v>2.4247705865902986E-2</v>
      </c>
      <c r="E97" s="90">
        <f t="shared" si="28"/>
        <v>12.539334546297255</v>
      </c>
      <c r="F97" s="88"/>
      <c r="G97" s="14" t="str">
        <f t="shared" si="29"/>
        <v>(10, 15]</v>
      </c>
      <c r="H97" s="86">
        <v>6.9613285039621227</v>
      </c>
      <c r="I97" s="29">
        <f t="shared" si="30"/>
        <v>0.16879624600000001</v>
      </c>
      <c r="J97" s="29">
        <f t="shared" si="31"/>
        <v>0.16879624599999998</v>
      </c>
      <c r="K97" s="87">
        <f t="shared" si="32"/>
        <v>168796246</v>
      </c>
      <c r="L97" s="100">
        <f t="shared" si="33"/>
        <v>0.16879624600000001</v>
      </c>
      <c r="M97" s="100">
        <f t="shared" si="34"/>
        <v>2.11659259875309</v>
      </c>
      <c r="N97" s="88"/>
      <c r="O97" s="47">
        <v>10</v>
      </c>
      <c r="P97" s="47">
        <v>15</v>
      </c>
      <c r="Q97" s="100">
        <f t="shared" si="35"/>
        <v>0.16879624600000001</v>
      </c>
      <c r="R97" s="100">
        <v>6.2068999999999999E-2</v>
      </c>
      <c r="T97" s="100"/>
      <c r="U97" s="52">
        <f t="shared" si="36"/>
        <v>0</v>
      </c>
    </row>
    <row r="98" spans="1:21" x14ac:dyDescent="0.3">
      <c r="A98" s="14" t="str">
        <f t="shared" si="26"/>
        <v>(15, 20]</v>
      </c>
      <c r="B98" s="89">
        <v>194393</v>
      </c>
      <c r="C98" s="89">
        <v>341185810</v>
      </c>
      <c r="D98" s="29">
        <f t="shared" si="27"/>
        <v>2.3241494639737285E-2</v>
      </c>
      <c r="E98" s="90">
        <f t="shared" si="28"/>
        <v>17.551342383727807</v>
      </c>
      <c r="F98" s="88"/>
      <c r="G98" s="14" t="str">
        <f t="shared" si="29"/>
        <v>(15, 20]</v>
      </c>
      <c r="H98" s="86">
        <v>4.8568008533755789</v>
      </c>
      <c r="I98" s="29">
        <f t="shared" si="30"/>
        <v>0.112879311</v>
      </c>
      <c r="J98" s="29">
        <f t="shared" si="31"/>
        <v>0.11287931099999997</v>
      </c>
      <c r="K98" s="87">
        <f t="shared" si="32"/>
        <v>112879311</v>
      </c>
      <c r="L98" s="100">
        <f t="shared" si="33"/>
        <v>0.112879311</v>
      </c>
      <c r="M98" s="100">
        <f t="shared" si="34"/>
        <v>1.9811834354002924</v>
      </c>
      <c r="N98" s="88"/>
      <c r="O98" s="47">
        <v>15</v>
      </c>
      <c r="P98" s="47">
        <v>20</v>
      </c>
      <c r="Q98" s="100">
        <f t="shared" si="35"/>
        <v>0.112879311</v>
      </c>
      <c r="R98" s="100">
        <v>2.7585999999999999E-2</v>
      </c>
      <c r="T98" s="100"/>
      <c r="U98" s="52">
        <f t="shared" si="36"/>
        <v>0</v>
      </c>
    </row>
    <row r="99" spans="1:21" x14ac:dyDescent="0.3">
      <c r="A99" s="14" t="str">
        <f t="shared" si="26"/>
        <v>(20, 25]</v>
      </c>
      <c r="B99" s="89">
        <v>188251</v>
      </c>
      <c r="C99" s="89">
        <v>424612980</v>
      </c>
      <c r="D99" s="29">
        <f t="shared" si="27"/>
        <v>2.2507161304291739E-2</v>
      </c>
      <c r="E99" s="90">
        <f t="shared" si="28"/>
        <v>22.555682572735336</v>
      </c>
      <c r="F99" s="88"/>
      <c r="G99" s="14" t="str">
        <f t="shared" si="29"/>
        <v>(20, 25]</v>
      </c>
      <c r="H99" s="86">
        <v>4.5841112348684412</v>
      </c>
      <c r="I99" s="29">
        <f t="shared" si="30"/>
        <v>0.103175331</v>
      </c>
      <c r="J99" s="29">
        <f t="shared" si="31"/>
        <v>0.10317533099999997</v>
      </c>
      <c r="K99" s="87">
        <f t="shared" si="32"/>
        <v>103175331</v>
      </c>
      <c r="L99" s="100">
        <f t="shared" si="33"/>
        <v>0.103175331</v>
      </c>
      <c r="M99" s="100">
        <f t="shared" si="34"/>
        <v>2.3271900153728997</v>
      </c>
      <c r="N99" s="88"/>
      <c r="O99" s="47">
        <v>20</v>
      </c>
      <c r="P99" s="47">
        <v>25</v>
      </c>
      <c r="Q99" s="100">
        <f t="shared" si="35"/>
        <v>0.103175331</v>
      </c>
      <c r="R99" s="100">
        <v>2.069E-2</v>
      </c>
      <c r="T99" s="100"/>
      <c r="U99" s="52">
        <f t="shared" si="36"/>
        <v>0</v>
      </c>
    </row>
    <row r="100" spans="1:21" x14ac:dyDescent="0.3">
      <c r="A100" s="14" t="str">
        <f t="shared" si="26"/>
        <v>(25, 30]</v>
      </c>
      <c r="B100" s="89">
        <v>184695</v>
      </c>
      <c r="C100" s="89">
        <v>508784530</v>
      </c>
      <c r="D100" s="29">
        <f t="shared" si="27"/>
        <v>2.2082008367000239E-2</v>
      </c>
      <c r="E100" s="90">
        <f t="shared" si="28"/>
        <v>27.547282276185062</v>
      </c>
      <c r="F100" s="88"/>
      <c r="G100" s="14" t="str">
        <f t="shared" si="29"/>
        <v>(25, 30]</v>
      </c>
      <c r="H100" s="86">
        <v>3.449463687090685</v>
      </c>
      <c r="I100" s="29">
        <f t="shared" si="30"/>
        <v>7.6171085999999999E-2</v>
      </c>
      <c r="J100" s="29">
        <f t="shared" si="31"/>
        <v>7.6171085999999985E-2</v>
      </c>
      <c r="K100" s="87">
        <f t="shared" si="32"/>
        <v>76171086</v>
      </c>
      <c r="L100" s="100">
        <f t="shared" si="33"/>
        <v>7.6171085999999999E-2</v>
      </c>
      <c r="M100" s="100">
        <f t="shared" si="34"/>
        <v>2.0983064073255679</v>
      </c>
      <c r="N100" s="88"/>
      <c r="O100" s="47">
        <v>25</v>
      </c>
      <c r="P100" s="47">
        <v>30</v>
      </c>
      <c r="Q100" s="100">
        <f t="shared" si="35"/>
        <v>7.6171085999999999E-2</v>
      </c>
      <c r="R100" s="100">
        <v>8.9654999999999999E-2</v>
      </c>
      <c r="T100" s="100"/>
      <c r="U100" s="52">
        <f t="shared" si="36"/>
        <v>0</v>
      </c>
    </row>
    <row r="101" spans="1:21" x14ac:dyDescent="0.3">
      <c r="A101" s="14" t="str">
        <f t="shared" si="26"/>
        <v>(30, 35]</v>
      </c>
      <c r="B101" s="89">
        <v>180804</v>
      </c>
      <c r="C101" s="89">
        <v>588557320</v>
      </c>
      <c r="D101" s="29">
        <f t="shared" si="27"/>
        <v>2.1616803057944781E-2</v>
      </c>
      <c r="E101" s="90">
        <f t="shared" si="28"/>
        <v>32.552228932988207</v>
      </c>
      <c r="F101" s="88"/>
      <c r="G101" s="14" t="str">
        <f t="shared" si="29"/>
        <v>(30, 35]</v>
      </c>
      <c r="H101" s="86">
        <v>2.9177975961999958</v>
      </c>
      <c r="I101" s="29">
        <f t="shared" si="30"/>
        <v>6.3073456E-2</v>
      </c>
      <c r="J101" s="29">
        <f t="shared" si="31"/>
        <v>6.3073455999999986E-2</v>
      </c>
      <c r="K101" s="87">
        <f t="shared" si="32"/>
        <v>63073456</v>
      </c>
      <c r="L101" s="100">
        <f t="shared" si="33"/>
        <v>6.3073456E-2</v>
      </c>
      <c r="M101" s="100">
        <f t="shared" si="34"/>
        <v>2.0531815793067585</v>
      </c>
      <c r="N101" s="88"/>
      <c r="O101" s="47">
        <v>30</v>
      </c>
      <c r="P101" s="47">
        <v>35</v>
      </c>
      <c r="Q101" s="100">
        <f t="shared" si="35"/>
        <v>6.3073456E-2</v>
      </c>
      <c r="R101" s="100">
        <v>3.4483E-2</v>
      </c>
      <c r="T101" s="100"/>
      <c r="U101" s="52">
        <f t="shared" si="36"/>
        <v>0</v>
      </c>
    </row>
    <row r="102" spans="1:21" x14ac:dyDescent="0.3">
      <c r="A102" s="14" t="str">
        <f t="shared" si="26"/>
        <v>(35, 40]</v>
      </c>
      <c r="B102" s="89">
        <v>177130</v>
      </c>
      <c r="C102" s="89">
        <v>665155830</v>
      </c>
      <c r="D102" s="29">
        <f t="shared" si="27"/>
        <v>2.1177542121046875E-2</v>
      </c>
      <c r="E102" s="90">
        <f t="shared" si="28"/>
        <v>37.55184497261898</v>
      </c>
      <c r="F102" s="88"/>
      <c r="G102" s="14" t="str">
        <f t="shared" si="29"/>
        <v>(35, 40]</v>
      </c>
      <c r="H102" s="86">
        <v>2.6563051405334277</v>
      </c>
      <c r="I102" s="29">
        <f t="shared" si="30"/>
        <v>5.6254014000000005E-2</v>
      </c>
      <c r="J102" s="29">
        <f t="shared" si="31"/>
        <v>5.6254013999999991E-2</v>
      </c>
      <c r="K102" s="87">
        <f t="shared" si="32"/>
        <v>56254014</v>
      </c>
      <c r="L102" s="100">
        <f t="shared" si="33"/>
        <v>5.6254013999999998E-2</v>
      </c>
      <c r="M102" s="100">
        <f t="shared" si="34"/>
        <v>2.1124420128155377</v>
      </c>
      <c r="N102" s="88"/>
      <c r="O102" s="47">
        <v>35</v>
      </c>
      <c r="P102" s="47">
        <v>40</v>
      </c>
      <c r="Q102" s="100">
        <f t="shared" si="35"/>
        <v>5.6254013999999998E-2</v>
      </c>
      <c r="R102" s="100">
        <v>6.2068999999999999E-2</v>
      </c>
      <c r="T102" s="100"/>
      <c r="U102" s="52">
        <f t="shared" si="36"/>
        <v>0</v>
      </c>
    </row>
    <row r="103" spans="1:21" x14ac:dyDescent="0.3">
      <c r="A103" s="14" t="str">
        <f t="shared" si="26"/>
        <v>(40, 45]</v>
      </c>
      <c r="B103" s="89">
        <v>174735</v>
      </c>
      <c r="C103" s="89">
        <v>743586950</v>
      </c>
      <c r="D103" s="29">
        <f t="shared" si="27"/>
        <v>2.0891197552764217E-2</v>
      </c>
      <c r="E103" s="90">
        <f t="shared" si="28"/>
        <v>42.555123472687207</v>
      </c>
      <c r="F103" s="88"/>
      <c r="G103" s="14" t="str">
        <f t="shared" si="29"/>
        <v>(40, 45]</v>
      </c>
      <c r="H103" s="86">
        <v>2.6586615659402866</v>
      </c>
      <c r="I103" s="29">
        <f t="shared" si="30"/>
        <v>5.5542623999999992E-2</v>
      </c>
      <c r="J103" s="29">
        <f t="shared" si="31"/>
        <v>5.5542623999999978E-2</v>
      </c>
      <c r="K103" s="87">
        <f t="shared" si="32"/>
        <v>55542624</v>
      </c>
      <c r="L103" s="100">
        <f t="shared" si="33"/>
        <v>5.5542623999999999E-2</v>
      </c>
      <c r="M103" s="100">
        <f t="shared" si="34"/>
        <v>2.3636232223170399</v>
      </c>
      <c r="N103" s="88"/>
      <c r="O103" s="47">
        <v>40</v>
      </c>
      <c r="P103" s="47">
        <v>45</v>
      </c>
      <c r="Q103" s="100">
        <f t="shared" si="35"/>
        <v>5.5542623999999999E-2</v>
      </c>
      <c r="R103" s="100">
        <v>5.5171999999999999E-2</v>
      </c>
      <c r="T103" s="100"/>
      <c r="U103" s="52">
        <f t="shared" si="36"/>
        <v>0</v>
      </c>
    </row>
    <row r="104" spans="1:21" x14ac:dyDescent="0.3">
      <c r="A104" s="14" t="str">
        <f t="shared" si="26"/>
        <v>(45, 50]</v>
      </c>
      <c r="B104" s="89">
        <v>171139</v>
      </c>
      <c r="C104" s="89">
        <v>813719490</v>
      </c>
      <c r="D104" s="29">
        <f t="shared" si="27"/>
        <v>2.0461262242724786E-2</v>
      </c>
      <c r="E104" s="90">
        <f t="shared" si="28"/>
        <v>47.547285539824351</v>
      </c>
      <c r="F104" s="88"/>
      <c r="G104" s="14" t="str">
        <f t="shared" si="29"/>
        <v>(45, 50]</v>
      </c>
      <c r="H104" s="86">
        <v>2.1535867375761635</v>
      </c>
      <c r="I104" s="29">
        <f t="shared" si="30"/>
        <v>4.4065103000000008E-2</v>
      </c>
      <c r="J104" s="29">
        <f t="shared" si="31"/>
        <v>4.4065103000000001E-2</v>
      </c>
      <c r="K104" s="87">
        <f t="shared" si="32"/>
        <v>44065103</v>
      </c>
      <c r="L104" s="100">
        <f t="shared" si="33"/>
        <v>4.4065103000000001E-2</v>
      </c>
      <c r="M104" s="100">
        <f t="shared" si="34"/>
        <v>2.0951760346827708</v>
      </c>
      <c r="N104" s="88"/>
      <c r="O104" s="47">
        <v>45</v>
      </c>
      <c r="P104" s="47">
        <v>50</v>
      </c>
      <c r="Q104" s="100">
        <f t="shared" si="35"/>
        <v>4.4065103000000001E-2</v>
      </c>
      <c r="R104" s="100">
        <v>4.8275999999999999E-2</v>
      </c>
      <c r="T104" s="100"/>
      <c r="U104" s="52">
        <f t="shared" si="36"/>
        <v>0</v>
      </c>
    </row>
    <row r="105" spans="1:21" x14ac:dyDescent="0.3">
      <c r="A105" s="14" t="str">
        <f t="shared" si="26"/>
        <v>(50, 60]</v>
      </c>
      <c r="B105" s="89">
        <v>334569</v>
      </c>
      <c r="C105" s="89">
        <v>1841082090</v>
      </c>
      <c r="D105" s="29">
        <f t="shared" si="27"/>
        <v>4.0000841697603637E-2</v>
      </c>
      <c r="E105" s="90">
        <f t="shared" si="28"/>
        <v>55.028472153726135</v>
      </c>
      <c r="F105" s="88"/>
      <c r="G105" s="14" t="str">
        <f t="shared" si="29"/>
        <v>(50, 60]</v>
      </c>
      <c r="H105" s="86">
        <v>1.2210837304187567</v>
      </c>
      <c r="I105" s="29">
        <f t="shared" si="30"/>
        <v>4.8844377000000001E-2</v>
      </c>
      <c r="J105" s="29">
        <f t="shared" si="31"/>
        <v>4.8844376999999987E-2</v>
      </c>
      <c r="K105" s="87">
        <f t="shared" si="32"/>
        <v>48844377</v>
      </c>
      <c r="L105" s="100">
        <f t="shared" si="33"/>
        <v>4.8844377000000001E-2</v>
      </c>
      <c r="M105" s="100">
        <f t="shared" si="34"/>
        <v>2.6878314396106013</v>
      </c>
      <c r="N105" s="88"/>
      <c r="O105" s="47">
        <v>50</v>
      </c>
      <c r="P105" s="47">
        <v>60</v>
      </c>
      <c r="Q105" s="100">
        <f t="shared" si="35"/>
        <v>4.8844377000000001E-2</v>
      </c>
      <c r="R105" s="100">
        <v>4.8275999999999999E-2</v>
      </c>
      <c r="T105" s="100"/>
      <c r="U105" s="52">
        <f t="shared" si="36"/>
        <v>0</v>
      </c>
    </row>
    <row r="106" spans="1:21" x14ac:dyDescent="0.3">
      <c r="A106" s="14" t="str">
        <f t="shared" si="26"/>
        <v>(60, 70]</v>
      </c>
      <c r="B106" s="89">
        <v>324502</v>
      </c>
      <c r="C106" s="89">
        <v>2110213430</v>
      </c>
      <c r="D106" s="29">
        <f t="shared" si="27"/>
        <v>3.8797238036266883E-2</v>
      </c>
      <c r="E106" s="90">
        <f t="shared" si="28"/>
        <v>65.029288879575475</v>
      </c>
      <c r="F106" s="88"/>
      <c r="G106" s="14" t="str">
        <f t="shared" si="29"/>
        <v>(60, 70]</v>
      </c>
      <c r="H106" s="86">
        <v>0.52092733975309247</v>
      </c>
      <c r="I106" s="29">
        <f t="shared" si="30"/>
        <v>2.0210542000000001E-2</v>
      </c>
      <c r="J106" s="29">
        <f t="shared" si="31"/>
        <v>2.0210541999999998E-2</v>
      </c>
      <c r="K106" s="87">
        <f t="shared" si="32"/>
        <v>20210542</v>
      </c>
      <c r="L106" s="100">
        <f t="shared" si="33"/>
        <v>2.0210542000000001E-2</v>
      </c>
      <c r="M106" s="100">
        <f t="shared" si="34"/>
        <v>1.3142771741307933</v>
      </c>
      <c r="N106" s="88"/>
      <c r="O106" s="47">
        <v>60</v>
      </c>
      <c r="P106" s="47">
        <v>70</v>
      </c>
      <c r="Q106" s="100">
        <f t="shared" si="35"/>
        <v>2.0210542000000001E-2</v>
      </c>
      <c r="R106" s="100">
        <v>6.8966E-2</v>
      </c>
      <c r="T106" s="100"/>
      <c r="U106" s="52">
        <f t="shared" si="36"/>
        <v>0</v>
      </c>
    </row>
    <row r="107" spans="1:21" x14ac:dyDescent="0.3">
      <c r="A107" s="14" t="str">
        <f t="shared" si="26"/>
        <v>(70, 80]</v>
      </c>
      <c r="B107" s="89">
        <v>313591</v>
      </c>
      <c r="C107" s="89">
        <v>2352848560</v>
      </c>
      <c r="D107" s="29">
        <f t="shared" si="27"/>
        <v>3.7492726309948689E-2</v>
      </c>
      <c r="E107" s="90">
        <f t="shared" si="28"/>
        <v>75.029211935291514</v>
      </c>
      <c r="F107" s="88"/>
      <c r="G107" s="14" t="str">
        <f t="shared" si="29"/>
        <v>(70, 80]</v>
      </c>
      <c r="H107" s="86">
        <v>0.38029653757711795</v>
      </c>
      <c r="I107" s="29">
        <f t="shared" si="30"/>
        <v>1.4258354000000001E-2</v>
      </c>
      <c r="J107" s="29">
        <f t="shared" si="31"/>
        <v>1.4258353999999997E-2</v>
      </c>
      <c r="K107" s="87">
        <f t="shared" si="32"/>
        <v>14258354</v>
      </c>
      <c r="L107" s="100">
        <f t="shared" si="33"/>
        <v>1.4258354000000001E-2</v>
      </c>
      <c r="M107" s="100">
        <f t="shared" si="34"/>
        <v>1.0697930641144116</v>
      </c>
      <c r="N107" s="88"/>
      <c r="O107" s="47">
        <v>70</v>
      </c>
      <c r="P107" s="47">
        <v>80</v>
      </c>
      <c r="Q107" s="100">
        <f t="shared" si="35"/>
        <v>1.4258354000000001E-2</v>
      </c>
      <c r="R107" s="100">
        <v>3.4483E-2</v>
      </c>
      <c r="T107" s="100"/>
      <c r="U107" s="52">
        <f t="shared" si="36"/>
        <v>0</v>
      </c>
    </row>
    <row r="108" spans="1:21" x14ac:dyDescent="0.3">
      <c r="A108" s="14" t="str">
        <f t="shared" si="26"/>
        <v>(80, 90]</v>
      </c>
      <c r="B108" s="89">
        <v>302583</v>
      </c>
      <c r="C108" s="89">
        <v>2572701950</v>
      </c>
      <c r="D108" s="29">
        <f t="shared" si="27"/>
        <v>3.6176617329716741E-2</v>
      </c>
      <c r="E108" s="90">
        <f t="shared" si="28"/>
        <v>85.024669264301025</v>
      </c>
      <c r="F108" s="88"/>
      <c r="G108" s="14" t="str">
        <f t="shared" si="29"/>
        <v>(80, 90]</v>
      </c>
      <c r="H108" s="86">
        <v>0.26620457386128438</v>
      </c>
      <c r="I108" s="29">
        <f t="shared" si="30"/>
        <v>9.6303810000000004E-3</v>
      </c>
      <c r="J108" s="29">
        <f t="shared" si="31"/>
        <v>9.6303809999999986E-3</v>
      </c>
      <c r="K108" s="87">
        <f t="shared" si="32"/>
        <v>9630381</v>
      </c>
      <c r="L108" s="100">
        <f t="shared" si="33"/>
        <v>9.6303810000000004E-3</v>
      </c>
      <c r="M108" s="100">
        <f t="shared" si="34"/>
        <v>0.8188199594142086</v>
      </c>
      <c r="N108" s="88"/>
      <c r="O108" s="47">
        <v>80</v>
      </c>
      <c r="P108" s="47">
        <v>90</v>
      </c>
      <c r="Q108" s="100">
        <f t="shared" si="35"/>
        <v>9.6303810000000004E-3</v>
      </c>
      <c r="R108" s="100">
        <v>6.8966E-2</v>
      </c>
      <c r="T108" s="100"/>
      <c r="U108" s="52">
        <f t="shared" si="36"/>
        <v>0</v>
      </c>
    </row>
    <row r="109" spans="1:21" x14ac:dyDescent="0.3">
      <c r="A109" s="14" t="str">
        <f t="shared" si="26"/>
        <v>(90, 100]</v>
      </c>
      <c r="B109" s="89">
        <v>290174</v>
      </c>
      <c r="C109" s="89">
        <v>2757205050</v>
      </c>
      <c r="D109" s="29">
        <f t="shared" si="27"/>
        <v>3.4693005743988349E-2</v>
      </c>
      <c r="E109" s="90">
        <f t="shared" si="28"/>
        <v>95.019024792021341</v>
      </c>
      <c r="F109" s="88"/>
      <c r="G109" s="14" t="str">
        <f t="shared" si="29"/>
        <v>(90, 100]</v>
      </c>
      <c r="H109" s="94">
        <v>0.23073071440018059</v>
      </c>
      <c r="I109" s="54">
        <f t="shared" si="30"/>
        <v>8.0047420000000005E-3</v>
      </c>
      <c r="J109" s="54">
        <f t="shared" si="31"/>
        <v>8.0047419999999987E-3</v>
      </c>
      <c r="K109" s="87">
        <f t="shared" si="32"/>
        <v>8004742</v>
      </c>
      <c r="L109" s="100">
        <f t="shared" si="33"/>
        <v>8.0047420000000005E-3</v>
      </c>
      <c r="M109" s="100">
        <f t="shared" si="34"/>
        <v>0.76060277855173453</v>
      </c>
      <c r="N109" s="88"/>
      <c r="O109" s="47">
        <v>90</v>
      </c>
      <c r="P109" s="47">
        <v>100</v>
      </c>
      <c r="Q109" s="100">
        <f t="shared" si="35"/>
        <v>8.0047420000000005E-3</v>
      </c>
      <c r="R109" s="100">
        <v>2.7585999999999999E-2</v>
      </c>
      <c r="T109" s="100"/>
      <c r="U109" s="52">
        <f t="shared" si="36"/>
        <v>0</v>
      </c>
    </row>
    <row r="110" spans="1:21" x14ac:dyDescent="0.3">
      <c r="A110" s="14" t="str">
        <f t="shared" si="26"/>
        <v>(100, 120]</v>
      </c>
      <c r="B110" s="89">
        <v>544944</v>
      </c>
      <c r="C110" s="89">
        <v>5988889530</v>
      </c>
      <c r="D110" s="29">
        <f t="shared" si="27"/>
        <v>6.515313336877869E-2</v>
      </c>
      <c r="E110" s="90">
        <f t="shared" si="28"/>
        <v>109.89917367656126</v>
      </c>
      <c r="F110" s="88"/>
      <c r="G110" s="14" t="str">
        <f t="shared" si="29"/>
        <v>(100, 120]</v>
      </c>
      <c r="H110" s="94">
        <v>0.13226329348159077</v>
      </c>
      <c r="I110" s="54">
        <f t="shared" si="30"/>
        <v>8.6173680000000002E-3</v>
      </c>
      <c r="J110" s="54">
        <f t="shared" si="31"/>
        <v>8.6173679999999985E-3</v>
      </c>
      <c r="K110" s="87">
        <f t="shared" si="32"/>
        <v>8617368</v>
      </c>
      <c r="L110" s="100">
        <f t="shared" si="33"/>
        <v>8.6173680000000002E-3</v>
      </c>
      <c r="M110" s="100">
        <f t="shared" si="34"/>
        <v>0.94704162246684143</v>
      </c>
      <c r="N110" s="88"/>
      <c r="O110" s="47">
        <v>100</v>
      </c>
      <c r="P110" s="47">
        <v>120</v>
      </c>
      <c r="Q110" s="100">
        <f t="shared" si="35"/>
        <v>8.6173680000000002E-3</v>
      </c>
      <c r="R110" s="100">
        <v>6.8966E-2</v>
      </c>
      <c r="T110" s="100"/>
      <c r="U110" s="52">
        <f t="shared" si="36"/>
        <v>0</v>
      </c>
    </row>
    <row r="111" spans="1:21" x14ac:dyDescent="0.3">
      <c r="A111" s="14" t="str">
        <f t="shared" si="26"/>
        <v>(120, 140]</v>
      </c>
      <c r="B111" s="89">
        <v>496474</v>
      </c>
      <c r="C111" s="89">
        <v>6448866850</v>
      </c>
      <c r="D111" s="29">
        <f t="shared" si="27"/>
        <v>5.9358093191467433E-2</v>
      </c>
      <c r="E111" s="90">
        <f t="shared" si="28"/>
        <v>129.89334486800919</v>
      </c>
      <c r="F111" s="88"/>
      <c r="G111" s="14" t="str">
        <f t="shared" si="29"/>
        <v>(120, 140]</v>
      </c>
      <c r="H111" s="94">
        <v>7.4036172048594695E-2</v>
      </c>
      <c r="I111" s="54">
        <f t="shared" si="30"/>
        <v>4.3946460000000003E-3</v>
      </c>
      <c r="J111" s="54">
        <f t="shared" si="31"/>
        <v>4.3946459999999994E-3</v>
      </c>
      <c r="K111" s="87">
        <f t="shared" si="32"/>
        <v>4394646</v>
      </c>
      <c r="L111" s="100">
        <f t="shared" si="33"/>
        <v>4.3946460000000003E-3</v>
      </c>
      <c r="M111" s="100">
        <f t="shared" si="34"/>
        <v>0.57083526845081722</v>
      </c>
      <c r="N111" s="88"/>
      <c r="O111" s="47">
        <v>120</v>
      </c>
      <c r="P111" s="47">
        <v>140</v>
      </c>
      <c r="Q111" s="100">
        <f t="shared" si="35"/>
        <v>4.3946460000000003E-3</v>
      </c>
      <c r="R111" s="100">
        <v>2.7585999999999999E-2</v>
      </c>
      <c r="T111" s="100"/>
      <c r="U111" s="52">
        <f t="shared" si="36"/>
        <v>0</v>
      </c>
    </row>
    <row r="112" spans="1:21" x14ac:dyDescent="0.3">
      <c r="A112" s="14" t="str">
        <f t="shared" si="26"/>
        <v>(140, 160]</v>
      </c>
      <c r="B112" s="89">
        <v>447550</v>
      </c>
      <c r="C112" s="89">
        <v>6707843560</v>
      </c>
      <c r="D112" s="29">
        <f t="shared" si="27"/>
        <v>5.3508773083467111E-2</v>
      </c>
      <c r="E112" s="90">
        <f t="shared" si="28"/>
        <v>149.8791991956206</v>
      </c>
      <c r="F112" s="88"/>
      <c r="G112" s="14" t="str">
        <f t="shared" si="29"/>
        <v>(140, 160]</v>
      </c>
      <c r="H112" s="94">
        <v>5.1050114637070723E-2</v>
      </c>
      <c r="I112" s="54">
        <f t="shared" si="30"/>
        <v>2.7316290000000002E-3</v>
      </c>
      <c r="J112" s="54">
        <f t="shared" si="31"/>
        <v>2.7316289999999997E-3</v>
      </c>
      <c r="K112" s="87">
        <f t="shared" si="32"/>
        <v>2731629</v>
      </c>
      <c r="L112" s="100">
        <f t="shared" si="33"/>
        <v>2.7316290000000002E-3</v>
      </c>
      <c r="M112" s="100">
        <f t="shared" si="34"/>
        <v>0.40941436701953393</v>
      </c>
      <c r="N112" s="88"/>
      <c r="O112" s="47">
        <v>140</v>
      </c>
      <c r="P112" s="47">
        <v>160</v>
      </c>
      <c r="Q112" s="100">
        <f t="shared" si="35"/>
        <v>2.7316290000000002E-3</v>
      </c>
      <c r="R112" s="100">
        <v>4.8275999999999999E-2</v>
      </c>
      <c r="T112" s="100"/>
      <c r="U112" s="52">
        <f t="shared" si="36"/>
        <v>0</v>
      </c>
    </row>
    <row r="113" spans="1:21" x14ac:dyDescent="0.3">
      <c r="A113" s="14" t="str">
        <f t="shared" si="26"/>
        <v>(160, 180]</v>
      </c>
      <c r="B113" s="89">
        <v>401699</v>
      </c>
      <c r="C113" s="89">
        <v>6824039140</v>
      </c>
      <c r="D113" s="29">
        <f t="shared" si="27"/>
        <v>4.8026858761826954E-2</v>
      </c>
      <c r="E113" s="90">
        <f t="shared" si="28"/>
        <v>169.87941568189115</v>
      </c>
      <c r="F113" s="88"/>
      <c r="G113" s="14" t="str">
        <f t="shared" si="29"/>
        <v>(160, 180]</v>
      </c>
      <c r="H113" s="94">
        <v>1.9638302906240742E-2</v>
      </c>
      <c r="I113" s="54">
        <f t="shared" si="30"/>
        <v>9.4316599999999995E-4</v>
      </c>
      <c r="J113" s="54">
        <f t="shared" si="31"/>
        <v>9.4316599999999973E-4</v>
      </c>
      <c r="K113" s="87">
        <f t="shared" si="32"/>
        <v>943166</v>
      </c>
      <c r="L113" s="100">
        <f t="shared" si="33"/>
        <v>9.4316599999999995E-4</v>
      </c>
      <c r="M113" s="100">
        <f t="shared" si="34"/>
        <v>0.16022448897102654</v>
      </c>
      <c r="N113" s="88"/>
      <c r="O113" s="47">
        <v>160</v>
      </c>
      <c r="P113" s="47">
        <v>180</v>
      </c>
      <c r="Q113" s="100">
        <f t="shared" si="35"/>
        <v>9.4316599999999995E-4</v>
      </c>
      <c r="R113" s="100">
        <v>2.7585999999999999E-2</v>
      </c>
      <c r="T113" s="100"/>
      <c r="U113" s="52">
        <f t="shared" si="36"/>
        <v>0</v>
      </c>
    </row>
    <row r="114" spans="1:21" x14ac:dyDescent="0.3">
      <c r="A114" s="14" t="str">
        <f t="shared" si="26"/>
        <v>(180, 200]</v>
      </c>
      <c r="B114" s="89">
        <v>359175</v>
      </c>
      <c r="C114" s="89">
        <v>6819468580</v>
      </c>
      <c r="D114" s="29">
        <f t="shared" si="27"/>
        <v>4.2942718293496371E-2</v>
      </c>
      <c r="E114" s="90">
        <f t="shared" si="28"/>
        <v>189.86478958724857</v>
      </c>
      <c r="F114" s="88"/>
      <c r="G114" s="14" t="str">
        <f t="shared" si="29"/>
        <v>(180, 200]</v>
      </c>
      <c r="H114" s="94">
        <v>1.0921665386772464E-2</v>
      </c>
      <c r="I114" s="54">
        <f t="shared" si="30"/>
        <v>4.69006E-4</v>
      </c>
      <c r="J114" s="54">
        <f t="shared" si="31"/>
        <v>4.6900599999999989E-4</v>
      </c>
      <c r="K114" s="87">
        <f t="shared" si="32"/>
        <v>469006</v>
      </c>
      <c r="L114" s="100">
        <f t="shared" si="33"/>
        <v>4.69006E-4</v>
      </c>
      <c r="M114" s="100">
        <f t="shared" si="34"/>
        <v>8.9047725505157105E-2</v>
      </c>
      <c r="N114" s="88"/>
      <c r="O114" s="47">
        <v>180</v>
      </c>
      <c r="P114" s="47">
        <v>200</v>
      </c>
      <c r="Q114" s="100">
        <f t="shared" si="35"/>
        <v>4.69006E-4</v>
      </c>
      <c r="R114" s="100">
        <v>3.4483E-2</v>
      </c>
      <c r="T114" s="100"/>
      <c r="U114" s="52">
        <f t="shared" si="36"/>
        <v>0</v>
      </c>
    </row>
    <row r="115" spans="1:21" x14ac:dyDescent="0.3">
      <c r="A115" s="14" t="str">
        <f t="shared" si="26"/>
        <v>(200, 250]</v>
      </c>
      <c r="B115" s="89">
        <v>728579</v>
      </c>
      <c r="C115" s="89">
        <v>16300420450</v>
      </c>
      <c r="D115" s="29">
        <f t="shared" si="27"/>
        <v>8.7108408857958633E-2</v>
      </c>
      <c r="E115" s="90">
        <f t="shared" si="28"/>
        <v>223.72893605223319</v>
      </c>
      <c r="F115" s="88"/>
      <c r="G115" s="14" t="str">
        <f t="shared" si="29"/>
        <v>(200, 250]</v>
      </c>
      <c r="H115" s="94">
        <v>1.1749990769191809E-2</v>
      </c>
      <c r="I115" s="54">
        <f t="shared" si="30"/>
        <v>1.0235229999999999E-3</v>
      </c>
      <c r="J115" s="54">
        <f t="shared" si="31"/>
        <v>1.0235229999999997E-3</v>
      </c>
      <c r="K115" s="87">
        <f t="shared" si="32"/>
        <v>1023523</v>
      </c>
      <c r="L115" s="100">
        <f t="shared" si="33"/>
        <v>1.0235229999999999E-3</v>
      </c>
      <c r="M115" s="100">
        <f t="shared" si="34"/>
        <v>0.22899171181498987</v>
      </c>
      <c r="N115" s="88"/>
      <c r="O115" s="47">
        <v>200</v>
      </c>
      <c r="P115" s="47">
        <v>250</v>
      </c>
      <c r="Q115" s="100">
        <f t="shared" si="35"/>
        <v>1.0235229999999999E-3</v>
      </c>
      <c r="R115" s="100">
        <v>1.3793E-2</v>
      </c>
      <c r="T115" s="100"/>
      <c r="U115" s="52">
        <f t="shared" si="36"/>
        <v>0</v>
      </c>
    </row>
    <row r="116" spans="1:21" x14ac:dyDescent="0.3">
      <c r="A116" s="14" t="str">
        <f t="shared" si="26"/>
        <v>(250, 300]</v>
      </c>
      <c r="B116" s="89">
        <v>527104</v>
      </c>
      <c r="C116" s="89">
        <v>14424519190</v>
      </c>
      <c r="D116" s="29">
        <f t="shared" si="27"/>
        <v>6.3020195123199299E-2</v>
      </c>
      <c r="E116" s="90">
        <f t="shared" si="28"/>
        <v>273.65603732849684</v>
      </c>
      <c r="F116" s="88"/>
      <c r="G116" s="14" t="str">
        <f t="shared" si="29"/>
        <v>(250, 300]</v>
      </c>
      <c r="H116" s="94">
        <v>3.2988155557688807E-3</v>
      </c>
      <c r="I116" s="54">
        <f t="shared" si="30"/>
        <v>2.0789199999999999E-4</v>
      </c>
      <c r="J116" s="54">
        <f t="shared" si="31"/>
        <v>2.0789199999999994E-4</v>
      </c>
      <c r="K116" s="87">
        <f t="shared" si="32"/>
        <v>207892</v>
      </c>
      <c r="L116" s="100">
        <f t="shared" si="33"/>
        <v>2.0789199999999999E-4</v>
      </c>
      <c r="M116" s="100">
        <f t="shared" si="34"/>
        <v>5.6890900912295865E-2</v>
      </c>
      <c r="N116" s="88"/>
      <c r="O116" s="47">
        <v>250</v>
      </c>
      <c r="P116" s="47">
        <v>300</v>
      </c>
      <c r="Q116" s="100">
        <f t="shared" si="35"/>
        <v>2.0789199999999999E-4</v>
      </c>
      <c r="R116" s="100">
        <v>1.3793E-2</v>
      </c>
      <c r="T116" s="100"/>
      <c r="U116" s="52">
        <f t="shared" si="36"/>
        <v>0</v>
      </c>
    </row>
    <row r="117" spans="1:21" x14ac:dyDescent="0.3">
      <c r="A117" s="14" t="str">
        <f t="shared" si="26"/>
        <v>(300, 350]</v>
      </c>
      <c r="B117" s="89">
        <v>376240</v>
      </c>
      <c r="C117" s="89">
        <v>12174194450</v>
      </c>
      <c r="D117" s="29">
        <f t="shared" si="27"/>
        <v>4.4982998067084494E-2</v>
      </c>
      <c r="E117" s="90">
        <f t="shared" si="28"/>
        <v>323.5752299064427</v>
      </c>
      <c r="F117" s="88"/>
      <c r="G117" s="14" t="str">
        <f t="shared" si="29"/>
        <v>(300, 350]</v>
      </c>
      <c r="H117" s="94">
        <v>3.9085878566340639E-3</v>
      </c>
      <c r="I117" s="54">
        <f t="shared" si="30"/>
        <v>1.7582000000000001E-4</v>
      </c>
      <c r="J117" s="54">
        <f t="shared" si="31"/>
        <v>1.7581999999999998E-4</v>
      </c>
      <c r="K117" s="87">
        <f t="shared" si="32"/>
        <v>175820</v>
      </c>
      <c r="L117" s="100">
        <f t="shared" si="33"/>
        <v>1.7582000000000001E-4</v>
      </c>
      <c r="M117" s="100">
        <f t="shared" si="34"/>
        <v>5.6890996922150758E-2</v>
      </c>
      <c r="N117" s="88"/>
      <c r="O117" s="47">
        <v>300</v>
      </c>
      <c r="P117" s="47">
        <v>350</v>
      </c>
      <c r="Q117" s="100">
        <f t="shared" si="35"/>
        <v>1.7582000000000001E-4</v>
      </c>
      <c r="R117" s="100">
        <v>6.8970000000000004E-3</v>
      </c>
      <c r="T117" s="100"/>
      <c r="U117" s="52">
        <f t="shared" si="36"/>
        <v>0</v>
      </c>
    </row>
    <row r="118" spans="1:21" x14ac:dyDescent="0.3">
      <c r="A118" s="14" t="str">
        <f t="shared" ref="A118:A149" si="37">"("&amp;$O118&amp;", "&amp;$P118&amp;"]"</f>
        <v>(350, 400]</v>
      </c>
      <c r="B118" s="89">
        <v>263520</v>
      </c>
      <c r="C118" s="89">
        <v>9845768370</v>
      </c>
      <c r="D118" s="29">
        <f t="shared" ref="D118:D149" si="38">IFERROR(B118/SUM($B$86:$B$149),0)</f>
        <v>3.1506271663401302E-2</v>
      </c>
      <c r="E118" s="90">
        <f t="shared" ref="E118:E149" si="39">IFERROR(C118/B118/$B$3,0)</f>
        <v>373.62508993624778</v>
      </c>
      <c r="F118" s="88"/>
      <c r="G118" s="14" t="str">
        <f t="shared" ref="G118:G149" si="40">"("&amp;$O118&amp;", "&amp;$P118&amp;"]"</f>
        <v>(350, 400]</v>
      </c>
      <c r="H118" s="94">
        <v>4.832942520992714E-3</v>
      </c>
      <c r="I118" s="54">
        <f t="shared" ref="I118:I149" si="41">D118*H118</f>
        <v>1.52268E-4</v>
      </c>
      <c r="J118" s="54">
        <f t="shared" ref="J118:J149" si="42">IFERROR(I118/SUM($I$86:$I$149),0)</f>
        <v>1.5226799999999997E-4</v>
      </c>
      <c r="K118" s="87">
        <f t="shared" ref="K118:K149" si="43">INT(J118*$B$2)</f>
        <v>152268</v>
      </c>
      <c r="L118" s="100">
        <f t="shared" ref="L118:L149" si="44">IFERROR(K118/SUM($K$86:$K$149),0)</f>
        <v>1.52268E-4</v>
      </c>
      <c r="M118" s="100">
        <f t="shared" ref="M118:M149" si="45">L118*E118</f>
        <v>5.6891145194412573E-2</v>
      </c>
      <c r="N118" s="88"/>
      <c r="O118" s="47">
        <v>350</v>
      </c>
      <c r="P118" s="47">
        <v>400</v>
      </c>
      <c r="Q118" s="100">
        <f t="shared" ref="Q118:Q149" si="46">L118</f>
        <v>1.52268E-4</v>
      </c>
      <c r="R118" s="100">
        <v>6.8970000000000004E-3</v>
      </c>
      <c r="T118" s="100"/>
      <c r="U118" s="52">
        <f t="shared" ref="U118:U149" si="47">IFERROR(ROUND(T118/L118,2),0)</f>
        <v>0</v>
      </c>
    </row>
    <row r="119" spans="1:21" x14ac:dyDescent="0.3">
      <c r="A119" s="14" t="str">
        <f t="shared" si="37"/>
        <v>(400, 450]</v>
      </c>
      <c r="B119" s="89">
        <v>184753</v>
      </c>
      <c r="C119" s="89">
        <v>7824656320</v>
      </c>
      <c r="D119" s="29">
        <f t="shared" si="38"/>
        <v>2.208894280748475E-2</v>
      </c>
      <c r="E119" s="90">
        <f t="shared" si="39"/>
        <v>423.51985191038847</v>
      </c>
      <c r="F119" s="88"/>
      <c r="G119" s="14" t="str">
        <f t="shared" si="40"/>
        <v>(400, 450]</v>
      </c>
      <c r="H119" s="94">
        <v>6.0812779122449969E-3</v>
      </c>
      <c r="I119" s="54">
        <f t="shared" si="41"/>
        <v>1.3432900000000001E-4</v>
      </c>
      <c r="J119" s="54">
        <f t="shared" si="42"/>
        <v>1.3432899999999998E-4</v>
      </c>
      <c r="K119" s="87">
        <f t="shared" si="43"/>
        <v>134329</v>
      </c>
      <c r="L119" s="100">
        <f t="shared" si="44"/>
        <v>1.3432900000000001E-4</v>
      </c>
      <c r="M119" s="100">
        <f t="shared" si="45"/>
        <v>5.6890998187270579E-2</v>
      </c>
      <c r="N119" s="88"/>
      <c r="O119" s="47">
        <v>400</v>
      </c>
      <c r="P119" s="47">
        <v>450</v>
      </c>
      <c r="Q119" s="100">
        <f t="shared" si="46"/>
        <v>1.3432900000000001E-4</v>
      </c>
      <c r="R119" s="100">
        <v>0</v>
      </c>
      <c r="T119" s="100"/>
      <c r="U119" s="52">
        <f t="shared" si="47"/>
        <v>0</v>
      </c>
    </row>
    <row r="120" spans="1:21" x14ac:dyDescent="0.3">
      <c r="A120" s="14" t="str">
        <f t="shared" si="37"/>
        <v>(450, 500]</v>
      </c>
      <c r="B120" s="89">
        <v>128657</v>
      </c>
      <c r="C120" s="89">
        <v>6093245310</v>
      </c>
      <c r="D120" s="29">
        <f t="shared" si="38"/>
        <v>1.5382143265779528E-2</v>
      </c>
      <c r="E120" s="90">
        <f t="shared" si="39"/>
        <v>473.60386997986899</v>
      </c>
      <c r="F120" s="88"/>
      <c r="G120" s="14" t="str">
        <f t="shared" si="40"/>
        <v>(450, 500]</v>
      </c>
      <c r="H120" s="94">
        <v>7.8093148610336015E-3</v>
      </c>
      <c r="I120" s="54">
        <f t="shared" si="41"/>
        <v>1.20124E-4</v>
      </c>
      <c r="J120" s="54">
        <f t="shared" si="42"/>
        <v>1.2012399999999998E-4</v>
      </c>
      <c r="K120" s="87">
        <f t="shared" si="43"/>
        <v>120124</v>
      </c>
      <c r="L120" s="100">
        <f t="shared" si="44"/>
        <v>1.20124E-4</v>
      </c>
      <c r="M120" s="100">
        <f t="shared" si="45"/>
        <v>5.6891191277461783E-2</v>
      </c>
      <c r="N120" s="88"/>
      <c r="O120" s="47">
        <v>450</v>
      </c>
      <c r="P120" s="47">
        <v>500</v>
      </c>
      <c r="Q120" s="100">
        <f t="shared" si="46"/>
        <v>1.20124E-4</v>
      </c>
      <c r="R120" s="100">
        <v>0</v>
      </c>
      <c r="T120" s="100"/>
      <c r="U120" s="52">
        <f t="shared" si="47"/>
        <v>0</v>
      </c>
    </row>
    <row r="121" spans="1:21" x14ac:dyDescent="0.3">
      <c r="A121" s="14" t="str">
        <f t="shared" si="37"/>
        <v>(500, 550]</v>
      </c>
      <c r="B121" s="89">
        <v>88357</v>
      </c>
      <c r="C121" s="89">
        <v>4625117990</v>
      </c>
      <c r="D121" s="29">
        <f t="shared" si="38"/>
        <v>1.0563902722234172E-2</v>
      </c>
      <c r="E121" s="90">
        <f t="shared" si="39"/>
        <v>523.45801577690509</v>
      </c>
      <c r="F121" s="88"/>
      <c r="G121" s="14" t="str">
        <f t="shared" si="40"/>
        <v>(500, 550]</v>
      </c>
      <c r="H121" s="94">
        <v>1.028814850512127E-2</v>
      </c>
      <c r="I121" s="54">
        <f t="shared" si="41"/>
        <v>1.08683E-4</v>
      </c>
      <c r="J121" s="54">
        <f t="shared" si="42"/>
        <v>1.0868299999999998E-4</v>
      </c>
      <c r="K121" s="87">
        <f t="shared" si="43"/>
        <v>108683</v>
      </c>
      <c r="L121" s="100">
        <f t="shared" si="44"/>
        <v>1.08683E-4</v>
      </c>
      <c r="M121" s="100">
        <f t="shared" si="45"/>
        <v>5.6890987528681373E-2</v>
      </c>
      <c r="N121" s="88"/>
      <c r="O121" s="47">
        <v>500</v>
      </c>
      <c r="P121" s="47">
        <v>550</v>
      </c>
      <c r="Q121" s="100">
        <f t="shared" si="46"/>
        <v>1.08683E-4</v>
      </c>
      <c r="R121" s="100">
        <v>0</v>
      </c>
      <c r="T121" s="100"/>
      <c r="U121" s="52">
        <f t="shared" si="47"/>
        <v>0</v>
      </c>
    </row>
    <row r="122" spans="1:21" x14ac:dyDescent="0.3">
      <c r="A122" s="14" t="str">
        <f t="shared" si="37"/>
        <v>(550, 600]</v>
      </c>
      <c r="B122" s="89">
        <v>61353</v>
      </c>
      <c r="C122" s="89">
        <v>3518119460</v>
      </c>
      <c r="D122" s="29">
        <f t="shared" si="38"/>
        <v>7.3353228801026869E-3</v>
      </c>
      <c r="E122" s="90">
        <f t="shared" si="39"/>
        <v>573.42256450377329</v>
      </c>
      <c r="F122" s="88"/>
      <c r="G122" s="14" t="str">
        <f t="shared" si="40"/>
        <v>(550, 600]</v>
      </c>
      <c r="H122" s="86">
        <v>1.3525375995256956E-2</v>
      </c>
      <c r="I122" s="29">
        <f t="shared" si="41"/>
        <v>9.9213E-5</v>
      </c>
      <c r="J122" s="29">
        <f t="shared" si="42"/>
        <v>9.9212999999999973E-5</v>
      </c>
      <c r="K122" s="87">
        <f t="shared" si="43"/>
        <v>99213</v>
      </c>
      <c r="L122" s="100">
        <f t="shared" si="44"/>
        <v>9.9213E-5</v>
      </c>
      <c r="M122" s="100">
        <f t="shared" si="45"/>
        <v>5.6890972892112861E-2</v>
      </c>
      <c r="N122" s="88"/>
      <c r="O122" s="47">
        <v>550</v>
      </c>
      <c r="P122" s="47">
        <v>600</v>
      </c>
      <c r="Q122" s="100">
        <f t="shared" si="46"/>
        <v>9.9213E-5</v>
      </c>
      <c r="R122" s="100">
        <v>0</v>
      </c>
      <c r="T122" s="100"/>
      <c r="U122" s="52">
        <f t="shared" si="47"/>
        <v>0</v>
      </c>
    </row>
    <row r="123" spans="1:21" x14ac:dyDescent="0.3">
      <c r="A123" s="14" t="str">
        <f t="shared" si="37"/>
        <v>(600, 650]</v>
      </c>
      <c r="B123" s="89">
        <v>42665</v>
      </c>
      <c r="C123" s="89">
        <v>2660290870</v>
      </c>
      <c r="D123" s="29">
        <f t="shared" si="38"/>
        <v>5.1009983322670635E-3</v>
      </c>
      <c r="E123" s="90">
        <f t="shared" si="39"/>
        <v>623.53002929801949</v>
      </c>
      <c r="F123" s="88"/>
      <c r="G123" s="14" t="str">
        <f t="shared" si="40"/>
        <v>(600, 650]</v>
      </c>
      <c r="H123" s="86">
        <v>1.7886694732450487E-2</v>
      </c>
      <c r="I123" s="29">
        <f t="shared" si="41"/>
        <v>9.1240000000000001E-5</v>
      </c>
      <c r="J123" s="29">
        <f t="shared" si="42"/>
        <v>9.1239999999999987E-5</v>
      </c>
      <c r="K123" s="87">
        <f t="shared" si="43"/>
        <v>91240</v>
      </c>
      <c r="L123" s="100">
        <f t="shared" si="44"/>
        <v>9.1240000000000001E-5</v>
      </c>
      <c r="M123" s="100">
        <f t="shared" si="45"/>
        <v>5.68908798731513E-2</v>
      </c>
      <c r="N123" s="88"/>
      <c r="O123" s="47">
        <v>600</v>
      </c>
      <c r="P123" s="47">
        <v>650</v>
      </c>
      <c r="Q123" s="100">
        <f t="shared" si="46"/>
        <v>9.1240000000000001E-5</v>
      </c>
      <c r="R123" s="100">
        <v>6.8970000000000004E-3</v>
      </c>
      <c r="T123" s="100"/>
      <c r="U123" s="52">
        <f t="shared" si="47"/>
        <v>0</v>
      </c>
    </row>
    <row r="124" spans="1:21" x14ac:dyDescent="0.3">
      <c r="A124" s="14" t="str">
        <f t="shared" si="37"/>
        <v>(650, 700]</v>
      </c>
      <c r="B124" s="89">
        <v>29296</v>
      </c>
      <c r="C124" s="89">
        <v>1972914430</v>
      </c>
      <c r="D124" s="29">
        <f t="shared" si="38"/>
        <v>3.502609800588208E-3</v>
      </c>
      <c r="E124" s="90">
        <f t="shared" si="39"/>
        <v>673.44157222829062</v>
      </c>
      <c r="F124" s="88"/>
      <c r="G124" s="14" t="str">
        <f t="shared" si="40"/>
        <v>(650, 700]</v>
      </c>
      <c r="H124" s="86">
        <v>2.4118587227676132E-2</v>
      </c>
      <c r="I124" s="29">
        <f t="shared" si="41"/>
        <v>8.4478E-5</v>
      </c>
      <c r="J124" s="29">
        <f t="shared" si="42"/>
        <v>8.4477999999999986E-5</v>
      </c>
      <c r="K124" s="87">
        <f t="shared" si="43"/>
        <v>84478</v>
      </c>
      <c r="L124" s="100">
        <f t="shared" si="44"/>
        <v>8.4478E-5</v>
      </c>
      <c r="M124" s="100">
        <f t="shared" si="45"/>
        <v>5.6890997138701535E-2</v>
      </c>
      <c r="N124" s="88"/>
      <c r="O124" s="47">
        <v>650</v>
      </c>
      <c r="P124" s="47">
        <v>700</v>
      </c>
      <c r="Q124" s="100">
        <f t="shared" si="46"/>
        <v>8.4478E-5</v>
      </c>
      <c r="R124" s="100">
        <v>0</v>
      </c>
      <c r="T124" s="100"/>
      <c r="U124" s="52">
        <f t="shared" si="47"/>
        <v>0</v>
      </c>
    </row>
    <row r="125" spans="1:21" x14ac:dyDescent="0.3">
      <c r="A125" s="14" t="str">
        <f t="shared" si="37"/>
        <v>(700, 750]</v>
      </c>
      <c r="B125" s="89">
        <v>20236</v>
      </c>
      <c r="C125" s="89">
        <v>1463960560</v>
      </c>
      <c r="D125" s="29">
        <f t="shared" si="38"/>
        <v>2.4194023731807404E-3</v>
      </c>
      <c r="E125" s="90">
        <f t="shared" si="39"/>
        <v>723.44364498912819</v>
      </c>
      <c r="F125" s="88"/>
      <c r="G125" s="14" t="str">
        <f t="shared" si="40"/>
        <v>(700, 750]</v>
      </c>
      <c r="H125" s="86">
        <v>3.2503481385204591E-2</v>
      </c>
      <c r="I125" s="29">
        <f t="shared" si="41"/>
        <v>7.8639000000000004E-5</v>
      </c>
      <c r="J125" s="29">
        <f t="shared" si="42"/>
        <v>7.863899999999999E-5</v>
      </c>
      <c r="K125" s="87">
        <f t="shared" si="43"/>
        <v>78639</v>
      </c>
      <c r="L125" s="100">
        <f t="shared" si="44"/>
        <v>7.8639000000000004E-5</v>
      </c>
      <c r="M125" s="100">
        <f t="shared" si="45"/>
        <v>5.6890884798300054E-2</v>
      </c>
      <c r="N125" s="88"/>
      <c r="O125" s="47">
        <v>700</v>
      </c>
      <c r="P125" s="47">
        <v>750</v>
      </c>
      <c r="Q125" s="100">
        <f t="shared" si="46"/>
        <v>7.8639000000000004E-5</v>
      </c>
      <c r="R125" s="100">
        <v>0</v>
      </c>
      <c r="T125" s="100"/>
      <c r="U125" s="52">
        <f t="shared" si="47"/>
        <v>0</v>
      </c>
    </row>
    <row r="126" spans="1:21" x14ac:dyDescent="0.3">
      <c r="A126" s="14" t="str">
        <f t="shared" si="37"/>
        <v>(750, 800]</v>
      </c>
      <c r="B126" s="89">
        <v>14051</v>
      </c>
      <c r="C126" s="89">
        <v>1086775270</v>
      </c>
      <c r="D126" s="29">
        <f t="shared" si="38"/>
        <v>1.6799279870311616E-3</v>
      </c>
      <c r="E126" s="90">
        <f t="shared" si="39"/>
        <v>773.45048039285462</v>
      </c>
      <c r="F126" s="88"/>
      <c r="G126" s="14" t="str">
        <f t="shared" si="40"/>
        <v>(750, 800]</v>
      </c>
      <c r="H126" s="86">
        <v>4.3784614916731905E-2</v>
      </c>
      <c r="I126" s="29">
        <f t="shared" si="41"/>
        <v>7.3554999999999996E-5</v>
      </c>
      <c r="J126" s="29">
        <f t="shared" si="42"/>
        <v>7.3554999999999983E-5</v>
      </c>
      <c r="K126" s="87">
        <f t="shared" si="43"/>
        <v>73555</v>
      </c>
      <c r="L126" s="100">
        <f t="shared" si="44"/>
        <v>7.3554999999999996E-5</v>
      </c>
      <c r="M126" s="100">
        <f t="shared" si="45"/>
        <v>5.6891150085296417E-2</v>
      </c>
      <c r="N126" s="88"/>
      <c r="O126" s="47">
        <v>750</v>
      </c>
      <c r="P126" s="47">
        <v>800</v>
      </c>
      <c r="Q126" s="100">
        <f t="shared" si="46"/>
        <v>7.3554999999999996E-5</v>
      </c>
      <c r="R126" s="100">
        <v>0</v>
      </c>
      <c r="T126" s="100"/>
      <c r="U126" s="52">
        <f t="shared" si="47"/>
        <v>0</v>
      </c>
    </row>
    <row r="127" spans="1:21" x14ac:dyDescent="0.3">
      <c r="A127" s="14" t="str">
        <f t="shared" si="37"/>
        <v>(800, 850]</v>
      </c>
      <c r="B127" s="89">
        <v>9888</v>
      </c>
      <c r="C127" s="89">
        <v>814515590</v>
      </c>
      <c r="D127" s="29">
        <f t="shared" si="38"/>
        <v>1.1822025432897392E-3</v>
      </c>
      <c r="E127" s="90">
        <f t="shared" si="39"/>
        <v>823.74149474110027</v>
      </c>
      <c r="F127" s="88"/>
      <c r="G127" s="14" t="str">
        <f t="shared" si="40"/>
        <v>(800, 850]</v>
      </c>
      <c r="H127" s="86">
        <v>5.8419769431229777E-2</v>
      </c>
      <c r="I127" s="29">
        <f t="shared" si="41"/>
        <v>6.9064000000000001E-5</v>
      </c>
      <c r="J127" s="29">
        <f t="shared" si="42"/>
        <v>6.9063999999999988E-5</v>
      </c>
      <c r="K127" s="87">
        <f t="shared" si="43"/>
        <v>69064</v>
      </c>
      <c r="L127" s="100">
        <f t="shared" si="44"/>
        <v>6.9064000000000001E-5</v>
      </c>
      <c r="M127" s="100">
        <f t="shared" si="45"/>
        <v>5.6890882592799348E-2</v>
      </c>
      <c r="N127" s="88"/>
      <c r="O127" s="47">
        <v>800</v>
      </c>
      <c r="P127" s="47">
        <v>850</v>
      </c>
      <c r="Q127" s="100">
        <f t="shared" si="46"/>
        <v>6.9064000000000001E-5</v>
      </c>
      <c r="R127" s="100">
        <v>0</v>
      </c>
      <c r="T127" s="100"/>
      <c r="U127" s="52">
        <f t="shared" si="47"/>
        <v>0</v>
      </c>
    </row>
    <row r="128" spans="1:21" x14ac:dyDescent="0.3">
      <c r="A128" s="14" t="str">
        <f t="shared" si="37"/>
        <v>(850, 900]</v>
      </c>
      <c r="B128" s="89">
        <v>6851</v>
      </c>
      <c r="C128" s="89">
        <v>598465100</v>
      </c>
      <c r="D128" s="29">
        <f t="shared" si="38"/>
        <v>8.1910089240271066E-4</v>
      </c>
      <c r="E128" s="90">
        <f t="shared" si="39"/>
        <v>873.54415413808204</v>
      </c>
      <c r="F128" s="88"/>
      <c r="G128" s="14" t="str">
        <f t="shared" si="40"/>
        <v>(850, 900]</v>
      </c>
      <c r="H128" s="86">
        <v>0</v>
      </c>
      <c r="I128" s="29">
        <f t="shared" si="41"/>
        <v>0</v>
      </c>
      <c r="J128" s="29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7">
        <v>850</v>
      </c>
      <c r="P128" s="47">
        <v>900</v>
      </c>
      <c r="Q128" s="100">
        <f t="shared" si="46"/>
        <v>0</v>
      </c>
      <c r="R128" s="100">
        <v>0</v>
      </c>
      <c r="T128" s="100"/>
      <c r="U128" s="52">
        <f t="shared" si="47"/>
        <v>0</v>
      </c>
    </row>
    <row r="129" spans="1:21" x14ac:dyDescent="0.3">
      <c r="A129" s="14" t="str">
        <f t="shared" si="37"/>
        <v>(900, 950]</v>
      </c>
      <c r="B129" s="89">
        <v>4931</v>
      </c>
      <c r="C129" s="89">
        <v>455292250</v>
      </c>
      <c r="D129" s="29">
        <f t="shared" si="38"/>
        <v>5.895470005017905E-4</v>
      </c>
      <c r="E129" s="90">
        <f t="shared" si="39"/>
        <v>923.3264043804503</v>
      </c>
      <c r="F129" s="88"/>
      <c r="G129" s="14" t="str">
        <f t="shared" si="40"/>
        <v>(900, 950]</v>
      </c>
      <c r="H129" s="86">
        <v>0</v>
      </c>
      <c r="I129" s="29">
        <f t="shared" si="41"/>
        <v>0</v>
      </c>
      <c r="J129" s="29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7">
        <v>900</v>
      </c>
      <c r="P129" s="47">
        <v>950</v>
      </c>
      <c r="Q129" s="100">
        <f t="shared" si="46"/>
        <v>0</v>
      </c>
      <c r="R129" s="100">
        <v>6.8970000000000004E-3</v>
      </c>
      <c r="T129" s="100"/>
      <c r="U129" s="52">
        <f t="shared" si="47"/>
        <v>0</v>
      </c>
    </row>
    <row r="130" spans="1:21" x14ac:dyDescent="0.3">
      <c r="A130" s="14" t="str">
        <f t="shared" si="37"/>
        <v>(950, 1000]</v>
      </c>
      <c r="B130" s="89">
        <v>3379</v>
      </c>
      <c r="C130" s="89">
        <v>328959390</v>
      </c>
      <c r="D130" s="29">
        <f t="shared" si="38"/>
        <v>4.0399093788187992E-4</v>
      </c>
      <c r="E130" s="90">
        <f t="shared" si="39"/>
        <v>973.54066291802314</v>
      </c>
      <c r="F130" s="88"/>
      <c r="G130" s="14" t="str">
        <f t="shared" si="40"/>
        <v>(950, 1000]</v>
      </c>
      <c r="H130" s="86">
        <v>0</v>
      </c>
      <c r="I130" s="29">
        <f t="shared" si="41"/>
        <v>0</v>
      </c>
      <c r="J130" s="29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7">
        <v>950</v>
      </c>
      <c r="P130" s="47">
        <v>1000</v>
      </c>
      <c r="Q130" s="100">
        <f t="shared" si="46"/>
        <v>0</v>
      </c>
      <c r="R130" s="100">
        <v>0</v>
      </c>
      <c r="T130" s="100"/>
      <c r="U130" s="52">
        <f t="shared" si="47"/>
        <v>0</v>
      </c>
    </row>
    <row r="131" spans="1:21" x14ac:dyDescent="0.3">
      <c r="A131" s="14" t="str">
        <f t="shared" si="37"/>
        <v>(1000, 2000]</v>
      </c>
      <c r="B131" s="89">
        <v>9282</v>
      </c>
      <c r="C131" s="89">
        <v>1088039000</v>
      </c>
      <c r="D131" s="29">
        <f t="shared" si="38"/>
        <v>1.1097495961585112E-3</v>
      </c>
      <c r="E131" s="90">
        <f t="shared" si="39"/>
        <v>1172.2031889678949</v>
      </c>
      <c r="F131" s="88"/>
      <c r="G131" s="14" t="str">
        <f t="shared" si="40"/>
        <v>(1000, 2000]</v>
      </c>
      <c r="H131" s="86">
        <v>4.373419027860375E-2</v>
      </c>
      <c r="I131" s="29">
        <f t="shared" si="41"/>
        <v>4.8534E-5</v>
      </c>
      <c r="J131" s="29">
        <f t="shared" si="42"/>
        <v>4.8533999999999986E-5</v>
      </c>
      <c r="K131" s="92">
        <f t="shared" si="43"/>
        <v>48534</v>
      </c>
      <c r="L131" s="100">
        <f t="shared" si="44"/>
        <v>4.8534E-5</v>
      </c>
      <c r="M131" s="100">
        <f t="shared" si="45"/>
        <v>5.689170957336781E-2</v>
      </c>
      <c r="N131" s="88"/>
      <c r="O131" s="47">
        <v>1000</v>
      </c>
      <c r="P131" s="47">
        <v>2000</v>
      </c>
      <c r="Q131" s="100">
        <f t="shared" si="46"/>
        <v>4.8534E-5</v>
      </c>
      <c r="R131" s="100">
        <v>0</v>
      </c>
      <c r="T131" s="100"/>
      <c r="U131" s="52">
        <f t="shared" si="47"/>
        <v>0</v>
      </c>
    </row>
    <row r="132" spans="1:21" x14ac:dyDescent="0.3">
      <c r="A132" s="14" t="str">
        <f t="shared" si="37"/>
        <v>(2000, 3000]</v>
      </c>
      <c r="B132" s="89">
        <v>96</v>
      </c>
      <c r="C132" s="89">
        <v>21722990</v>
      </c>
      <c r="D132" s="29">
        <f t="shared" si="38"/>
        <v>1.1477694595046011E-5</v>
      </c>
      <c r="E132" s="90">
        <f t="shared" si="39"/>
        <v>2262.8114583333336</v>
      </c>
      <c r="F132" s="88"/>
      <c r="G132" s="14" t="str">
        <f t="shared" si="40"/>
        <v>(2000, 3000]</v>
      </c>
      <c r="H132" s="86">
        <v>0</v>
      </c>
      <c r="I132" s="29">
        <f t="shared" si="41"/>
        <v>0</v>
      </c>
      <c r="J132" s="29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7">
        <v>2000</v>
      </c>
      <c r="P132" s="47">
        <v>3000</v>
      </c>
      <c r="Q132" s="100">
        <f t="shared" si="46"/>
        <v>0</v>
      </c>
      <c r="R132" s="100">
        <v>0</v>
      </c>
      <c r="T132" s="100"/>
      <c r="U132" s="52">
        <f t="shared" si="47"/>
        <v>0</v>
      </c>
    </row>
    <row r="133" spans="1:21" x14ac:dyDescent="0.3">
      <c r="A133" s="14" t="str">
        <f t="shared" si="37"/>
        <v>(3000, 4000]</v>
      </c>
      <c r="B133" s="89">
        <v>2</v>
      </c>
      <c r="C133" s="89">
        <v>673350</v>
      </c>
      <c r="D133" s="29">
        <f t="shared" si="38"/>
        <v>2.3911863739679191E-7</v>
      </c>
      <c r="E133" s="90">
        <f t="shared" si="39"/>
        <v>3366.75</v>
      </c>
      <c r="F133" s="88"/>
      <c r="G133" s="14" t="str">
        <f t="shared" si="40"/>
        <v>(3000, 4000]</v>
      </c>
      <c r="H133" s="86">
        <v>0</v>
      </c>
      <c r="I133" s="29">
        <f t="shared" si="41"/>
        <v>0</v>
      </c>
      <c r="J133" s="29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7">
        <v>3000</v>
      </c>
      <c r="P133" s="47">
        <v>4000</v>
      </c>
      <c r="Q133" s="100">
        <f t="shared" si="46"/>
        <v>0</v>
      </c>
      <c r="R133" s="100">
        <v>0</v>
      </c>
      <c r="T133" s="100"/>
      <c r="U133" s="52">
        <f t="shared" si="47"/>
        <v>0</v>
      </c>
    </row>
    <row r="134" spans="1:21" x14ac:dyDescent="0.3">
      <c r="A134" s="14" t="str">
        <f t="shared" si="37"/>
        <v>(4000, 5000]</v>
      </c>
      <c r="B134" s="89">
        <v>0</v>
      </c>
      <c r="C134" s="89">
        <v>0</v>
      </c>
      <c r="D134" s="29">
        <f t="shared" si="38"/>
        <v>0</v>
      </c>
      <c r="E134" s="90">
        <f t="shared" si="39"/>
        <v>0</v>
      </c>
      <c r="F134" s="88"/>
      <c r="G134" s="14" t="str">
        <f t="shared" si="40"/>
        <v>(4000, 5000]</v>
      </c>
      <c r="H134" s="86">
        <v>0</v>
      </c>
      <c r="I134" s="29">
        <f t="shared" si="41"/>
        <v>0</v>
      </c>
      <c r="J134" s="29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7">
        <v>4000</v>
      </c>
      <c r="P134" s="47">
        <v>5000</v>
      </c>
      <c r="Q134" s="100">
        <f t="shared" si="46"/>
        <v>0</v>
      </c>
      <c r="R134" s="100">
        <v>0</v>
      </c>
      <c r="T134" s="100"/>
      <c r="U134" s="52">
        <f t="shared" si="47"/>
        <v>0</v>
      </c>
    </row>
    <row r="135" spans="1:21" x14ac:dyDescent="0.3">
      <c r="A135" s="14" t="str">
        <f t="shared" si="37"/>
        <v>(5000, 6000]</v>
      </c>
      <c r="B135" s="89">
        <v>0</v>
      </c>
      <c r="C135" s="89">
        <v>0</v>
      </c>
      <c r="D135" s="29">
        <f t="shared" si="38"/>
        <v>0</v>
      </c>
      <c r="E135" s="90">
        <f t="shared" si="39"/>
        <v>0</v>
      </c>
      <c r="F135" s="88"/>
      <c r="G135" s="14" t="str">
        <f t="shared" si="40"/>
        <v>(5000, 6000]</v>
      </c>
      <c r="H135" s="86">
        <v>0</v>
      </c>
      <c r="I135" s="29">
        <f t="shared" si="41"/>
        <v>0</v>
      </c>
      <c r="J135" s="29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7">
        <v>5000</v>
      </c>
      <c r="P135" s="47">
        <v>6000</v>
      </c>
      <c r="Q135" s="100">
        <f t="shared" si="46"/>
        <v>0</v>
      </c>
      <c r="R135" s="100">
        <v>0</v>
      </c>
      <c r="T135" s="100"/>
      <c r="U135" s="52">
        <f t="shared" si="47"/>
        <v>0</v>
      </c>
    </row>
    <row r="136" spans="1:21" x14ac:dyDescent="0.3">
      <c r="A136" s="14" t="str">
        <f t="shared" si="37"/>
        <v>(6000, 7000]</v>
      </c>
      <c r="B136" s="89">
        <v>0</v>
      </c>
      <c r="C136" s="89">
        <v>0</v>
      </c>
      <c r="D136" s="29">
        <f t="shared" si="38"/>
        <v>0</v>
      </c>
      <c r="E136" s="90">
        <f t="shared" si="39"/>
        <v>0</v>
      </c>
      <c r="F136" s="88"/>
      <c r="G136" s="14" t="str">
        <f t="shared" si="40"/>
        <v>(6000, 7000]</v>
      </c>
      <c r="H136" s="86">
        <v>0</v>
      </c>
      <c r="I136" s="29">
        <f t="shared" si="41"/>
        <v>0</v>
      </c>
      <c r="J136" s="29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7">
        <v>6000</v>
      </c>
      <c r="P136" s="47">
        <v>7000</v>
      </c>
      <c r="Q136" s="100">
        <f t="shared" si="46"/>
        <v>0</v>
      </c>
      <c r="R136" s="100">
        <v>0</v>
      </c>
      <c r="T136" s="100"/>
      <c r="U136" s="52">
        <f t="shared" si="47"/>
        <v>0</v>
      </c>
    </row>
    <row r="137" spans="1:21" x14ac:dyDescent="0.3">
      <c r="A137" s="14" t="str">
        <f t="shared" si="37"/>
        <v>(7000, 8000]</v>
      </c>
      <c r="B137" s="89">
        <v>0</v>
      </c>
      <c r="C137" s="89">
        <v>0</v>
      </c>
      <c r="D137" s="29">
        <f t="shared" si="38"/>
        <v>0</v>
      </c>
      <c r="E137" s="90">
        <f t="shared" si="39"/>
        <v>0</v>
      </c>
      <c r="F137" s="88"/>
      <c r="G137" s="14" t="str">
        <f t="shared" si="40"/>
        <v>(7000, 8000]</v>
      </c>
      <c r="H137" s="86">
        <v>0</v>
      </c>
      <c r="I137" s="29">
        <f t="shared" si="41"/>
        <v>0</v>
      </c>
      <c r="J137" s="29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7">
        <v>7000</v>
      </c>
      <c r="P137" s="47">
        <v>8000</v>
      </c>
      <c r="Q137" s="100">
        <f t="shared" si="46"/>
        <v>0</v>
      </c>
      <c r="R137" s="100">
        <v>0</v>
      </c>
      <c r="T137" s="100"/>
      <c r="U137" s="52">
        <f t="shared" si="47"/>
        <v>0</v>
      </c>
    </row>
    <row r="138" spans="1:21" x14ac:dyDescent="0.3">
      <c r="A138" s="14" t="str">
        <f t="shared" si="37"/>
        <v>(8000, 9000]</v>
      </c>
      <c r="B138" s="89">
        <v>0</v>
      </c>
      <c r="C138" s="89">
        <v>0</v>
      </c>
      <c r="D138" s="29">
        <f t="shared" si="38"/>
        <v>0</v>
      </c>
      <c r="E138" s="90">
        <f t="shared" si="39"/>
        <v>0</v>
      </c>
      <c r="F138" s="88"/>
      <c r="G138" s="14" t="str">
        <f t="shared" si="40"/>
        <v>(8000, 9000]</v>
      </c>
      <c r="H138" s="86">
        <v>0</v>
      </c>
      <c r="I138" s="29">
        <f t="shared" si="41"/>
        <v>0</v>
      </c>
      <c r="J138" s="29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7">
        <v>8000</v>
      </c>
      <c r="P138" s="47">
        <v>9000</v>
      </c>
      <c r="Q138" s="100">
        <f t="shared" si="46"/>
        <v>0</v>
      </c>
      <c r="R138" s="100">
        <v>0</v>
      </c>
      <c r="T138" s="100"/>
      <c r="U138" s="52">
        <f t="shared" si="47"/>
        <v>0</v>
      </c>
    </row>
    <row r="139" spans="1:21" x14ac:dyDescent="0.3">
      <c r="A139" s="14" t="str">
        <f t="shared" si="37"/>
        <v>(9000, 10000]</v>
      </c>
      <c r="B139" s="89">
        <v>0</v>
      </c>
      <c r="C139" s="89">
        <v>0</v>
      </c>
      <c r="D139" s="29">
        <f t="shared" si="38"/>
        <v>0</v>
      </c>
      <c r="E139" s="90">
        <f t="shared" si="39"/>
        <v>0</v>
      </c>
      <c r="F139" s="88"/>
      <c r="G139" s="14" t="str">
        <f t="shared" si="40"/>
        <v>(9000, 10000]</v>
      </c>
      <c r="H139" s="86">
        <v>0</v>
      </c>
      <c r="I139" s="29">
        <f t="shared" si="41"/>
        <v>0</v>
      </c>
      <c r="J139" s="29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7">
        <v>9000</v>
      </c>
      <c r="P139" s="47">
        <v>10000</v>
      </c>
      <c r="Q139" s="100">
        <f t="shared" si="46"/>
        <v>0</v>
      </c>
      <c r="R139" s="100">
        <v>0</v>
      </c>
      <c r="T139" s="100"/>
      <c r="U139" s="52">
        <f t="shared" si="47"/>
        <v>0</v>
      </c>
    </row>
    <row r="140" spans="1:21" x14ac:dyDescent="0.3">
      <c r="A140" s="14" t="str">
        <f t="shared" si="37"/>
        <v>(10000, 20000]</v>
      </c>
      <c r="B140" s="89">
        <v>0</v>
      </c>
      <c r="C140" s="89">
        <v>0</v>
      </c>
      <c r="D140" s="29">
        <f t="shared" si="38"/>
        <v>0</v>
      </c>
      <c r="E140" s="90">
        <f t="shared" si="39"/>
        <v>0</v>
      </c>
      <c r="F140" s="88"/>
      <c r="G140" s="14" t="str">
        <f t="shared" si="40"/>
        <v>(10000, 20000]</v>
      </c>
      <c r="H140" s="86">
        <v>0</v>
      </c>
      <c r="I140" s="29">
        <f t="shared" si="41"/>
        <v>0</v>
      </c>
      <c r="J140" s="29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7">
        <v>10000</v>
      </c>
      <c r="P140" s="47">
        <v>20000</v>
      </c>
      <c r="Q140" s="100">
        <f t="shared" si="46"/>
        <v>0</v>
      </c>
      <c r="R140" s="100">
        <v>0</v>
      </c>
      <c r="T140" s="100"/>
      <c r="U140" s="52">
        <f t="shared" si="47"/>
        <v>0</v>
      </c>
    </row>
    <row r="141" spans="1:21" x14ac:dyDescent="0.3">
      <c r="A141" s="14" t="str">
        <f t="shared" si="37"/>
        <v>(20000, 30000]</v>
      </c>
      <c r="B141" s="89">
        <v>0</v>
      </c>
      <c r="C141" s="89">
        <v>0</v>
      </c>
      <c r="D141" s="29">
        <f t="shared" si="38"/>
        <v>0</v>
      </c>
      <c r="E141" s="90">
        <f t="shared" si="39"/>
        <v>0</v>
      </c>
      <c r="F141" s="88"/>
      <c r="G141" s="14" t="str">
        <f t="shared" si="40"/>
        <v>(20000, 30000]</v>
      </c>
      <c r="H141" s="86">
        <v>0</v>
      </c>
      <c r="I141" s="29">
        <f t="shared" si="41"/>
        <v>0</v>
      </c>
      <c r="J141" s="29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7">
        <v>20000</v>
      </c>
      <c r="P141" s="47">
        <v>30000</v>
      </c>
      <c r="Q141" s="100">
        <f t="shared" si="46"/>
        <v>0</v>
      </c>
      <c r="R141" s="100">
        <v>0</v>
      </c>
      <c r="T141" s="100"/>
      <c r="U141" s="52">
        <f t="shared" si="47"/>
        <v>0</v>
      </c>
    </row>
    <row r="142" spans="1:21" x14ac:dyDescent="0.3">
      <c r="A142" s="14" t="str">
        <f t="shared" si="37"/>
        <v>(30000, 40000]</v>
      </c>
      <c r="B142" s="89">
        <v>0</v>
      </c>
      <c r="C142" s="89">
        <v>0</v>
      </c>
      <c r="D142" s="29">
        <f t="shared" si="38"/>
        <v>0</v>
      </c>
      <c r="E142" s="90">
        <f t="shared" si="39"/>
        <v>0</v>
      </c>
      <c r="F142" s="88"/>
      <c r="G142" s="14" t="str">
        <f t="shared" si="40"/>
        <v>(30000, 40000]</v>
      </c>
      <c r="H142" s="86">
        <v>0</v>
      </c>
      <c r="I142" s="29">
        <f t="shared" si="41"/>
        <v>0</v>
      </c>
      <c r="J142" s="29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7">
        <v>30000</v>
      </c>
      <c r="P142" s="47">
        <v>40000</v>
      </c>
      <c r="Q142" s="100">
        <f t="shared" si="46"/>
        <v>0</v>
      </c>
      <c r="R142" s="100">
        <v>0</v>
      </c>
      <c r="T142" s="100"/>
      <c r="U142" s="52">
        <f t="shared" si="47"/>
        <v>0</v>
      </c>
    </row>
    <row r="143" spans="1:21" x14ac:dyDescent="0.3">
      <c r="A143" s="14" t="str">
        <f t="shared" si="37"/>
        <v>(40000, 50000]</v>
      </c>
      <c r="B143" s="89">
        <v>0</v>
      </c>
      <c r="C143" s="89">
        <v>0</v>
      </c>
      <c r="D143" s="29">
        <f t="shared" si="38"/>
        <v>0</v>
      </c>
      <c r="E143" s="90">
        <f t="shared" si="39"/>
        <v>0</v>
      </c>
      <c r="F143" s="88"/>
      <c r="G143" s="14" t="str">
        <f t="shared" si="40"/>
        <v>(40000, 50000]</v>
      </c>
      <c r="H143" s="86">
        <v>0</v>
      </c>
      <c r="I143" s="29">
        <f t="shared" si="41"/>
        <v>0</v>
      </c>
      <c r="J143" s="29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7">
        <v>40000</v>
      </c>
      <c r="P143" s="47">
        <v>50000</v>
      </c>
      <c r="Q143" s="100">
        <f t="shared" si="46"/>
        <v>0</v>
      </c>
      <c r="R143" s="100">
        <v>0</v>
      </c>
      <c r="T143" s="100"/>
      <c r="U143" s="52">
        <f t="shared" si="47"/>
        <v>0</v>
      </c>
    </row>
    <row r="144" spans="1:21" x14ac:dyDescent="0.3">
      <c r="A144" s="14" t="str">
        <f t="shared" si="37"/>
        <v>(50000, 60000]</v>
      </c>
      <c r="B144" s="89">
        <v>0</v>
      </c>
      <c r="C144" s="89">
        <v>0</v>
      </c>
      <c r="D144" s="29">
        <f t="shared" si="38"/>
        <v>0</v>
      </c>
      <c r="E144" s="90">
        <f t="shared" si="39"/>
        <v>0</v>
      </c>
      <c r="F144" s="88"/>
      <c r="G144" s="14" t="str">
        <f t="shared" si="40"/>
        <v>(50000, 60000]</v>
      </c>
      <c r="H144" s="86">
        <v>0</v>
      </c>
      <c r="I144" s="29">
        <f t="shared" si="41"/>
        <v>0</v>
      </c>
      <c r="J144" s="29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7">
        <v>50000</v>
      </c>
      <c r="P144" s="47">
        <v>60000</v>
      </c>
      <c r="Q144" s="100">
        <f t="shared" si="46"/>
        <v>0</v>
      </c>
      <c r="R144" s="100">
        <v>0</v>
      </c>
      <c r="T144" s="100"/>
      <c r="U144" s="52">
        <f t="shared" si="47"/>
        <v>0</v>
      </c>
    </row>
    <row r="145" spans="1:21" x14ac:dyDescent="0.3">
      <c r="A145" s="14" t="str">
        <f t="shared" si="37"/>
        <v>(60000, 70000]</v>
      </c>
      <c r="B145" s="89">
        <v>0</v>
      </c>
      <c r="C145" s="89">
        <v>0</v>
      </c>
      <c r="D145" s="29">
        <f t="shared" si="38"/>
        <v>0</v>
      </c>
      <c r="E145" s="90">
        <f t="shared" si="39"/>
        <v>0</v>
      </c>
      <c r="F145" s="88"/>
      <c r="G145" s="14" t="str">
        <f t="shared" si="40"/>
        <v>(60000, 70000]</v>
      </c>
      <c r="H145" s="86">
        <v>0</v>
      </c>
      <c r="I145" s="29">
        <f t="shared" si="41"/>
        <v>0</v>
      </c>
      <c r="J145" s="29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7">
        <v>60000</v>
      </c>
      <c r="P145" s="47">
        <v>70000</v>
      </c>
      <c r="Q145" s="100">
        <f t="shared" si="46"/>
        <v>0</v>
      </c>
      <c r="R145" s="100">
        <v>0</v>
      </c>
      <c r="T145" s="100"/>
      <c r="U145" s="52">
        <f t="shared" si="47"/>
        <v>0</v>
      </c>
    </row>
    <row r="146" spans="1:21" x14ac:dyDescent="0.3">
      <c r="A146" s="14" t="str">
        <f t="shared" si="37"/>
        <v>(70000, 80000]</v>
      </c>
      <c r="B146" s="89">
        <v>0</v>
      </c>
      <c r="C146" s="89">
        <v>0</v>
      </c>
      <c r="D146" s="29">
        <f t="shared" si="38"/>
        <v>0</v>
      </c>
      <c r="E146" s="90">
        <f t="shared" si="39"/>
        <v>0</v>
      </c>
      <c r="F146" s="88"/>
      <c r="G146" s="14" t="str">
        <f t="shared" si="40"/>
        <v>(70000, 80000]</v>
      </c>
      <c r="H146" s="86">
        <v>0</v>
      </c>
      <c r="I146" s="29">
        <f t="shared" si="41"/>
        <v>0</v>
      </c>
      <c r="J146" s="29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7">
        <v>70000</v>
      </c>
      <c r="P146" s="47">
        <v>80000</v>
      </c>
      <c r="Q146" s="100">
        <f t="shared" si="46"/>
        <v>0</v>
      </c>
      <c r="R146" s="100">
        <v>0</v>
      </c>
      <c r="T146" s="100"/>
      <c r="U146" s="52">
        <f t="shared" si="47"/>
        <v>0</v>
      </c>
    </row>
    <row r="147" spans="1:21" x14ac:dyDescent="0.3">
      <c r="A147" s="14" t="str">
        <f t="shared" si="37"/>
        <v>(80000, 90000]</v>
      </c>
      <c r="B147" s="89">
        <v>0</v>
      </c>
      <c r="C147" s="89">
        <v>0</v>
      </c>
      <c r="D147" s="29">
        <f t="shared" si="38"/>
        <v>0</v>
      </c>
      <c r="E147" s="90">
        <f t="shared" si="39"/>
        <v>0</v>
      </c>
      <c r="F147" s="88"/>
      <c r="G147" s="14" t="str">
        <f t="shared" si="40"/>
        <v>(80000, 90000]</v>
      </c>
      <c r="H147" s="86">
        <v>0</v>
      </c>
      <c r="I147" s="29">
        <f t="shared" si="41"/>
        <v>0</v>
      </c>
      <c r="J147" s="29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7">
        <v>80000</v>
      </c>
      <c r="P147" s="47">
        <v>90000</v>
      </c>
      <c r="Q147" s="100">
        <f t="shared" si="46"/>
        <v>0</v>
      </c>
      <c r="R147" s="100">
        <v>0</v>
      </c>
      <c r="T147" s="100"/>
      <c r="U147" s="52">
        <f t="shared" si="47"/>
        <v>0</v>
      </c>
    </row>
    <row r="148" spans="1:21" x14ac:dyDescent="0.3">
      <c r="A148" s="14" t="str">
        <f t="shared" si="37"/>
        <v>(90000, 100000]</v>
      </c>
      <c r="B148" s="89">
        <v>0</v>
      </c>
      <c r="C148" s="89">
        <v>0</v>
      </c>
      <c r="D148" s="29">
        <f t="shared" si="38"/>
        <v>0</v>
      </c>
      <c r="E148" s="90">
        <f t="shared" si="39"/>
        <v>0</v>
      </c>
      <c r="F148" s="88"/>
      <c r="G148" s="14" t="str">
        <f t="shared" si="40"/>
        <v>(90000, 100000]</v>
      </c>
      <c r="H148" s="86">
        <v>0</v>
      </c>
      <c r="I148" s="29">
        <f t="shared" si="41"/>
        <v>0</v>
      </c>
      <c r="J148" s="29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7">
        <v>90000</v>
      </c>
      <c r="P148" s="47">
        <v>100000</v>
      </c>
      <c r="Q148" s="100">
        <f t="shared" si="46"/>
        <v>0</v>
      </c>
      <c r="R148" s="100">
        <v>0</v>
      </c>
      <c r="T148" s="100"/>
      <c r="U148" s="52">
        <f t="shared" si="47"/>
        <v>0</v>
      </c>
    </row>
    <row r="149" spans="1:21" x14ac:dyDescent="0.3">
      <c r="A149" s="14" t="str">
        <f t="shared" si="37"/>
        <v>(100000, 9999999]</v>
      </c>
      <c r="B149" s="89">
        <v>0</v>
      </c>
      <c r="C149" s="89">
        <v>0</v>
      </c>
      <c r="D149" s="29">
        <f t="shared" si="38"/>
        <v>0</v>
      </c>
      <c r="E149" s="90">
        <f t="shared" si="39"/>
        <v>0</v>
      </c>
      <c r="F149" s="88"/>
      <c r="G149" s="14" t="str">
        <f t="shared" si="40"/>
        <v>(100000, 9999999]</v>
      </c>
      <c r="H149" s="86">
        <v>0</v>
      </c>
      <c r="I149" s="29">
        <f t="shared" si="41"/>
        <v>0</v>
      </c>
      <c r="J149" s="29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7">
        <v>100000</v>
      </c>
      <c r="P149" s="47">
        <v>9999999</v>
      </c>
      <c r="Q149" s="100">
        <f t="shared" si="46"/>
        <v>0</v>
      </c>
      <c r="R149" s="100">
        <v>0</v>
      </c>
      <c r="T149" s="100"/>
      <c r="U149" s="52">
        <f t="shared" si="47"/>
        <v>0</v>
      </c>
    </row>
    <row r="150" spans="1:21" x14ac:dyDescent="0.3">
      <c r="F150" s="4"/>
      <c r="N150" s="4"/>
      <c r="O150" s="4"/>
      <c r="P150" s="4"/>
    </row>
    <row r="152" spans="1:21" s="59" customFormat="1" ht="15.6" customHeight="1" collapsed="1" x14ac:dyDescent="0.3">
      <c r="A152" s="66" t="s">
        <v>11</v>
      </c>
      <c r="B152" s="66" t="s">
        <v>18</v>
      </c>
      <c r="C152" s="66"/>
      <c r="D152" s="56"/>
      <c r="E152" s="56"/>
      <c r="F152" s="57"/>
      <c r="G152" s="66" t="s">
        <v>11</v>
      </c>
      <c r="H152" s="66" t="s">
        <v>18</v>
      </c>
      <c r="I152" s="58"/>
      <c r="J152" s="58"/>
      <c r="K152" s="58"/>
      <c r="L152" s="58"/>
      <c r="M152" s="58"/>
      <c r="N152" s="57"/>
      <c r="O152" s="66" t="s">
        <v>11</v>
      </c>
      <c r="P152" s="66" t="s">
        <v>18</v>
      </c>
      <c r="Q152" s="58"/>
      <c r="R152" s="58"/>
    </row>
    <row r="153" spans="1:21" x14ac:dyDescent="0.3">
      <c r="A153" s="31"/>
      <c r="B153" s="1"/>
      <c r="C153" s="1"/>
      <c r="D153" s="1"/>
      <c r="E153" s="1"/>
      <c r="G153" s="37"/>
      <c r="H153" s="31"/>
      <c r="I153" s="31"/>
      <c r="J153" s="31"/>
      <c r="K153" s="31"/>
      <c r="L153" s="31"/>
      <c r="M153" s="31"/>
      <c r="Q153" s="31"/>
      <c r="R153" s="31"/>
    </row>
    <row r="154" spans="1:21" x14ac:dyDescent="0.3">
      <c r="A154" s="50" t="s">
        <v>100</v>
      </c>
      <c r="C154" s="1"/>
      <c r="D154" s="1"/>
      <c r="E154" s="1"/>
      <c r="G154" s="50" t="s">
        <v>101</v>
      </c>
      <c r="H154" s="31"/>
      <c r="I154" s="31"/>
      <c r="J154" s="31"/>
      <c r="K154" s="31"/>
      <c r="L154" s="31"/>
      <c r="M154" s="31"/>
      <c r="Q154" s="31"/>
      <c r="R154" s="31"/>
    </row>
    <row r="155" spans="1:21" x14ac:dyDescent="0.3">
      <c r="A155" s="9" t="s">
        <v>20</v>
      </c>
      <c r="B155" s="9" t="s">
        <v>102</v>
      </c>
      <c r="C155" s="9" t="s">
        <v>103</v>
      </c>
      <c r="D155" s="9" t="s">
        <v>95</v>
      </c>
      <c r="E155" s="9" t="s">
        <v>104</v>
      </c>
      <c r="G155" s="9" t="s">
        <v>20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95</v>
      </c>
      <c r="M155" s="9" t="s">
        <v>109</v>
      </c>
      <c r="Q155" s="9"/>
      <c r="R155" s="9"/>
    </row>
    <row r="156" spans="1:21" x14ac:dyDescent="0.3">
      <c r="A156" s="14" t="s">
        <v>11</v>
      </c>
      <c r="B156" s="89">
        <v>8364049</v>
      </c>
      <c r="C156" s="89">
        <v>0</v>
      </c>
      <c r="D156" s="55">
        <v>1</v>
      </c>
      <c r="E156" s="90">
        <f>C156/B156/B3</f>
        <v>0</v>
      </c>
      <c r="F156" s="91"/>
      <c r="G156" s="14" t="s">
        <v>11</v>
      </c>
      <c r="H156" s="86">
        <v>1</v>
      </c>
      <c r="I156" s="29">
        <f>D156*H156</f>
        <v>1</v>
      </c>
      <c r="J156" s="55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 x14ac:dyDescent="0.3">
      <c r="B157" s="1"/>
      <c r="C157" s="1"/>
      <c r="D157" s="1"/>
      <c r="E157" s="1"/>
      <c r="G157" s="37"/>
      <c r="H157" s="31"/>
      <c r="I157" s="31"/>
      <c r="J157" s="31"/>
      <c r="K157" s="31"/>
      <c r="L157" s="31"/>
      <c r="M157" s="31"/>
      <c r="Q157" s="31"/>
      <c r="R157" s="31"/>
    </row>
    <row r="159" spans="1:21" s="59" customFormat="1" ht="15.6" customHeight="1" x14ac:dyDescent="0.3">
      <c r="A159" s="66" t="s">
        <v>11</v>
      </c>
      <c r="B159" s="66" t="s">
        <v>19</v>
      </c>
      <c r="C159" s="66"/>
      <c r="D159" s="56"/>
      <c r="E159" s="56"/>
      <c r="F159" s="57"/>
      <c r="G159" s="66" t="s">
        <v>11</v>
      </c>
      <c r="H159" s="66" t="s">
        <v>19</v>
      </c>
      <c r="I159" s="58"/>
      <c r="J159" s="58"/>
      <c r="K159" s="58"/>
      <c r="L159" s="58"/>
      <c r="M159" s="58"/>
      <c r="N159" s="57"/>
      <c r="O159" s="66" t="s">
        <v>11</v>
      </c>
      <c r="P159" s="66" t="s">
        <v>19</v>
      </c>
      <c r="Q159" s="58"/>
      <c r="R159" s="58"/>
    </row>
    <row r="160" spans="1:21" x14ac:dyDescent="0.3">
      <c r="A160" s="31"/>
      <c r="B160" s="1"/>
      <c r="C160" s="1"/>
      <c r="D160" s="1"/>
      <c r="E160" s="1"/>
      <c r="G160" s="37"/>
      <c r="H160" s="31"/>
      <c r="I160" s="31"/>
      <c r="J160" s="31"/>
      <c r="K160" s="31"/>
      <c r="L160" s="31"/>
      <c r="M160" s="31"/>
      <c r="Q160" s="31"/>
      <c r="R160" s="31"/>
    </row>
    <row r="161" spans="1:21" x14ac:dyDescent="0.3">
      <c r="A161" s="50" t="s">
        <v>100</v>
      </c>
      <c r="C161" s="1"/>
      <c r="D161" s="1"/>
      <c r="E161" s="1"/>
      <c r="G161" s="50" t="s">
        <v>101</v>
      </c>
      <c r="H161" s="31"/>
      <c r="I161" s="31"/>
      <c r="J161" s="31"/>
      <c r="L161" s="31"/>
      <c r="M161" s="31"/>
      <c r="Q161" s="31"/>
      <c r="R161" s="31"/>
    </row>
    <row r="162" spans="1:21" x14ac:dyDescent="0.3">
      <c r="A162" s="9" t="s">
        <v>20</v>
      </c>
      <c r="B162" s="9" t="s">
        <v>102</v>
      </c>
      <c r="C162" s="9" t="s">
        <v>103</v>
      </c>
      <c r="D162" s="9" t="s">
        <v>95</v>
      </c>
      <c r="E162" s="9" t="s">
        <v>104</v>
      </c>
      <c r="G162" s="9" t="s">
        <v>20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95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 x14ac:dyDescent="0.3">
      <c r="A163" s="14" t="str">
        <f t="shared" ref="A163:A194" si="48">"("&amp;$O163&amp;", "&amp;$P163&amp;"]"</f>
        <v>(-1, 0]</v>
      </c>
      <c r="B163" s="95">
        <v>55218</v>
      </c>
      <c r="C163" s="95">
        <v>0</v>
      </c>
      <c r="D163" s="29">
        <f t="shared" ref="D163:D194" si="49">IFERROR(B163/SUM($B$163:$B$226),0)</f>
        <v>6.6018264598880277E-3</v>
      </c>
      <c r="E163" s="85">
        <f t="shared" ref="E163:E194" si="50">IFERROR(C163/B163/$B$3,0)</f>
        <v>0</v>
      </c>
      <c r="G163" s="14" t="str">
        <f t="shared" ref="G163:G194" si="51">"("&amp;$O163&amp;", "&amp;$P163&amp;"]"</f>
        <v>(-1, 0]</v>
      </c>
      <c r="H163" s="86">
        <v>0</v>
      </c>
      <c r="I163" s="29">
        <f t="shared" ref="I163:I194" si="52">D163*H163</f>
        <v>0</v>
      </c>
      <c r="J163" s="29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51">
        <v>-1</v>
      </c>
      <c r="P163" s="51">
        <v>0</v>
      </c>
      <c r="Q163" s="100">
        <f t="shared" ref="Q163:Q194" si="57">L163</f>
        <v>0</v>
      </c>
      <c r="R163" s="100">
        <v>2.069E-2</v>
      </c>
      <c r="T163" s="100"/>
      <c r="U163" s="52">
        <f t="shared" ref="U163:U194" si="58">IFERROR(ROUND(T163/L163,2),0)</f>
        <v>0</v>
      </c>
    </row>
    <row r="164" spans="1:21" x14ac:dyDescent="0.3">
      <c r="A164" s="14" t="str">
        <f t="shared" si="48"/>
        <v>(0, 1]</v>
      </c>
      <c r="B164" s="96">
        <v>84581</v>
      </c>
      <c r="C164" s="96">
        <v>4760560</v>
      </c>
      <c r="D164" s="29">
        <f t="shared" si="49"/>
        <v>1.0112446734829028E-2</v>
      </c>
      <c r="E164" s="90">
        <f t="shared" si="50"/>
        <v>0.56284035421666812</v>
      </c>
      <c r="G164" s="14" t="str">
        <f t="shared" si="51"/>
        <v>(0, 1]</v>
      </c>
      <c r="H164" s="86">
        <v>0</v>
      </c>
      <c r="I164" s="29">
        <f t="shared" si="52"/>
        <v>0</v>
      </c>
      <c r="J164" s="29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7">
        <v>0</v>
      </c>
      <c r="P164" s="47">
        <v>1</v>
      </c>
      <c r="Q164" s="100">
        <f t="shared" si="57"/>
        <v>0</v>
      </c>
      <c r="R164" s="100">
        <v>6.8970000000000004E-3</v>
      </c>
      <c r="T164" s="100"/>
      <c r="U164" s="52">
        <f t="shared" si="58"/>
        <v>0</v>
      </c>
    </row>
    <row r="165" spans="1:21" x14ac:dyDescent="0.3">
      <c r="A165" s="14" t="str">
        <f t="shared" si="48"/>
        <v>(1, 2]</v>
      </c>
      <c r="B165" s="96">
        <v>64013</v>
      </c>
      <c r="C165" s="96">
        <v>10029540</v>
      </c>
      <c r="D165" s="29">
        <f t="shared" si="49"/>
        <v>7.6533506678404207E-3</v>
      </c>
      <c r="E165" s="90">
        <f t="shared" si="50"/>
        <v>1.566797369284364</v>
      </c>
      <c r="F165" s="53"/>
      <c r="G165" s="14" t="str">
        <f t="shared" si="51"/>
        <v>(1, 2]</v>
      </c>
      <c r="H165" s="86">
        <v>0</v>
      </c>
      <c r="I165" s="29">
        <f t="shared" si="52"/>
        <v>0</v>
      </c>
      <c r="J165" s="29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7">
        <v>1</v>
      </c>
      <c r="P165" s="47">
        <v>2</v>
      </c>
      <c r="Q165" s="100">
        <f t="shared" si="57"/>
        <v>0</v>
      </c>
      <c r="R165" s="100">
        <v>6.8970000000000004E-3</v>
      </c>
      <c r="T165" s="100"/>
      <c r="U165" s="52">
        <f t="shared" si="58"/>
        <v>0</v>
      </c>
    </row>
    <row r="166" spans="1:21" x14ac:dyDescent="0.3">
      <c r="A166" s="14" t="str">
        <f t="shared" si="48"/>
        <v>(2, 3]</v>
      </c>
      <c r="B166" s="96">
        <v>55751</v>
      </c>
      <c r="C166" s="96">
        <v>14330930</v>
      </c>
      <c r="D166" s="29">
        <f t="shared" si="49"/>
        <v>6.6655515767542733E-3</v>
      </c>
      <c r="E166" s="90">
        <f t="shared" si="50"/>
        <v>2.5705242955283314</v>
      </c>
      <c r="F166" s="88"/>
      <c r="G166" s="14" t="str">
        <f t="shared" si="51"/>
        <v>(2, 3]</v>
      </c>
      <c r="H166" s="86">
        <v>0</v>
      </c>
      <c r="I166" s="29">
        <f t="shared" si="52"/>
        <v>0</v>
      </c>
      <c r="J166" s="29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7">
        <v>2</v>
      </c>
      <c r="P166" s="47">
        <v>3</v>
      </c>
      <c r="Q166" s="100">
        <f t="shared" si="57"/>
        <v>0</v>
      </c>
      <c r="R166" s="100">
        <v>6.8970000000000004E-3</v>
      </c>
      <c r="T166" s="100"/>
      <c r="U166" s="52">
        <f t="shared" si="58"/>
        <v>0</v>
      </c>
    </row>
    <row r="167" spans="1:21" x14ac:dyDescent="0.3">
      <c r="A167" s="14" t="str">
        <f t="shared" si="48"/>
        <v>(3, 4]</v>
      </c>
      <c r="B167" s="96">
        <v>49939</v>
      </c>
      <c r="C167" s="96">
        <v>17889880</v>
      </c>
      <c r="D167" s="29">
        <f t="shared" si="49"/>
        <v>5.9706728164791957E-3</v>
      </c>
      <c r="E167" s="90">
        <f t="shared" si="50"/>
        <v>3.5823464626844754</v>
      </c>
      <c r="F167" s="88"/>
      <c r="G167" s="14" t="str">
        <f t="shared" si="51"/>
        <v>(3, 4]</v>
      </c>
      <c r="H167" s="86">
        <v>0</v>
      </c>
      <c r="I167" s="29">
        <f t="shared" si="52"/>
        <v>0</v>
      </c>
      <c r="J167" s="29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7">
        <v>3</v>
      </c>
      <c r="P167" s="47">
        <v>4</v>
      </c>
      <c r="Q167" s="100">
        <f t="shared" si="57"/>
        <v>0</v>
      </c>
      <c r="R167" s="100">
        <v>6.8970000000000004E-3</v>
      </c>
      <c r="T167" s="100"/>
      <c r="U167" s="52">
        <f t="shared" si="58"/>
        <v>0</v>
      </c>
    </row>
    <row r="168" spans="1:21" x14ac:dyDescent="0.3">
      <c r="A168" s="14" t="str">
        <f t="shared" si="48"/>
        <v>(4, 5]</v>
      </c>
      <c r="B168" s="96">
        <v>47937</v>
      </c>
      <c r="C168" s="96">
        <v>21917950</v>
      </c>
      <c r="D168" s="29">
        <f t="shared" si="49"/>
        <v>5.7313150604450074E-3</v>
      </c>
      <c r="E168" s="90">
        <f t="shared" si="50"/>
        <v>4.5722406491853897</v>
      </c>
      <c r="F168" s="88"/>
      <c r="G168" s="14" t="str">
        <f t="shared" si="51"/>
        <v>(4, 5]</v>
      </c>
      <c r="H168" s="86">
        <v>0</v>
      </c>
      <c r="I168" s="29">
        <f t="shared" si="52"/>
        <v>0</v>
      </c>
      <c r="J168" s="29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7">
        <v>4</v>
      </c>
      <c r="P168" s="47">
        <v>5</v>
      </c>
      <c r="Q168" s="100">
        <f t="shared" si="57"/>
        <v>0</v>
      </c>
      <c r="R168" s="100">
        <v>6.8970000000000004E-3</v>
      </c>
      <c r="T168" s="100"/>
      <c r="U168" s="52">
        <f t="shared" si="58"/>
        <v>0</v>
      </c>
    </row>
    <row r="169" spans="1:21" x14ac:dyDescent="0.3">
      <c r="A169" s="14" t="str">
        <f t="shared" si="48"/>
        <v>(5, 6]</v>
      </c>
      <c r="B169" s="96">
        <v>46015</v>
      </c>
      <c r="C169" s="96">
        <v>25632270</v>
      </c>
      <c r="D169" s="29">
        <f t="shared" si="49"/>
        <v>5.5015220499066899E-3</v>
      </c>
      <c r="E169" s="90">
        <f t="shared" si="50"/>
        <v>5.5704161686406612</v>
      </c>
      <c r="F169" s="88"/>
      <c r="G169" s="14" t="str">
        <f t="shared" si="51"/>
        <v>(5, 6]</v>
      </c>
      <c r="H169" s="86">
        <v>6.2642640868056718</v>
      </c>
      <c r="I169" s="29">
        <f t="shared" si="52"/>
        <v>3.4462987E-2</v>
      </c>
      <c r="J169" s="29">
        <f t="shared" si="53"/>
        <v>3.4462987000000014E-2</v>
      </c>
      <c r="K169" s="87">
        <f t="shared" si="54"/>
        <v>34462987</v>
      </c>
      <c r="L169" s="100">
        <f t="shared" si="55"/>
        <v>3.4462987E-2</v>
      </c>
      <c r="M169" s="100">
        <f t="shared" si="56"/>
        <v>0.19197318000445293</v>
      </c>
      <c r="N169" s="88"/>
      <c r="O169" s="47">
        <v>5</v>
      </c>
      <c r="P169" s="47">
        <v>6</v>
      </c>
      <c r="Q169" s="100">
        <f t="shared" si="57"/>
        <v>3.4462987E-2</v>
      </c>
      <c r="R169" s="100">
        <v>6.8970000000000004E-3</v>
      </c>
      <c r="T169" s="100"/>
      <c r="U169" s="52">
        <f t="shared" si="58"/>
        <v>0</v>
      </c>
    </row>
    <row r="170" spans="1:21" x14ac:dyDescent="0.3">
      <c r="A170" s="14" t="str">
        <f t="shared" si="48"/>
        <v>(6, 7]</v>
      </c>
      <c r="B170" s="96">
        <v>43596</v>
      </c>
      <c r="C170" s="96">
        <v>28617500</v>
      </c>
      <c r="D170" s="29">
        <f t="shared" si="49"/>
        <v>5.2123080579752701E-3</v>
      </c>
      <c r="E170" s="90">
        <f t="shared" si="50"/>
        <v>6.5642490136709783</v>
      </c>
      <c r="F170" s="88"/>
      <c r="G170" s="14" t="str">
        <f t="shared" si="51"/>
        <v>(6, 7]</v>
      </c>
      <c r="H170" s="86">
        <v>5.6873386358356042</v>
      </c>
      <c r="I170" s="29">
        <f t="shared" si="52"/>
        <v>2.9644160999999999E-2</v>
      </c>
      <c r="J170" s="29">
        <f t="shared" si="53"/>
        <v>2.9644161000000013E-2</v>
      </c>
      <c r="K170" s="87">
        <f t="shared" si="54"/>
        <v>29644161</v>
      </c>
      <c r="L170" s="100">
        <f t="shared" si="55"/>
        <v>2.9644160999999999E-2</v>
      </c>
      <c r="M170" s="100">
        <f t="shared" si="56"/>
        <v>0.19459165460535369</v>
      </c>
      <c r="N170" s="88"/>
      <c r="O170" s="47">
        <v>6</v>
      </c>
      <c r="P170" s="47">
        <v>7</v>
      </c>
      <c r="Q170" s="100">
        <f t="shared" si="57"/>
        <v>2.9644160999999999E-2</v>
      </c>
      <c r="R170" s="100">
        <v>2.069E-2</v>
      </c>
      <c r="T170" s="100"/>
      <c r="U170" s="52">
        <f t="shared" si="58"/>
        <v>0</v>
      </c>
    </row>
    <row r="171" spans="1:21" x14ac:dyDescent="0.3">
      <c r="A171" s="14" t="str">
        <f t="shared" si="48"/>
        <v>(7, 8]</v>
      </c>
      <c r="B171" s="96">
        <v>43437</v>
      </c>
      <c r="C171" s="96">
        <v>32884090</v>
      </c>
      <c r="D171" s="29">
        <f t="shared" si="49"/>
        <v>5.1932981263022255E-3</v>
      </c>
      <c r="E171" s="90">
        <f t="shared" si="50"/>
        <v>7.5705251283468007</v>
      </c>
      <c r="F171" s="88"/>
      <c r="G171" s="14" t="str">
        <f t="shared" si="51"/>
        <v>(7, 8]</v>
      </c>
      <c r="H171" s="86">
        <v>6.1076507122429948</v>
      </c>
      <c r="I171" s="29">
        <f t="shared" si="52"/>
        <v>3.1718850999999999E-2</v>
      </c>
      <c r="J171" s="29">
        <f t="shared" si="53"/>
        <v>3.1718851000000013E-2</v>
      </c>
      <c r="K171" s="87">
        <f t="shared" si="54"/>
        <v>31718851</v>
      </c>
      <c r="L171" s="100">
        <f t="shared" si="55"/>
        <v>3.1718850999999999E-2</v>
      </c>
      <c r="M171" s="100">
        <f t="shared" si="56"/>
        <v>0.24012835853778805</v>
      </c>
      <c r="N171" s="88"/>
      <c r="O171" s="47">
        <v>7</v>
      </c>
      <c r="P171" s="47">
        <v>8</v>
      </c>
      <c r="Q171" s="100">
        <f t="shared" si="57"/>
        <v>3.1718850999999999E-2</v>
      </c>
      <c r="R171" s="100">
        <v>0</v>
      </c>
      <c r="T171" s="100"/>
      <c r="U171" s="52">
        <f t="shared" si="58"/>
        <v>0</v>
      </c>
    </row>
    <row r="172" spans="1:21" x14ac:dyDescent="0.3">
      <c r="A172" s="14" t="str">
        <f t="shared" si="48"/>
        <v>(8, 9]</v>
      </c>
      <c r="B172" s="96">
        <v>42950</v>
      </c>
      <c r="C172" s="96">
        <v>36789480</v>
      </c>
      <c r="D172" s="29">
        <f t="shared" si="49"/>
        <v>5.135072738096106E-3</v>
      </c>
      <c r="E172" s="90">
        <f t="shared" si="50"/>
        <v>8.5656530849825376</v>
      </c>
      <c r="F172" s="88"/>
      <c r="G172" s="14" t="str">
        <f t="shared" si="51"/>
        <v>(8, 9]</v>
      </c>
      <c r="H172" s="86">
        <v>5.9095390752441679</v>
      </c>
      <c r="I172" s="29">
        <f t="shared" si="52"/>
        <v>3.0345912999999999E-2</v>
      </c>
      <c r="J172" s="29">
        <f t="shared" si="53"/>
        <v>3.0345913000000013E-2</v>
      </c>
      <c r="K172" s="87">
        <f t="shared" si="54"/>
        <v>30345913</v>
      </c>
      <c r="L172" s="100">
        <f t="shared" si="55"/>
        <v>3.0345912999999999E-2</v>
      </c>
      <c r="M172" s="100">
        <f t="shared" si="56"/>
        <v>0.2599325633050617</v>
      </c>
      <c r="N172" s="88"/>
      <c r="O172" s="47">
        <v>8</v>
      </c>
      <c r="P172" s="47">
        <v>9</v>
      </c>
      <c r="Q172" s="100">
        <f t="shared" si="57"/>
        <v>3.0345912999999999E-2</v>
      </c>
      <c r="R172" s="100">
        <v>6.8970000000000004E-3</v>
      </c>
      <c r="T172" s="100"/>
      <c r="U172" s="52">
        <f t="shared" si="58"/>
        <v>0</v>
      </c>
    </row>
    <row r="173" spans="1:21" x14ac:dyDescent="0.3">
      <c r="A173" s="14" t="str">
        <f t="shared" si="48"/>
        <v>(9, 10]</v>
      </c>
      <c r="B173" s="96">
        <v>42155</v>
      </c>
      <c r="C173" s="96">
        <v>40319540</v>
      </c>
      <c r="D173" s="29">
        <f t="shared" si="49"/>
        <v>5.0400230797308819E-3</v>
      </c>
      <c r="E173" s="90">
        <f t="shared" si="50"/>
        <v>9.5645925750207574</v>
      </c>
      <c r="F173" s="88"/>
      <c r="G173" s="14" t="str">
        <f t="shared" si="51"/>
        <v>(9, 10]</v>
      </c>
      <c r="H173" s="86">
        <v>6.4328159786385708</v>
      </c>
      <c r="I173" s="29">
        <f t="shared" si="52"/>
        <v>3.2421540999999998E-2</v>
      </c>
      <c r="J173" s="29">
        <f t="shared" si="53"/>
        <v>3.2421541000000012E-2</v>
      </c>
      <c r="K173" s="87">
        <f t="shared" si="54"/>
        <v>32421541</v>
      </c>
      <c r="L173" s="100">
        <f t="shared" si="55"/>
        <v>3.2421540999999998E-2</v>
      </c>
      <c r="M173" s="100">
        <f t="shared" si="56"/>
        <v>0.31009883031933105</v>
      </c>
      <c r="N173" s="88"/>
      <c r="O173" s="47">
        <v>9</v>
      </c>
      <c r="P173" s="47">
        <v>10</v>
      </c>
      <c r="Q173" s="100">
        <f t="shared" si="57"/>
        <v>3.2421540999999998E-2</v>
      </c>
      <c r="R173" s="100">
        <v>0</v>
      </c>
      <c r="T173" s="100"/>
      <c r="U173" s="52">
        <f t="shared" si="58"/>
        <v>0</v>
      </c>
    </row>
    <row r="174" spans="1:21" x14ac:dyDescent="0.3">
      <c r="A174" s="14" t="str">
        <f t="shared" si="48"/>
        <v>(10, 15]</v>
      </c>
      <c r="B174" s="96">
        <v>202809</v>
      </c>
      <c r="C174" s="96">
        <v>254308990</v>
      </c>
      <c r="D174" s="29">
        <f t="shared" si="49"/>
        <v>2.4247705865902986E-2</v>
      </c>
      <c r="E174" s="90">
        <f t="shared" si="50"/>
        <v>12.539334546297255</v>
      </c>
      <c r="F174" s="88"/>
      <c r="G174" s="14" t="str">
        <f t="shared" si="51"/>
        <v>(10, 15]</v>
      </c>
      <c r="H174" s="86">
        <v>5.8070842569071335</v>
      </c>
      <c r="I174" s="29">
        <f t="shared" si="52"/>
        <v>0.14080847099999999</v>
      </c>
      <c r="J174" s="29">
        <f t="shared" si="53"/>
        <v>0.14080847100000005</v>
      </c>
      <c r="K174" s="87">
        <f t="shared" si="54"/>
        <v>140808471</v>
      </c>
      <c r="L174" s="100">
        <f t="shared" si="55"/>
        <v>0.14080847099999999</v>
      </c>
      <c r="M174" s="100">
        <f t="shared" si="56"/>
        <v>1.7656445248215951</v>
      </c>
      <c r="N174" s="88"/>
      <c r="O174" s="47">
        <v>10</v>
      </c>
      <c r="P174" s="47">
        <v>15</v>
      </c>
      <c r="Q174" s="100">
        <f t="shared" si="57"/>
        <v>0.14080847099999999</v>
      </c>
      <c r="R174" s="100">
        <v>6.2068999999999999E-2</v>
      </c>
      <c r="T174" s="100"/>
      <c r="U174" s="52">
        <f t="shared" si="58"/>
        <v>0</v>
      </c>
    </row>
    <row r="175" spans="1:21" x14ac:dyDescent="0.3">
      <c r="A175" s="14" t="str">
        <f t="shared" si="48"/>
        <v>(15, 20]</v>
      </c>
      <c r="B175" s="96">
        <v>194393</v>
      </c>
      <c r="C175" s="96">
        <v>341185810</v>
      </c>
      <c r="D175" s="29">
        <f t="shared" si="49"/>
        <v>2.3241494639737285E-2</v>
      </c>
      <c r="E175" s="90">
        <f t="shared" si="50"/>
        <v>17.551342383727807</v>
      </c>
      <c r="F175" s="88"/>
      <c r="G175" s="14" t="str">
        <f t="shared" si="51"/>
        <v>(15, 20]</v>
      </c>
      <c r="H175" s="86">
        <v>4.2512183717766634</v>
      </c>
      <c r="I175" s="29">
        <f t="shared" si="52"/>
        <v>9.8804668999999998E-2</v>
      </c>
      <c r="J175" s="29">
        <f t="shared" si="53"/>
        <v>9.8804669000000039E-2</v>
      </c>
      <c r="K175" s="87">
        <f t="shared" si="54"/>
        <v>98804669</v>
      </c>
      <c r="L175" s="100">
        <f t="shared" si="55"/>
        <v>9.8804668999999998E-2</v>
      </c>
      <c r="M175" s="100">
        <f t="shared" si="56"/>
        <v>1.734154574729897</v>
      </c>
      <c r="N175" s="88"/>
      <c r="O175" s="47">
        <v>15</v>
      </c>
      <c r="P175" s="47">
        <v>20</v>
      </c>
      <c r="Q175" s="100">
        <f t="shared" si="57"/>
        <v>9.8804668999999998E-2</v>
      </c>
      <c r="R175" s="100">
        <v>2.7585999999999999E-2</v>
      </c>
      <c r="T175" s="100"/>
      <c r="U175" s="52">
        <f t="shared" si="58"/>
        <v>0</v>
      </c>
    </row>
    <row r="176" spans="1:21" x14ac:dyDescent="0.3">
      <c r="A176" s="14" t="str">
        <f t="shared" si="48"/>
        <v>(20, 25]</v>
      </c>
      <c r="B176" s="96">
        <v>188251</v>
      </c>
      <c r="C176" s="96">
        <v>424612980</v>
      </c>
      <c r="D176" s="29">
        <f t="shared" si="49"/>
        <v>2.2507161304291739E-2</v>
      </c>
      <c r="E176" s="90">
        <f t="shared" si="50"/>
        <v>22.555682572735336</v>
      </c>
      <c r="F176" s="88"/>
      <c r="G176" s="14" t="str">
        <f t="shared" si="51"/>
        <v>(20, 25]</v>
      </c>
      <c r="H176" s="86">
        <v>4.2100127474508175</v>
      </c>
      <c r="I176" s="29">
        <f t="shared" si="52"/>
        <v>9.4755435999999985E-2</v>
      </c>
      <c r="J176" s="29">
        <f t="shared" si="53"/>
        <v>9.4755436000000026E-2</v>
      </c>
      <c r="K176" s="87">
        <f t="shared" si="54"/>
        <v>94755436</v>
      </c>
      <c r="L176" s="100">
        <f t="shared" si="55"/>
        <v>9.4755435999999998E-2</v>
      </c>
      <c r="M176" s="100">
        <f t="shared" si="56"/>
        <v>2.1372735364571382</v>
      </c>
      <c r="N176" s="88"/>
      <c r="O176" s="47">
        <v>20</v>
      </c>
      <c r="P176" s="47">
        <v>25</v>
      </c>
      <c r="Q176" s="100">
        <f t="shared" si="57"/>
        <v>9.4755435999999998E-2</v>
      </c>
      <c r="R176" s="100">
        <v>2.069E-2</v>
      </c>
      <c r="T176" s="100"/>
      <c r="U176" s="52">
        <f t="shared" si="58"/>
        <v>0</v>
      </c>
    </row>
    <row r="177" spans="1:21" x14ac:dyDescent="0.3">
      <c r="A177" s="14" t="str">
        <f t="shared" si="48"/>
        <v>(25, 30]</v>
      </c>
      <c r="B177" s="96">
        <v>184695</v>
      </c>
      <c r="C177" s="96">
        <v>508784530</v>
      </c>
      <c r="D177" s="29">
        <f t="shared" si="49"/>
        <v>2.2082008367000239E-2</v>
      </c>
      <c r="E177" s="90">
        <f t="shared" si="50"/>
        <v>27.547282276185062</v>
      </c>
      <c r="F177" s="88"/>
      <c r="G177" s="14" t="str">
        <f t="shared" si="51"/>
        <v>(25, 30]</v>
      </c>
      <c r="H177" s="86">
        <v>3.3234708446933543</v>
      </c>
      <c r="I177" s="29">
        <f t="shared" si="52"/>
        <v>7.3388911000000001E-2</v>
      </c>
      <c r="J177" s="29">
        <f t="shared" si="53"/>
        <v>7.3388911000000029E-2</v>
      </c>
      <c r="K177" s="87">
        <f t="shared" si="54"/>
        <v>73388911</v>
      </c>
      <c r="L177" s="100">
        <f t="shared" si="55"/>
        <v>7.3388911000000001E-2</v>
      </c>
      <c r="M177" s="100">
        <f t="shared" si="56"/>
        <v>2.0216650472588231</v>
      </c>
      <c r="N177" s="88"/>
      <c r="O177" s="47">
        <v>25</v>
      </c>
      <c r="P177" s="47">
        <v>30</v>
      </c>
      <c r="Q177" s="100">
        <f t="shared" si="57"/>
        <v>7.3388911000000001E-2</v>
      </c>
      <c r="R177" s="100">
        <v>8.9654999999999999E-2</v>
      </c>
      <c r="T177" s="100"/>
      <c r="U177" s="52">
        <f t="shared" si="58"/>
        <v>0</v>
      </c>
    </row>
    <row r="178" spans="1:21" x14ac:dyDescent="0.3">
      <c r="A178" s="14" t="str">
        <f t="shared" si="48"/>
        <v>(30, 35]</v>
      </c>
      <c r="B178" s="96">
        <v>180804</v>
      </c>
      <c r="C178" s="96">
        <v>588557320</v>
      </c>
      <c r="D178" s="29">
        <f t="shared" si="49"/>
        <v>2.1616803057944781E-2</v>
      </c>
      <c r="E178" s="90">
        <f t="shared" si="50"/>
        <v>32.552228932988207</v>
      </c>
      <c r="F178" s="88"/>
      <c r="G178" s="14" t="str">
        <f t="shared" si="51"/>
        <v>(30, 35]</v>
      </c>
      <c r="H178" s="86">
        <v>2.9496000323954505</v>
      </c>
      <c r="I178" s="29">
        <f t="shared" si="52"/>
        <v>6.3760922999999997E-2</v>
      </c>
      <c r="J178" s="29">
        <f t="shared" si="53"/>
        <v>6.3760923000000025E-2</v>
      </c>
      <c r="K178" s="87">
        <f t="shared" si="54"/>
        <v>63760923</v>
      </c>
      <c r="L178" s="100">
        <f t="shared" si="55"/>
        <v>6.3760922999999997E-2</v>
      </c>
      <c r="M178" s="100">
        <f t="shared" si="56"/>
        <v>2.0755601624746332</v>
      </c>
      <c r="N178" s="88"/>
      <c r="O178" s="47">
        <v>30</v>
      </c>
      <c r="P178" s="47">
        <v>35</v>
      </c>
      <c r="Q178" s="100">
        <f t="shared" si="57"/>
        <v>6.3760922999999997E-2</v>
      </c>
      <c r="R178" s="100">
        <v>3.4483E-2</v>
      </c>
      <c r="T178" s="100"/>
      <c r="U178" s="52">
        <f t="shared" si="58"/>
        <v>0</v>
      </c>
    </row>
    <row r="179" spans="1:21" x14ac:dyDescent="0.3">
      <c r="A179" s="14" t="str">
        <f t="shared" si="48"/>
        <v>(35, 40]</v>
      </c>
      <c r="B179" s="96">
        <v>177130</v>
      </c>
      <c r="C179" s="96">
        <v>665155830</v>
      </c>
      <c r="D179" s="29">
        <f t="shared" si="49"/>
        <v>2.1177542121046875E-2</v>
      </c>
      <c r="E179" s="90">
        <f t="shared" si="50"/>
        <v>37.55184497261898</v>
      </c>
      <c r="F179" s="88"/>
      <c r="G179" s="14" t="str">
        <f t="shared" si="51"/>
        <v>(35, 40]</v>
      </c>
      <c r="H179" s="86">
        <v>2.8172888836190708</v>
      </c>
      <c r="I179" s="29">
        <f t="shared" si="52"/>
        <v>5.9663253999999999E-2</v>
      </c>
      <c r="J179" s="29">
        <f t="shared" si="53"/>
        <v>5.9663254000000027E-2</v>
      </c>
      <c r="K179" s="87">
        <f t="shared" si="54"/>
        <v>59663254</v>
      </c>
      <c r="L179" s="100">
        <f t="shared" si="55"/>
        <v>5.9663253999999999E-2</v>
      </c>
      <c r="M179" s="100">
        <f t="shared" si="56"/>
        <v>2.2404652647699894</v>
      </c>
      <c r="N179" s="88"/>
      <c r="O179" s="47">
        <v>35</v>
      </c>
      <c r="P179" s="47">
        <v>40</v>
      </c>
      <c r="Q179" s="100">
        <f t="shared" si="57"/>
        <v>5.9663253999999999E-2</v>
      </c>
      <c r="R179" s="100">
        <v>6.2068999999999999E-2</v>
      </c>
      <c r="T179" s="100"/>
      <c r="U179" s="52">
        <f t="shared" si="58"/>
        <v>0</v>
      </c>
    </row>
    <row r="180" spans="1:21" x14ac:dyDescent="0.3">
      <c r="A180" s="14" t="str">
        <f t="shared" si="48"/>
        <v>(40, 45]</v>
      </c>
      <c r="B180" s="96">
        <v>174735</v>
      </c>
      <c r="C180" s="96">
        <v>743586950</v>
      </c>
      <c r="D180" s="29">
        <f t="shared" si="49"/>
        <v>2.0891197552764217E-2</v>
      </c>
      <c r="E180" s="90">
        <f t="shared" si="50"/>
        <v>42.555123472687207</v>
      </c>
      <c r="F180" s="88"/>
      <c r="G180" s="14" t="str">
        <f t="shared" si="51"/>
        <v>(40, 45]</v>
      </c>
      <c r="H180" s="86">
        <v>2.9585382955618051</v>
      </c>
      <c r="I180" s="29">
        <f t="shared" si="52"/>
        <v>6.1807408000000001E-2</v>
      </c>
      <c r="J180" s="29">
        <f t="shared" si="53"/>
        <v>6.1807408000000029E-2</v>
      </c>
      <c r="K180" s="87">
        <f t="shared" si="54"/>
        <v>61807408</v>
      </c>
      <c r="L180" s="100">
        <f t="shared" si="55"/>
        <v>6.1807408000000001E-2</v>
      </c>
      <c r="M180" s="100">
        <f t="shared" si="56"/>
        <v>2.6302218789667551</v>
      </c>
      <c r="N180" s="88"/>
      <c r="O180" s="47">
        <v>40</v>
      </c>
      <c r="P180" s="47">
        <v>45</v>
      </c>
      <c r="Q180" s="100">
        <f t="shared" si="57"/>
        <v>6.1807408000000001E-2</v>
      </c>
      <c r="R180" s="100">
        <v>5.5171999999999999E-2</v>
      </c>
      <c r="T180" s="100"/>
      <c r="U180" s="52">
        <f t="shared" si="58"/>
        <v>0</v>
      </c>
    </row>
    <row r="181" spans="1:21" x14ac:dyDescent="0.3">
      <c r="A181" s="14" t="str">
        <f t="shared" si="48"/>
        <v>(45, 50]</v>
      </c>
      <c r="B181" s="96">
        <v>171139</v>
      </c>
      <c r="C181" s="96">
        <v>813719490</v>
      </c>
      <c r="D181" s="29">
        <f t="shared" si="49"/>
        <v>2.0461262242724786E-2</v>
      </c>
      <c r="E181" s="90">
        <f t="shared" si="50"/>
        <v>47.547285539824351</v>
      </c>
      <c r="F181" s="88"/>
      <c r="G181" s="14" t="str">
        <f t="shared" si="51"/>
        <v>(45, 50]</v>
      </c>
      <c r="H181" s="86">
        <v>2.5141482666002664</v>
      </c>
      <c r="I181" s="29">
        <f t="shared" si="52"/>
        <v>5.1442647000000001E-2</v>
      </c>
      <c r="J181" s="29">
        <f t="shared" si="53"/>
        <v>5.1442647000000022E-2</v>
      </c>
      <c r="K181" s="87">
        <f t="shared" si="54"/>
        <v>51442647</v>
      </c>
      <c r="L181" s="100">
        <f t="shared" si="55"/>
        <v>5.1442647000000001E-2</v>
      </c>
      <c r="M181" s="100">
        <f t="shared" si="56"/>
        <v>2.4459582258333885</v>
      </c>
      <c r="N181" s="88"/>
      <c r="O181" s="47">
        <v>45</v>
      </c>
      <c r="P181" s="47">
        <v>50</v>
      </c>
      <c r="Q181" s="100">
        <f t="shared" si="57"/>
        <v>5.1442647000000001E-2</v>
      </c>
      <c r="R181" s="100">
        <v>4.8275999999999999E-2</v>
      </c>
      <c r="T181" s="100"/>
      <c r="U181" s="52">
        <f t="shared" si="58"/>
        <v>0</v>
      </c>
    </row>
    <row r="182" spans="1:21" x14ac:dyDescent="0.3">
      <c r="A182" s="14" t="str">
        <f t="shared" si="48"/>
        <v>(50, 60]</v>
      </c>
      <c r="B182" s="96">
        <v>334569</v>
      </c>
      <c r="C182" s="96">
        <v>1841082090</v>
      </c>
      <c r="D182" s="29">
        <f t="shared" si="49"/>
        <v>4.0000841697603637E-2</v>
      </c>
      <c r="E182" s="90">
        <f t="shared" si="50"/>
        <v>55.028472153726135</v>
      </c>
      <c r="F182" s="88"/>
      <c r="G182" s="14" t="str">
        <f t="shared" si="51"/>
        <v>(50, 60]</v>
      </c>
      <c r="H182" s="86">
        <v>1.5316731448596104</v>
      </c>
      <c r="I182" s="29">
        <f t="shared" si="52"/>
        <v>6.1268215000000001E-2</v>
      </c>
      <c r="J182" s="29">
        <f t="shared" si="53"/>
        <v>6.1268215000000029E-2</v>
      </c>
      <c r="K182" s="87">
        <f t="shared" si="54"/>
        <v>61268215</v>
      </c>
      <c r="L182" s="100">
        <f t="shared" si="55"/>
        <v>6.1268215000000001E-2</v>
      </c>
      <c r="M182" s="100">
        <f t="shared" si="56"/>
        <v>3.3714962630360059</v>
      </c>
      <c r="N182" s="88"/>
      <c r="O182" s="47">
        <v>50</v>
      </c>
      <c r="P182" s="47">
        <v>60</v>
      </c>
      <c r="Q182" s="100">
        <f t="shared" si="57"/>
        <v>6.1268215000000001E-2</v>
      </c>
      <c r="R182" s="100">
        <v>4.8275999999999999E-2</v>
      </c>
      <c r="T182" s="100"/>
      <c r="U182" s="52">
        <f t="shared" si="58"/>
        <v>0</v>
      </c>
    </row>
    <row r="183" spans="1:21" x14ac:dyDescent="0.3">
      <c r="A183" s="14" t="str">
        <f t="shared" si="48"/>
        <v>(60, 70]</v>
      </c>
      <c r="B183" s="96">
        <v>324502</v>
      </c>
      <c r="C183" s="96">
        <v>2110213430</v>
      </c>
      <c r="D183" s="29">
        <f t="shared" si="49"/>
        <v>3.8797238036266883E-2</v>
      </c>
      <c r="E183" s="90">
        <f t="shared" si="50"/>
        <v>65.029288879575475</v>
      </c>
      <c r="F183" s="88"/>
      <c r="G183" s="14" t="str">
        <f t="shared" si="51"/>
        <v>(60, 70]</v>
      </c>
      <c r="H183" s="86">
        <v>0.71927558281118154</v>
      </c>
      <c r="I183" s="29">
        <f t="shared" si="52"/>
        <v>2.7905906000000001E-2</v>
      </c>
      <c r="J183" s="29">
        <f t="shared" si="53"/>
        <v>2.7905906000000015E-2</v>
      </c>
      <c r="K183" s="87">
        <f t="shared" si="54"/>
        <v>27905906</v>
      </c>
      <c r="L183" s="100">
        <f t="shared" si="55"/>
        <v>2.7905906000000001E-2</v>
      </c>
      <c r="M183" s="100">
        <f t="shared" si="56"/>
        <v>1.8147012227202786</v>
      </c>
      <c r="N183" s="88"/>
      <c r="O183" s="47">
        <v>60</v>
      </c>
      <c r="P183" s="47">
        <v>70</v>
      </c>
      <c r="Q183" s="100">
        <f t="shared" si="57"/>
        <v>2.7905906000000001E-2</v>
      </c>
      <c r="R183" s="100">
        <v>6.8966E-2</v>
      </c>
      <c r="T183" s="100"/>
      <c r="U183" s="52">
        <f t="shared" si="58"/>
        <v>0</v>
      </c>
    </row>
    <row r="184" spans="1:21" x14ac:dyDescent="0.3">
      <c r="A184" s="14" t="str">
        <f t="shared" si="48"/>
        <v>(70, 80]</v>
      </c>
      <c r="B184" s="96">
        <v>313591</v>
      </c>
      <c r="C184" s="96">
        <v>2352848560</v>
      </c>
      <c r="D184" s="29">
        <f t="shared" si="49"/>
        <v>3.7492726309948689E-2</v>
      </c>
      <c r="E184" s="90">
        <f t="shared" si="50"/>
        <v>75.029211935291514</v>
      </c>
      <c r="F184" s="88"/>
      <c r="G184" s="14" t="str">
        <f t="shared" si="51"/>
        <v>(70, 80]</v>
      </c>
      <c r="H184" s="86">
        <v>0.57800859347615841</v>
      </c>
      <c r="I184" s="29">
        <f t="shared" si="52"/>
        <v>2.1671118E-2</v>
      </c>
      <c r="J184" s="29">
        <f t="shared" si="53"/>
        <v>2.167111800000001E-2</v>
      </c>
      <c r="K184" s="87">
        <f t="shared" si="54"/>
        <v>21671118</v>
      </c>
      <c r="L184" s="100">
        <f t="shared" si="55"/>
        <v>2.1671118E-2</v>
      </c>
      <c r="M184" s="100">
        <f t="shared" si="56"/>
        <v>1.6259669052967107</v>
      </c>
      <c r="N184" s="88"/>
      <c r="O184" s="47">
        <v>70</v>
      </c>
      <c r="P184" s="47">
        <v>80</v>
      </c>
      <c r="Q184" s="100">
        <f t="shared" si="57"/>
        <v>2.1671118E-2</v>
      </c>
      <c r="R184" s="100">
        <v>3.4483E-2</v>
      </c>
      <c r="T184" s="100"/>
      <c r="U184" s="52">
        <f t="shared" si="58"/>
        <v>0</v>
      </c>
    </row>
    <row r="185" spans="1:21" x14ac:dyDescent="0.3">
      <c r="A185" s="14" t="str">
        <f t="shared" si="48"/>
        <v>(80, 90]</v>
      </c>
      <c r="B185" s="96">
        <v>302583</v>
      </c>
      <c r="C185" s="96">
        <v>2572701950</v>
      </c>
      <c r="D185" s="29">
        <f t="shared" si="49"/>
        <v>3.6176617329716741E-2</v>
      </c>
      <c r="E185" s="90">
        <f t="shared" si="50"/>
        <v>85.024669264301025</v>
      </c>
      <c r="F185" s="88"/>
      <c r="G185" s="14" t="str">
        <f t="shared" si="51"/>
        <v>(80, 90]</v>
      </c>
      <c r="H185" s="86">
        <v>0.44535117402382485</v>
      </c>
      <c r="I185" s="29">
        <f t="shared" si="52"/>
        <v>1.6111298999999999E-2</v>
      </c>
      <c r="J185" s="29">
        <f t="shared" si="53"/>
        <v>1.6111299000000006E-2</v>
      </c>
      <c r="K185" s="87">
        <f t="shared" si="54"/>
        <v>16111299</v>
      </c>
      <c r="L185" s="100">
        <f t="shared" si="55"/>
        <v>1.6111298999999999E-2</v>
      </c>
      <c r="M185" s="100">
        <f t="shared" si="56"/>
        <v>1.3698578688932637</v>
      </c>
      <c r="N185" s="88"/>
      <c r="O185" s="47">
        <v>80</v>
      </c>
      <c r="P185" s="47">
        <v>90</v>
      </c>
      <c r="Q185" s="100">
        <f t="shared" si="57"/>
        <v>1.6111298999999999E-2</v>
      </c>
      <c r="R185" s="100">
        <v>6.8966E-2</v>
      </c>
      <c r="T185" s="100"/>
      <c r="U185" s="52">
        <f t="shared" si="58"/>
        <v>0</v>
      </c>
    </row>
    <row r="186" spans="1:21" x14ac:dyDescent="0.3">
      <c r="A186" s="14" t="str">
        <f t="shared" si="48"/>
        <v>(90, 100]</v>
      </c>
      <c r="B186" s="96">
        <v>290174</v>
      </c>
      <c r="C186" s="96">
        <v>2757205050</v>
      </c>
      <c r="D186" s="29">
        <f t="shared" si="49"/>
        <v>3.4693005743988349E-2</v>
      </c>
      <c r="E186" s="90">
        <f t="shared" si="50"/>
        <v>95.019024792021341</v>
      </c>
      <c r="F186" s="88"/>
      <c r="G186" s="14" t="str">
        <f t="shared" si="51"/>
        <v>(90, 100]</v>
      </c>
      <c r="H186" s="86">
        <v>0.42487687889522835</v>
      </c>
      <c r="I186" s="29">
        <f t="shared" si="52"/>
        <v>1.4740255999999998E-2</v>
      </c>
      <c r="J186" s="29">
        <f t="shared" si="53"/>
        <v>1.4740256000000005E-2</v>
      </c>
      <c r="K186" s="87">
        <f t="shared" si="54"/>
        <v>14740256</v>
      </c>
      <c r="L186" s="100">
        <f t="shared" si="55"/>
        <v>1.4740256E-2</v>
      </c>
      <c r="M186" s="100">
        <f t="shared" si="56"/>
        <v>1.4006047503047414</v>
      </c>
      <c r="N186" s="88"/>
      <c r="O186" s="47">
        <v>90</v>
      </c>
      <c r="P186" s="47">
        <v>100</v>
      </c>
      <c r="Q186" s="100">
        <f t="shared" si="57"/>
        <v>1.4740256E-2</v>
      </c>
      <c r="R186" s="100">
        <v>2.7585999999999999E-2</v>
      </c>
      <c r="T186" s="100"/>
      <c r="U186" s="52">
        <f t="shared" si="58"/>
        <v>0</v>
      </c>
    </row>
    <row r="187" spans="1:21" x14ac:dyDescent="0.3">
      <c r="A187" s="14" t="str">
        <f t="shared" si="48"/>
        <v>(100, 120]</v>
      </c>
      <c r="B187" s="96">
        <v>544944</v>
      </c>
      <c r="C187" s="96">
        <v>5988889530</v>
      </c>
      <c r="D187" s="29">
        <f t="shared" si="49"/>
        <v>6.515313336877869E-2</v>
      </c>
      <c r="E187" s="90">
        <f t="shared" si="50"/>
        <v>109.89917367656126</v>
      </c>
      <c r="F187" s="88"/>
      <c r="G187" s="14" t="str">
        <f t="shared" si="51"/>
        <v>(100, 120]</v>
      </c>
      <c r="H187" s="86">
        <v>0.28095609610038824</v>
      </c>
      <c r="I187" s="29">
        <f t="shared" si="52"/>
        <v>1.8305169999999999E-2</v>
      </c>
      <c r="J187" s="29">
        <f t="shared" si="53"/>
        <v>1.8305170000000006E-2</v>
      </c>
      <c r="K187" s="87">
        <f t="shared" si="54"/>
        <v>18305170</v>
      </c>
      <c r="L187" s="100">
        <f t="shared" si="55"/>
        <v>1.8305169999999999E-2</v>
      </c>
      <c r="M187" s="100">
        <f t="shared" si="56"/>
        <v>2.0117230570089788</v>
      </c>
      <c r="N187" s="88"/>
      <c r="O187" s="47">
        <v>100</v>
      </c>
      <c r="P187" s="47">
        <v>120</v>
      </c>
      <c r="Q187" s="100">
        <f t="shared" si="57"/>
        <v>1.8305169999999999E-2</v>
      </c>
      <c r="R187" s="100">
        <v>6.8966E-2</v>
      </c>
      <c r="T187" s="100"/>
      <c r="U187" s="52">
        <f t="shared" si="58"/>
        <v>0</v>
      </c>
    </row>
    <row r="188" spans="1:21" x14ac:dyDescent="0.3">
      <c r="A188" s="14" t="str">
        <f t="shared" si="48"/>
        <v>(120, 140]</v>
      </c>
      <c r="B188" s="96">
        <v>496474</v>
      </c>
      <c r="C188" s="96">
        <v>6448866850</v>
      </c>
      <c r="D188" s="29">
        <f t="shared" si="49"/>
        <v>5.9358093191467433E-2</v>
      </c>
      <c r="E188" s="90">
        <f t="shared" si="50"/>
        <v>129.89334486800919</v>
      </c>
      <c r="F188" s="88"/>
      <c r="G188" s="14" t="str">
        <f t="shared" si="51"/>
        <v>(120, 140]</v>
      </c>
      <c r="H188" s="86">
        <v>0.1905491128819797</v>
      </c>
      <c r="I188" s="29">
        <f t="shared" si="52"/>
        <v>1.1310631999999999E-2</v>
      </c>
      <c r="J188" s="29">
        <f t="shared" si="53"/>
        <v>1.1310632000000004E-2</v>
      </c>
      <c r="K188" s="87">
        <f t="shared" si="54"/>
        <v>11310632</v>
      </c>
      <c r="L188" s="100">
        <f t="shared" si="55"/>
        <v>1.1310631999999999E-2</v>
      </c>
      <c r="M188" s="100">
        <f t="shared" si="56"/>
        <v>1.4691758230511405</v>
      </c>
      <c r="N188" s="88"/>
      <c r="O188" s="47">
        <v>120</v>
      </c>
      <c r="P188" s="47">
        <v>140</v>
      </c>
      <c r="Q188" s="100">
        <f t="shared" si="57"/>
        <v>1.1310631999999999E-2</v>
      </c>
      <c r="R188" s="100">
        <v>2.7585999999999999E-2</v>
      </c>
      <c r="T188" s="100"/>
      <c r="U188" s="52">
        <f t="shared" si="58"/>
        <v>0</v>
      </c>
    </row>
    <row r="189" spans="1:21" x14ac:dyDescent="0.3">
      <c r="A189" s="14" t="str">
        <f t="shared" si="48"/>
        <v>(140, 160]</v>
      </c>
      <c r="B189" s="96">
        <v>447550</v>
      </c>
      <c r="C189" s="96">
        <v>6707843560</v>
      </c>
      <c r="D189" s="29">
        <f t="shared" si="49"/>
        <v>5.3508773083467111E-2</v>
      </c>
      <c r="E189" s="90">
        <f t="shared" si="50"/>
        <v>149.8791991956206</v>
      </c>
      <c r="F189" s="88"/>
      <c r="G189" s="14" t="str">
        <f t="shared" si="51"/>
        <v>(140, 160]</v>
      </c>
      <c r="H189" s="86">
        <v>0.1591801588631773</v>
      </c>
      <c r="I189" s="29">
        <f t="shared" si="52"/>
        <v>8.5175349999999997E-3</v>
      </c>
      <c r="J189" s="29">
        <f t="shared" si="53"/>
        <v>8.5175350000000032E-3</v>
      </c>
      <c r="K189" s="87">
        <f t="shared" si="54"/>
        <v>8517535</v>
      </c>
      <c r="L189" s="100">
        <f t="shared" si="55"/>
        <v>8.5175349999999997E-3</v>
      </c>
      <c r="M189" s="100">
        <f t="shared" si="56"/>
        <v>1.2766013249206702</v>
      </c>
      <c r="N189" s="88"/>
      <c r="O189" s="47">
        <v>140</v>
      </c>
      <c r="P189" s="47">
        <v>160</v>
      </c>
      <c r="Q189" s="100">
        <f t="shared" si="57"/>
        <v>8.5175349999999997E-3</v>
      </c>
      <c r="R189" s="100">
        <v>4.8275999999999999E-2</v>
      </c>
      <c r="T189" s="100"/>
      <c r="U189" s="52">
        <f t="shared" si="58"/>
        <v>0</v>
      </c>
    </row>
    <row r="190" spans="1:21" x14ac:dyDescent="0.3">
      <c r="A190" s="14" t="str">
        <f t="shared" si="48"/>
        <v>(160, 180]</v>
      </c>
      <c r="B190" s="96">
        <v>401699</v>
      </c>
      <c r="C190" s="96">
        <v>6824039140</v>
      </c>
      <c r="D190" s="29">
        <f t="shared" si="49"/>
        <v>4.8026858761826954E-2</v>
      </c>
      <c r="E190" s="90">
        <f t="shared" si="50"/>
        <v>169.87941568189115</v>
      </c>
      <c r="F190" s="88"/>
      <c r="G190" s="14" t="str">
        <f t="shared" si="51"/>
        <v>(160, 180]</v>
      </c>
      <c r="H190" s="86">
        <v>7.4196857589035575E-2</v>
      </c>
      <c r="I190" s="29">
        <f t="shared" si="52"/>
        <v>3.563442E-3</v>
      </c>
      <c r="J190" s="29">
        <f t="shared" si="53"/>
        <v>3.5634420000000017E-3</v>
      </c>
      <c r="K190" s="87">
        <f t="shared" si="54"/>
        <v>3563442</v>
      </c>
      <c r="L190" s="100">
        <f t="shared" si="55"/>
        <v>3.563442E-3</v>
      </c>
      <c r="M190" s="100">
        <f t="shared" si="56"/>
        <v>0.60535544477630954</v>
      </c>
      <c r="N190" s="88"/>
      <c r="O190" s="47">
        <v>160</v>
      </c>
      <c r="P190" s="47">
        <v>180</v>
      </c>
      <c r="Q190" s="100">
        <f t="shared" si="57"/>
        <v>3.563442E-3</v>
      </c>
      <c r="R190" s="100">
        <v>2.7585999999999999E-2</v>
      </c>
      <c r="T190" s="100"/>
      <c r="U190" s="52">
        <f t="shared" si="58"/>
        <v>0</v>
      </c>
    </row>
    <row r="191" spans="1:21" x14ac:dyDescent="0.3">
      <c r="A191" s="14" t="str">
        <f t="shared" si="48"/>
        <v>(180, 200]</v>
      </c>
      <c r="B191" s="96">
        <v>359175</v>
      </c>
      <c r="C191" s="96">
        <v>6819468580</v>
      </c>
      <c r="D191" s="29">
        <f t="shared" si="49"/>
        <v>4.2942718293496371E-2</v>
      </c>
      <c r="E191" s="90">
        <f t="shared" si="50"/>
        <v>189.86478958724857</v>
      </c>
      <c r="F191" s="88"/>
      <c r="G191" s="14" t="str">
        <f t="shared" si="51"/>
        <v>(180, 200]</v>
      </c>
      <c r="H191" s="86">
        <v>4.9991618726314468E-2</v>
      </c>
      <c r="I191" s="29">
        <f t="shared" si="52"/>
        <v>2.146776E-3</v>
      </c>
      <c r="J191" s="29">
        <f t="shared" si="53"/>
        <v>2.1467760000000008E-3</v>
      </c>
      <c r="K191" s="87">
        <f t="shared" si="54"/>
        <v>2146776</v>
      </c>
      <c r="L191" s="100">
        <f t="shared" si="55"/>
        <v>2.146776E-3</v>
      </c>
      <c r="M191" s="100">
        <f t="shared" si="56"/>
        <v>0.40759717353095515</v>
      </c>
      <c r="N191" s="88"/>
      <c r="O191" s="47">
        <v>180</v>
      </c>
      <c r="P191" s="47">
        <v>200</v>
      </c>
      <c r="Q191" s="100">
        <f t="shared" si="57"/>
        <v>2.146776E-3</v>
      </c>
      <c r="R191" s="100">
        <v>3.4483E-2</v>
      </c>
      <c r="T191" s="100"/>
      <c r="U191" s="52">
        <f t="shared" si="58"/>
        <v>0</v>
      </c>
    </row>
    <row r="192" spans="1:21" x14ac:dyDescent="0.3">
      <c r="A192" s="14" t="str">
        <f t="shared" si="48"/>
        <v>(200, 250]</v>
      </c>
      <c r="B192" s="96">
        <v>728579</v>
      </c>
      <c r="C192" s="96">
        <v>16300420450</v>
      </c>
      <c r="D192" s="29">
        <f t="shared" si="49"/>
        <v>8.7108408857958633E-2</v>
      </c>
      <c r="E192" s="90">
        <f t="shared" si="50"/>
        <v>223.72893605223319</v>
      </c>
      <c r="F192" s="88"/>
      <c r="G192" s="14" t="str">
        <f t="shared" si="51"/>
        <v>(200, 250]</v>
      </c>
      <c r="H192" s="86">
        <v>7.4445729006190134E-2</v>
      </c>
      <c r="I192" s="29">
        <f t="shared" si="52"/>
        <v>6.4848490000000009E-3</v>
      </c>
      <c r="J192" s="29">
        <f t="shared" si="53"/>
        <v>6.4848490000000035E-3</v>
      </c>
      <c r="K192" s="87">
        <f t="shared" si="54"/>
        <v>6484849</v>
      </c>
      <c r="L192" s="100">
        <f t="shared" si="55"/>
        <v>6.484849E-3</v>
      </c>
      <c r="M192" s="100">
        <f t="shared" si="56"/>
        <v>1.4508483672293884</v>
      </c>
      <c r="N192" s="88"/>
      <c r="O192" s="47">
        <v>200</v>
      </c>
      <c r="P192" s="47">
        <v>250</v>
      </c>
      <c r="Q192" s="100">
        <f t="shared" si="57"/>
        <v>6.484849E-3</v>
      </c>
      <c r="R192" s="100">
        <v>1.3793E-2</v>
      </c>
      <c r="T192" s="100"/>
      <c r="U192" s="52">
        <f t="shared" si="58"/>
        <v>0</v>
      </c>
    </row>
    <row r="193" spans="1:21" x14ac:dyDescent="0.3">
      <c r="A193" s="14" t="str">
        <f t="shared" si="48"/>
        <v>(250, 300]</v>
      </c>
      <c r="B193" s="96">
        <v>527104</v>
      </c>
      <c r="C193" s="96">
        <v>14424519190</v>
      </c>
      <c r="D193" s="29">
        <f t="shared" si="49"/>
        <v>6.3020195123199299E-2</v>
      </c>
      <c r="E193" s="90">
        <f t="shared" si="50"/>
        <v>273.65603732849684</v>
      </c>
      <c r="F193" s="88"/>
      <c r="G193" s="14" t="str">
        <f t="shared" si="51"/>
        <v>(250, 300]</v>
      </c>
      <c r="H193" s="86">
        <v>1.1550170521957717E-2</v>
      </c>
      <c r="I193" s="29">
        <f t="shared" si="52"/>
        <v>7.2789399999999998E-4</v>
      </c>
      <c r="J193" s="29">
        <f t="shared" si="53"/>
        <v>7.2789400000000031E-4</v>
      </c>
      <c r="K193" s="87">
        <f t="shared" si="54"/>
        <v>727894</v>
      </c>
      <c r="L193" s="100">
        <f t="shared" si="55"/>
        <v>7.2789399999999998E-4</v>
      </c>
      <c r="M193" s="100">
        <f t="shared" si="56"/>
        <v>0.19919258763518888</v>
      </c>
      <c r="N193" s="88"/>
      <c r="O193" s="47">
        <v>250</v>
      </c>
      <c r="P193" s="47">
        <v>300</v>
      </c>
      <c r="Q193" s="100">
        <f t="shared" si="57"/>
        <v>7.2789399999999998E-4</v>
      </c>
      <c r="R193" s="100">
        <v>1.3793E-2</v>
      </c>
      <c r="T193" s="100"/>
      <c r="U193" s="52">
        <f t="shared" si="58"/>
        <v>0</v>
      </c>
    </row>
    <row r="194" spans="1:21" x14ac:dyDescent="0.3">
      <c r="A194" s="14" t="str">
        <f t="shared" si="48"/>
        <v>(300, 350]</v>
      </c>
      <c r="B194" s="96">
        <v>376240</v>
      </c>
      <c r="C194" s="96">
        <v>12174194450</v>
      </c>
      <c r="D194" s="29">
        <f t="shared" si="49"/>
        <v>4.4982998067084494E-2</v>
      </c>
      <c r="E194" s="90">
        <f t="shared" si="50"/>
        <v>323.5752299064427</v>
      </c>
      <c r="F194" s="88"/>
      <c r="G194" s="14" t="str">
        <f t="shared" si="51"/>
        <v>(300, 350]</v>
      </c>
      <c r="H194" s="86">
        <v>5.1475893104029344E-3</v>
      </c>
      <c r="I194" s="29">
        <f t="shared" si="52"/>
        <v>2.31554E-4</v>
      </c>
      <c r="J194" s="29">
        <f t="shared" si="53"/>
        <v>2.3155400000000011E-4</v>
      </c>
      <c r="K194" s="87">
        <f t="shared" si="54"/>
        <v>231554</v>
      </c>
      <c r="L194" s="100">
        <f t="shared" si="55"/>
        <v>2.31554E-4</v>
      </c>
      <c r="M194" s="100">
        <f t="shared" si="56"/>
        <v>7.4925138785756434E-2</v>
      </c>
      <c r="N194" s="88"/>
      <c r="O194" s="47">
        <v>300</v>
      </c>
      <c r="P194" s="47">
        <v>350</v>
      </c>
      <c r="Q194" s="100">
        <f t="shared" si="57"/>
        <v>2.31554E-4</v>
      </c>
      <c r="R194" s="100">
        <v>6.8970000000000004E-3</v>
      </c>
      <c r="T194" s="100"/>
      <c r="U194" s="52">
        <f t="shared" si="58"/>
        <v>0</v>
      </c>
    </row>
    <row r="195" spans="1:21" x14ac:dyDescent="0.3">
      <c r="A195" s="14" t="str">
        <f t="shared" ref="A195:A226" si="59">"("&amp;$O195&amp;", "&amp;$P195&amp;"]"</f>
        <v>(350, 400]</v>
      </c>
      <c r="B195" s="96">
        <v>263520</v>
      </c>
      <c r="C195" s="96">
        <v>9845768370</v>
      </c>
      <c r="D195" s="29">
        <f t="shared" ref="D195:D226" si="60">IFERROR(B195/SUM($B$163:$B$226),0)</f>
        <v>3.1506271663401302E-2</v>
      </c>
      <c r="E195" s="90">
        <f t="shared" ref="E195:E226" si="61">IFERROR(C195/B195/$B$3,0)</f>
        <v>373.62508993624778</v>
      </c>
      <c r="F195" s="88"/>
      <c r="G195" s="14" t="str">
        <f t="shared" ref="G195:G226" si="62">"("&amp;$O195&amp;", "&amp;$P195&amp;"]"</f>
        <v>(350, 400]</v>
      </c>
      <c r="H195" s="86">
        <v>4.7155658907297358E-2</v>
      </c>
      <c r="I195" s="29">
        <f t="shared" ref="I195:I226" si="63">D195*H195</f>
        <v>1.485699E-3</v>
      </c>
      <c r="J195" s="29">
        <f t="shared" ref="J195:J226" si="64">IFERROR(I195/SUM($I$163:$I$226),0)</f>
        <v>1.4856990000000007E-3</v>
      </c>
      <c r="K195" s="87">
        <f t="shared" ref="K195:K226" si="65">INT(J195*$B$2)</f>
        <v>1485699</v>
      </c>
      <c r="L195" s="100">
        <f t="shared" ref="L195:L226" si="66">IFERROR(K195/SUM($K$163:$K$226),0)</f>
        <v>1.485699E-3</v>
      </c>
      <c r="M195" s="100">
        <f t="shared" ref="M195:M226" si="67">L195*E195</f>
        <v>0.55509442249319341</v>
      </c>
      <c r="N195" s="88"/>
      <c r="O195" s="47">
        <v>350</v>
      </c>
      <c r="P195" s="47">
        <v>400</v>
      </c>
      <c r="Q195" s="100">
        <f t="shared" ref="Q195:Q226" si="68">L195</f>
        <v>1.485699E-3</v>
      </c>
      <c r="R195" s="100">
        <v>6.8970000000000004E-3</v>
      </c>
      <c r="T195" s="100"/>
      <c r="U195" s="52">
        <f t="shared" ref="U195:U226" si="69">IFERROR(ROUND(T195/L195,2),0)</f>
        <v>0</v>
      </c>
    </row>
    <row r="196" spans="1:21" x14ac:dyDescent="0.3">
      <c r="A196" s="14" t="str">
        <f t="shared" si="59"/>
        <v>(400, 450]</v>
      </c>
      <c r="B196" s="96">
        <v>184753</v>
      </c>
      <c r="C196" s="96">
        <v>7824656320</v>
      </c>
      <c r="D196" s="29">
        <f t="shared" si="60"/>
        <v>2.208894280748475E-2</v>
      </c>
      <c r="E196" s="90">
        <f t="shared" si="61"/>
        <v>423.51985191038847</v>
      </c>
      <c r="F196" s="88"/>
      <c r="G196" s="14" t="str">
        <f t="shared" si="62"/>
        <v>(400, 450]</v>
      </c>
      <c r="H196" s="86">
        <v>8.0090297458715147E-3</v>
      </c>
      <c r="I196" s="29">
        <f t="shared" si="63"/>
        <v>1.76911E-4</v>
      </c>
      <c r="J196" s="29">
        <f t="shared" si="64"/>
        <v>1.7691100000000008E-4</v>
      </c>
      <c r="K196" s="87">
        <f t="shared" si="65"/>
        <v>176911</v>
      </c>
      <c r="L196" s="100">
        <f t="shared" si="66"/>
        <v>1.76911E-4</v>
      </c>
      <c r="M196" s="100">
        <f t="shared" si="67"/>
        <v>7.4925320521318728E-2</v>
      </c>
      <c r="N196" s="88"/>
      <c r="O196" s="47">
        <v>400</v>
      </c>
      <c r="P196" s="47">
        <v>450</v>
      </c>
      <c r="Q196" s="100">
        <f t="shared" si="68"/>
        <v>1.76911E-4</v>
      </c>
      <c r="R196" s="100">
        <v>0</v>
      </c>
      <c r="T196" s="100"/>
      <c r="U196" s="52">
        <f t="shared" si="69"/>
        <v>0</v>
      </c>
    </row>
    <row r="197" spans="1:21" x14ac:dyDescent="0.3">
      <c r="A197" s="14" t="str">
        <f t="shared" si="59"/>
        <v>(450, 500]</v>
      </c>
      <c r="B197" s="96">
        <v>128657</v>
      </c>
      <c r="C197" s="96">
        <v>6093245310</v>
      </c>
      <c r="D197" s="29">
        <f t="shared" si="60"/>
        <v>1.5382143265779528E-2</v>
      </c>
      <c r="E197" s="90">
        <f t="shared" si="61"/>
        <v>473.60386997986899</v>
      </c>
      <c r="F197" s="88"/>
      <c r="G197" s="14" t="str">
        <f t="shared" si="62"/>
        <v>(450, 500]</v>
      </c>
      <c r="H197" s="86">
        <v>4.9285264537001487E-2</v>
      </c>
      <c r="I197" s="29">
        <f t="shared" si="63"/>
        <v>7.5811300000000004E-4</v>
      </c>
      <c r="J197" s="29">
        <f t="shared" si="64"/>
        <v>7.5811300000000036E-4</v>
      </c>
      <c r="K197" s="87">
        <f t="shared" si="65"/>
        <v>758113</v>
      </c>
      <c r="L197" s="100">
        <f t="shared" si="66"/>
        <v>7.5811300000000004E-4</v>
      </c>
      <c r="M197" s="100">
        <f t="shared" si="67"/>
        <v>0.35904525068204846</v>
      </c>
      <c r="N197" s="88"/>
      <c r="O197" s="47">
        <v>450</v>
      </c>
      <c r="P197" s="47">
        <v>500</v>
      </c>
      <c r="Q197" s="100">
        <f t="shared" si="68"/>
        <v>7.5811300000000004E-4</v>
      </c>
      <c r="R197" s="100">
        <v>0</v>
      </c>
      <c r="T197" s="100"/>
      <c r="U197" s="52">
        <f t="shared" si="69"/>
        <v>0</v>
      </c>
    </row>
    <row r="198" spans="1:21" x14ac:dyDescent="0.3">
      <c r="A198" s="14" t="str">
        <f t="shared" si="59"/>
        <v>(500, 550]</v>
      </c>
      <c r="B198" s="96">
        <v>88357</v>
      </c>
      <c r="C198" s="96">
        <v>4625117990</v>
      </c>
      <c r="D198" s="29">
        <f t="shared" si="60"/>
        <v>1.0563902722234172E-2</v>
      </c>
      <c r="E198" s="90">
        <f t="shared" si="61"/>
        <v>523.45801577690509</v>
      </c>
      <c r="F198" s="88"/>
      <c r="G198" s="14" t="str">
        <f t="shared" si="62"/>
        <v>(500, 550]</v>
      </c>
      <c r="H198" s="86">
        <v>1.3549443208970426E-2</v>
      </c>
      <c r="I198" s="29">
        <f t="shared" si="63"/>
        <v>1.4313499999999999E-4</v>
      </c>
      <c r="J198" s="29">
        <f t="shared" si="64"/>
        <v>1.4313500000000004E-4</v>
      </c>
      <c r="K198" s="87">
        <f t="shared" si="65"/>
        <v>143135</v>
      </c>
      <c r="L198" s="100">
        <f t="shared" si="66"/>
        <v>1.4313499999999999E-4</v>
      </c>
      <c r="M198" s="100">
        <f t="shared" si="67"/>
        <v>7.4925163088227303E-2</v>
      </c>
      <c r="N198" s="88"/>
      <c r="O198" s="47">
        <v>500</v>
      </c>
      <c r="P198" s="47">
        <v>550</v>
      </c>
      <c r="Q198" s="100">
        <f t="shared" si="68"/>
        <v>1.4313499999999999E-4</v>
      </c>
      <c r="R198" s="100">
        <v>0</v>
      </c>
      <c r="T198" s="100"/>
      <c r="U198" s="52">
        <f t="shared" si="69"/>
        <v>0</v>
      </c>
    </row>
    <row r="199" spans="1:21" x14ac:dyDescent="0.3">
      <c r="A199" s="14" t="str">
        <f t="shared" si="59"/>
        <v>(550, 600]</v>
      </c>
      <c r="B199" s="96">
        <v>61353</v>
      </c>
      <c r="C199" s="96">
        <v>3518119460</v>
      </c>
      <c r="D199" s="29">
        <f t="shared" si="60"/>
        <v>7.3353228801026869E-3</v>
      </c>
      <c r="E199" s="90">
        <f t="shared" si="61"/>
        <v>573.42256450377329</v>
      </c>
      <c r="F199" s="88"/>
      <c r="G199" s="14" t="str">
        <f t="shared" si="62"/>
        <v>(550, 600]</v>
      </c>
      <c r="H199" s="86">
        <v>1.7812849159568399E-2</v>
      </c>
      <c r="I199" s="29">
        <f t="shared" si="63"/>
        <v>1.3066299999999999E-4</v>
      </c>
      <c r="J199" s="29">
        <f t="shared" si="64"/>
        <v>1.3066300000000005E-4</v>
      </c>
      <c r="K199" s="87">
        <f t="shared" si="65"/>
        <v>130663</v>
      </c>
      <c r="L199" s="100">
        <f t="shared" si="66"/>
        <v>1.3066299999999999E-4</v>
      </c>
      <c r="M199" s="100">
        <f t="shared" si="67"/>
        <v>7.4925112545756525E-2</v>
      </c>
      <c r="N199" s="88"/>
      <c r="O199" s="47">
        <v>550</v>
      </c>
      <c r="P199" s="47">
        <v>600</v>
      </c>
      <c r="Q199" s="100">
        <f t="shared" si="68"/>
        <v>1.3066299999999999E-4</v>
      </c>
      <c r="R199" s="100">
        <v>0</v>
      </c>
      <c r="T199" s="100"/>
      <c r="U199" s="52">
        <f t="shared" si="69"/>
        <v>0</v>
      </c>
    </row>
    <row r="200" spans="1:21" x14ac:dyDescent="0.3">
      <c r="A200" s="14" t="str">
        <f t="shared" si="59"/>
        <v>(600, 650]</v>
      </c>
      <c r="B200" s="96">
        <v>42665</v>
      </c>
      <c r="C200" s="96">
        <v>2660290870</v>
      </c>
      <c r="D200" s="29">
        <f t="shared" si="60"/>
        <v>5.1009983322670635E-3</v>
      </c>
      <c r="E200" s="90">
        <f t="shared" si="61"/>
        <v>623.53002929801949</v>
      </c>
      <c r="F200" s="88"/>
      <c r="G200" s="14" t="str">
        <f t="shared" si="62"/>
        <v>(600, 650]</v>
      </c>
      <c r="H200" s="86">
        <v>2.3556761279432788E-2</v>
      </c>
      <c r="I200" s="29">
        <f t="shared" si="63"/>
        <v>1.2016299999999999E-4</v>
      </c>
      <c r="J200" s="29">
        <f t="shared" si="64"/>
        <v>1.2016300000000005E-4</v>
      </c>
      <c r="K200" s="87">
        <f t="shared" si="65"/>
        <v>120163</v>
      </c>
      <c r="L200" s="100">
        <f t="shared" si="66"/>
        <v>1.2016299999999999E-4</v>
      </c>
      <c r="M200" s="100">
        <f t="shared" si="67"/>
        <v>7.4925238910537914E-2</v>
      </c>
      <c r="N200" s="88"/>
      <c r="O200" s="47">
        <v>600</v>
      </c>
      <c r="P200" s="47">
        <v>650</v>
      </c>
      <c r="Q200" s="100">
        <f t="shared" si="68"/>
        <v>1.2016299999999999E-4</v>
      </c>
      <c r="R200" s="100">
        <v>6.8970000000000004E-3</v>
      </c>
      <c r="T200" s="100"/>
      <c r="U200" s="52">
        <f t="shared" si="69"/>
        <v>0</v>
      </c>
    </row>
    <row r="201" spans="1:21" x14ac:dyDescent="0.3">
      <c r="A201" s="14" t="str">
        <f t="shared" si="59"/>
        <v>(650, 700]</v>
      </c>
      <c r="B201" s="96">
        <v>29296</v>
      </c>
      <c r="C201" s="96">
        <v>1972914430</v>
      </c>
      <c r="D201" s="29">
        <f t="shared" si="60"/>
        <v>3.502609800588208E-3</v>
      </c>
      <c r="E201" s="90">
        <f t="shared" si="61"/>
        <v>673.44157222829062</v>
      </c>
      <c r="F201" s="88"/>
      <c r="G201" s="14" t="str">
        <f t="shared" si="62"/>
        <v>(650, 700]</v>
      </c>
      <c r="H201" s="86">
        <v>3.1764029205113321E-2</v>
      </c>
      <c r="I201" s="29">
        <f t="shared" si="63"/>
        <v>1.1125699999999998E-4</v>
      </c>
      <c r="J201" s="29">
        <f t="shared" si="64"/>
        <v>1.1125700000000004E-4</v>
      </c>
      <c r="K201" s="87">
        <f t="shared" si="65"/>
        <v>111257</v>
      </c>
      <c r="L201" s="100">
        <f t="shared" si="66"/>
        <v>1.11257E-4</v>
      </c>
      <c r="M201" s="100">
        <f t="shared" si="67"/>
        <v>7.4925089001402934E-2</v>
      </c>
      <c r="N201" s="88"/>
      <c r="O201" s="47">
        <v>650</v>
      </c>
      <c r="P201" s="47">
        <v>700</v>
      </c>
      <c r="Q201" s="100">
        <f t="shared" si="68"/>
        <v>1.11257E-4</v>
      </c>
      <c r="R201" s="100">
        <v>0</v>
      </c>
      <c r="T201" s="100"/>
      <c r="U201" s="52">
        <f t="shared" si="69"/>
        <v>0</v>
      </c>
    </row>
    <row r="202" spans="1:21" x14ac:dyDescent="0.3">
      <c r="A202" s="14" t="str">
        <f t="shared" si="59"/>
        <v>(700, 750]</v>
      </c>
      <c r="B202" s="96">
        <v>20236</v>
      </c>
      <c r="C202" s="96">
        <v>1463960560</v>
      </c>
      <c r="D202" s="29">
        <f t="shared" si="60"/>
        <v>2.4194023731807404E-3</v>
      </c>
      <c r="E202" s="90">
        <f t="shared" si="61"/>
        <v>723.44364498912819</v>
      </c>
      <c r="F202" s="88"/>
      <c r="G202" s="14" t="str">
        <f t="shared" si="62"/>
        <v>(700, 750]</v>
      </c>
      <c r="H202" s="86">
        <v>4.2807265607432303E-2</v>
      </c>
      <c r="I202" s="29">
        <f t="shared" si="63"/>
        <v>1.0356800000000001E-4</v>
      </c>
      <c r="J202" s="29">
        <f t="shared" si="64"/>
        <v>1.0356800000000005E-4</v>
      </c>
      <c r="K202" s="87">
        <f t="shared" si="65"/>
        <v>103568</v>
      </c>
      <c r="L202" s="100">
        <f t="shared" si="66"/>
        <v>1.03568E-4</v>
      </c>
      <c r="M202" s="100">
        <f t="shared" si="67"/>
        <v>7.4925611424234026E-2</v>
      </c>
      <c r="N202" s="88"/>
      <c r="O202" s="47">
        <v>700</v>
      </c>
      <c r="P202" s="47">
        <v>750</v>
      </c>
      <c r="Q202" s="100">
        <f t="shared" si="68"/>
        <v>1.03568E-4</v>
      </c>
      <c r="R202" s="100">
        <v>0</v>
      </c>
      <c r="T202" s="100"/>
      <c r="U202" s="52">
        <f t="shared" si="69"/>
        <v>0</v>
      </c>
    </row>
    <row r="203" spans="1:21" x14ac:dyDescent="0.3">
      <c r="A203" s="14" t="str">
        <f t="shared" si="59"/>
        <v>(750, 800]</v>
      </c>
      <c r="B203" s="96">
        <v>14051</v>
      </c>
      <c r="C203" s="96">
        <v>1086775270</v>
      </c>
      <c r="D203" s="29">
        <f t="shared" si="60"/>
        <v>1.6799279870311616E-3</v>
      </c>
      <c r="E203" s="90">
        <f t="shared" si="61"/>
        <v>773.45048039285462</v>
      </c>
      <c r="F203" s="88"/>
      <c r="G203" s="14" t="str">
        <f t="shared" si="62"/>
        <v>(750, 800]</v>
      </c>
      <c r="H203" s="86">
        <v>0.47966163205843004</v>
      </c>
      <c r="I203" s="29">
        <f t="shared" si="63"/>
        <v>8.0579700000000002E-4</v>
      </c>
      <c r="J203" s="29">
        <f t="shared" si="64"/>
        <v>8.0579700000000035E-4</v>
      </c>
      <c r="K203" s="87">
        <f t="shared" si="65"/>
        <v>805797</v>
      </c>
      <c r="L203" s="100">
        <f t="shared" si="66"/>
        <v>8.0579700000000002E-4</v>
      </c>
      <c r="M203" s="100">
        <f t="shared" si="67"/>
        <v>0.62324407674912108</v>
      </c>
      <c r="N203" s="88"/>
      <c r="O203" s="47">
        <v>750</v>
      </c>
      <c r="P203" s="47">
        <v>800</v>
      </c>
      <c r="Q203" s="100">
        <f t="shared" si="68"/>
        <v>8.0579700000000002E-4</v>
      </c>
      <c r="R203" s="100">
        <v>0</v>
      </c>
      <c r="T203" s="100"/>
      <c r="U203" s="52">
        <f t="shared" si="69"/>
        <v>0</v>
      </c>
    </row>
    <row r="204" spans="1:21" x14ac:dyDescent="0.3">
      <c r="A204" s="14" t="str">
        <f t="shared" si="59"/>
        <v>(800, 850]</v>
      </c>
      <c r="B204" s="96">
        <v>9888</v>
      </c>
      <c r="C204" s="96">
        <v>814515590</v>
      </c>
      <c r="D204" s="29">
        <f t="shared" si="60"/>
        <v>1.1822025432897392E-3</v>
      </c>
      <c r="E204" s="90">
        <f t="shared" si="61"/>
        <v>823.74149474110027</v>
      </c>
      <c r="F204" s="88"/>
      <c r="G204" s="14" t="str">
        <f t="shared" si="62"/>
        <v>(800, 850]</v>
      </c>
      <c r="H204" s="86">
        <v>7.6938592727851945E-2</v>
      </c>
      <c r="I204" s="29">
        <f t="shared" si="63"/>
        <v>9.0957000000000003E-5</v>
      </c>
      <c r="J204" s="29">
        <f t="shared" si="64"/>
        <v>9.0957000000000044E-5</v>
      </c>
      <c r="K204" s="87">
        <f t="shared" si="65"/>
        <v>90957</v>
      </c>
      <c r="L204" s="100">
        <f t="shared" si="66"/>
        <v>9.0957000000000003E-5</v>
      </c>
      <c r="M204" s="100">
        <f t="shared" si="67"/>
        <v>7.4925055137166255E-2</v>
      </c>
      <c r="N204" s="88"/>
      <c r="O204" s="47">
        <v>800</v>
      </c>
      <c r="P204" s="47">
        <v>850</v>
      </c>
      <c r="Q204" s="100">
        <f t="shared" si="68"/>
        <v>9.0957000000000003E-5</v>
      </c>
      <c r="R204" s="100">
        <v>0</v>
      </c>
      <c r="T204" s="100"/>
      <c r="U204" s="52">
        <f t="shared" si="69"/>
        <v>0</v>
      </c>
    </row>
    <row r="205" spans="1:21" x14ac:dyDescent="0.3">
      <c r="A205" s="14" t="str">
        <f t="shared" si="59"/>
        <v>(850, 900]</v>
      </c>
      <c r="B205" s="96">
        <v>6851</v>
      </c>
      <c r="C205" s="96">
        <v>598465100</v>
      </c>
      <c r="D205" s="29">
        <f t="shared" si="60"/>
        <v>8.1910089240271066E-4</v>
      </c>
      <c r="E205" s="90">
        <f t="shared" si="61"/>
        <v>873.54415413808204</v>
      </c>
      <c r="F205" s="88"/>
      <c r="G205" s="14" t="str">
        <f t="shared" si="62"/>
        <v>(850, 900]</v>
      </c>
      <c r="H205" s="86">
        <v>0</v>
      </c>
      <c r="I205" s="29">
        <f t="shared" si="63"/>
        <v>0</v>
      </c>
      <c r="J205" s="29">
        <f t="shared" si="64"/>
        <v>0</v>
      </c>
      <c r="K205" s="92">
        <f t="shared" si="65"/>
        <v>0</v>
      </c>
      <c r="L205" s="100">
        <f t="shared" si="66"/>
        <v>0</v>
      </c>
      <c r="M205" s="100">
        <f t="shared" si="67"/>
        <v>0</v>
      </c>
      <c r="N205" s="88"/>
      <c r="O205" s="47">
        <v>850</v>
      </c>
      <c r="P205" s="47">
        <v>900</v>
      </c>
      <c r="Q205" s="100">
        <f t="shared" si="68"/>
        <v>0</v>
      </c>
      <c r="R205" s="100">
        <v>0</v>
      </c>
      <c r="T205" s="100"/>
      <c r="U205" s="52">
        <f t="shared" si="69"/>
        <v>0</v>
      </c>
    </row>
    <row r="206" spans="1:21" x14ac:dyDescent="0.3">
      <c r="A206" s="14" t="str">
        <f t="shared" si="59"/>
        <v>(900, 950]</v>
      </c>
      <c r="B206" s="96">
        <v>4931</v>
      </c>
      <c r="C206" s="96">
        <v>455292250</v>
      </c>
      <c r="D206" s="29">
        <f t="shared" si="60"/>
        <v>5.895470005017905E-4</v>
      </c>
      <c r="E206" s="90">
        <f t="shared" si="61"/>
        <v>923.3264043804503</v>
      </c>
      <c r="F206" s="88"/>
      <c r="G206" s="14" t="str">
        <f t="shared" si="62"/>
        <v>(900, 950]</v>
      </c>
      <c r="H206" s="86">
        <v>0</v>
      </c>
      <c r="I206" s="29">
        <f t="shared" si="63"/>
        <v>0</v>
      </c>
      <c r="J206" s="29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7">
        <v>900</v>
      </c>
      <c r="P206" s="47">
        <v>950</v>
      </c>
      <c r="Q206" s="100">
        <f t="shared" si="68"/>
        <v>0</v>
      </c>
      <c r="R206" s="100">
        <v>6.8970000000000004E-3</v>
      </c>
      <c r="T206" s="100"/>
      <c r="U206" s="52">
        <f t="shared" si="69"/>
        <v>0</v>
      </c>
    </row>
    <row r="207" spans="1:21" x14ac:dyDescent="0.3">
      <c r="A207" s="14" t="str">
        <f t="shared" si="59"/>
        <v>(950, 1000]</v>
      </c>
      <c r="B207" s="96">
        <v>3379</v>
      </c>
      <c r="C207" s="96">
        <v>328959390</v>
      </c>
      <c r="D207" s="29">
        <f t="shared" si="60"/>
        <v>4.0399093788187992E-4</v>
      </c>
      <c r="E207" s="90">
        <f t="shared" si="61"/>
        <v>973.54066291802314</v>
      </c>
      <c r="F207" s="88"/>
      <c r="G207" s="14" t="str">
        <f t="shared" si="62"/>
        <v>(950, 1000]</v>
      </c>
      <c r="H207" s="86">
        <v>0</v>
      </c>
      <c r="I207" s="29">
        <f t="shared" si="63"/>
        <v>0</v>
      </c>
      <c r="J207" s="29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7">
        <v>950</v>
      </c>
      <c r="P207" s="47">
        <v>1000</v>
      </c>
      <c r="Q207" s="100">
        <f t="shared" si="68"/>
        <v>0</v>
      </c>
      <c r="R207" s="100">
        <v>0</v>
      </c>
      <c r="T207" s="100"/>
      <c r="U207" s="52">
        <f t="shared" si="69"/>
        <v>0</v>
      </c>
    </row>
    <row r="208" spans="1:21" x14ac:dyDescent="0.3">
      <c r="A208" s="14" t="str">
        <f t="shared" si="59"/>
        <v>(1000, 2000]</v>
      </c>
      <c r="B208" s="96">
        <v>9282</v>
      </c>
      <c r="C208" s="96">
        <v>1088039000</v>
      </c>
      <c r="D208" s="29">
        <f t="shared" si="60"/>
        <v>1.1097495961585112E-3</v>
      </c>
      <c r="E208" s="90">
        <f t="shared" si="61"/>
        <v>1172.2031889678949</v>
      </c>
      <c r="F208" s="88"/>
      <c r="G208" s="14" t="str">
        <f t="shared" si="62"/>
        <v>(1000, 2000]</v>
      </c>
      <c r="H208" s="86">
        <v>5.759767808995906E-2</v>
      </c>
      <c r="I208" s="29">
        <f t="shared" si="63"/>
        <v>6.3918999999999996E-5</v>
      </c>
      <c r="J208" s="29">
        <f t="shared" si="64"/>
        <v>6.3919000000000023E-5</v>
      </c>
      <c r="K208" s="92">
        <f t="shared" si="65"/>
        <v>63919</v>
      </c>
      <c r="L208" s="100">
        <f t="shared" si="66"/>
        <v>6.3918999999999996E-5</v>
      </c>
      <c r="M208" s="100">
        <f t="shared" si="67"/>
        <v>7.4926055635638866E-2</v>
      </c>
      <c r="N208" s="88"/>
      <c r="O208" s="47">
        <v>1000</v>
      </c>
      <c r="P208" s="47">
        <v>2000</v>
      </c>
      <c r="Q208" s="100">
        <f t="shared" si="68"/>
        <v>6.3918999999999996E-5</v>
      </c>
      <c r="R208" s="100">
        <v>0</v>
      </c>
      <c r="T208" s="100"/>
      <c r="U208" s="52">
        <f t="shared" si="69"/>
        <v>0</v>
      </c>
    </row>
    <row r="209" spans="1:21" x14ac:dyDescent="0.3">
      <c r="A209" s="14" t="str">
        <f t="shared" si="59"/>
        <v>(2000, 3000]</v>
      </c>
      <c r="B209" s="96">
        <v>96</v>
      </c>
      <c r="C209" s="96">
        <v>21722990</v>
      </c>
      <c r="D209" s="29">
        <f t="shared" si="60"/>
        <v>1.1477694595046011E-5</v>
      </c>
      <c r="E209" s="90">
        <f t="shared" si="61"/>
        <v>2262.8114583333336</v>
      </c>
      <c r="F209" s="88"/>
      <c r="G209" s="14" t="str">
        <f t="shared" si="62"/>
        <v>(2000, 3000]</v>
      </c>
      <c r="H209" s="86">
        <v>0</v>
      </c>
      <c r="I209" s="29">
        <f t="shared" si="63"/>
        <v>0</v>
      </c>
      <c r="J209" s="29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7">
        <v>2000</v>
      </c>
      <c r="P209" s="47">
        <v>3000</v>
      </c>
      <c r="Q209" s="100">
        <f t="shared" si="68"/>
        <v>0</v>
      </c>
      <c r="R209" s="100">
        <v>0</v>
      </c>
      <c r="T209" s="100"/>
      <c r="U209" s="52">
        <f t="shared" si="69"/>
        <v>0</v>
      </c>
    </row>
    <row r="210" spans="1:21" x14ac:dyDescent="0.3">
      <c r="A210" s="14" t="str">
        <f t="shared" si="59"/>
        <v>(3000, 4000]</v>
      </c>
      <c r="B210" s="96">
        <v>2</v>
      </c>
      <c r="C210" s="96">
        <v>673350</v>
      </c>
      <c r="D210" s="29">
        <f t="shared" si="60"/>
        <v>2.3911863739679191E-7</v>
      </c>
      <c r="E210" s="90">
        <f t="shared" si="61"/>
        <v>3366.75</v>
      </c>
      <c r="F210" s="88"/>
      <c r="G210" s="14" t="str">
        <f t="shared" si="62"/>
        <v>(3000, 4000]</v>
      </c>
      <c r="H210" s="86">
        <v>0</v>
      </c>
      <c r="I210" s="29">
        <f t="shared" si="63"/>
        <v>0</v>
      </c>
      <c r="J210" s="29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7">
        <v>3000</v>
      </c>
      <c r="P210" s="47">
        <v>4000</v>
      </c>
      <c r="Q210" s="100">
        <f t="shared" si="68"/>
        <v>0</v>
      </c>
      <c r="R210" s="100">
        <v>0</v>
      </c>
      <c r="T210" s="100"/>
      <c r="U210" s="52">
        <f t="shared" si="69"/>
        <v>0</v>
      </c>
    </row>
    <row r="211" spans="1:21" x14ac:dyDescent="0.3">
      <c r="A211" s="14" t="str">
        <f t="shared" si="59"/>
        <v>(4000, 5000]</v>
      </c>
      <c r="B211" s="96">
        <v>0</v>
      </c>
      <c r="C211" s="96">
        <v>0</v>
      </c>
      <c r="D211" s="29">
        <f t="shared" si="60"/>
        <v>0</v>
      </c>
      <c r="E211" s="90">
        <f t="shared" si="61"/>
        <v>0</v>
      </c>
      <c r="F211" s="88"/>
      <c r="G211" s="14" t="str">
        <f t="shared" si="62"/>
        <v>(4000, 5000]</v>
      </c>
      <c r="H211" s="86">
        <v>0</v>
      </c>
      <c r="I211" s="29">
        <f t="shared" si="63"/>
        <v>0</v>
      </c>
      <c r="J211" s="29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7">
        <v>4000</v>
      </c>
      <c r="P211" s="47">
        <v>5000</v>
      </c>
      <c r="Q211" s="100">
        <f t="shared" si="68"/>
        <v>0</v>
      </c>
      <c r="R211" s="100">
        <v>0</v>
      </c>
      <c r="T211" s="100"/>
      <c r="U211" s="52">
        <f t="shared" si="69"/>
        <v>0</v>
      </c>
    </row>
    <row r="212" spans="1:21" x14ac:dyDescent="0.3">
      <c r="A212" s="14" t="str">
        <f t="shared" si="59"/>
        <v>(5000, 6000]</v>
      </c>
      <c r="B212" s="96">
        <v>0</v>
      </c>
      <c r="C212" s="96">
        <v>0</v>
      </c>
      <c r="D212" s="29">
        <f t="shared" si="60"/>
        <v>0</v>
      </c>
      <c r="E212" s="90">
        <f t="shared" si="61"/>
        <v>0</v>
      </c>
      <c r="F212" s="88"/>
      <c r="G212" s="14" t="str">
        <f t="shared" si="62"/>
        <v>(5000, 6000]</v>
      </c>
      <c r="H212" s="86">
        <v>0</v>
      </c>
      <c r="I212" s="29">
        <f t="shared" si="63"/>
        <v>0</v>
      </c>
      <c r="J212" s="29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7">
        <v>5000</v>
      </c>
      <c r="P212" s="47">
        <v>6000</v>
      </c>
      <c r="Q212" s="100">
        <f t="shared" si="68"/>
        <v>0</v>
      </c>
      <c r="R212" s="100">
        <v>0</v>
      </c>
      <c r="T212" s="100"/>
      <c r="U212" s="52">
        <f t="shared" si="69"/>
        <v>0</v>
      </c>
    </row>
    <row r="213" spans="1:21" x14ac:dyDescent="0.3">
      <c r="A213" s="14" t="str">
        <f t="shared" si="59"/>
        <v>(6000, 7000]</v>
      </c>
      <c r="B213" s="96">
        <v>0</v>
      </c>
      <c r="C213" s="96">
        <v>0</v>
      </c>
      <c r="D213" s="29">
        <f t="shared" si="60"/>
        <v>0</v>
      </c>
      <c r="E213" s="90">
        <f t="shared" si="61"/>
        <v>0</v>
      </c>
      <c r="F213" s="88"/>
      <c r="G213" s="14" t="str">
        <f t="shared" si="62"/>
        <v>(6000, 7000]</v>
      </c>
      <c r="H213" s="86">
        <v>0</v>
      </c>
      <c r="I213" s="29">
        <f t="shared" si="63"/>
        <v>0</v>
      </c>
      <c r="J213" s="29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7">
        <v>6000</v>
      </c>
      <c r="P213" s="47">
        <v>7000</v>
      </c>
      <c r="Q213" s="100">
        <f t="shared" si="68"/>
        <v>0</v>
      </c>
      <c r="R213" s="100">
        <v>0</v>
      </c>
      <c r="T213" s="100"/>
      <c r="U213" s="52">
        <f t="shared" si="69"/>
        <v>0</v>
      </c>
    </row>
    <row r="214" spans="1:21" x14ac:dyDescent="0.3">
      <c r="A214" s="14" t="str">
        <f t="shared" si="59"/>
        <v>(7000, 8000]</v>
      </c>
      <c r="B214" s="96">
        <v>0</v>
      </c>
      <c r="C214" s="96">
        <v>0</v>
      </c>
      <c r="D214" s="29">
        <f t="shared" si="60"/>
        <v>0</v>
      </c>
      <c r="E214" s="90">
        <f t="shared" si="61"/>
        <v>0</v>
      </c>
      <c r="F214" s="88"/>
      <c r="G214" s="14" t="str">
        <f t="shared" si="62"/>
        <v>(7000, 8000]</v>
      </c>
      <c r="H214" s="86">
        <v>0</v>
      </c>
      <c r="I214" s="29">
        <f t="shared" si="63"/>
        <v>0</v>
      </c>
      <c r="J214" s="29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7">
        <v>7000</v>
      </c>
      <c r="P214" s="47">
        <v>8000</v>
      </c>
      <c r="Q214" s="100">
        <f t="shared" si="68"/>
        <v>0</v>
      </c>
      <c r="R214" s="100">
        <v>0</v>
      </c>
      <c r="T214" s="100"/>
      <c r="U214" s="52">
        <f t="shared" si="69"/>
        <v>0</v>
      </c>
    </row>
    <row r="215" spans="1:21" x14ac:dyDescent="0.3">
      <c r="A215" s="14" t="str">
        <f t="shared" si="59"/>
        <v>(8000, 9000]</v>
      </c>
      <c r="B215" s="96">
        <v>0</v>
      </c>
      <c r="C215" s="96">
        <v>0</v>
      </c>
      <c r="D215" s="29">
        <f t="shared" si="60"/>
        <v>0</v>
      </c>
      <c r="E215" s="90">
        <f t="shared" si="61"/>
        <v>0</v>
      </c>
      <c r="F215" s="88"/>
      <c r="G215" s="14" t="str">
        <f t="shared" si="62"/>
        <v>(8000, 9000]</v>
      </c>
      <c r="H215" s="86">
        <v>0</v>
      </c>
      <c r="I215" s="29">
        <f t="shared" si="63"/>
        <v>0</v>
      </c>
      <c r="J215" s="29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7">
        <v>8000</v>
      </c>
      <c r="P215" s="47">
        <v>9000</v>
      </c>
      <c r="Q215" s="100">
        <f t="shared" si="68"/>
        <v>0</v>
      </c>
      <c r="R215" s="100">
        <v>0</v>
      </c>
      <c r="T215" s="100"/>
      <c r="U215" s="52">
        <f t="shared" si="69"/>
        <v>0</v>
      </c>
    </row>
    <row r="216" spans="1:21" x14ac:dyDescent="0.3">
      <c r="A216" s="14" t="str">
        <f t="shared" si="59"/>
        <v>(9000, 10000]</v>
      </c>
      <c r="B216" s="96">
        <v>0</v>
      </c>
      <c r="C216" s="96">
        <v>0</v>
      </c>
      <c r="D216" s="29">
        <f t="shared" si="60"/>
        <v>0</v>
      </c>
      <c r="E216" s="90">
        <f t="shared" si="61"/>
        <v>0</v>
      </c>
      <c r="F216" s="88"/>
      <c r="G216" s="14" t="str">
        <f t="shared" si="62"/>
        <v>(9000, 10000]</v>
      </c>
      <c r="H216" s="86">
        <v>0</v>
      </c>
      <c r="I216" s="29">
        <f t="shared" si="63"/>
        <v>0</v>
      </c>
      <c r="J216" s="29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7">
        <v>9000</v>
      </c>
      <c r="P216" s="47">
        <v>10000</v>
      </c>
      <c r="Q216" s="100">
        <f t="shared" si="68"/>
        <v>0</v>
      </c>
      <c r="R216" s="100">
        <v>0</v>
      </c>
      <c r="T216" s="100"/>
      <c r="U216" s="52">
        <f t="shared" si="69"/>
        <v>0</v>
      </c>
    </row>
    <row r="217" spans="1:21" x14ac:dyDescent="0.3">
      <c r="A217" s="14" t="str">
        <f t="shared" si="59"/>
        <v>(10000, 20000]</v>
      </c>
      <c r="B217" s="96">
        <v>0</v>
      </c>
      <c r="C217" s="96">
        <v>0</v>
      </c>
      <c r="D217" s="29">
        <f t="shared" si="60"/>
        <v>0</v>
      </c>
      <c r="E217" s="90">
        <f t="shared" si="61"/>
        <v>0</v>
      </c>
      <c r="F217" s="88"/>
      <c r="G217" s="14" t="str">
        <f t="shared" si="62"/>
        <v>(10000, 20000]</v>
      </c>
      <c r="H217" s="86">
        <v>0</v>
      </c>
      <c r="I217" s="29">
        <f t="shared" si="63"/>
        <v>0</v>
      </c>
      <c r="J217" s="29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7">
        <v>10000</v>
      </c>
      <c r="P217" s="47">
        <v>20000</v>
      </c>
      <c r="Q217" s="100">
        <f t="shared" si="68"/>
        <v>0</v>
      </c>
      <c r="R217" s="100">
        <v>0</v>
      </c>
      <c r="T217" s="100"/>
      <c r="U217" s="52">
        <f t="shared" si="69"/>
        <v>0</v>
      </c>
    </row>
    <row r="218" spans="1:21" x14ac:dyDescent="0.3">
      <c r="A218" s="14" t="str">
        <f t="shared" si="59"/>
        <v>(20000, 30000]</v>
      </c>
      <c r="B218" s="96">
        <v>0</v>
      </c>
      <c r="C218" s="96">
        <v>0</v>
      </c>
      <c r="D218" s="29">
        <f t="shared" si="60"/>
        <v>0</v>
      </c>
      <c r="E218" s="90">
        <f t="shared" si="61"/>
        <v>0</v>
      </c>
      <c r="F218" s="88"/>
      <c r="G218" s="14" t="str">
        <f t="shared" si="62"/>
        <v>(20000, 30000]</v>
      </c>
      <c r="H218" s="86">
        <v>0</v>
      </c>
      <c r="I218" s="29">
        <f t="shared" si="63"/>
        <v>0</v>
      </c>
      <c r="J218" s="29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7">
        <v>20000</v>
      </c>
      <c r="P218" s="47">
        <v>30000</v>
      </c>
      <c r="Q218" s="100">
        <f t="shared" si="68"/>
        <v>0</v>
      </c>
      <c r="R218" s="100">
        <v>0</v>
      </c>
      <c r="T218" s="100"/>
      <c r="U218" s="52">
        <f t="shared" si="69"/>
        <v>0</v>
      </c>
    </row>
    <row r="219" spans="1:21" x14ac:dyDescent="0.3">
      <c r="A219" s="14" t="str">
        <f t="shared" si="59"/>
        <v>(30000, 40000]</v>
      </c>
      <c r="B219" s="96">
        <v>0</v>
      </c>
      <c r="C219" s="96">
        <v>0</v>
      </c>
      <c r="D219" s="29">
        <f t="shared" si="60"/>
        <v>0</v>
      </c>
      <c r="E219" s="90">
        <f t="shared" si="61"/>
        <v>0</v>
      </c>
      <c r="F219" s="88"/>
      <c r="G219" s="14" t="str">
        <f t="shared" si="62"/>
        <v>(30000, 40000]</v>
      </c>
      <c r="H219" s="86">
        <v>0</v>
      </c>
      <c r="I219" s="29">
        <f t="shared" si="63"/>
        <v>0</v>
      </c>
      <c r="J219" s="29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7">
        <v>30000</v>
      </c>
      <c r="P219" s="47">
        <v>40000</v>
      </c>
      <c r="Q219" s="100">
        <f t="shared" si="68"/>
        <v>0</v>
      </c>
      <c r="R219" s="100">
        <v>0</v>
      </c>
      <c r="T219" s="100"/>
      <c r="U219" s="52">
        <f t="shared" si="69"/>
        <v>0</v>
      </c>
    </row>
    <row r="220" spans="1:21" x14ac:dyDescent="0.3">
      <c r="A220" s="14" t="str">
        <f t="shared" si="59"/>
        <v>(40000, 50000]</v>
      </c>
      <c r="B220" s="96">
        <v>0</v>
      </c>
      <c r="C220" s="96">
        <v>0</v>
      </c>
      <c r="D220" s="29">
        <f t="shared" si="60"/>
        <v>0</v>
      </c>
      <c r="E220" s="90">
        <f t="shared" si="61"/>
        <v>0</v>
      </c>
      <c r="F220" s="88"/>
      <c r="G220" s="14" t="str">
        <f t="shared" si="62"/>
        <v>(40000, 50000]</v>
      </c>
      <c r="H220" s="86">
        <v>0</v>
      </c>
      <c r="I220" s="29">
        <f t="shared" si="63"/>
        <v>0</v>
      </c>
      <c r="J220" s="29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7">
        <v>40000</v>
      </c>
      <c r="P220" s="47">
        <v>50000</v>
      </c>
      <c r="Q220" s="100">
        <f t="shared" si="68"/>
        <v>0</v>
      </c>
      <c r="R220" s="100">
        <v>0</v>
      </c>
      <c r="T220" s="100"/>
      <c r="U220" s="52">
        <f t="shared" si="69"/>
        <v>0</v>
      </c>
    </row>
    <row r="221" spans="1:21" x14ac:dyDescent="0.3">
      <c r="A221" s="14" t="str">
        <f t="shared" si="59"/>
        <v>(50000, 60000]</v>
      </c>
      <c r="B221" s="96">
        <v>0</v>
      </c>
      <c r="C221" s="96">
        <v>0</v>
      </c>
      <c r="D221" s="29">
        <f t="shared" si="60"/>
        <v>0</v>
      </c>
      <c r="E221" s="90">
        <f t="shared" si="61"/>
        <v>0</v>
      </c>
      <c r="F221" s="88"/>
      <c r="G221" s="14" t="str">
        <f t="shared" si="62"/>
        <v>(50000, 60000]</v>
      </c>
      <c r="H221" s="86">
        <v>0</v>
      </c>
      <c r="I221" s="29">
        <f t="shared" si="63"/>
        <v>0</v>
      </c>
      <c r="J221" s="29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7">
        <v>50000</v>
      </c>
      <c r="P221" s="47">
        <v>60000</v>
      </c>
      <c r="Q221" s="100">
        <f t="shared" si="68"/>
        <v>0</v>
      </c>
      <c r="R221" s="100">
        <v>0</v>
      </c>
      <c r="T221" s="100"/>
      <c r="U221" s="52">
        <f t="shared" si="69"/>
        <v>0</v>
      </c>
    </row>
    <row r="222" spans="1:21" x14ac:dyDescent="0.3">
      <c r="A222" s="14" t="str">
        <f t="shared" si="59"/>
        <v>(60000, 70000]</v>
      </c>
      <c r="B222" s="96">
        <v>0</v>
      </c>
      <c r="C222" s="96">
        <v>0</v>
      </c>
      <c r="D222" s="29">
        <f t="shared" si="60"/>
        <v>0</v>
      </c>
      <c r="E222" s="90">
        <f t="shared" si="61"/>
        <v>0</v>
      </c>
      <c r="F222" s="88"/>
      <c r="G222" s="14" t="str">
        <f t="shared" si="62"/>
        <v>(60000, 70000]</v>
      </c>
      <c r="H222" s="86">
        <v>0</v>
      </c>
      <c r="I222" s="29">
        <f t="shared" si="63"/>
        <v>0</v>
      </c>
      <c r="J222" s="29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7">
        <v>60000</v>
      </c>
      <c r="P222" s="47">
        <v>70000</v>
      </c>
      <c r="Q222" s="100">
        <f t="shared" si="68"/>
        <v>0</v>
      </c>
      <c r="R222" s="100">
        <v>0</v>
      </c>
      <c r="T222" s="100"/>
      <c r="U222" s="52">
        <f t="shared" si="69"/>
        <v>0</v>
      </c>
    </row>
    <row r="223" spans="1:21" x14ac:dyDescent="0.3">
      <c r="A223" s="14" t="str">
        <f t="shared" si="59"/>
        <v>(70000, 80000]</v>
      </c>
      <c r="B223" s="96">
        <v>0</v>
      </c>
      <c r="C223" s="96">
        <v>0</v>
      </c>
      <c r="D223" s="29">
        <f t="shared" si="60"/>
        <v>0</v>
      </c>
      <c r="E223" s="90">
        <f t="shared" si="61"/>
        <v>0</v>
      </c>
      <c r="F223" s="88"/>
      <c r="G223" s="14" t="str">
        <f t="shared" si="62"/>
        <v>(70000, 80000]</v>
      </c>
      <c r="H223" s="86">
        <v>0</v>
      </c>
      <c r="I223" s="29">
        <f t="shared" si="63"/>
        <v>0</v>
      </c>
      <c r="J223" s="29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7">
        <v>70000</v>
      </c>
      <c r="P223" s="47">
        <v>80000</v>
      </c>
      <c r="Q223" s="100">
        <f t="shared" si="68"/>
        <v>0</v>
      </c>
      <c r="R223" s="100">
        <v>0</v>
      </c>
      <c r="T223" s="100"/>
      <c r="U223" s="52">
        <f t="shared" si="69"/>
        <v>0</v>
      </c>
    </row>
    <row r="224" spans="1:21" x14ac:dyDescent="0.3">
      <c r="A224" s="14" t="str">
        <f t="shared" si="59"/>
        <v>(80000, 90000]</v>
      </c>
      <c r="B224" s="96">
        <v>0</v>
      </c>
      <c r="C224" s="96">
        <v>0</v>
      </c>
      <c r="D224" s="29">
        <f t="shared" si="60"/>
        <v>0</v>
      </c>
      <c r="E224" s="90">
        <f t="shared" si="61"/>
        <v>0</v>
      </c>
      <c r="F224" s="88"/>
      <c r="G224" s="14" t="str">
        <f t="shared" si="62"/>
        <v>(80000, 90000]</v>
      </c>
      <c r="H224" s="86">
        <v>0</v>
      </c>
      <c r="I224" s="29">
        <f t="shared" si="63"/>
        <v>0</v>
      </c>
      <c r="J224" s="29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7">
        <v>80000</v>
      </c>
      <c r="P224" s="47">
        <v>90000</v>
      </c>
      <c r="Q224" s="100">
        <f t="shared" si="68"/>
        <v>0</v>
      </c>
      <c r="R224" s="100">
        <v>0</v>
      </c>
      <c r="T224" s="100"/>
      <c r="U224" s="52">
        <f t="shared" si="69"/>
        <v>0</v>
      </c>
    </row>
    <row r="225" spans="1:21" x14ac:dyDescent="0.3">
      <c r="A225" s="14" t="str">
        <f t="shared" si="59"/>
        <v>(90000, 100000]</v>
      </c>
      <c r="B225" s="96">
        <v>0</v>
      </c>
      <c r="C225" s="96">
        <v>0</v>
      </c>
      <c r="D225" s="29">
        <f t="shared" si="60"/>
        <v>0</v>
      </c>
      <c r="E225" s="90">
        <f t="shared" si="61"/>
        <v>0</v>
      </c>
      <c r="F225" s="88"/>
      <c r="G225" s="14" t="str">
        <f t="shared" si="62"/>
        <v>(90000, 100000]</v>
      </c>
      <c r="H225" s="86">
        <v>0</v>
      </c>
      <c r="I225" s="29">
        <f t="shared" si="63"/>
        <v>0</v>
      </c>
      <c r="J225" s="29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7">
        <v>90000</v>
      </c>
      <c r="P225" s="47">
        <v>100000</v>
      </c>
      <c r="Q225" s="100">
        <f t="shared" si="68"/>
        <v>0</v>
      </c>
      <c r="R225" s="100">
        <v>0</v>
      </c>
      <c r="T225" s="100"/>
      <c r="U225" s="52">
        <f t="shared" si="69"/>
        <v>0</v>
      </c>
    </row>
    <row r="226" spans="1:21" x14ac:dyDescent="0.3">
      <c r="A226" s="14" t="str">
        <f t="shared" si="59"/>
        <v>(100000, 9999999]</v>
      </c>
      <c r="B226" s="96">
        <v>0</v>
      </c>
      <c r="C226" s="96">
        <v>0</v>
      </c>
      <c r="D226" s="29">
        <f t="shared" si="60"/>
        <v>0</v>
      </c>
      <c r="E226" s="90">
        <f t="shared" si="61"/>
        <v>0</v>
      </c>
      <c r="F226" s="88"/>
      <c r="G226" s="14" t="str">
        <f t="shared" si="62"/>
        <v>(100000, 9999999]</v>
      </c>
      <c r="H226" s="86">
        <v>0</v>
      </c>
      <c r="I226" s="29">
        <f t="shared" si="63"/>
        <v>0</v>
      </c>
      <c r="J226" s="29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7">
        <v>100000</v>
      </c>
      <c r="P226" s="47">
        <v>9999999</v>
      </c>
      <c r="Q226" s="100">
        <f t="shared" si="68"/>
        <v>0</v>
      </c>
      <c r="R226" s="100">
        <v>0</v>
      </c>
      <c r="T226" s="100"/>
      <c r="U226" s="52">
        <f t="shared" si="69"/>
        <v>0</v>
      </c>
    </row>
    <row r="227" spans="1:21" x14ac:dyDescent="0.3">
      <c r="N227" s="4"/>
      <c r="O227" s="4"/>
      <c r="P227" s="4"/>
    </row>
    <row r="230" spans="1:21" ht="15.6" customHeight="1" x14ac:dyDescent="0.3">
      <c r="A230" s="66" t="s">
        <v>12</v>
      </c>
      <c r="B230" s="66" t="s">
        <v>19</v>
      </c>
      <c r="C230" s="66"/>
      <c r="D230" s="56"/>
      <c r="E230" s="56"/>
      <c r="F230" s="57"/>
      <c r="G230" s="66" t="s">
        <v>12</v>
      </c>
      <c r="H230" s="66" t="s">
        <v>19</v>
      </c>
      <c r="I230" s="58"/>
      <c r="J230" s="58"/>
      <c r="K230" s="58"/>
      <c r="L230" s="58"/>
      <c r="M230" s="58"/>
      <c r="N230" s="57"/>
      <c r="O230" s="66" t="s">
        <v>12</v>
      </c>
      <c r="P230" s="66" t="s">
        <v>19</v>
      </c>
      <c r="Q230" s="58"/>
      <c r="R230" s="58"/>
      <c r="S230" s="59"/>
      <c r="T230" s="59"/>
      <c r="U230" s="59"/>
    </row>
    <row r="231" spans="1:21" x14ac:dyDescent="0.3">
      <c r="A231" s="31"/>
      <c r="B231" s="1"/>
      <c r="C231" s="1"/>
      <c r="D231" s="1"/>
      <c r="E231" s="1"/>
      <c r="G231" s="37"/>
      <c r="H231" s="31"/>
      <c r="I231" s="31"/>
      <c r="J231" s="31"/>
      <c r="K231" s="31"/>
      <c r="L231" s="31"/>
      <c r="M231" s="31"/>
      <c r="Q231" s="31"/>
      <c r="R231" s="31"/>
    </row>
    <row r="232" spans="1:21" x14ac:dyDescent="0.3">
      <c r="A232" s="50" t="s">
        <v>100</v>
      </c>
      <c r="C232" s="1"/>
      <c r="D232" s="1"/>
      <c r="E232" s="1"/>
      <c r="G232" s="50" t="s">
        <v>101</v>
      </c>
      <c r="H232" s="31"/>
      <c r="I232" s="31"/>
      <c r="J232" s="31"/>
      <c r="L232" s="31"/>
      <c r="M232" s="31"/>
      <c r="Q232" s="31"/>
      <c r="R232" s="31"/>
    </row>
    <row r="233" spans="1:21" x14ac:dyDescent="0.3">
      <c r="A233" s="9" t="s">
        <v>20</v>
      </c>
      <c r="B233" s="9" t="s">
        <v>102</v>
      </c>
      <c r="C233" s="9" t="s">
        <v>103</v>
      </c>
      <c r="D233" s="9" t="s">
        <v>95</v>
      </c>
      <c r="E233" s="9" t="s">
        <v>104</v>
      </c>
      <c r="G233" s="9" t="s">
        <v>20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95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 x14ac:dyDescent="0.3">
      <c r="A234" s="14" t="str">
        <f t="shared" ref="A234:A265" si="70">"("&amp;$O234&amp;", "&amp;$P234&amp;"]"</f>
        <v>(-1, 0]</v>
      </c>
      <c r="B234" s="109"/>
      <c r="C234" s="109"/>
      <c r="D234" s="29">
        <f t="shared" ref="D234:D265" si="71">IFERROR(B234/SUM($B$234:$B$297),0)</f>
        <v>0</v>
      </c>
      <c r="E234" s="85">
        <f t="shared" ref="E234:E265" si="72">IFERROR(C234/B234/$B$3,0)</f>
        <v>0</v>
      </c>
      <c r="G234" s="14" t="str">
        <f t="shared" ref="G234:G265" si="73">"("&amp;$O234&amp;", "&amp;$P234&amp;"]"</f>
        <v>(-1, 0]</v>
      </c>
      <c r="H234" s="86">
        <v>1</v>
      </c>
      <c r="I234" s="29">
        <f t="shared" ref="I234:I265" si="74">D234*H234</f>
        <v>0</v>
      </c>
      <c r="J234" s="29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51">
        <v>-1</v>
      </c>
      <c r="P234" s="51">
        <v>0</v>
      </c>
      <c r="Q234" s="100">
        <f t="shared" ref="Q234:Q265" si="79">L234</f>
        <v>0</v>
      </c>
      <c r="R234" s="100">
        <v>2.069E-2</v>
      </c>
      <c r="T234" s="100"/>
      <c r="U234" s="52">
        <f t="shared" ref="U234:U265" si="80">IFERROR(ROUND(T234/L234,2),0)</f>
        <v>0</v>
      </c>
    </row>
    <row r="235" spans="1:21" x14ac:dyDescent="0.3">
      <c r="A235" s="14" t="str">
        <f t="shared" si="70"/>
        <v>(0, 1]</v>
      </c>
      <c r="B235" s="110"/>
      <c r="C235" s="110"/>
      <c r="D235" s="29">
        <f t="shared" si="71"/>
        <v>0</v>
      </c>
      <c r="E235" s="90">
        <f t="shared" si="72"/>
        <v>0</v>
      </c>
      <c r="G235" s="14" t="str">
        <f t="shared" si="73"/>
        <v>(0, 1]</v>
      </c>
      <c r="H235" s="86">
        <v>1</v>
      </c>
      <c r="I235" s="29">
        <f t="shared" si="74"/>
        <v>0</v>
      </c>
      <c r="J235" s="29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7">
        <v>0</v>
      </c>
      <c r="P235" s="47">
        <v>1</v>
      </c>
      <c r="Q235" s="100">
        <f t="shared" si="79"/>
        <v>0</v>
      </c>
      <c r="R235" s="100">
        <v>6.8970000000000004E-3</v>
      </c>
      <c r="T235" s="100"/>
      <c r="U235" s="52">
        <f t="shared" si="80"/>
        <v>0</v>
      </c>
    </row>
    <row r="236" spans="1:21" x14ac:dyDescent="0.3">
      <c r="A236" s="14" t="str">
        <f t="shared" si="70"/>
        <v>(1, 2]</v>
      </c>
      <c r="B236" s="110"/>
      <c r="C236" s="110"/>
      <c r="D236" s="29">
        <f t="shared" si="71"/>
        <v>0</v>
      </c>
      <c r="E236" s="90">
        <f t="shared" si="72"/>
        <v>0</v>
      </c>
      <c r="F236" s="53"/>
      <c r="G236" s="14" t="str">
        <f t="shared" si="73"/>
        <v>(1, 2]</v>
      </c>
      <c r="H236" s="86">
        <v>1</v>
      </c>
      <c r="I236" s="29">
        <f t="shared" si="74"/>
        <v>0</v>
      </c>
      <c r="J236" s="29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7">
        <v>1</v>
      </c>
      <c r="P236" s="47">
        <v>2</v>
      </c>
      <c r="Q236" s="100">
        <f t="shared" si="79"/>
        <v>0</v>
      </c>
      <c r="R236" s="100">
        <v>6.8970000000000004E-3</v>
      </c>
      <c r="T236" s="100"/>
      <c r="U236" s="52">
        <f t="shared" si="80"/>
        <v>0</v>
      </c>
    </row>
    <row r="237" spans="1:21" x14ac:dyDescent="0.3">
      <c r="A237" s="14" t="str">
        <f t="shared" si="70"/>
        <v>(2, 3]</v>
      </c>
      <c r="B237" s="110"/>
      <c r="C237" s="110"/>
      <c r="D237" s="29">
        <f t="shared" si="71"/>
        <v>0</v>
      </c>
      <c r="E237" s="90">
        <f t="shared" si="72"/>
        <v>0</v>
      </c>
      <c r="F237" s="88"/>
      <c r="G237" s="14" t="str">
        <f t="shared" si="73"/>
        <v>(2, 3]</v>
      </c>
      <c r="H237" s="86">
        <v>1</v>
      </c>
      <c r="I237" s="29">
        <f t="shared" si="74"/>
        <v>0</v>
      </c>
      <c r="J237" s="29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7">
        <v>2</v>
      </c>
      <c r="P237" s="47">
        <v>3</v>
      </c>
      <c r="Q237" s="100">
        <f t="shared" si="79"/>
        <v>0</v>
      </c>
      <c r="R237" s="100">
        <v>6.8970000000000004E-3</v>
      </c>
      <c r="T237" s="100"/>
      <c r="U237" s="52">
        <f t="shared" si="80"/>
        <v>0</v>
      </c>
    </row>
    <row r="238" spans="1:21" x14ac:dyDescent="0.3">
      <c r="A238" s="14" t="str">
        <f t="shared" si="70"/>
        <v>(3, 4]</v>
      </c>
      <c r="B238" s="110"/>
      <c r="C238" s="110"/>
      <c r="D238" s="29">
        <f t="shared" si="71"/>
        <v>0</v>
      </c>
      <c r="E238" s="90">
        <f t="shared" si="72"/>
        <v>0</v>
      </c>
      <c r="F238" s="88"/>
      <c r="G238" s="14" t="str">
        <f t="shared" si="73"/>
        <v>(3, 4]</v>
      </c>
      <c r="H238" s="86">
        <v>1</v>
      </c>
      <c r="I238" s="29">
        <f t="shared" si="74"/>
        <v>0</v>
      </c>
      <c r="J238" s="29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7">
        <v>3</v>
      </c>
      <c r="P238" s="47">
        <v>4</v>
      </c>
      <c r="Q238" s="100">
        <f t="shared" si="79"/>
        <v>0</v>
      </c>
      <c r="R238" s="100">
        <v>6.8970000000000004E-3</v>
      </c>
      <c r="T238" s="100"/>
      <c r="U238" s="52">
        <f t="shared" si="80"/>
        <v>0</v>
      </c>
    </row>
    <row r="239" spans="1:21" x14ac:dyDescent="0.3">
      <c r="A239" s="14" t="str">
        <f t="shared" si="70"/>
        <v>(4, 5]</v>
      </c>
      <c r="B239" s="110"/>
      <c r="C239" s="110"/>
      <c r="D239" s="29">
        <f t="shared" si="71"/>
        <v>0</v>
      </c>
      <c r="E239" s="90">
        <f t="shared" si="72"/>
        <v>0</v>
      </c>
      <c r="F239" s="88"/>
      <c r="G239" s="14" t="str">
        <f t="shared" si="73"/>
        <v>(4, 5]</v>
      </c>
      <c r="H239" s="86">
        <v>1</v>
      </c>
      <c r="I239" s="29">
        <f t="shared" si="74"/>
        <v>0</v>
      </c>
      <c r="J239" s="29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7">
        <v>4</v>
      </c>
      <c r="P239" s="47">
        <v>5</v>
      </c>
      <c r="Q239" s="100">
        <f t="shared" si="79"/>
        <v>0</v>
      </c>
      <c r="R239" s="100">
        <v>6.8970000000000004E-3</v>
      </c>
      <c r="T239" s="100"/>
      <c r="U239" s="52">
        <f t="shared" si="80"/>
        <v>0</v>
      </c>
    </row>
    <row r="240" spans="1:21" x14ac:dyDescent="0.3">
      <c r="A240" s="14" t="str">
        <f t="shared" si="70"/>
        <v>(5, 6]</v>
      </c>
      <c r="B240" s="110"/>
      <c r="C240" s="110"/>
      <c r="D240" s="29">
        <f t="shared" si="71"/>
        <v>0</v>
      </c>
      <c r="E240" s="90">
        <f t="shared" si="72"/>
        <v>0</v>
      </c>
      <c r="F240" s="88"/>
      <c r="G240" s="14" t="str">
        <f t="shared" si="73"/>
        <v>(5, 6]</v>
      </c>
      <c r="H240" s="86">
        <v>1</v>
      </c>
      <c r="I240" s="29">
        <f t="shared" si="74"/>
        <v>0</v>
      </c>
      <c r="J240" s="29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7">
        <v>5</v>
      </c>
      <c r="P240" s="47">
        <v>6</v>
      </c>
      <c r="Q240" s="100">
        <f t="shared" si="79"/>
        <v>0</v>
      </c>
      <c r="R240" s="100">
        <v>6.8970000000000004E-3</v>
      </c>
      <c r="T240" s="100"/>
      <c r="U240" s="52">
        <f t="shared" si="80"/>
        <v>0</v>
      </c>
    </row>
    <row r="241" spans="1:21" x14ac:dyDescent="0.3">
      <c r="A241" s="14" t="str">
        <f t="shared" si="70"/>
        <v>(6, 7]</v>
      </c>
      <c r="B241" s="110"/>
      <c r="C241" s="110"/>
      <c r="D241" s="29">
        <f t="shared" si="71"/>
        <v>0</v>
      </c>
      <c r="E241" s="90">
        <f t="shared" si="72"/>
        <v>0</v>
      </c>
      <c r="F241" s="88"/>
      <c r="G241" s="14" t="str">
        <f t="shared" si="73"/>
        <v>(6, 7]</v>
      </c>
      <c r="H241" s="86">
        <v>1</v>
      </c>
      <c r="I241" s="29">
        <f t="shared" si="74"/>
        <v>0</v>
      </c>
      <c r="J241" s="29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7">
        <v>6</v>
      </c>
      <c r="P241" s="47">
        <v>7</v>
      </c>
      <c r="Q241" s="100">
        <f t="shared" si="79"/>
        <v>0</v>
      </c>
      <c r="R241" s="100">
        <v>2.069E-2</v>
      </c>
      <c r="T241" s="100"/>
      <c r="U241" s="52">
        <f t="shared" si="80"/>
        <v>0</v>
      </c>
    </row>
    <row r="242" spans="1:21" x14ac:dyDescent="0.3">
      <c r="A242" s="14" t="str">
        <f t="shared" si="70"/>
        <v>(7, 8]</v>
      </c>
      <c r="B242" s="110"/>
      <c r="C242" s="110"/>
      <c r="D242" s="29">
        <f t="shared" si="71"/>
        <v>0</v>
      </c>
      <c r="E242" s="90">
        <f t="shared" si="72"/>
        <v>0</v>
      </c>
      <c r="F242" s="88"/>
      <c r="G242" s="14" t="str">
        <f t="shared" si="73"/>
        <v>(7, 8]</v>
      </c>
      <c r="H242" s="86">
        <v>1</v>
      </c>
      <c r="I242" s="29">
        <f t="shared" si="74"/>
        <v>0</v>
      </c>
      <c r="J242" s="29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7">
        <v>7</v>
      </c>
      <c r="P242" s="47">
        <v>8</v>
      </c>
      <c r="Q242" s="100">
        <f t="shared" si="79"/>
        <v>0</v>
      </c>
      <c r="R242" s="100">
        <v>0</v>
      </c>
      <c r="T242" s="100"/>
      <c r="U242" s="52">
        <f t="shared" si="80"/>
        <v>0</v>
      </c>
    </row>
    <row r="243" spans="1:21" x14ac:dyDescent="0.3">
      <c r="A243" s="14" t="str">
        <f t="shared" si="70"/>
        <v>(8, 9]</v>
      </c>
      <c r="B243" s="110"/>
      <c r="C243" s="110"/>
      <c r="D243" s="29">
        <f t="shared" si="71"/>
        <v>0</v>
      </c>
      <c r="E243" s="90">
        <f t="shared" si="72"/>
        <v>0</v>
      </c>
      <c r="F243" s="88"/>
      <c r="G243" s="14" t="str">
        <f t="shared" si="73"/>
        <v>(8, 9]</v>
      </c>
      <c r="H243" s="86">
        <v>1</v>
      </c>
      <c r="I243" s="29">
        <f t="shared" si="74"/>
        <v>0</v>
      </c>
      <c r="J243" s="29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7">
        <v>8</v>
      </c>
      <c r="P243" s="47">
        <v>9</v>
      </c>
      <c r="Q243" s="100">
        <f t="shared" si="79"/>
        <v>0</v>
      </c>
      <c r="R243" s="100">
        <v>6.8970000000000004E-3</v>
      </c>
      <c r="T243" s="100"/>
      <c r="U243" s="52">
        <f t="shared" si="80"/>
        <v>0</v>
      </c>
    </row>
    <row r="244" spans="1:21" x14ac:dyDescent="0.3">
      <c r="A244" s="14" t="str">
        <f t="shared" si="70"/>
        <v>(9, 10]</v>
      </c>
      <c r="B244" s="110"/>
      <c r="C244" s="110"/>
      <c r="D244" s="29">
        <f t="shared" si="71"/>
        <v>0</v>
      </c>
      <c r="E244" s="90">
        <f t="shared" si="72"/>
        <v>0</v>
      </c>
      <c r="F244" s="88"/>
      <c r="G244" s="14" t="str">
        <f t="shared" si="73"/>
        <v>(9, 10]</v>
      </c>
      <c r="H244" s="86">
        <v>1</v>
      </c>
      <c r="I244" s="29">
        <f t="shared" si="74"/>
        <v>0</v>
      </c>
      <c r="J244" s="29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7">
        <v>9</v>
      </c>
      <c r="P244" s="47">
        <v>10</v>
      </c>
      <c r="Q244" s="100">
        <f t="shared" si="79"/>
        <v>0</v>
      </c>
      <c r="R244" s="100">
        <v>0</v>
      </c>
      <c r="T244" s="100"/>
      <c r="U244" s="52">
        <f t="shared" si="80"/>
        <v>0</v>
      </c>
    </row>
    <row r="245" spans="1:21" x14ac:dyDescent="0.3">
      <c r="A245" s="14" t="str">
        <f t="shared" si="70"/>
        <v>(10, 15]</v>
      </c>
      <c r="B245" s="110"/>
      <c r="C245" s="110"/>
      <c r="D245" s="29">
        <f t="shared" si="71"/>
        <v>0</v>
      </c>
      <c r="E245" s="90">
        <f t="shared" si="72"/>
        <v>0</v>
      </c>
      <c r="F245" s="88"/>
      <c r="G245" s="14" t="str">
        <f t="shared" si="73"/>
        <v>(10, 15]</v>
      </c>
      <c r="H245" s="86">
        <v>1</v>
      </c>
      <c r="I245" s="29">
        <f t="shared" si="74"/>
        <v>0</v>
      </c>
      <c r="J245" s="29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7">
        <v>10</v>
      </c>
      <c r="P245" s="47">
        <v>15</v>
      </c>
      <c r="Q245" s="100">
        <f t="shared" si="79"/>
        <v>0</v>
      </c>
      <c r="R245" s="100">
        <v>6.2068999999999999E-2</v>
      </c>
      <c r="T245" s="100"/>
      <c r="U245" s="52">
        <f t="shared" si="80"/>
        <v>0</v>
      </c>
    </row>
    <row r="246" spans="1:21" x14ac:dyDescent="0.3">
      <c r="A246" s="14" t="str">
        <f t="shared" si="70"/>
        <v>(15, 20]</v>
      </c>
      <c r="B246" s="110"/>
      <c r="C246" s="110"/>
      <c r="D246" s="29">
        <f t="shared" si="71"/>
        <v>0</v>
      </c>
      <c r="E246" s="90">
        <f t="shared" si="72"/>
        <v>0</v>
      </c>
      <c r="F246" s="88"/>
      <c r="G246" s="14" t="str">
        <f t="shared" si="73"/>
        <v>(15, 20]</v>
      </c>
      <c r="H246" s="86">
        <v>1</v>
      </c>
      <c r="I246" s="29">
        <f t="shared" si="74"/>
        <v>0</v>
      </c>
      <c r="J246" s="29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7">
        <v>15</v>
      </c>
      <c r="P246" s="47">
        <v>20</v>
      </c>
      <c r="Q246" s="100">
        <f t="shared" si="79"/>
        <v>0</v>
      </c>
      <c r="R246" s="100">
        <v>2.7585999999999999E-2</v>
      </c>
      <c r="T246" s="100"/>
      <c r="U246" s="52">
        <f t="shared" si="80"/>
        <v>0</v>
      </c>
    </row>
    <row r="247" spans="1:21" x14ac:dyDescent="0.3">
      <c r="A247" s="14" t="str">
        <f t="shared" si="70"/>
        <v>(20, 25]</v>
      </c>
      <c r="B247" s="110"/>
      <c r="C247" s="110"/>
      <c r="D247" s="29">
        <f t="shared" si="71"/>
        <v>0</v>
      </c>
      <c r="E247" s="90">
        <f t="shared" si="72"/>
        <v>0</v>
      </c>
      <c r="F247" s="88"/>
      <c r="G247" s="14" t="str">
        <f t="shared" si="73"/>
        <v>(20, 25]</v>
      </c>
      <c r="H247" s="86">
        <v>1</v>
      </c>
      <c r="I247" s="29">
        <f t="shared" si="74"/>
        <v>0</v>
      </c>
      <c r="J247" s="29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7">
        <v>20</v>
      </c>
      <c r="P247" s="47">
        <v>25</v>
      </c>
      <c r="Q247" s="100">
        <f t="shared" si="79"/>
        <v>0</v>
      </c>
      <c r="R247" s="100">
        <v>2.069E-2</v>
      </c>
      <c r="T247" s="100"/>
      <c r="U247" s="52">
        <f t="shared" si="80"/>
        <v>0</v>
      </c>
    </row>
    <row r="248" spans="1:21" x14ac:dyDescent="0.3">
      <c r="A248" s="14" t="str">
        <f t="shared" si="70"/>
        <v>(25, 30]</v>
      </c>
      <c r="B248" s="110"/>
      <c r="C248" s="110"/>
      <c r="D248" s="29">
        <f t="shared" si="71"/>
        <v>0</v>
      </c>
      <c r="E248" s="90">
        <f t="shared" si="72"/>
        <v>0</v>
      </c>
      <c r="F248" s="88"/>
      <c r="G248" s="14" t="str">
        <f t="shared" si="73"/>
        <v>(25, 30]</v>
      </c>
      <c r="H248" s="86">
        <v>1</v>
      </c>
      <c r="I248" s="29">
        <f t="shared" si="74"/>
        <v>0</v>
      </c>
      <c r="J248" s="29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7">
        <v>25</v>
      </c>
      <c r="P248" s="47">
        <v>30</v>
      </c>
      <c r="Q248" s="100">
        <f t="shared" si="79"/>
        <v>0</v>
      </c>
      <c r="R248" s="100">
        <v>8.9654999999999999E-2</v>
      </c>
      <c r="T248" s="100"/>
      <c r="U248" s="52">
        <f t="shared" si="80"/>
        <v>0</v>
      </c>
    </row>
    <row r="249" spans="1:21" x14ac:dyDescent="0.3">
      <c r="A249" s="14" t="str">
        <f t="shared" si="70"/>
        <v>(30, 35]</v>
      </c>
      <c r="B249" s="110"/>
      <c r="C249" s="110"/>
      <c r="D249" s="29">
        <f t="shared" si="71"/>
        <v>0</v>
      </c>
      <c r="E249" s="90">
        <f t="shared" si="72"/>
        <v>0</v>
      </c>
      <c r="F249" s="88"/>
      <c r="G249" s="14" t="str">
        <f t="shared" si="73"/>
        <v>(30, 35]</v>
      </c>
      <c r="H249" s="86">
        <v>1</v>
      </c>
      <c r="I249" s="29">
        <f t="shared" si="74"/>
        <v>0</v>
      </c>
      <c r="J249" s="29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7">
        <v>30</v>
      </c>
      <c r="P249" s="47">
        <v>35</v>
      </c>
      <c r="Q249" s="100">
        <f t="shared" si="79"/>
        <v>0</v>
      </c>
      <c r="R249" s="100">
        <v>3.4483E-2</v>
      </c>
      <c r="T249" s="100"/>
      <c r="U249" s="52">
        <f t="shared" si="80"/>
        <v>0</v>
      </c>
    </row>
    <row r="250" spans="1:21" x14ac:dyDescent="0.3">
      <c r="A250" s="14" t="str">
        <f t="shared" si="70"/>
        <v>(35, 40]</v>
      </c>
      <c r="B250" s="110"/>
      <c r="C250" s="110"/>
      <c r="D250" s="29">
        <f t="shared" si="71"/>
        <v>0</v>
      </c>
      <c r="E250" s="90">
        <f t="shared" si="72"/>
        <v>0</v>
      </c>
      <c r="F250" s="88"/>
      <c r="G250" s="14" t="str">
        <f t="shared" si="73"/>
        <v>(35, 40]</v>
      </c>
      <c r="H250" s="86">
        <v>1</v>
      </c>
      <c r="I250" s="29">
        <f t="shared" si="74"/>
        <v>0</v>
      </c>
      <c r="J250" s="29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7">
        <v>35</v>
      </c>
      <c r="P250" s="47">
        <v>40</v>
      </c>
      <c r="Q250" s="100">
        <f t="shared" si="79"/>
        <v>0</v>
      </c>
      <c r="R250" s="100">
        <v>6.2068999999999999E-2</v>
      </c>
      <c r="T250" s="100"/>
      <c r="U250" s="52">
        <f t="shared" si="80"/>
        <v>0</v>
      </c>
    </row>
    <row r="251" spans="1:21" x14ac:dyDescent="0.3">
      <c r="A251" s="14" t="str">
        <f t="shared" si="70"/>
        <v>(40, 45]</v>
      </c>
      <c r="B251" s="110"/>
      <c r="C251" s="110"/>
      <c r="D251" s="29">
        <f t="shared" si="71"/>
        <v>0</v>
      </c>
      <c r="E251" s="90">
        <f t="shared" si="72"/>
        <v>0</v>
      </c>
      <c r="F251" s="88"/>
      <c r="G251" s="14" t="str">
        <f t="shared" si="73"/>
        <v>(40, 45]</v>
      </c>
      <c r="H251" s="86">
        <v>1</v>
      </c>
      <c r="I251" s="29">
        <f t="shared" si="74"/>
        <v>0</v>
      </c>
      <c r="J251" s="29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7">
        <v>40</v>
      </c>
      <c r="P251" s="47">
        <v>45</v>
      </c>
      <c r="Q251" s="100">
        <f t="shared" si="79"/>
        <v>0</v>
      </c>
      <c r="R251" s="100">
        <v>5.5171999999999999E-2</v>
      </c>
      <c r="T251" s="100"/>
      <c r="U251" s="52">
        <f t="shared" si="80"/>
        <v>0</v>
      </c>
    </row>
    <row r="252" spans="1:21" x14ac:dyDescent="0.3">
      <c r="A252" s="14" t="str">
        <f t="shared" si="70"/>
        <v>(45, 50]</v>
      </c>
      <c r="B252" s="110"/>
      <c r="C252" s="110"/>
      <c r="D252" s="29">
        <f t="shared" si="71"/>
        <v>0</v>
      </c>
      <c r="E252" s="90">
        <f t="shared" si="72"/>
        <v>0</v>
      </c>
      <c r="F252" s="88"/>
      <c r="G252" s="14" t="str">
        <f t="shared" si="73"/>
        <v>(45, 50]</v>
      </c>
      <c r="H252" s="86">
        <v>1</v>
      </c>
      <c r="I252" s="29">
        <f t="shared" si="74"/>
        <v>0</v>
      </c>
      <c r="J252" s="29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7">
        <v>45</v>
      </c>
      <c r="P252" s="47">
        <v>50</v>
      </c>
      <c r="Q252" s="100">
        <f t="shared" si="79"/>
        <v>0</v>
      </c>
      <c r="R252" s="100">
        <v>4.8275999999999999E-2</v>
      </c>
      <c r="T252" s="100"/>
      <c r="U252" s="52">
        <f t="shared" si="80"/>
        <v>0</v>
      </c>
    </row>
    <row r="253" spans="1:21" x14ac:dyDescent="0.3">
      <c r="A253" s="14" t="str">
        <f t="shared" si="70"/>
        <v>(50, 60]</v>
      </c>
      <c r="B253" s="110"/>
      <c r="C253" s="110"/>
      <c r="D253" s="29">
        <f t="shared" si="71"/>
        <v>0</v>
      </c>
      <c r="E253" s="90">
        <f t="shared" si="72"/>
        <v>0</v>
      </c>
      <c r="F253" s="88"/>
      <c r="G253" s="14" t="str">
        <f t="shared" si="73"/>
        <v>(50, 60]</v>
      </c>
      <c r="H253" s="86">
        <v>1</v>
      </c>
      <c r="I253" s="29">
        <f t="shared" si="74"/>
        <v>0</v>
      </c>
      <c r="J253" s="29">
        <f t="shared" si="75"/>
        <v>0</v>
      </c>
      <c r="K253" s="87">
        <f t="shared" si="76"/>
        <v>0</v>
      </c>
      <c r="L253" s="100">
        <f t="shared" si="77"/>
        <v>0</v>
      </c>
      <c r="M253" s="100">
        <f t="shared" si="78"/>
        <v>0</v>
      </c>
      <c r="N253" s="88"/>
      <c r="O253" s="47">
        <v>50</v>
      </c>
      <c r="P253" s="47">
        <v>60</v>
      </c>
      <c r="Q253" s="100">
        <f t="shared" si="79"/>
        <v>0</v>
      </c>
      <c r="R253" s="100">
        <v>4.8275999999999999E-2</v>
      </c>
      <c r="T253" s="100"/>
      <c r="U253" s="52">
        <f t="shared" si="80"/>
        <v>0</v>
      </c>
    </row>
    <row r="254" spans="1:21" x14ac:dyDescent="0.3">
      <c r="A254" s="14" t="str">
        <f t="shared" si="70"/>
        <v>(60, 70]</v>
      </c>
      <c r="B254" s="110"/>
      <c r="C254" s="110"/>
      <c r="D254" s="29">
        <f t="shared" si="71"/>
        <v>0</v>
      </c>
      <c r="E254" s="90">
        <f t="shared" si="72"/>
        <v>0</v>
      </c>
      <c r="F254" s="88"/>
      <c r="G254" s="14" t="str">
        <f t="shared" si="73"/>
        <v>(60, 70]</v>
      </c>
      <c r="H254" s="86">
        <v>1</v>
      </c>
      <c r="I254" s="29">
        <f t="shared" si="74"/>
        <v>0</v>
      </c>
      <c r="J254" s="29">
        <f t="shared" si="75"/>
        <v>0</v>
      </c>
      <c r="K254" s="87">
        <f t="shared" si="76"/>
        <v>0</v>
      </c>
      <c r="L254" s="100">
        <f t="shared" si="77"/>
        <v>0</v>
      </c>
      <c r="M254" s="100">
        <f t="shared" si="78"/>
        <v>0</v>
      </c>
      <c r="N254" s="88"/>
      <c r="O254" s="47">
        <v>60</v>
      </c>
      <c r="P254" s="47">
        <v>70</v>
      </c>
      <c r="Q254" s="100">
        <f t="shared" si="79"/>
        <v>0</v>
      </c>
      <c r="R254" s="100">
        <v>6.8966E-2</v>
      </c>
      <c r="T254" s="100"/>
      <c r="U254" s="52">
        <f t="shared" si="80"/>
        <v>0</v>
      </c>
    </row>
    <row r="255" spans="1:21" x14ac:dyDescent="0.3">
      <c r="A255" s="14" t="str">
        <f t="shared" si="70"/>
        <v>(70, 80]</v>
      </c>
      <c r="B255" s="110"/>
      <c r="C255" s="110"/>
      <c r="D255" s="29">
        <f t="shared" si="71"/>
        <v>0</v>
      </c>
      <c r="E255" s="90">
        <f t="shared" si="72"/>
        <v>0</v>
      </c>
      <c r="F255" s="88"/>
      <c r="G255" s="14" t="str">
        <f t="shared" si="73"/>
        <v>(70, 80]</v>
      </c>
      <c r="H255" s="86">
        <v>1</v>
      </c>
      <c r="I255" s="29">
        <f t="shared" si="74"/>
        <v>0</v>
      </c>
      <c r="J255" s="29">
        <f t="shared" si="75"/>
        <v>0</v>
      </c>
      <c r="K255" s="87">
        <f t="shared" si="76"/>
        <v>0</v>
      </c>
      <c r="L255" s="100">
        <f t="shared" si="77"/>
        <v>0</v>
      </c>
      <c r="M255" s="100">
        <f t="shared" si="78"/>
        <v>0</v>
      </c>
      <c r="N255" s="88"/>
      <c r="O255" s="47">
        <v>70</v>
      </c>
      <c r="P255" s="47">
        <v>80</v>
      </c>
      <c r="Q255" s="100">
        <f t="shared" si="79"/>
        <v>0</v>
      </c>
      <c r="R255" s="100">
        <v>3.4483E-2</v>
      </c>
      <c r="T255" s="100"/>
      <c r="U255" s="52">
        <f t="shared" si="80"/>
        <v>0</v>
      </c>
    </row>
    <row r="256" spans="1:21" x14ac:dyDescent="0.3">
      <c r="A256" s="14" t="str">
        <f t="shared" si="70"/>
        <v>(80, 90]</v>
      </c>
      <c r="B256" s="110"/>
      <c r="C256" s="110"/>
      <c r="D256" s="29">
        <f t="shared" si="71"/>
        <v>0</v>
      </c>
      <c r="E256" s="90">
        <f t="shared" si="72"/>
        <v>0</v>
      </c>
      <c r="F256" s="88"/>
      <c r="G256" s="14" t="str">
        <f t="shared" si="73"/>
        <v>(80, 90]</v>
      </c>
      <c r="H256" s="86">
        <v>1</v>
      </c>
      <c r="I256" s="29">
        <f t="shared" si="74"/>
        <v>0</v>
      </c>
      <c r="J256" s="29">
        <f t="shared" si="75"/>
        <v>0</v>
      </c>
      <c r="K256" s="87">
        <f t="shared" si="76"/>
        <v>0</v>
      </c>
      <c r="L256" s="100">
        <f t="shared" si="77"/>
        <v>0</v>
      </c>
      <c r="M256" s="100">
        <f t="shared" si="78"/>
        <v>0</v>
      </c>
      <c r="N256" s="88"/>
      <c r="O256" s="47">
        <v>80</v>
      </c>
      <c r="P256" s="47">
        <v>90</v>
      </c>
      <c r="Q256" s="100">
        <f t="shared" si="79"/>
        <v>0</v>
      </c>
      <c r="R256" s="100">
        <v>6.8966E-2</v>
      </c>
      <c r="T256" s="100"/>
      <c r="U256" s="52">
        <f t="shared" si="80"/>
        <v>0</v>
      </c>
    </row>
    <row r="257" spans="1:21" x14ac:dyDescent="0.3">
      <c r="A257" s="14" t="str">
        <f t="shared" si="70"/>
        <v>(90, 100]</v>
      </c>
      <c r="B257" s="110"/>
      <c r="C257" s="110"/>
      <c r="D257" s="29">
        <f t="shared" si="71"/>
        <v>0</v>
      </c>
      <c r="E257" s="90">
        <f t="shared" si="72"/>
        <v>0</v>
      </c>
      <c r="F257" s="88"/>
      <c r="G257" s="14" t="str">
        <f t="shared" si="73"/>
        <v>(90, 100]</v>
      </c>
      <c r="H257" s="86">
        <v>1</v>
      </c>
      <c r="I257" s="29">
        <f t="shared" si="74"/>
        <v>0</v>
      </c>
      <c r="J257" s="29">
        <f t="shared" si="75"/>
        <v>0</v>
      </c>
      <c r="K257" s="87">
        <f t="shared" si="76"/>
        <v>0</v>
      </c>
      <c r="L257" s="100">
        <f t="shared" si="77"/>
        <v>0</v>
      </c>
      <c r="M257" s="100">
        <f t="shared" si="78"/>
        <v>0</v>
      </c>
      <c r="N257" s="88"/>
      <c r="O257" s="47">
        <v>90</v>
      </c>
      <c r="P257" s="47">
        <v>100</v>
      </c>
      <c r="Q257" s="100">
        <f t="shared" si="79"/>
        <v>0</v>
      </c>
      <c r="R257" s="100">
        <v>2.7585999999999999E-2</v>
      </c>
      <c r="T257" s="100"/>
      <c r="U257" s="52">
        <f t="shared" si="80"/>
        <v>0</v>
      </c>
    </row>
    <row r="258" spans="1:21" x14ac:dyDescent="0.3">
      <c r="A258" s="14" t="str">
        <f t="shared" si="70"/>
        <v>(100, 120]</v>
      </c>
      <c r="B258" s="110"/>
      <c r="C258" s="110"/>
      <c r="D258" s="29">
        <f t="shared" si="71"/>
        <v>0</v>
      </c>
      <c r="E258" s="90">
        <f t="shared" si="72"/>
        <v>0</v>
      </c>
      <c r="F258" s="88"/>
      <c r="G258" s="14" t="str">
        <f t="shared" si="73"/>
        <v>(100, 120]</v>
      </c>
      <c r="H258" s="86">
        <v>1</v>
      </c>
      <c r="I258" s="29">
        <f t="shared" si="74"/>
        <v>0</v>
      </c>
      <c r="J258" s="29">
        <f t="shared" si="75"/>
        <v>0</v>
      </c>
      <c r="K258" s="87">
        <f t="shared" si="76"/>
        <v>0</v>
      </c>
      <c r="L258" s="100">
        <f t="shared" si="77"/>
        <v>0</v>
      </c>
      <c r="M258" s="100">
        <f t="shared" si="78"/>
        <v>0</v>
      </c>
      <c r="N258" s="88"/>
      <c r="O258" s="47">
        <v>100</v>
      </c>
      <c r="P258" s="47">
        <v>120</v>
      </c>
      <c r="Q258" s="100">
        <f t="shared" si="79"/>
        <v>0</v>
      </c>
      <c r="R258" s="100">
        <v>6.8966E-2</v>
      </c>
      <c r="T258" s="100"/>
      <c r="U258" s="52">
        <f t="shared" si="80"/>
        <v>0</v>
      </c>
    </row>
    <row r="259" spans="1:21" x14ac:dyDescent="0.3">
      <c r="A259" s="14" t="str">
        <f t="shared" si="70"/>
        <v>(120, 140]</v>
      </c>
      <c r="B259" s="110"/>
      <c r="C259" s="110"/>
      <c r="D259" s="29">
        <f t="shared" si="71"/>
        <v>0</v>
      </c>
      <c r="E259" s="90">
        <f t="shared" si="72"/>
        <v>0</v>
      </c>
      <c r="F259" s="88"/>
      <c r="G259" s="14" t="str">
        <f t="shared" si="73"/>
        <v>(120, 140]</v>
      </c>
      <c r="H259" s="86">
        <v>1</v>
      </c>
      <c r="I259" s="29">
        <f t="shared" si="74"/>
        <v>0</v>
      </c>
      <c r="J259" s="29">
        <f t="shared" si="75"/>
        <v>0</v>
      </c>
      <c r="K259" s="87">
        <f t="shared" si="76"/>
        <v>0</v>
      </c>
      <c r="L259" s="100">
        <f t="shared" si="77"/>
        <v>0</v>
      </c>
      <c r="M259" s="100">
        <f t="shared" si="78"/>
        <v>0</v>
      </c>
      <c r="N259" s="88"/>
      <c r="O259" s="47">
        <v>120</v>
      </c>
      <c r="P259" s="47">
        <v>140</v>
      </c>
      <c r="Q259" s="100">
        <f t="shared" si="79"/>
        <v>0</v>
      </c>
      <c r="R259" s="100">
        <v>2.7585999999999999E-2</v>
      </c>
      <c r="T259" s="100"/>
      <c r="U259" s="52">
        <f t="shared" si="80"/>
        <v>0</v>
      </c>
    </row>
    <row r="260" spans="1:21" x14ac:dyDescent="0.3">
      <c r="A260" s="14" t="str">
        <f t="shared" si="70"/>
        <v>(140, 160]</v>
      </c>
      <c r="B260" s="110"/>
      <c r="C260" s="110"/>
      <c r="D260" s="29">
        <f t="shared" si="71"/>
        <v>0</v>
      </c>
      <c r="E260" s="90">
        <f t="shared" si="72"/>
        <v>0</v>
      </c>
      <c r="F260" s="88"/>
      <c r="G260" s="14" t="str">
        <f t="shared" si="73"/>
        <v>(140, 160]</v>
      </c>
      <c r="H260" s="86">
        <v>1</v>
      </c>
      <c r="I260" s="29">
        <f t="shared" si="74"/>
        <v>0</v>
      </c>
      <c r="J260" s="29">
        <f t="shared" si="75"/>
        <v>0</v>
      </c>
      <c r="K260" s="87">
        <f t="shared" si="76"/>
        <v>0</v>
      </c>
      <c r="L260" s="100">
        <f t="shared" si="77"/>
        <v>0</v>
      </c>
      <c r="M260" s="100">
        <f t="shared" si="78"/>
        <v>0</v>
      </c>
      <c r="N260" s="88"/>
      <c r="O260" s="47">
        <v>140</v>
      </c>
      <c r="P260" s="47">
        <v>160</v>
      </c>
      <c r="Q260" s="100">
        <f t="shared" si="79"/>
        <v>0</v>
      </c>
      <c r="R260" s="100">
        <v>4.8275999999999999E-2</v>
      </c>
      <c r="T260" s="100"/>
      <c r="U260" s="52">
        <f t="shared" si="80"/>
        <v>0</v>
      </c>
    </row>
    <row r="261" spans="1:21" x14ac:dyDescent="0.3">
      <c r="A261" s="14" t="str">
        <f t="shared" si="70"/>
        <v>(160, 180]</v>
      </c>
      <c r="B261" s="110"/>
      <c r="C261" s="110"/>
      <c r="D261" s="29">
        <f t="shared" si="71"/>
        <v>0</v>
      </c>
      <c r="E261" s="90">
        <f t="shared" si="72"/>
        <v>0</v>
      </c>
      <c r="F261" s="88"/>
      <c r="G261" s="14" t="str">
        <f t="shared" si="73"/>
        <v>(160, 180]</v>
      </c>
      <c r="H261" s="86">
        <v>1</v>
      </c>
      <c r="I261" s="29">
        <f t="shared" si="74"/>
        <v>0</v>
      </c>
      <c r="J261" s="29">
        <f t="shared" si="75"/>
        <v>0</v>
      </c>
      <c r="K261" s="87">
        <f t="shared" si="76"/>
        <v>0</v>
      </c>
      <c r="L261" s="100">
        <f t="shared" si="77"/>
        <v>0</v>
      </c>
      <c r="M261" s="100">
        <f t="shared" si="78"/>
        <v>0</v>
      </c>
      <c r="N261" s="88"/>
      <c r="O261" s="47">
        <v>160</v>
      </c>
      <c r="P261" s="47">
        <v>180</v>
      </c>
      <c r="Q261" s="100">
        <f t="shared" si="79"/>
        <v>0</v>
      </c>
      <c r="R261" s="100">
        <v>2.7585999999999999E-2</v>
      </c>
      <c r="T261" s="100"/>
      <c r="U261" s="52">
        <f t="shared" si="80"/>
        <v>0</v>
      </c>
    </row>
    <row r="262" spans="1:21" x14ac:dyDescent="0.3">
      <c r="A262" s="14" t="str">
        <f t="shared" si="70"/>
        <v>(180, 200]</v>
      </c>
      <c r="B262" s="110"/>
      <c r="C262" s="110"/>
      <c r="D262" s="29">
        <f t="shared" si="71"/>
        <v>0</v>
      </c>
      <c r="E262" s="90">
        <f t="shared" si="72"/>
        <v>0</v>
      </c>
      <c r="F262" s="88"/>
      <c r="G262" s="14" t="str">
        <f t="shared" si="73"/>
        <v>(180, 200]</v>
      </c>
      <c r="H262" s="86">
        <v>1</v>
      </c>
      <c r="I262" s="29">
        <f t="shared" si="74"/>
        <v>0</v>
      </c>
      <c r="J262" s="29">
        <f t="shared" si="75"/>
        <v>0</v>
      </c>
      <c r="K262" s="87">
        <f t="shared" si="76"/>
        <v>0</v>
      </c>
      <c r="L262" s="100">
        <f t="shared" si="77"/>
        <v>0</v>
      </c>
      <c r="M262" s="100">
        <f t="shared" si="78"/>
        <v>0</v>
      </c>
      <c r="N262" s="88"/>
      <c r="O262" s="47">
        <v>180</v>
      </c>
      <c r="P262" s="47">
        <v>200</v>
      </c>
      <c r="Q262" s="100">
        <f t="shared" si="79"/>
        <v>0</v>
      </c>
      <c r="R262" s="100">
        <v>3.4483E-2</v>
      </c>
      <c r="T262" s="100"/>
      <c r="U262" s="52">
        <f t="shared" si="80"/>
        <v>0</v>
      </c>
    </row>
    <row r="263" spans="1:21" x14ac:dyDescent="0.3">
      <c r="A263" s="14" t="str">
        <f t="shared" si="70"/>
        <v>(200, 250]</v>
      </c>
      <c r="B263" s="110"/>
      <c r="C263" s="110"/>
      <c r="D263" s="29">
        <f t="shared" si="71"/>
        <v>0</v>
      </c>
      <c r="E263" s="90">
        <f t="shared" si="72"/>
        <v>0</v>
      </c>
      <c r="F263" s="88"/>
      <c r="G263" s="14" t="str">
        <f t="shared" si="73"/>
        <v>(200, 250]</v>
      </c>
      <c r="H263" s="86">
        <v>1</v>
      </c>
      <c r="I263" s="29">
        <f t="shared" si="74"/>
        <v>0</v>
      </c>
      <c r="J263" s="29">
        <f t="shared" si="75"/>
        <v>0</v>
      </c>
      <c r="K263" s="87">
        <f t="shared" si="76"/>
        <v>0</v>
      </c>
      <c r="L263" s="100">
        <f t="shared" si="77"/>
        <v>0</v>
      </c>
      <c r="M263" s="100">
        <f t="shared" si="78"/>
        <v>0</v>
      </c>
      <c r="N263" s="88"/>
      <c r="O263" s="47">
        <v>200</v>
      </c>
      <c r="P263" s="47">
        <v>250</v>
      </c>
      <c r="Q263" s="100">
        <f t="shared" si="79"/>
        <v>0</v>
      </c>
      <c r="R263" s="100">
        <v>1.3793E-2</v>
      </c>
      <c r="T263" s="100"/>
      <c r="U263" s="52">
        <f t="shared" si="80"/>
        <v>0</v>
      </c>
    </row>
    <row r="264" spans="1:21" x14ac:dyDescent="0.3">
      <c r="A264" s="14" t="str">
        <f t="shared" si="70"/>
        <v>(250, 300]</v>
      </c>
      <c r="B264" s="110"/>
      <c r="C264" s="110"/>
      <c r="D264" s="29">
        <f t="shared" si="71"/>
        <v>0</v>
      </c>
      <c r="E264" s="90">
        <f t="shared" si="72"/>
        <v>0</v>
      </c>
      <c r="F264" s="88"/>
      <c r="G264" s="14" t="str">
        <f t="shared" si="73"/>
        <v>(250, 300]</v>
      </c>
      <c r="H264" s="86">
        <v>1</v>
      </c>
      <c r="I264" s="29">
        <f t="shared" si="74"/>
        <v>0</v>
      </c>
      <c r="J264" s="29">
        <f t="shared" si="75"/>
        <v>0</v>
      </c>
      <c r="K264" s="87">
        <f t="shared" si="76"/>
        <v>0</v>
      </c>
      <c r="L264" s="100">
        <f t="shared" si="77"/>
        <v>0</v>
      </c>
      <c r="M264" s="100">
        <f t="shared" si="78"/>
        <v>0</v>
      </c>
      <c r="N264" s="88"/>
      <c r="O264" s="47">
        <v>250</v>
      </c>
      <c r="P264" s="47">
        <v>300</v>
      </c>
      <c r="Q264" s="100">
        <f t="shared" si="79"/>
        <v>0</v>
      </c>
      <c r="R264" s="100">
        <v>1.3793E-2</v>
      </c>
      <c r="T264" s="100"/>
      <c r="U264" s="52">
        <f t="shared" si="80"/>
        <v>0</v>
      </c>
    </row>
    <row r="265" spans="1:21" x14ac:dyDescent="0.3">
      <c r="A265" s="14" t="str">
        <f t="shared" si="70"/>
        <v>(300, 350]</v>
      </c>
      <c r="B265" s="110"/>
      <c r="C265" s="110"/>
      <c r="D265" s="29">
        <f t="shared" si="71"/>
        <v>0</v>
      </c>
      <c r="E265" s="90">
        <f t="shared" si="72"/>
        <v>0</v>
      </c>
      <c r="F265" s="88"/>
      <c r="G265" s="14" t="str">
        <f t="shared" si="73"/>
        <v>(300, 350]</v>
      </c>
      <c r="H265" s="86">
        <v>1</v>
      </c>
      <c r="I265" s="29">
        <f t="shared" si="74"/>
        <v>0</v>
      </c>
      <c r="J265" s="29">
        <f t="shared" si="75"/>
        <v>0</v>
      </c>
      <c r="K265" s="87">
        <f t="shared" si="76"/>
        <v>0</v>
      </c>
      <c r="L265" s="100">
        <f t="shared" si="77"/>
        <v>0</v>
      </c>
      <c r="M265" s="100">
        <f t="shared" si="78"/>
        <v>0</v>
      </c>
      <c r="N265" s="88"/>
      <c r="O265" s="47">
        <v>300</v>
      </c>
      <c r="P265" s="47">
        <v>350</v>
      </c>
      <c r="Q265" s="100">
        <f t="shared" si="79"/>
        <v>0</v>
      </c>
      <c r="R265" s="100">
        <v>6.8970000000000004E-3</v>
      </c>
      <c r="T265" s="100"/>
      <c r="U265" s="52">
        <f t="shared" si="80"/>
        <v>0</v>
      </c>
    </row>
    <row r="266" spans="1:21" x14ac:dyDescent="0.3">
      <c r="A266" s="14" t="str">
        <f t="shared" ref="A266:A297" si="81">"("&amp;$O266&amp;", "&amp;$P266&amp;"]"</f>
        <v>(350, 400]</v>
      </c>
      <c r="B266" s="110"/>
      <c r="C266" s="110"/>
      <c r="D266" s="29">
        <f t="shared" ref="D266:D297" si="82">IFERROR(B266/SUM($B$234:$B$297),0)</f>
        <v>0</v>
      </c>
      <c r="E266" s="90">
        <f t="shared" ref="E266:E297" si="83">IFERROR(C266/B266/$B$3,0)</f>
        <v>0</v>
      </c>
      <c r="F266" s="88"/>
      <c r="G266" s="14" t="str">
        <f t="shared" ref="G266:G297" si="84">"("&amp;$O266&amp;", "&amp;$P266&amp;"]"</f>
        <v>(350, 400]</v>
      </c>
      <c r="H266" s="86">
        <v>1</v>
      </c>
      <c r="I266" s="29">
        <f t="shared" ref="I266:I297" si="85">D266*H266</f>
        <v>0</v>
      </c>
      <c r="J266" s="29">
        <f t="shared" ref="J266:J297" si="86">IFERROR(I266/SUM($I$234:$I$297),0)</f>
        <v>0</v>
      </c>
      <c r="K266" s="87">
        <f t="shared" ref="K266:K297" si="87">INT(J266*$B$2)</f>
        <v>0</v>
      </c>
      <c r="L266" s="100">
        <f t="shared" ref="L266:L297" si="88">IFERROR(K266/SUM($K$234:$K$297),0)</f>
        <v>0</v>
      </c>
      <c r="M266" s="100">
        <f t="shared" ref="M266:M297" si="89">L266*E266</f>
        <v>0</v>
      </c>
      <c r="N266" s="88"/>
      <c r="O266" s="47">
        <v>350</v>
      </c>
      <c r="P266" s="47">
        <v>400</v>
      </c>
      <c r="Q266" s="100">
        <f t="shared" ref="Q266:Q297" si="90">L266</f>
        <v>0</v>
      </c>
      <c r="R266" s="100">
        <v>6.8970000000000004E-3</v>
      </c>
      <c r="T266" s="100"/>
      <c r="U266" s="52">
        <f t="shared" ref="U266:U297" si="91">IFERROR(ROUND(T266/L266,2),0)</f>
        <v>0</v>
      </c>
    </row>
    <row r="267" spans="1:21" x14ac:dyDescent="0.3">
      <c r="A267" s="14" t="str">
        <f t="shared" si="81"/>
        <v>(400, 450]</v>
      </c>
      <c r="B267" s="110"/>
      <c r="C267" s="110"/>
      <c r="D267" s="29">
        <f t="shared" si="82"/>
        <v>0</v>
      </c>
      <c r="E267" s="90">
        <f t="shared" si="83"/>
        <v>0</v>
      </c>
      <c r="F267" s="88"/>
      <c r="G267" s="14" t="str">
        <f t="shared" si="84"/>
        <v>(400, 450]</v>
      </c>
      <c r="H267" s="86">
        <v>1</v>
      </c>
      <c r="I267" s="29">
        <f t="shared" si="85"/>
        <v>0</v>
      </c>
      <c r="J267" s="29">
        <f t="shared" si="86"/>
        <v>0</v>
      </c>
      <c r="K267" s="87">
        <f t="shared" si="87"/>
        <v>0</v>
      </c>
      <c r="L267" s="100">
        <f t="shared" si="88"/>
        <v>0</v>
      </c>
      <c r="M267" s="100">
        <f t="shared" si="89"/>
        <v>0</v>
      </c>
      <c r="N267" s="88"/>
      <c r="O267" s="47">
        <v>400</v>
      </c>
      <c r="P267" s="47">
        <v>450</v>
      </c>
      <c r="Q267" s="100">
        <f t="shared" si="90"/>
        <v>0</v>
      </c>
      <c r="R267" s="100">
        <v>0</v>
      </c>
      <c r="T267" s="100"/>
      <c r="U267" s="52">
        <f t="shared" si="91"/>
        <v>0</v>
      </c>
    </row>
    <row r="268" spans="1:21" x14ac:dyDescent="0.3">
      <c r="A268" s="14" t="str">
        <f t="shared" si="81"/>
        <v>(450, 500]</v>
      </c>
      <c r="B268" s="110"/>
      <c r="C268" s="110"/>
      <c r="D268" s="29">
        <f t="shared" si="82"/>
        <v>0</v>
      </c>
      <c r="E268" s="90">
        <f t="shared" si="83"/>
        <v>0</v>
      </c>
      <c r="F268" s="88"/>
      <c r="G268" s="14" t="str">
        <f t="shared" si="84"/>
        <v>(450, 500]</v>
      </c>
      <c r="H268" s="86">
        <v>1</v>
      </c>
      <c r="I268" s="29">
        <f t="shared" si="85"/>
        <v>0</v>
      </c>
      <c r="J268" s="29">
        <f t="shared" si="86"/>
        <v>0</v>
      </c>
      <c r="K268" s="87">
        <f t="shared" si="87"/>
        <v>0</v>
      </c>
      <c r="L268" s="100">
        <f t="shared" si="88"/>
        <v>0</v>
      </c>
      <c r="M268" s="100">
        <f t="shared" si="89"/>
        <v>0</v>
      </c>
      <c r="N268" s="88"/>
      <c r="O268" s="47">
        <v>450</v>
      </c>
      <c r="P268" s="47">
        <v>500</v>
      </c>
      <c r="Q268" s="100">
        <f t="shared" si="90"/>
        <v>0</v>
      </c>
      <c r="R268" s="100">
        <v>0</v>
      </c>
      <c r="T268" s="100"/>
      <c r="U268" s="52">
        <f t="shared" si="91"/>
        <v>0</v>
      </c>
    </row>
    <row r="269" spans="1:21" x14ac:dyDescent="0.3">
      <c r="A269" s="14" t="str">
        <f t="shared" si="81"/>
        <v>(500, 550]</v>
      </c>
      <c r="B269" s="110"/>
      <c r="C269" s="110"/>
      <c r="D269" s="29">
        <f t="shared" si="82"/>
        <v>0</v>
      </c>
      <c r="E269" s="90">
        <f t="shared" si="83"/>
        <v>0</v>
      </c>
      <c r="F269" s="88"/>
      <c r="G269" s="14" t="str">
        <f t="shared" si="84"/>
        <v>(500, 550]</v>
      </c>
      <c r="H269" s="86">
        <v>1</v>
      </c>
      <c r="I269" s="29">
        <f t="shared" si="85"/>
        <v>0</v>
      </c>
      <c r="J269" s="29">
        <f t="shared" si="86"/>
        <v>0</v>
      </c>
      <c r="K269" s="87">
        <f t="shared" si="87"/>
        <v>0</v>
      </c>
      <c r="L269" s="100">
        <f t="shared" si="88"/>
        <v>0</v>
      </c>
      <c r="M269" s="100">
        <f t="shared" si="89"/>
        <v>0</v>
      </c>
      <c r="N269" s="88"/>
      <c r="O269" s="47">
        <v>500</v>
      </c>
      <c r="P269" s="47">
        <v>550</v>
      </c>
      <c r="Q269" s="100">
        <f t="shared" si="90"/>
        <v>0</v>
      </c>
      <c r="R269" s="100">
        <v>0</v>
      </c>
      <c r="T269" s="100"/>
      <c r="U269" s="52">
        <f t="shared" si="91"/>
        <v>0</v>
      </c>
    </row>
    <row r="270" spans="1:21" x14ac:dyDescent="0.3">
      <c r="A270" s="14" t="str">
        <f t="shared" si="81"/>
        <v>(550, 600]</v>
      </c>
      <c r="B270" s="110"/>
      <c r="C270" s="110"/>
      <c r="D270" s="29">
        <f t="shared" si="82"/>
        <v>0</v>
      </c>
      <c r="E270" s="90">
        <f t="shared" si="83"/>
        <v>0</v>
      </c>
      <c r="F270" s="88"/>
      <c r="G270" s="14" t="str">
        <f t="shared" si="84"/>
        <v>(550, 600]</v>
      </c>
      <c r="H270" s="86">
        <v>1</v>
      </c>
      <c r="I270" s="29">
        <f t="shared" si="85"/>
        <v>0</v>
      </c>
      <c r="J270" s="29">
        <f t="shared" si="86"/>
        <v>0</v>
      </c>
      <c r="K270" s="87">
        <f t="shared" si="87"/>
        <v>0</v>
      </c>
      <c r="L270" s="100">
        <f t="shared" si="88"/>
        <v>0</v>
      </c>
      <c r="M270" s="100">
        <f t="shared" si="89"/>
        <v>0</v>
      </c>
      <c r="N270" s="88"/>
      <c r="O270" s="47">
        <v>550</v>
      </c>
      <c r="P270" s="47">
        <v>600</v>
      </c>
      <c r="Q270" s="100">
        <f t="shared" si="90"/>
        <v>0</v>
      </c>
      <c r="R270" s="100">
        <v>0</v>
      </c>
      <c r="T270" s="100"/>
      <c r="U270" s="52">
        <f t="shared" si="91"/>
        <v>0</v>
      </c>
    </row>
    <row r="271" spans="1:21" x14ac:dyDescent="0.3">
      <c r="A271" s="14" t="str">
        <f t="shared" si="81"/>
        <v>(600, 650]</v>
      </c>
      <c r="B271" s="110"/>
      <c r="C271" s="110"/>
      <c r="D271" s="29">
        <f t="shared" si="82"/>
        <v>0</v>
      </c>
      <c r="E271" s="90">
        <f t="shared" si="83"/>
        <v>0</v>
      </c>
      <c r="F271" s="88"/>
      <c r="G271" s="14" t="str">
        <f t="shared" si="84"/>
        <v>(600, 650]</v>
      </c>
      <c r="H271" s="86">
        <v>1</v>
      </c>
      <c r="I271" s="29">
        <f t="shared" si="85"/>
        <v>0</v>
      </c>
      <c r="J271" s="29">
        <f t="shared" si="86"/>
        <v>0</v>
      </c>
      <c r="K271" s="87">
        <f t="shared" si="87"/>
        <v>0</v>
      </c>
      <c r="L271" s="100">
        <f t="shared" si="88"/>
        <v>0</v>
      </c>
      <c r="M271" s="100">
        <f t="shared" si="89"/>
        <v>0</v>
      </c>
      <c r="N271" s="88"/>
      <c r="O271" s="47">
        <v>600</v>
      </c>
      <c r="P271" s="47">
        <v>650</v>
      </c>
      <c r="Q271" s="100">
        <f t="shared" si="90"/>
        <v>0</v>
      </c>
      <c r="R271" s="100">
        <v>6.8970000000000004E-3</v>
      </c>
      <c r="T271" s="100"/>
      <c r="U271" s="52">
        <f t="shared" si="91"/>
        <v>0</v>
      </c>
    </row>
    <row r="272" spans="1:21" x14ac:dyDescent="0.3">
      <c r="A272" s="14" t="str">
        <f t="shared" si="81"/>
        <v>(650, 700]</v>
      </c>
      <c r="B272" s="110"/>
      <c r="C272" s="110"/>
      <c r="D272" s="29">
        <f t="shared" si="82"/>
        <v>0</v>
      </c>
      <c r="E272" s="90">
        <f t="shared" si="83"/>
        <v>0</v>
      </c>
      <c r="F272" s="88"/>
      <c r="G272" s="14" t="str">
        <f t="shared" si="84"/>
        <v>(650, 700]</v>
      </c>
      <c r="H272" s="86">
        <v>1</v>
      </c>
      <c r="I272" s="29">
        <f t="shared" si="85"/>
        <v>0</v>
      </c>
      <c r="J272" s="29">
        <f t="shared" si="86"/>
        <v>0</v>
      </c>
      <c r="K272" s="87">
        <f t="shared" si="87"/>
        <v>0</v>
      </c>
      <c r="L272" s="100">
        <f t="shared" si="88"/>
        <v>0</v>
      </c>
      <c r="M272" s="100">
        <f t="shared" si="89"/>
        <v>0</v>
      </c>
      <c r="N272" s="88"/>
      <c r="O272" s="47">
        <v>650</v>
      </c>
      <c r="P272" s="47">
        <v>700</v>
      </c>
      <c r="Q272" s="100">
        <f t="shared" si="90"/>
        <v>0</v>
      </c>
      <c r="R272" s="100">
        <v>0</v>
      </c>
      <c r="T272" s="100"/>
      <c r="U272" s="52">
        <f t="shared" si="91"/>
        <v>0</v>
      </c>
    </row>
    <row r="273" spans="1:21" x14ac:dyDescent="0.3">
      <c r="A273" s="14" t="str">
        <f t="shared" si="81"/>
        <v>(700, 750]</v>
      </c>
      <c r="B273" s="110"/>
      <c r="C273" s="110"/>
      <c r="D273" s="29">
        <f t="shared" si="82"/>
        <v>0</v>
      </c>
      <c r="E273" s="90">
        <f t="shared" si="83"/>
        <v>0</v>
      </c>
      <c r="F273" s="88"/>
      <c r="G273" s="14" t="str">
        <f t="shared" si="84"/>
        <v>(700, 750]</v>
      </c>
      <c r="H273" s="86">
        <v>1</v>
      </c>
      <c r="I273" s="29">
        <f t="shared" si="85"/>
        <v>0</v>
      </c>
      <c r="J273" s="29">
        <f t="shared" si="86"/>
        <v>0</v>
      </c>
      <c r="K273" s="87">
        <f t="shared" si="87"/>
        <v>0</v>
      </c>
      <c r="L273" s="100">
        <f t="shared" si="88"/>
        <v>0</v>
      </c>
      <c r="M273" s="100">
        <f t="shared" si="89"/>
        <v>0</v>
      </c>
      <c r="N273" s="88"/>
      <c r="O273" s="47">
        <v>700</v>
      </c>
      <c r="P273" s="47">
        <v>750</v>
      </c>
      <c r="Q273" s="100">
        <f t="shared" si="90"/>
        <v>0</v>
      </c>
      <c r="R273" s="100">
        <v>0</v>
      </c>
      <c r="T273" s="100"/>
      <c r="U273" s="52">
        <f t="shared" si="91"/>
        <v>0</v>
      </c>
    </row>
    <row r="274" spans="1:21" x14ac:dyDescent="0.3">
      <c r="A274" s="14" t="str">
        <f t="shared" si="81"/>
        <v>(750, 800]</v>
      </c>
      <c r="B274" s="110"/>
      <c r="C274" s="110"/>
      <c r="D274" s="29">
        <f t="shared" si="82"/>
        <v>0</v>
      </c>
      <c r="E274" s="90">
        <f t="shared" si="83"/>
        <v>0</v>
      </c>
      <c r="F274" s="88"/>
      <c r="G274" s="14" t="str">
        <f t="shared" si="84"/>
        <v>(750, 800]</v>
      </c>
      <c r="H274" s="86">
        <v>1</v>
      </c>
      <c r="I274" s="29">
        <f t="shared" si="85"/>
        <v>0</v>
      </c>
      <c r="J274" s="29">
        <f t="shared" si="86"/>
        <v>0</v>
      </c>
      <c r="K274" s="87">
        <f t="shared" si="87"/>
        <v>0</v>
      </c>
      <c r="L274" s="100">
        <f t="shared" si="88"/>
        <v>0</v>
      </c>
      <c r="M274" s="100">
        <f t="shared" si="89"/>
        <v>0</v>
      </c>
      <c r="N274" s="88"/>
      <c r="O274" s="47">
        <v>750</v>
      </c>
      <c r="P274" s="47">
        <v>800</v>
      </c>
      <c r="Q274" s="100">
        <f t="shared" si="90"/>
        <v>0</v>
      </c>
      <c r="R274" s="100">
        <v>0</v>
      </c>
      <c r="T274" s="100"/>
      <c r="U274" s="52">
        <f t="shared" si="91"/>
        <v>0</v>
      </c>
    </row>
    <row r="275" spans="1:21" x14ac:dyDescent="0.3">
      <c r="A275" s="14" t="str">
        <f t="shared" si="81"/>
        <v>(800, 850]</v>
      </c>
      <c r="B275" s="110"/>
      <c r="C275" s="110"/>
      <c r="D275" s="29">
        <f t="shared" si="82"/>
        <v>0</v>
      </c>
      <c r="E275" s="90">
        <f t="shared" si="83"/>
        <v>0</v>
      </c>
      <c r="F275" s="88"/>
      <c r="G275" s="14" t="str">
        <f t="shared" si="84"/>
        <v>(800, 850]</v>
      </c>
      <c r="H275" s="86">
        <v>1</v>
      </c>
      <c r="I275" s="29">
        <f t="shared" si="85"/>
        <v>0</v>
      </c>
      <c r="J275" s="29">
        <f t="shared" si="86"/>
        <v>0</v>
      </c>
      <c r="K275" s="87">
        <f t="shared" si="87"/>
        <v>0</v>
      </c>
      <c r="L275" s="100">
        <f t="shared" si="88"/>
        <v>0</v>
      </c>
      <c r="M275" s="100">
        <f t="shared" si="89"/>
        <v>0</v>
      </c>
      <c r="N275" s="88"/>
      <c r="O275" s="47">
        <v>800</v>
      </c>
      <c r="P275" s="47">
        <v>850</v>
      </c>
      <c r="Q275" s="100">
        <f t="shared" si="90"/>
        <v>0</v>
      </c>
      <c r="R275" s="100">
        <v>0</v>
      </c>
      <c r="T275" s="100"/>
      <c r="U275" s="52">
        <f t="shared" si="91"/>
        <v>0</v>
      </c>
    </row>
    <row r="276" spans="1:21" x14ac:dyDescent="0.3">
      <c r="A276" s="14" t="str">
        <f t="shared" si="81"/>
        <v>(850, 900]</v>
      </c>
      <c r="B276" s="110"/>
      <c r="C276" s="110"/>
      <c r="D276" s="29">
        <f t="shared" si="82"/>
        <v>0</v>
      </c>
      <c r="E276" s="90">
        <f t="shared" si="83"/>
        <v>0</v>
      </c>
      <c r="F276" s="88"/>
      <c r="G276" s="14" t="str">
        <f t="shared" si="84"/>
        <v>(850, 900]</v>
      </c>
      <c r="H276" s="86">
        <v>1</v>
      </c>
      <c r="I276" s="29">
        <f t="shared" si="85"/>
        <v>0</v>
      </c>
      <c r="J276" s="29">
        <f t="shared" si="86"/>
        <v>0</v>
      </c>
      <c r="K276" s="92">
        <f t="shared" si="87"/>
        <v>0</v>
      </c>
      <c r="L276" s="100">
        <f t="shared" si="88"/>
        <v>0</v>
      </c>
      <c r="M276" s="100">
        <f t="shared" si="89"/>
        <v>0</v>
      </c>
      <c r="N276" s="88"/>
      <c r="O276" s="47">
        <v>850</v>
      </c>
      <c r="P276" s="47">
        <v>900</v>
      </c>
      <c r="Q276" s="100">
        <f t="shared" si="90"/>
        <v>0</v>
      </c>
      <c r="R276" s="100">
        <v>0</v>
      </c>
      <c r="T276" s="100"/>
      <c r="U276" s="52">
        <f t="shared" si="91"/>
        <v>0</v>
      </c>
    </row>
    <row r="277" spans="1:21" x14ac:dyDescent="0.3">
      <c r="A277" s="14" t="str">
        <f t="shared" si="81"/>
        <v>(900, 950]</v>
      </c>
      <c r="B277" s="110"/>
      <c r="C277" s="110"/>
      <c r="D277" s="29">
        <f t="shared" si="82"/>
        <v>0</v>
      </c>
      <c r="E277" s="90">
        <f t="shared" si="83"/>
        <v>0</v>
      </c>
      <c r="F277" s="88"/>
      <c r="G277" s="14" t="str">
        <f t="shared" si="84"/>
        <v>(900, 950]</v>
      </c>
      <c r="H277" s="86">
        <v>1</v>
      </c>
      <c r="I277" s="29">
        <f t="shared" si="85"/>
        <v>0</v>
      </c>
      <c r="J277" s="29">
        <f t="shared" si="86"/>
        <v>0</v>
      </c>
      <c r="K277" s="92">
        <f t="shared" si="87"/>
        <v>0</v>
      </c>
      <c r="L277" s="100">
        <f t="shared" si="88"/>
        <v>0</v>
      </c>
      <c r="M277" s="100">
        <f t="shared" si="89"/>
        <v>0</v>
      </c>
      <c r="N277" s="88"/>
      <c r="O277" s="47">
        <v>900</v>
      </c>
      <c r="P277" s="47">
        <v>950</v>
      </c>
      <c r="Q277" s="100">
        <f t="shared" si="90"/>
        <v>0</v>
      </c>
      <c r="R277" s="100">
        <v>6.8970000000000004E-3</v>
      </c>
      <c r="T277" s="100"/>
      <c r="U277" s="52">
        <f t="shared" si="91"/>
        <v>0</v>
      </c>
    </row>
    <row r="278" spans="1:21" x14ac:dyDescent="0.3">
      <c r="A278" s="14" t="str">
        <f t="shared" si="81"/>
        <v>(950, 1000]</v>
      </c>
      <c r="B278" s="110"/>
      <c r="C278" s="110"/>
      <c r="D278" s="29">
        <f t="shared" si="82"/>
        <v>0</v>
      </c>
      <c r="E278" s="90">
        <f t="shared" si="83"/>
        <v>0</v>
      </c>
      <c r="F278" s="88"/>
      <c r="G278" s="14" t="str">
        <f t="shared" si="84"/>
        <v>(950, 1000]</v>
      </c>
      <c r="H278" s="86">
        <v>1</v>
      </c>
      <c r="I278" s="29">
        <f t="shared" si="85"/>
        <v>0</v>
      </c>
      <c r="J278" s="29">
        <f t="shared" si="86"/>
        <v>0</v>
      </c>
      <c r="K278" s="92">
        <f t="shared" si="87"/>
        <v>0</v>
      </c>
      <c r="L278" s="100">
        <f t="shared" si="88"/>
        <v>0</v>
      </c>
      <c r="M278" s="100">
        <f t="shared" si="89"/>
        <v>0</v>
      </c>
      <c r="N278" s="88"/>
      <c r="O278" s="47">
        <v>950</v>
      </c>
      <c r="P278" s="47">
        <v>1000</v>
      </c>
      <c r="Q278" s="100">
        <f t="shared" si="90"/>
        <v>0</v>
      </c>
      <c r="R278" s="100">
        <v>0</v>
      </c>
      <c r="T278" s="100"/>
      <c r="U278" s="52">
        <f t="shared" si="91"/>
        <v>0</v>
      </c>
    </row>
    <row r="279" spans="1:21" x14ac:dyDescent="0.3">
      <c r="A279" s="14" t="str">
        <f t="shared" si="81"/>
        <v>(1000, 2000]</v>
      </c>
      <c r="B279" s="110"/>
      <c r="C279" s="110"/>
      <c r="D279" s="29">
        <f t="shared" si="82"/>
        <v>0</v>
      </c>
      <c r="E279" s="90">
        <f t="shared" si="83"/>
        <v>0</v>
      </c>
      <c r="F279" s="88"/>
      <c r="G279" s="14" t="str">
        <f t="shared" si="84"/>
        <v>(1000, 2000]</v>
      </c>
      <c r="H279" s="86">
        <v>1</v>
      </c>
      <c r="I279" s="29">
        <f t="shared" si="85"/>
        <v>0</v>
      </c>
      <c r="J279" s="29">
        <f t="shared" si="86"/>
        <v>0</v>
      </c>
      <c r="K279" s="92">
        <f t="shared" si="87"/>
        <v>0</v>
      </c>
      <c r="L279" s="100">
        <f t="shared" si="88"/>
        <v>0</v>
      </c>
      <c r="M279" s="100">
        <f t="shared" si="89"/>
        <v>0</v>
      </c>
      <c r="N279" s="88"/>
      <c r="O279" s="47">
        <v>1000</v>
      </c>
      <c r="P279" s="47">
        <v>2000</v>
      </c>
      <c r="Q279" s="100">
        <f t="shared" si="90"/>
        <v>0</v>
      </c>
      <c r="R279" s="100">
        <v>0</v>
      </c>
      <c r="T279" s="100"/>
      <c r="U279" s="52">
        <f t="shared" si="91"/>
        <v>0</v>
      </c>
    </row>
    <row r="280" spans="1:21" x14ac:dyDescent="0.3">
      <c r="A280" s="14" t="str">
        <f t="shared" si="81"/>
        <v>(2000, 3000]</v>
      </c>
      <c r="B280" s="110"/>
      <c r="C280" s="110"/>
      <c r="D280" s="29">
        <f t="shared" si="82"/>
        <v>0</v>
      </c>
      <c r="E280" s="90">
        <f t="shared" si="83"/>
        <v>0</v>
      </c>
      <c r="F280" s="88"/>
      <c r="G280" s="14" t="str">
        <f t="shared" si="84"/>
        <v>(2000, 3000]</v>
      </c>
      <c r="H280" s="86">
        <v>1</v>
      </c>
      <c r="I280" s="29">
        <f t="shared" si="85"/>
        <v>0</v>
      </c>
      <c r="J280" s="29">
        <f t="shared" si="86"/>
        <v>0</v>
      </c>
      <c r="K280" s="92">
        <f t="shared" si="87"/>
        <v>0</v>
      </c>
      <c r="L280" s="100">
        <f t="shared" si="88"/>
        <v>0</v>
      </c>
      <c r="M280" s="100">
        <f t="shared" si="89"/>
        <v>0</v>
      </c>
      <c r="N280" s="88"/>
      <c r="O280" s="47">
        <v>2000</v>
      </c>
      <c r="P280" s="47">
        <v>3000</v>
      </c>
      <c r="Q280" s="100">
        <f t="shared" si="90"/>
        <v>0</v>
      </c>
      <c r="R280" s="100">
        <v>0</v>
      </c>
      <c r="T280" s="100"/>
      <c r="U280" s="52">
        <f t="shared" si="91"/>
        <v>0</v>
      </c>
    </row>
    <row r="281" spans="1:21" x14ac:dyDescent="0.3">
      <c r="A281" s="14" t="str">
        <f t="shared" si="81"/>
        <v>(3000, 4000]</v>
      </c>
      <c r="B281" s="110"/>
      <c r="C281" s="110"/>
      <c r="D281" s="29">
        <f t="shared" si="82"/>
        <v>0</v>
      </c>
      <c r="E281" s="90">
        <f t="shared" si="83"/>
        <v>0</v>
      </c>
      <c r="F281" s="88"/>
      <c r="G281" s="14" t="str">
        <f t="shared" si="84"/>
        <v>(3000, 4000]</v>
      </c>
      <c r="H281" s="86">
        <v>1</v>
      </c>
      <c r="I281" s="29">
        <f t="shared" si="85"/>
        <v>0</v>
      </c>
      <c r="J281" s="29">
        <f t="shared" si="86"/>
        <v>0</v>
      </c>
      <c r="K281" s="92">
        <f t="shared" si="87"/>
        <v>0</v>
      </c>
      <c r="L281" s="100">
        <f t="shared" si="88"/>
        <v>0</v>
      </c>
      <c r="M281" s="100">
        <f t="shared" si="89"/>
        <v>0</v>
      </c>
      <c r="N281" s="88"/>
      <c r="O281" s="47">
        <v>3000</v>
      </c>
      <c r="P281" s="47">
        <v>4000</v>
      </c>
      <c r="Q281" s="100">
        <f t="shared" si="90"/>
        <v>0</v>
      </c>
      <c r="R281" s="100">
        <v>0</v>
      </c>
      <c r="T281" s="100"/>
      <c r="U281" s="52">
        <f t="shared" si="91"/>
        <v>0</v>
      </c>
    </row>
    <row r="282" spans="1:21" x14ac:dyDescent="0.3">
      <c r="A282" s="14" t="str">
        <f t="shared" si="81"/>
        <v>(4000, 5000]</v>
      </c>
      <c r="B282" s="110"/>
      <c r="C282" s="110"/>
      <c r="D282" s="29">
        <f t="shared" si="82"/>
        <v>0</v>
      </c>
      <c r="E282" s="90">
        <f t="shared" si="83"/>
        <v>0</v>
      </c>
      <c r="F282" s="88"/>
      <c r="G282" s="14" t="str">
        <f t="shared" si="84"/>
        <v>(4000, 5000]</v>
      </c>
      <c r="H282" s="86">
        <v>1</v>
      </c>
      <c r="I282" s="29">
        <f t="shared" si="85"/>
        <v>0</v>
      </c>
      <c r="J282" s="29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7">
        <v>4000</v>
      </c>
      <c r="P282" s="47">
        <v>5000</v>
      </c>
      <c r="Q282" s="100">
        <f t="shared" si="90"/>
        <v>0</v>
      </c>
      <c r="R282" s="100">
        <v>0</v>
      </c>
      <c r="T282" s="100"/>
      <c r="U282" s="52">
        <f t="shared" si="91"/>
        <v>0</v>
      </c>
    </row>
    <row r="283" spans="1:21" x14ac:dyDescent="0.3">
      <c r="A283" s="14" t="str">
        <f t="shared" si="81"/>
        <v>(5000, 6000]</v>
      </c>
      <c r="B283" s="110"/>
      <c r="C283" s="110"/>
      <c r="D283" s="29">
        <f t="shared" si="82"/>
        <v>0</v>
      </c>
      <c r="E283" s="90">
        <f t="shared" si="83"/>
        <v>0</v>
      </c>
      <c r="F283" s="88"/>
      <c r="G283" s="14" t="str">
        <f t="shared" si="84"/>
        <v>(5000, 6000]</v>
      </c>
      <c r="H283" s="86">
        <v>1</v>
      </c>
      <c r="I283" s="29">
        <f t="shared" si="85"/>
        <v>0</v>
      </c>
      <c r="J283" s="29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7">
        <v>5000</v>
      </c>
      <c r="P283" s="47">
        <v>6000</v>
      </c>
      <c r="Q283" s="100">
        <f t="shared" si="90"/>
        <v>0</v>
      </c>
      <c r="R283" s="100">
        <v>0</v>
      </c>
      <c r="T283" s="100"/>
      <c r="U283" s="52">
        <f t="shared" si="91"/>
        <v>0</v>
      </c>
    </row>
    <row r="284" spans="1:21" x14ac:dyDescent="0.3">
      <c r="A284" s="14" t="str">
        <f t="shared" si="81"/>
        <v>(6000, 7000]</v>
      </c>
      <c r="B284" s="110"/>
      <c r="C284" s="110"/>
      <c r="D284" s="29">
        <f t="shared" si="82"/>
        <v>0</v>
      </c>
      <c r="E284" s="90">
        <f t="shared" si="83"/>
        <v>0</v>
      </c>
      <c r="F284" s="88"/>
      <c r="G284" s="14" t="str">
        <f t="shared" si="84"/>
        <v>(6000, 7000]</v>
      </c>
      <c r="H284" s="86">
        <v>1</v>
      </c>
      <c r="I284" s="29">
        <f t="shared" si="85"/>
        <v>0</v>
      </c>
      <c r="J284" s="29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7">
        <v>6000</v>
      </c>
      <c r="P284" s="47">
        <v>7000</v>
      </c>
      <c r="Q284" s="100">
        <f t="shared" si="90"/>
        <v>0</v>
      </c>
      <c r="R284" s="100">
        <v>0</v>
      </c>
      <c r="T284" s="100"/>
      <c r="U284" s="52">
        <f t="shared" si="91"/>
        <v>0</v>
      </c>
    </row>
    <row r="285" spans="1:21" x14ac:dyDescent="0.3">
      <c r="A285" s="14" t="str">
        <f t="shared" si="81"/>
        <v>(7000, 8000]</v>
      </c>
      <c r="B285" s="110"/>
      <c r="C285" s="110"/>
      <c r="D285" s="29">
        <f t="shared" si="82"/>
        <v>0</v>
      </c>
      <c r="E285" s="90">
        <f t="shared" si="83"/>
        <v>0</v>
      </c>
      <c r="F285" s="88"/>
      <c r="G285" s="14" t="str">
        <f t="shared" si="84"/>
        <v>(7000, 8000]</v>
      </c>
      <c r="H285" s="86">
        <v>1</v>
      </c>
      <c r="I285" s="29">
        <f t="shared" si="85"/>
        <v>0</v>
      </c>
      <c r="J285" s="29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7">
        <v>7000</v>
      </c>
      <c r="P285" s="47">
        <v>8000</v>
      </c>
      <c r="Q285" s="100">
        <f t="shared" si="90"/>
        <v>0</v>
      </c>
      <c r="R285" s="100">
        <v>0</v>
      </c>
      <c r="T285" s="100"/>
      <c r="U285" s="52">
        <f t="shared" si="91"/>
        <v>0</v>
      </c>
    </row>
    <row r="286" spans="1:21" x14ac:dyDescent="0.3">
      <c r="A286" s="14" t="str">
        <f t="shared" si="81"/>
        <v>(8000, 9000]</v>
      </c>
      <c r="B286" s="110"/>
      <c r="C286" s="110"/>
      <c r="D286" s="29">
        <f t="shared" si="82"/>
        <v>0</v>
      </c>
      <c r="E286" s="90">
        <f t="shared" si="83"/>
        <v>0</v>
      </c>
      <c r="F286" s="88"/>
      <c r="G286" s="14" t="str">
        <f t="shared" si="84"/>
        <v>(8000, 9000]</v>
      </c>
      <c r="H286" s="86">
        <v>1</v>
      </c>
      <c r="I286" s="29">
        <f t="shared" si="85"/>
        <v>0</v>
      </c>
      <c r="J286" s="29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7">
        <v>8000</v>
      </c>
      <c r="P286" s="47">
        <v>9000</v>
      </c>
      <c r="Q286" s="100">
        <f t="shared" si="90"/>
        <v>0</v>
      </c>
      <c r="R286" s="100">
        <v>0</v>
      </c>
      <c r="T286" s="100"/>
      <c r="U286" s="52">
        <f t="shared" si="91"/>
        <v>0</v>
      </c>
    </row>
    <row r="287" spans="1:21" x14ac:dyDescent="0.3">
      <c r="A287" s="14" t="str">
        <f t="shared" si="81"/>
        <v>(9000, 10000]</v>
      </c>
      <c r="B287" s="110"/>
      <c r="C287" s="110"/>
      <c r="D287" s="29">
        <f t="shared" si="82"/>
        <v>0</v>
      </c>
      <c r="E287" s="90">
        <f t="shared" si="83"/>
        <v>0</v>
      </c>
      <c r="F287" s="88"/>
      <c r="G287" s="14" t="str">
        <f t="shared" si="84"/>
        <v>(9000, 10000]</v>
      </c>
      <c r="H287" s="86">
        <v>1</v>
      </c>
      <c r="I287" s="29">
        <f t="shared" si="85"/>
        <v>0</v>
      </c>
      <c r="J287" s="29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7">
        <v>9000</v>
      </c>
      <c r="P287" s="47">
        <v>10000</v>
      </c>
      <c r="Q287" s="100">
        <f t="shared" si="90"/>
        <v>0</v>
      </c>
      <c r="R287" s="100">
        <v>0</v>
      </c>
      <c r="T287" s="100"/>
      <c r="U287" s="52">
        <f t="shared" si="91"/>
        <v>0</v>
      </c>
    </row>
    <row r="288" spans="1:21" x14ac:dyDescent="0.3">
      <c r="A288" s="14" t="str">
        <f t="shared" si="81"/>
        <v>(10000, 20000]</v>
      </c>
      <c r="B288" s="110"/>
      <c r="C288" s="110"/>
      <c r="D288" s="29">
        <f t="shared" si="82"/>
        <v>0</v>
      </c>
      <c r="E288" s="90">
        <f t="shared" si="83"/>
        <v>0</v>
      </c>
      <c r="F288" s="88"/>
      <c r="G288" s="14" t="str">
        <f t="shared" si="84"/>
        <v>(10000, 20000]</v>
      </c>
      <c r="H288" s="86">
        <v>1</v>
      </c>
      <c r="I288" s="29">
        <f t="shared" si="85"/>
        <v>0</v>
      </c>
      <c r="J288" s="29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7">
        <v>10000</v>
      </c>
      <c r="P288" s="47">
        <v>20000</v>
      </c>
      <c r="Q288" s="100">
        <f t="shared" si="90"/>
        <v>0</v>
      </c>
      <c r="R288" s="100">
        <v>0</v>
      </c>
      <c r="T288" s="100"/>
      <c r="U288" s="52">
        <f t="shared" si="91"/>
        <v>0</v>
      </c>
    </row>
    <row r="289" spans="1:21" x14ac:dyDescent="0.3">
      <c r="A289" s="14" t="str">
        <f t="shared" si="81"/>
        <v>(20000, 30000]</v>
      </c>
      <c r="B289" s="110"/>
      <c r="C289" s="110"/>
      <c r="D289" s="29">
        <f t="shared" si="82"/>
        <v>0</v>
      </c>
      <c r="E289" s="90">
        <f t="shared" si="83"/>
        <v>0</v>
      </c>
      <c r="F289" s="88"/>
      <c r="G289" s="14" t="str">
        <f t="shared" si="84"/>
        <v>(20000, 30000]</v>
      </c>
      <c r="H289" s="86">
        <v>1</v>
      </c>
      <c r="I289" s="29">
        <f t="shared" si="85"/>
        <v>0</v>
      </c>
      <c r="J289" s="29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7">
        <v>20000</v>
      </c>
      <c r="P289" s="47">
        <v>30000</v>
      </c>
      <c r="Q289" s="100">
        <f t="shared" si="90"/>
        <v>0</v>
      </c>
      <c r="R289" s="100">
        <v>0</v>
      </c>
      <c r="T289" s="100"/>
      <c r="U289" s="52">
        <f t="shared" si="91"/>
        <v>0</v>
      </c>
    </row>
    <row r="290" spans="1:21" x14ac:dyDescent="0.3">
      <c r="A290" s="14" t="str">
        <f t="shared" si="81"/>
        <v>(30000, 40000]</v>
      </c>
      <c r="B290" s="110"/>
      <c r="C290" s="110"/>
      <c r="D290" s="29">
        <f t="shared" si="82"/>
        <v>0</v>
      </c>
      <c r="E290" s="90">
        <f t="shared" si="83"/>
        <v>0</v>
      </c>
      <c r="F290" s="88"/>
      <c r="G290" s="14" t="str">
        <f t="shared" si="84"/>
        <v>(30000, 40000]</v>
      </c>
      <c r="H290" s="86">
        <v>1</v>
      </c>
      <c r="I290" s="29">
        <f t="shared" si="85"/>
        <v>0</v>
      </c>
      <c r="J290" s="29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7">
        <v>30000</v>
      </c>
      <c r="P290" s="47">
        <v>40000</v>
      </c>
      <c r="Q290" s="100">
        <f t="shared" si="90"/>
        <v>0</v>
      </c>
      <c r="R290" s="100">
        <v>0</v>
      </c>
      <c r="T290" s="100"/>
      <c r="U290" s="52">
        <f t="shared" si="91"/>
        <v>0</v>
      </c>
    </row>
    <row r="291" spans="1:21" x14ac:dyDescent="0.3">
      <c r="A291" s="14" t="str">
        <f t="shared" si="81"/>
        <v>(40000, 50000]</v>
      </c>
      <c r="B291" s="110"/>
      <c r="C291" s="110"/>
      <c r="D291" s="29">
        <f t="shared" si="82"/>
        <v>0</v>
      </c>
      <c r="E291" s="90">
        <f t="shared" si="83"/>
        <v>0</v>
      </c>
      <c r="F291" s="88"/>
      <c r="G291" s="14" t="str">
        <f t="shared" si="84"/>
        <v>(40000, 50000]</v>
      </c>
      <c r="H291" s="86">
        <v>1</v>
      </c>
      <c r="I291" s="29">
        <f t="shared" si="85"/>
        <v>0</v>
      </c>
      <c r="J291" s="29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7">
        <v>40000</v>
      </c>
      <c r="P291" s="47">
        <v>50000</v>
      </c>
      <c r="Q291" s="100">
        <f t="shared" si="90"/>
        <v>0</v>
      </c>
      <c r="R291" s="100">
        <v>0</v>
      </c>
      <c r="T291" s="100"/>
      <c r="U291" s="52">
        <f t="shared" si="91"/>
        <v>0</v>
      </c>
    </row>
    <row r="292" spans="1:21" x14ac:dyDescent="0.3">
      <c r="A292" s="14" t="str">
        <f t="shared" si="81"/>
        <v>(50000, 60000]</v>
      </c>
      <c r="B292" s="110"/>
      <c r="C292" s="110"/>
      <c r="D292" s="29">
        <f t="shared" si="82"/>
        <v>0</v>
      </c>
      <c r="E292" s="90">
        <f t="shared" si="83"/>
        <v>0</v>
      </c>
      <c r="F292" s="88"/>
      <c r="G292" s="14" t="str">
        <f t="shared" si="84"/>
        <v>(50000, 60000]</v>
      </c>
      <c r="H292" s="86">
        <v>1</v>
      </c>
      <c r="I292" s="29">
        <f t="shared" si="85"/>
        <v>0</v>
      </c>
      <c r="J292" s="29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7">
        <v>50000</v>
      </c>
      <c r="P292" s="47">
        <v>60000</v>
      </c>
      <c r="Q292" s="100">
        <f t="shared" si="90"/>
        <v>0</v>
      </c>
      <c r="R292" s="100">
        <v>0</v>
      </c>
      <c r="T292" s="100"/>
      <c r="U292" s="52">
        <f t="shared" si="91"/>
        <v>0</v>
      </c>
    </row>
    <row r="293" spans="1:21" x14ac:dyDescent="0.3">
      <c r="A293" s="14" t="str">
        <f t="shared" si="81"/>
        <v>(60000, 70000]</v>
      </c>
      <c r="B293" s="110"/>
      <c r="C293" s="110"/>
      <c r="D293" s="29">
        <f t="shared" si="82"/>
        <v>0</v>
      </c>
      <c r="E293" s="90">
        <f t="shared" si="83"/>
        <v>0</v>
      </c>
      <c r="F293" s="88"/>
      <c r="G293" s="14" t="str">
        <f t="shared" si="84"/>
        <v>(60000, 70000]</v>
      </c>
      <c r="H293" s="86">
        <v>1</v>
      </c>
      <c r="I293" s="29">
        <f t="shared" si="85"/>
        <v>0</v>
      </c>
      <c r="J293" s="29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7">
        <v>60000</v>
      </c>
      <c r="P293" s="47">
        <v>70000</v>
      </c>
      <c r="Q293" s="100">
        <f t="shared" si="90"/>
        <v>0</v>
      </c>
      <c r="R293" s="100">
        <v>0</v>
      </c>
      <c r="T293" s="100"/>
      <c r="U293" s="52">
        <f t="shared" si="91"/>
        <v>0</v>
      </c>
    </row>
    <row r="294" spans="1:21" x14ac:dyDescent="0.3">
      <c r="A294" s="14" t="str">
        <f t="shared" si="81"/>
        <v>(70000, 80000]</v>
      </c>
      <c r="B294" s="110"/>
      <c r="C294" s="110"/>
      <c r="D294" s="29">
        <f t="shared" si="82"/>
        <v>0</v>
      </c>
      <c r="E294" s="90">
        <f t="shared" si="83"/>
        <v>0</v>
      </c>
      <c r="F294" s="88"/>
      <c r="G294" s="14" t="str">
        <f t="shared" si="84"/>
        <v>(70000, 80000]</v>
      </c>
      <c r="H294" s="86">
        <v>1</v>
      </c>
      <c r="I294" s="29">
        <f t="shared" si="85"/>
        <v>0</v>
      </c>
      <c r="J294" s="29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7">
        <v>70000</v>
      </c>
      <c r="P294" s="47">
        <v>80000</v>
      </c>
      <c r="Q294" s="100">
        <f t="shared" si="90"/>
        <v>0</v>
      </c>
      <c r="R294" s="100">
        <v>0</v>
      </c>
      <c r="T294" s="100"/>
      <c r="U294" s="52">
        <f t="shared" si="91"/>
        <v>0</v>
      </c>
    </row>
    <row r="295" spans="1:21" x14ac:dyDescent="0.3">
      <c r="A295" s="14" t="str">
        <f t="shared" si="81"/>
        <v>(80000, 90000]</v>
      </c>
      <c r="B295" s="110"/>
      <c r="C295" s="110"/>
      <c r="D295" s="29">
        <f t="shared" si="82"/>
        <v>0</v>
      </c>
      <c r="E295" s="90">
        <f t="shared" si="83"/>
        <v>0</v>
      </c>
      <c r="F295" s="88"/>
      <c r="G295" s="14" t="str">
        <f t="shared" si="84"/>
        <v>(80000, 90000]</v>
      </c>
      <c r="H295" s="86">
        <v>1</v>
      </c>
      <c r="I295" s="29">
        <f t="shared" si="85"/>
        <v>0</v>
      </c>
      <c r="J295" s="29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7">
        <v>80000</v>
      </c>
      <c r="P295" s="47">
        <v>90000</v>
      </c>
      <c r="Q295" s="100">
        <f t="shared" si="90"/>
        <v>0</v>
      </c>
      <c r="R295" s="100">
        <v>0</v>
      </c>
      <c r="T295" s="100"/>
      <c r="U295" s="52">
        <f t="shared" si="91"/>
        <v>0</v>
      </c>
    </row>
    <row r="296" spans="1:21" x14ac:dyDescent="0.3">
      <c r="A296" s="14" t="str">
        <f t="shared" si="81"/>
        <v>(90000, 100000]</v>
      </c>
      <c r="B296" s="110"/>
      <c r="C296" s="110"/>
      <c r="D296" s="29">
        <f t="shared" si="82"/>
        <v>0</v>
      </c>
      <c r="E296" s="90">
        <f t="shared" si="83"/>
        <v>0</v>
      </c>
      <c r="F296" s="88"/>
      <c r="G296" s="14" t="str">
        <f t="shared" si="84"/>
        <v>(90000, 100000]</v>
      </c>
      <c r="H296" s="86">
        <v>1</v>
      </c>
      <c r="I296" s="29">
        <f t="shared" si="85"/>
        <v>0</v>
      </c>
      <c r="J296" s="29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7">
        <v>90000</v>
      </c>
      <c r="P296" s="47">
        <v>100000</v>
      </c>
      <c r="Q296" s="100">
        <f t="shared" si="90"/>
        <v>0</v>
      </c>
      <c r="R296" s="100">
        <v>0</v>
      </c>
      <c r="T296" s="100"/>
      <c r="U296" s="52">
        <f t="shared" si="91"/>
        <v>0</v>
      </c>
    </row>
    <row r="297" spans="1:21" x14ac:dyDescent="0.3">
      <c r="A297" s="14" t="str">
        <f t="shared" si="81"/>
        <v>(100000, 9999999]</v>
      </c>
      <c r="B297" s="110"/>
      <c r="C297" s="110"/>
      <c r="D297" s="29">
        <f t="shared" si="82"/>
        <v>0</v>
      </c>
      <c r="E297" s="90">
        <f t="shared" si="83"/>
        <v>0</v>
      </c>
      <c r="F297" s="88"/>
      <c r="G297" s="14" t="str">
        <f t="shared" si="84"/>
        <v>(100000, 9999999]</v>
      </c>
      <c r="H297" s="86">
        <v>1</v>
      </c>
      <c r="I297" s="29">
        <f t="shared" si="85"/>
        <v>0</v>
      </c>
      <c r="J297" s="29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7">
        <v>100000</v>
      </c>
      <c r="P297" s="47">
        <v>9999999</v>
      </c>
      <c r="Q297" s="100">
        <f t="shared" si="90"/>
        <v>0</v>
      </c>
      <c r="R297" s="100">
        <v>0</v>
      </c>
      <c r="T297" s="100"/>
      <c r="U297" s="52">
        <f t="shared" si="91"/>
        <v>0</v>
      </c>
    </row>
  </sheetData>
  <phoneticPr fontId="20" type="noConversion"/>
  <conditionalFormatting sqref="D79">
    <cfRule type="cellIs" dxfId="8" priority="21" operator="lessThan">
      <formula>0.001</formula>
    </cfRule>
  </conditionalFormatting>
  <conditionalFormatting sqref="D86:D149">
    <cfRule type="cellIs" dxfId="7" priority="35" operator="lessThan">
      <formula>0.001</formula>
    </cfRule>
  </conditionalFormatting>
  <conditionalFormatting sqref="D15:D78">
    <cfRule type="cellIs" dxfId="6" priority="36" operator="lessThan">
      <formula>0.001</formula>
    </cfRule>
  </conditionalFormatting>
  <conditionalFormatting sqref="D163:D226">
    <cfRule type="cellIs" dxfId="5" priority="31" operator="lessThan">
      <formula>0.001</formula>
    </cfRule>
  </conditionalFormatting>
  <conditionalFormatting sqref="D156">
    <cfRule type="cellIs" dxfId="4" priority="20" operator="lessThan">
      <formula>0.001</formula>
    </cfRule>
  </conditionalFormatting>
  <conditionalFormatting sqref="D234:D297">
    <cfRule type="cellIs" dxfId="3" priority="15" operator="lessThan">
      <formula>0.001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2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2" customWidth="1"/>
    <col min="15" max="15" width="17.88671875" style="32" bestFit="1" customWidth="1"/>
    <col min="16" max="16" width="14.6640625" style="32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1"/>
      <c r="B1" s="1"/>
      <c r="E1" s="1"/>
      <c r="G1" s="37"/>
      <c r="H1" s="31"/>
      <c r="I1" s="31"/>
      <c r="J1" s="31"/>
      <c r="K1" s="31"/>
      <c r="L1" s="31"/>
      <c r="M1" s="31"/>
      <c r="Q1" s="31"/>
      <c r="R1" s="31"/>
    </row>
    <row r="2" spans="1:21" x14ac:dyDescent="0.3">
      <c r="A2" s="47" t="s">
        <v>91</v>
      </c>
      <c r="B2" s="74">
        <v>1000000000</v>
      </c>
      <c r="C2" s="1"/>
      <c r="F2" s="38"/>
      <c r="G2" s="38"/>
      <c r="K2" s="31"/>
      <c r="L2" s="31"/>
      <c r="M2" s="31"/>
      <c r="Q2" s="31"/>
      <c r="R2" s="31"/>
    </row>
    <row r="3" spans="1:21" x14ac:dyDescent="0.3">
      <c r="A3" s="47" t="s">
        <v>6</v>
      </c>
      <c r="B3" s="74">
        <f>Overview!A7</f>
        <v>100</v>
      </c>
      <c r="C3" s="1"/>
      <c r="F3" s="38"/>
      <c r="G3" s="39"/>
    </row>
    <row r="4" spans="1:21" x14ac:dyDescent="0.3">
      <c r="F4" s="38"/>
      <c r="G4" s="38"/>
      <c r="I4" s="1"/>
      <c r="K4" s="40"/>
      <c r="L4" s="41"/>
      <c r="M4" s="75"/>
      <c r="N4" s="76"/>
      <c r="O4" s="76"/>
      <c r="P4" s="76"/>
      <c r="Q4" s="41"/>
      <c r="R4" s="41"/>
    </row>
    <row r="5" spans="1:21" x14ac:dyDescent="0.3">
      <c r="A5" s="31"/>
      <c r="B5" s="31"/>
      <c r="C5" s="1" t="s">
        <v>92</v>
      </c>
      <c r="F5" s="4"/>
      <c r="G5" s="32"/>
      <c r="I5" s="38"/>
      <c r="K5" s="42"/>
      <c r="L5" s="41"/>
      <c r="M5" s="75"/>
      <c r="N5" s="76"/>
      <c r="O5" s="76"/>
      <c r="P5" s="76"/>
      <c r="Q5" s="41"/>
      <c r="R5" s="41"/>
    </row>
    <row r="6" spans="1:21" x14ac:dyDescent="0.3">
      <c r="A6" s="43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4" t="s">
        <v>98</v>
      </c>
      <c r="J6" s="45" t="s">
        <v>99</v>
      </c>
      <c r="K6" s="39"/>
      <c r="L6" s="39"/>
      <c r="M6" s="46"/>
      <c r="Q6" s="39"/>
      <c r="R6" s="39"/>
    </row>
    <row r="7" spans="1:21" x14ac:dyDescent="0.3">
      <c r="A7" s="47" t="s">
        <v>10</v>
      </c>
      <c r="B7" s="47">
        <f>Overview!B11</f>
        <v>1</v>
      </c>
      <c r="C7" s="77">
        <f>SUM(M15:M79)</f>
        <v>0.69999999508763344</v>
      </c>
      <c r="D7" s="77">
        <f>SUM(M86:M149)*F7</f>
        <v>0.22999999960088918</v>
      </c>
      <c r="E7" s="78">
        <f>SUM(C7:D7)</f>
        <v>0.92999999468852268</v>
      </c>
      <c r="F7" s="33">
        <f>L79</f>
        <v>8.4372176308072852E-3</v>
      </c>
      <c r="G7" s="34">
        <f>1/F7</f>
        <v>118.5224849894406</v>
      </c>
      <c r="H7" s="35">
        <f>D7*G7</f>
        <v>27.260171500267731</v>
      </c>
      <c r="I7" s="79">
        <f>IFERROR(LOOKUP(2,1/(K15:K78&lt;&gt;0),P15:P78),0)</f>
        <v>30</v>
      </c>
      <c r="J7" s="79">
        <f>IFERROR(LOOKUP(2,1/(K86:K149&lt;&gt;0),P86:P149),0)</f>
        <v>120</v>
      </c>
      <c r="K7" s="38"/>
      <c r="L7" s="39"/>
      <c r="M7" s="46"/>
      <c r="Q7" s="39"/>
      <c r="R7" s="39"/>
    </row>
    <row r="8" spans="1:21" x14ac:dyDescent="0.3">
      <c r="L8" s="39"/>
      <c r="M8" s="46"/>
      <c r="Q8" s="39"/>
      <c r="R8" s="39"/>
    </row>
    <row r="9" spans="1:21" x14ac:dyDescent="0.3">
      <c r="A9" s="31"/>
      <c r="B9" s="1"/>
      <c r="C9" s="81"/>
      <c r="D9" s="31"/>
      <c r="E9" s="1"/>
      <c r="G9" s="37"/>
      <c r="H9" s="31"/>
      <c r="I9" s="31"/>
      <c r="J9" s="31"/>
      <c r="K9" s="49"/>
      <c r="L9" s="98"/>
      <c r="M9" s="98"/>
      <c r="Q9" s="98"/>
      <c r="R9" s="98"/>
    </row>
    <row r="10" spans="1:21" x14ac:dyDescent="0.3">
      <c r="A10" s="31"/>
      <c r="B10" s="1"/>
      <c r="C10" s="1"/>
      <c r="D10" s="81"/>
      <c r="E10" s="1"/>
      <c r="G10" s="37"/>
      <c r="H10" s="31"/>
      <c r="I10" s="31"/>
      <c r="J10" s="31"/>
      <c r="K10" s="49"/>
      <c r="L10" s="98"/>
      <c r="M10" s="98"/>
      <c r="Q10" s="98"/>
      <c r="R10" s="98"/>
    </row>
    <row r="11" spans="1:21" s="64" customFormat="1" ht="15.6" customHeight="1" x14ac:dyDescent="0.3">
      <c r="A11" s="65" t="s">
        <v>10</v>
      </c>
      <c r="B11" s="65" t="s">
        <v>18</v>
      </c>
      <c r="C11" s="65"/>
      <c r="D11" s="82"/>
      <c r="E11" s="61"/>
      <c r="F11" s="62"/>
      <c r="G11" s="65" t="s">
        <v>10</v>
      </c>
      <c r="H11" s="65" t="s">
        <v>18</v>
      </c>
      <c r="I11" s="60"/>
      <c r="J11" s="60"/>
      <c r="K11" s="63"/>
      <c r="L11" s="99"/>
      <c r="M11" s="99"/>
      <c r="N11" s="62"/>
      <c r="O11" s="65" t="s">
        <v>10</v>
      </c>
      <c r="P11" s="65" t="s">
        <v>18</v>
      </c>
      <c r="Q11" s="99"/>
      <c r="R11" s="99"/>
    </row>
    <row r="12" spans="1:21" x14ac:dyDescent="0.3">
      <c r="A12" s="31"/>
      <c r="B12" s="1"/>
      <c r="C12" s="1"/>
      <c r="D12" s="81"/>
      <c r="E12" s="1"/>
      <c r="G12" s="37"/>
      <c r="H12" s="31"/>
      <c r="I12" s="31"/>
      <c r="J12" s="31"/>
      <c r="K12" s="49"/>
      <c r="L12" s="98"/>
      <c r="M12" s="98"/>
      <c r="Q12" s="98"/>
      <c r="R12" s="98"/>
    </row>
    <row r="13" spans="1:21" x14ac:dyDescent="0.3">
      <c r="A13" s="50" t="s">
        <v>100</v>
      </c>
      <c r="B13" s="83">
        <v>1000000000</v>
      </c>
      <c r="C13" s="1"/>
      <c r="D13" s="1"/>
      <c r="E13" s="1"/>
      <c r="G13" s="50" t="s">
        <v>101</v>
      </c>
      <c r="H13" s="31"/>
      <c r="I13" s="31"/>
      <c r="J13" s="31"/>
      <c r="K13" s="31"/>
      <c r="L13" s="31"/>
      <c r="M13" s="31"/>
      <c r="Q13" s="31"/>
      <c r="R13" s="31"/>
    </row>
    <row r="14" spans="1:21" x14ac:dyDescent="0.3">
      <c r="A14" s="9" t="s">
        <v>20</v>
      </c>
      <c r="B14" s="9" t="s">
        <v>102</v>
      </c>
      <c r="C14" s="9" t="s">
        <v>103</v>
      </c>
      <c r="D14" s="9" t="s">
        <v>95</v>
      </c>
      <c r="E14" s="9" t="s">
        <v>104</v>
      </c>
      <c r="G14" s="9" t="s">
        <v>20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95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84">
        <v>642768432</v>
      </c>
      <c r="C15" s="84">
        <v>0</v>
      </c>
      <c r="D15" s="30">
        <f t="shared" ref="D15:D46" si="1">IFERROR(B15/SUM($B$15:$B$78),0)</f>
        <v>0.642768432</v>
      </c>
      <c r="E15" s="85">
        <f t="shared" ref="E15:E46" si="2">IFERROR(C15/B15/$B$3,0)</f>
        <v>0</v>
      </c>
      <c r="G15" s="14" t="str">
        <f t="shared" ref="G15:G46" si="3">"("&amp;$O15&amp;", "&amp;$P15&amp;"]"</f>
        <v>(-1, 0]</v>
      </c>
      <c r="H15" s="86">
        <v>1.1426204639744972</v>
      </c>
      <c r="I15" s="29">
        <f t="shared" ref="I15:I46" si="4">D15*H15</f>
        <v>0.73444036400000012</v>
      </c>
      <c r="J15" s="29">
        <f t="shared" ref="J15:J46" si="5">IFERROR(I15/SUM($I$15:$I$78),0)</f>
        <v>0.73444036400000012</v>
      </c>
      <c r="K15" s="87">
        <f t="shared" ref="K15:K46" si="6">INT(J15*$B$2)</f>
        <v>734440364</v>
      </c>
      <c r="L15" s="100">
        <f t="shared" ref="L15:L46" si="7">IFERROR(K15/SUM($K$15:$K$79),0)</f>
        <v>0.72824373081208271</v>
      </c>
      <c r="M15" s="100">
        <f t="shared" ref="M15:M46" si="8">L15*E15</f>
        <v>0</v>
      </c>
      <c r="N15" s="88"/>
      <c r="O15" s="51">
        <v>-1</v>
      </c>
      <c r="P15" s="51">
        <v>0</v>
      </c>
      <c r="Q15" s="100">
        <f t="shared" ref="Q15:Q46" si="9">L15</f>
        <v>0.72824373081208271</v>
      </c>
      <c r="R15" s="100">
        <v>0.72379899999999997</v>
      </c>
      <c r="T15" s="29"/>
      <c r="U15" s="52">
        <f t="shared" ref="U15:U46" si="10">IFERROR(ROUND(T15/L15,2),0)</f>
        <v>0</v>
      </c>
    </row>
    <row r="16" spans="1:21" x14ac:dyDescent="0.3">
      <c r="A16" s="14" t="str">
        <f t="shared" si="0"/>
        <v>(0, 1]</v>
      </c>
      <c r="B16" s="89">
        <v>165067367</v>
      </c>
      <c r="C16" s="89">
        <v>6883193835</v>
      </c>
      <c r="D16" s="29">
        <f t="shared" si="1"/>
        <v>0.16506736699999999</v>
      </c>
      <c r="E16" s="90">
        <f t="shared" si="2"/>
        <v>0.41699301079903939</v>
      </c>
      <c r="G16" s="14" t="str">
        <f t="shared" si="3"/>
        <v>(0, 1]</v>
      </c>
      <c r="H16" s="86">
        <v>0.90361383179995847</v>
      </c>
      <c r="I16" s="29">
        <f t="shared" si="4"/>
        <v>0.14915715600000001</v>
      </c>
      <c r="J16" s="29">
        <f t="shared" si="5"/>
        <v>0.14915715600000001</v>
      </c>
      <c r="K16" s="87">
        <f t="shared" si="6"/>
        <v>149157156</v>
      </c>
      <c r="L16" s="100">
        <f t="shared" si="7"/>
        <v>0.14789868461363573</v>
      </c>
      <c r="M16" s="100">
        <f t="shared" si="8"/>
        <v>6.1672717790257521E-2</v>
      </c>
      <c r="N16" s="88"/>
      <c r="O16" s="47">
        <v>0</v>
      </c>
      <c r="P16" s="47">
        <v>1</v>
      </c>
      <c r="Q16" s="100">
        <f t="shared" si="9"/>
        <v>0.14789868461363573</v>
      </c>
      <c r="R16" s="100">
        <v>0.15426599999999999</v>
      </c>
      <c r="T16" s="29"/>
      <c r="U16" s="52">
        <f t="shared" si="10"/>
        <v>0</v>
      </c>
    </row>
    <row r="17" spans="1:21" x14ac:dyDescent="0.3">
      <c r="A17" s="14" t="str">
        <f t="shared" si="0"/>
        <v>(1, 2]</v>
      </c>
      <c r="B17" s="89">
        <v>48607194</v>
      </c>
      <c r="C17" s="89">
        <v>7281533335</v>
      </c>
      <c r="D17" s="29">
        <f t="shared" si="1"/>
        <v>4.8607193999999999E-2</v>
      </c>
      <c r="E17" s="90">
        <f t="shared" si="2"/>
        <v>1.4980361415225902</v>
      </c>
      <c r="F17" s="53"/>
      <c r="G17" s="14" t="str">
        <f t="shared" si="3"/>
        <v>(1, 2]</v>
      </c>
      <c r="H17" s="86">
        <v>0.76899863834970594</v>
      </c>
      <c r="I17" s="29">
        <f t="shared" si="4"/>
        <v>3.7378865999999997E-2</v>
      </c>
      <c r="J17" s="29">
        <f t="shared" si="5"/>
        <v>3.7378865999999997E-2</v>
      </c>
      <c r="K17" s="87">
        <f t="shared" si="6"/>
        <v>37378866</v>
      </c>
      <c r="L17" s="100">
        <f t="shared" si="7"/>
        <v>3.7063492372765218E-2</v>
      </c>
      <c r="M17" s="100">
        <f t="shared" si="8"/>
        <v>5.5522451105449157E-2</v>
      </c>
      <c r="N17" s="88"/>
      <c r="O17" s="47">
        <v>1</v>
      </c>
      <c r="P17" s="47">
        <v>2</v>
      </c>
      <c r="Q17" s="100">
        <f t="shared" si="9"/>
        <v>3.7063492372765218E-2</v>
      </c>
      <c r="R17" s="100">
        <v>4.5428000000000003E-2</v>
      </c>
      <c r="T17" s="29"/>
      <c r="U17" s="52">
        <f t="shared" si="10"/>
        <v>0</v>
      </c>
    </row>
    <row r="18" spans="1:21" x14ac:dyDescent="0.3">
      <c r="A18" s="14" t="str">
        <f t="shared" si="0"/>
        <v>(2, 3]</v>
      </c>
      <c r="B18" s="89">
        <v>26919097</v>
      </c>
      <c r="C18" s="89">
        <v>6802776700</v>
      </c>
      <c r="D18" s="29">
        <f t="shared" si="1"/>
        <v>2.6919096999999999E-2</v>
      </c>
      <c r="E18" s="90">
        <f t="shared" si="2"/>
        <v>2.5271192046300812</v>
      </c>
      <c r="F18" s="53"/>
      <c r="G18" s="14" t="str">
        <f t="shared" si="3"/>
        <v>(2, 3]</v>
      </c>
      <c r="H18" s="86">
        <v>0.7735168085318761</v>
      </c>
      <c r="I18" s="29">
        <f t="shared" si="4"/>
        <v>2.0822374000000001E-2</v>
      </c>
      <c r="J18" s="29">
        <f t="shared" si="5"/>
        <v>2.0822374000000001E-2</v>
      </c>
      <c r="K18" s="87">
        <f t="shared" si="6"/>
        <v>20822374</v>
      </c>
      <c r="L18" s="100">
        <f t="shared" si="7"/>
        <v>2.0646691098971937E-2</v>
      </c>
      <c r="M18" s="100">
        <f t="shared" si="8"/>
        <v>5.217664958827694E-2</v>
      </c>
      <c r="N18" s="88"/>
      <c r="O18" s="47">
        <v>2</v>
      </c>
      <c r="P18" s="47">
        <v>3</v>
      </c>
      <c r="Q18" s="100">
        <f t="shared" si="9"/>
        <v>2.0646691098971937E-2</v>
      </c>
      <c r="R18" s="100">
        <v>2.0910000000000002E-2</v>
      </c>
      <c r="T18" s="29"/>
      <c r="U18" s="52">
        <f t="shared" si="10"/>
        <v>0</v>
      </c>
    </row>
    <row r="19" spans="1:21" x14ac:dyDescent="0.3">
      <c r="A19" s="14" t="str">
        <f t="shared" si="0"/>
        <v>(3, 4]</v>
      </c>
      <c r="B19" s="89">
        <v>17682966</v>
      </c>
      <c r="C19" s="89">
        <v>6307283715</v>
      </c>
      <c r="D19" s="29">
        <f t="shared" si="1"/>
        <v>1.7682966000000001E-2</v>
      </c>
      <c r="E19" s="90">
        <f t="shared" si="2"/>
        <v>3.5668697858718952</v>
      </c>
      <c r="F19" s="91"/>
      <c r="G19" s="14" t="str">
        <f t="shared" si="3"/>
        <v>(3, 4]</v>
      </c>
      <c r="H19" s="86">
        <v>0.74322565569599575</v>
      </c>
      <c r="I19" s="29">
        <f t="shared" si="4"/>
        <v>1.3142434E-2</v>
      </c>
      <c r="J19" s="29">
        <f t="shared" si="5"/>
        <v>1.3142434E-2</v>
      </c>
      <c r="K19" s="87">
        <f t="shared" si="6"/>
        <v>13142434</v>
      </c>
      <c r="L19" s="100">
        <f t="shared" si="7"/>
        <v>1.3031548424143479E-2</v>
      </c>
      <c r="M19" s="100">
        <f t="shared" si="8"/>
        <v>4.6481836337203888E-2</v>
      </c>
      <c r="N19" s="88"/>
      <c r="O19" s="47">
        <v>3</v>
      </c>
      <c r="P19" s="47">
        <v>4</v>
      </c>
      <c r="Q19" s="100">
        <f t="shared" si="9"/>
        <v>1.3031548424143479E-2</v>
      </c>
      <c r="R19" s="100">
        <v>1.2886E-2</v>
      </c>
      <c r="T19" s="29"/>
      <c r="U19" s="52">
        <f t="shared" si="10"/>
        <v>0</v>
      </c>
    </row>
    <row r="20" spans="1:21" x14ac:dyDescent="0.3">
      <c r="A20" s="14" t="str">
        <f t="shared" si="0"/>
        <v>(4, 5]</v>
      </c>
      <c r="B20" s="89">
        <v>13063433</v>
      </c>
      <c r="C20" s="89">
        <v>5912495700</v>
      </c>
      <c r="D20" s="29">
        <f t="shared" si="1"/>
        <v>1.3063432999999999E-2</v>
      </c>
      <c r="E20" s="90">
        <f t="shared" si="2"/>
        <v>4.5259892250375531</v>
      </c>
      <c r="F20" s="91"/>
      <c r="G20" s="14" t="str">
        <f t="shared" si="3"/>
        <v>(4, 5]</v>
      </c>
      <c r="H20" s="86">
        <v>0.81456719684634205</v>
      </c>
      <c r="I20" s="29">
        <f t="shared" si="4"/>
        <v>1.0641044000000001E-2</v>
      </c>
      <c r="J20" s="29">
        <f t="shared" si="5"/>
        <v>1.0641044000000001E-2</v>
      </c>
      <c r="K20" s="87">
        <f t="shared" si="6"/>
        <v>10641044</v>
      </c>
      <c r="L20" s="100">
        <f t="shared" si="7"/>
        <v>1.0551263195953004E-2</v>
      </c>
      <c r="M20" s="100">
        <f t="shared" si="8"/>
        <v>4.7754903535418593E-2</v>
      </c>
      <c r="N20" s="88"/>
      <c r="O20" s="47">
        <v>4</v>
      </c>
      <c r="P20" s="47">
        <v>5</v>
      </c>
      <c r="Q20" s="100">
        <f t="shared" si="9"/>
        <v>1.0551263195953004E-2</v>
      </c>
      <c r="R20" s="100">
        <v>8.4060000000000003E-3</v>
      </c>
      <c r="T20" s="29"/>
      <c r="U20" s="52">
        <f t="shared" si="10"/>
        <v>0</v>
      </c>
    </row>
    <row r="21" spans="1:21" x14ac:dyDescent="0.3">
      <c r="A21" s="14" t="str">
        <f t="shared" si="0"/>
        <v>(5, 6]</v>
      </c>
      <c r="B21" s="89">
        <v>9983714</v>
      </c>
      <c r="C21" s="89">
        <v>5549114420</v>
      </c>
      <c r="D21" s="29">
        <f t="shared" si="1"/>
        <v>9.9837139999999994E-3</v>
      </c>
      <c r="E21" s="90">
        <f t="shared" si="2"/>
        <v>5.5581664498802752</v>
      </c>
      <c r="F21" s="91"/>
      <c r="G21" s="14" t="str">
        <f t="shared" si="3"/>
        <v>(5, 6]</v>
      </c>
      <c r="H21" s="86">
        <v>0.43676431436237056</v>
      </c>
      <c r="I21" s="29">
        <f t="shared" si="4"/>
        <v>4.3605299999999996E-3</v>
      </c>
      <c r="J21" s="29">
        <f t="shared" si="5"/>
        <v>4.3605299999999996E-3</v>
      </c>
      <c r="K21" s="87">
        <f t="shared" si="6"/>
        <v>4360530</v>
      </c>
      <c r="L21" s="100">
        <f t="shared" si="7"/>
        <v>4.3237392594043357E-3</v>
      </c>
      <c r="M21" s="100">
        <f t="shared" si="8"/>
        <v>2.4032062489651368E-2</v>
      </c>
      <c r="N21" s="88"/>
      <c r="O21" s="47">
        <v>5</v>
      </c>
      <c r="P21" s="47">
        <v>6</v>
      </c>
      <c r="Q21" s="100">
        <f t="shared" si="9"/>
        <v>4.3237392594043357E-3</v>
      </c>
      <c r="R21" s="100">
        <v>6.5170000000000002E-3</v>
      </c>
      <c r="T21" s="29"/>
      <c r="U21" s="52">
        <f t="shared" si="10"/>
        <v>0</v>
      </c>
    </row>
    <row r="22" spans="1:21" x14ac:dyDescent="0.3">
      <c r="A22" s="14" t="str">
        <f t="shared" si="0"/>
        <v>(6, 7]</v>
      </c>
      <c r="B22" s="89">
        <v>7840713</v>
      </c>
      <c r="C22" s="89">
        <v>5105038170</v>
      </c>
      <c r="D22" s="29">
        <f t="shared" si="1"/>
        <v>7.8407129999999992E-3</v>
      </c>
      <c r="E22" s="90">
        <f t="shared" si="2"/>
        <v>6.510936148281413</v>
      </c>
      <c r="F22" s="91"/>
      <c r="G22" s="14" t="str">
        <f t="shared" si="3"/>
        <v>(6, 7]</v>
      </c>
      <c r="H22" s="86">
        <v>0.4759518681528071</v>
      </c>
      <c r="I22" s="29">
        <f t="shared" si="4"/>
        <v>3.7318020000000002E-3</v>
      </c>
      <c r="J22" s="29">
        <f t="shared" si="5"/>
        <v>3.7318020000000002E-3</v>
      </c>
      <c r="K22" s="87">
        <f t="shared" si="6"/>
        <v>3731802</v>
      </c>
      <c r="L22" s="100">
        <f t="shared" si="7"/>
        <v>3.7003159743709182E-3</v>
      </c>
      <c r="M22" s="100">
        <f t="shared" si="8"/>
        <v>2.409252103759477E-2</v>
      </c>
      <c r="N22" s="88"/>
      <c r="O22" s="47">
        <v>6</v>
      </c>
      <c r="P22" s="47">
        <v>7</v>
      </c>
      <c r="Q22" s="100">
        <f t="shared" si="9"/>
        <v>3.7003159743709182E-3</v>
      </c>
      <c r="R22" s="100">
        <v>3.5239999999999998E-3</v>
      </c>
      <c r="T22" s="29"/>
      <c r="U22" s="52">
        <f t="shared" si="10"/>
        <v>0</v>
      </c>
    </row>
    <row r="23" spans="1:21" x14ac:dyDescent="0.3">
      <c r="A23" s="14" t="str">
        <f t="shared" si="0"/>
        <v>(7, 8]</v>
      </c>
      <c r="B23" s="89">
        <v>7134958</v>
      </c>
      <c r="C23" s="89">
        <v>5377533620</v>
      </c>
      <c r="D23" s="29">
        <f t="shared" si="1"/>
        <v>7.1349580000000003E-3</v>
      </c>
      <c r="E23" s="90">
        <f t="shared" si="2"/>
        <v>7.5368819550164128</v>
      </c>
      <c r="F23" s="91"/>
      <c r="G23" s="14" t="str">
        <f t="shared" si="3"/>
        <v>(7, 8]</v>
      </c>
      <c r="H23" s="86">
        <v>0.45480926446939135</v>
      </c>
      <c r="I23" s="29">
        <f t="shared" si="4"/>
        <v>3.2450449999999998E-3</v>
      </c>
      <c r="J23" s="29">
        <f t="shared" si="5"/>
        <v>3.2450449999999998E-3</v>
      </c>
      <c r="K23" s="87">
        <f t="shared" si="6"/>
        <v>3245045</v>
      </c>
      <c r="L23" s="100">
        <f t="shared" si="7"/>
        <v>3.2176658491132369E-3</v>
      </c>
      <c r="M23" s="100">
        <f t="shared" si="8"/>
        <v>2.425116767545412E-2</v>
      </c>
      <c r="N23" s="88"/>
      <c r="O23" s="47">
        <v>7</v>
      </c>
      <c r="P23" s="47">
        <v>8</v>
      </c>
      <c r="Q23" s="100">
        <f t="shared" si="9"/>
        <v>3.2176658491132369E-3</v>
      </c>
      <c r="R23" s="100">
        <v>3.9699999999999996E-3</v>
      </c>
      <c r="T23" s="29"/>
      <c r="U23" s="52">
        <f t="shared" si="10"/>
        <v>0</v>
      </c>
    </row>
    <row r="24" spans="1:21" x14ac:dyDescent="0.3">
      <c r="A24" s="14" t="str">
        <f t="shared" si="0"/>
        <v>(8, 9]</v>
      </c>
      <c r="B24" s="89">
        <v>5766826</v>
      </c>
      <c r="C24" s="89">
        <v>4914562050</v>
      </c>
      <c r="D24" s="29">
        <f t="shared" si="1"/>
        <v>5.7668260000000001E-3</v>
      </c>
      <c r="E24" s="90">
        <f t="shared" si="2"/>
        <v>8.5221264695692227</v>
      </c>
      <c r="F24" s="91"/>
      <c r="G24" s="14" t="str">
        <f t="shared" si="3"/>
        <v>(8, 9]</v>
      </c>
      <c r="H24" s="86">
        <v>0.47947501797349179</v>
      </c>
      <c r="I24" s="29">
        <f t="shared" si="4"/>
        <v>2.7650489999999999E-3</v>
      </c>
      <c r="J24" s="29">
        <f t="shared" si="5"/>
        <v>2.7650489999999999E-3</v>
      </c>
      <c r="K24" s="87">
        <f t="shared" si="6"/>
        <v>2765049</v>
      </c>
      <c r="L24" s="100">
        <f t="shared" si="7"/>
        <v>2.7417196798271539E-3</v>
      </c>
      <c r="M24" s="100">
        <f t="shared" si="8"/>
        <v>2.3365281855593844E-2</v>
      </c>
      <c r="N24" s="88"/>
      <c r="O24" s="47">
        <v>8</v>
      </c>
      <c r="P24" s="47">
        <v>9</v>
      </c>
      <c r="Q24" s="100">
        <f t="shared" si="9"/>
        <v>2.7417196798271539E-3</v>
      </c>
      <c r="R24" s="100">
        <v>3.2269999999999998E-3</v>
      </c>
      <c r="T24" s="29"/>
      <c r="U24" s="52">
        <f t="shared" si="10"/>
        <v>0</v>
      </c>
    </row>
    <row r="25" spans="1:21" x14ac:dyDescent="0.3">
      <c r="A25" s="14" t="str">
        <f t="shared" si="0"/>
        <v>(9, 10]</v>
      </c>
      <c r="B25" s="89">
        <v>4689306</v>
      </c>
      <c r="C25" s="89">
        <v>4469552495</v>
      </c>
      <c r="D25" s="29">
        <f t="shared" si="1"/>
        <v>4.6893059999999999E-3</v>
      </c>
      <c r="E25" s="90">
        <f t="shared" si="2"/>
        <v>9.5313730752482346</v>
      </c>
      <c r="F25" s="91"/>
      <c r="G25" s="14" t="str">
        <f t="shared" si="3"/>
        <v>(9, 10]</v>
      </c>
      <c r="H25" s="86">
        <v>0.5795582544623874</v>
      </c>
      <c r="I25" s="29">
        <f t="shared" si="4"/>
        <v>2.7177259999999997E-3</v>
      </c>
      <c r="J25" s="29">
        <f t="shared" si="5"/>
        <v>2.7177259999999997E-3</v>
      </c>
      <c r="K25" s="87">
        <f t="shared" si="6"/>
        <v>2717726</v>
      </c>
      <c r="L25" s="100">
        <f t="shared" si="7"/>
        <v>2.6947959542770968E-3</v>
      </c>
      <c r="M25" s="100">
        <f t="shared" si="8"/>
        <v>2.5685105601884594E-2</v>
      </c>
      <c r="N25" s="88"/>
      <c r="O25" s="47">
        <v>9</v>
      </c>
      <c r="P25" s="47">
        <v>10</v>
      </c>
      <c r="Q25" s="100">
        <f t="shared" si="9"/>
        <v>2.6947959542770968E-3</v>
      </c>
      <c r="R25" s="100">
        <v>2.1020000000000001E-3</v>
      </c>
      <c r="T25" s="29"/>
      <c r="U25" s="52">
        <f t="shared" si="10"/>
        <v>0</v>
      </c>
    </row>
    <row r="26" spans="1:21" x14ac:dyDescent="0.3">
      <c r="A26" s="14" t="str">
        <f t="shared" si="0"/>
        <v>(10, 15]</v>
      </c>
      <c r="B26" s="89">
        <v>16458688</v>
      </c>
      <c r="C26" s="89">
        <v>20262859505</v>
      </c>
      <c r="D26" s="29">
        <f t="shared" si="1"/>
        <v>1.6458687999999999E-2</v>
      </c>
      <c r="E26" s="90">
        <f t="shared" si="2"/>
        <v>12.311345536776686</v>
      </c>
      <c r="F26" s="91"/>
      <c r="G26" s="14" t="str">
        <f t="shared" si="3"/>
        <v>(10, 15]</v>
      </c>
      <c r="H26" s="86">
        <v>0.61531307963307891</v>
      </c>
      <c r="I26" s="29">
        <f t="shared" si="4"/>
        <v>1.0127245999999999E-2</v>
      </c>
      <c r="J26" s="29">
        <f t="shared" si="5"/>
        <v>1.0127245999999999E-2</v>
      </c>
      <c r="K26" s="87">
        <f t="shared" si="6"/>
        <v>10127246</v>
      </c>
      <c r="L26" s="100">
        <f t="shared" si="7"/>
        <v>1.0041800221497277E-2</v>
      </c>
      <c r="M26" s="100">
        <f t="shared" si="8"/>
        <v>0.12362807233813364</v>
      </c>
      <c r="N26" s="88"/>
      <c r="O26" s="47">
        <v>10</v>
      </c>
      <c r="P26" s="47">
        <v>15</v>
      </c>
      <c r="Q26" s="100">
        <f t="shared" si="9"/>
        <v>1.0041800221497277E-2</v>
      </c>
      <c r="R26" s="100">
        <v>6.4320000000000002E-3</v>
      </c>
      <c r="T26" s="29"/>
      <c r="U26" s="52">
        <f t="shared" si="10"/>
        <v>0</v>
      </c>
    </row>
    <row r="27" spans="1:21" x14ac:dyDescent="0.3">
      <c r="A27" s="14" t="str">
        <f t="shared" si="0"/>
        <v>(15, 20]</v>
      </c>
      <c r="B27" s="89">
        <v>9533587</v>
      </c>
      <c r="C27" s="89">
        <v>16541096140</v>
      </c>
      <c r="D27" s="29">
        <f t="shared" si="1"/>
        <v>9.5335869999999996E-3</v>
      </c>
      <c r="E27" s="90">
        <f t="shared" si="2"/>
        <v>17.350338482252273</v>
      </c>
      <c r="F27" s="91"/>
      <c r="G27" s="14" t="str">
        <f t="shared" si="3"/>
        <v>(15, 20]</v>
      </c>
      <c r="H27" s="86">
        <v>0.32407036302285808</v>
      </c>
      <c r="I27" s="29">
        <f t="shared" si="4"/>
        <v>3.0895530000000005E-3</v>
      </c>
      <c r="J27" s="29">
        <f t="shared" si="5"/>
        <v>3.0895530000000005E-3</v>
      </c>
      <c r="K27" s="87">
        <f t="shared" si="6"/>
        <v>3089553</v>
      </c>
      <c r="L27" s="100">
        <f t="shared" si="7"/>
        <v>3.0634857689570863E-3</v>
      </c>
      <c r="M27" s="100">
        <f t="shared" si="8"/>
        <v>5.3152515026968328E-2</v>
      </c>
      <c r="N27" s="88"/>
      <c r="O27" s="47">
        <v>15</v>
      </c>
      <c r="P27" s="47">
        <v>20</v>
      </c>
      <c r="Q27" s="100">
        <f t="shared" si="9"/>
        <v>3.0634857689570863E-3</v>
      </c>
      <c r="R27" s="100">
        <v>2.823E-3</v>
      </c>
      <c r="T27" s="29"/>
      <c r="U27" s="52">
        <f t="shared" si="10"/>
        <v>0</v>
      </c>
    </row>
    <row r="28" spans="1:21" x14ac:dyDescent="0.3">
      <c r="A28" s="14" t="str">
        <f t="shared" si="0"/>
        <v>(20, 25]</v>
      </c>
      <c r="B28" s="89">
        <v>6177309</v>
      </c>
      <c r="C28" s="89">
        <v>13847458525</v>
      </c>
      <c r="D28" s="29">
        <f t="shared" si="1"/>
        <v>6.1773089999999998E-3</v>
      </c>
      <c r="E28" s="90">
        <f t="shared" si="2"/>
        <v>22.416651854391613</v>
      </c>
      <c r="F28" s="91"/>
      <c r="G28" s="14" t="str">
        <f t="shared" si="3"/>
        <v>(20, 25]</v>
      </c>
      <c r="H28" s="86">
        <v>0.39727104472190078</v>
      </c>
      <c r="I28" s="29">
        <f t="shared" si="4"/>
        <v>2.454066E-3</v>
      </c>
      <c r="J28" s="29">
        <f t="shared" si="5"/>
        <v>2.454066E-3</v>
      </c>
      <c r="K28" s="87">
        <f t="shared" si="6"/>
        <v>2454066</v>
      </c>
      <c r="L28" s="100">
        <f t="shared" si="7"/>
        <v>2.4333605110776354E-3</v>
      </c>
      <c r="M28" s="100">
        <f t="shared" si="8"/>
        <v>5.4547795413051797E-2</v>
      </c>
      <c r="N28" s="88"/>
      <c r="O28" s="47">
        <v>20</v>
      </c>
      <c r="P28" s="47">
        <v>25</v>
      </c>
      <c r="Q28" s="100">
        <f t="shared" si="9"/>
        <v>2.4333605110776354E-3</v>
      </c>
      <c r="R28" s="100">
        <v>1.6130000000000001E-3</v>
      </c>
      <c r="T28" s="29"/>
      <c r="U28" s="52">
        <f t="shared" si="10"/>
        <v>0</v>
      </c>
    </row>
    <row r="29" spans="1:21" x14ac:dyDescent="0.3">
      <c r="A29" s="14" t="str">
        <f t="shared" si="0"/>
        <v>(25, 30]</v>
      </c>
      <c r="B29" s="89">
        <v>4284185</v>
      </c>
      <c r="C29" s="89">
        <v>11720617050</v>
      </c>
      <c r="D29" s="29">
        <f t="shared" si="1"/>
        <v>4.2841850000000002E-3</v>
      </c>
      <c r="E29" s="90">
        <f t="shared" si="2"/>
        <v>27.357868649463086</v>
      </c>
      <c r="F29" s="91"/>
      <c r="G29" s="14" t="str">
        <f t="shared" si="3"/>
        <v>(25, 30]</v>
      </c>
      <c r="H29" s="86">
        <v>0.44973431352754373</v>
      </c>
      <c r="I29" s="29">
        <f t="shared" si="4"/>
        <v>1.9267450000000001E-3</v>
      </c>
      <c r="J29" s="29">
        <f t="shared" si="5"/>
        <v>1.9267450000000001E-3</v>
      </c>
      <c r="K29" s="87">
        <f t="shared" si="6"/>
        <v>1926745</v>
      </c>
      <c r="L29" s="100">
        <f t="shared" si="7"/>
        <v>1.9104886331159302E-3</v>
      </c>
      <c r="M29" s="100">
        <f t="shared" si="8"/>
        <v>5.2266897081077894E-2</v>
      </c>
      <c r="N29" s="88"/>
      <c r="O29" s="47">
        <v>25</v>
      </c>
      <c r="P29" s="47">
        <v>30</v>
      </c>
      <c r="Q29" s="100">
        <f t="shared" si="9"/>
        <v>1.9104886331159302E-3</v>
      </c>
      <c r="R29" s="100">
        <v>1.3159999999999999E-3</v>
      </c>
      <c r="T29" s="29"/>
      <c r="U29" s="52">
        <f t="shared" si="10"/>
        <v>0</v>
      </c>
    </row>
    <row r="30" spans="1:21" x14ac:dyDescent="0.3">
      <c r="A30" s="14" t="str">
        <f t="shared" si="0"/>
        <v>(30, 35]</v>
      </c>
      <c r="B30" s="89">
        <v>3019933</v>
      </c>
      <c r="C30" s="89">
        <v>9787573815</v>
      </c>
      <c r="D30" s="29">
        <f t="shared" si="1"/>
        <v>3.0199329999999998E-3</v>
      </c>
      <c r="E30" s="90">
        <f t="shared" si="2"/>
        <v>32.409903845548889</v>
      </c>
      <c r="F30" s="91"/>
      <c r="G30" s="14" t="str">
        <f t="shared" si="3"/>
        <v>(30, 35]</v>
      </c>
      <c r="H30" s="86">
        <v>0</v>
      </c>
      <c r="I30" s="29">
        <f t="shared" si="4"/>
        <v>0</v>
      </c>
      <c r="J30" s="29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7">
        <v>30</v>
      </c>
      <c r="P30" s="47">
        <v>35</v>
      </c>
      <c r="Q30" s="100">
        <f t="shared" si="9"/>
        <v>0</v>
      </c>
      <c r="R30" s="100">
        <v>6.3699999999999998E-4</v>
      </c>
      <c r="T30" s="29"/>
      <c r="U30" s="52">
        <f t="shared" si="10"/>
        <v>0</v>
      </c>
    </row>
    <row r="31" spans="1:21" x14ac:dyDescent="0.3">
      <c r="A31" s="14" t="str">
        <f t="shared" si="0"/>
        <v>(35, 40]</v>
      </c>
      <c r="B31" s="89">
        <v>2320118</v>
      </c>
      <c r="C31" s="89">
        <v>8680968890</v>
      </c>
      <c r="D31" s="29">
        <f t="shared" si="1"/>
        <v>2.3201179999999999E-3</v>
      </c>
      <c r="E31" s="90">
        <f t="shared" si="2"/>
        <v>37.41606629490397</v>
      </c>
      <c r="F31" s="91"/>
      <c r="G31" s="14" t="str">
        <f t="shared" si="3"/>
        <v>(35, 40]</v>
      </c>
      <c r="H31" s="86">
        <v>0</v>
      </c>
      <c r="I31" s="29">
        <f t="shared" si="4"/>
        <v>0</v>
      </c>
      <c r="J31" s="29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7">
        <v>35</v>
      </c>
      <c r="P31" s="47">
        <v>40</v>
      </c>
      <c r="Q31" s="100">
        <f t="shared" si="9"/>
        <v>0</v>
      </c>
      <c r="R31" s="100">
        <v>4.46E-4</v>
      </c>
      <c r="T31" s="29"/>
      <c r="U31" s="52">
        <f t="shared" si="10"/>
        <v>0</v>
      </c>
    </row>
    <row r="32" spans="1:21" x14ac:dyDescent="0.3">
      <c r="A32" s="14" t="str">
        <f t="shared" si="0"/>
        <v>(40, 45]</v>
      </c>
      <c r="B32" s="89">
        <v>1700714</v>
      </c>
      <c r="C32" s="89">
        <v>7213356120</v>
      </c>
      <c r="D32" s="29">
        <f t="shared" si="1"/>
        <v>1.7007140000000001E-3</v>
      </c>
      <c r="E32" s="90">
        <f t="shared" si="2"/>
        <v>42.413692837243651</v>
      </c>
      <c r="F32" s="91"/>
      <c r="G32" s="14" t="str">
        <f t="shared" si="3"/>
        <v>(40, 45]</v>
      </c>
      <c r="H32" s="86">
        <v>0</v>
      </c>
      <c r="I32" s="29">
        <f t="shared" si="4"/>
        <v>0</v>
      </c>
      <c r="J32" s="29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7">
        <v>40</v>
      </c>
      <c r="P32" s="47">
        <v>45</v>
      </c>
      <c r="Q32" s="100">
        <f t="shared" si="9"/>
        <v>0</v>
      </c>
      <c r="R32" s="100">
        <v>2.7599999999999999E-4</v>
      </c>
      <c r="T32" s="29"/>
      <c r="U32" s="52">
        <f t="shared" si="10"/>
        <v>0</v>
      </c>
    </row>
    <row r="33" spans="1:21" x14ac:dyDescent="0.3">
      <c r="A33" s="14" t="str">
        <f t="shared" si="0"/>
        <v>(45, 50]</v>
      </c>
      <c r="B33" s="89">
        <v>1324002</v>
      </c>
      <c r="C33" s="89">
        <v>6284776125</v>
      </c>
      <c r="D33" s="29">
        <f t="shared" si="1"/>
        <v>1.3240019999999999E-3</v>
      </c>
      <c r="E33" s="90">
        <f t="shared" si="2"/>
        <v>47.468025916879277</v>
      </c>
      <c r="F33" s="91"/>
      <c r="G33" s="14" t="str">
        <f t="shared" si="3"/>
        <v>(45, 50]</v>
      </c>
      <c r="H33" s="86">
        <v>0</v>
      </c>
      <c r="I33" s="29">
        <f t="shared" si="4"/>
        <v>0</v>
      </c>
      <c r="J33" s="29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7">
        <v>45</v>
      </c>
      <c r="P33" s="47">
        <v>50</v>
      </c>
      <c r="Q33" s="100">
        <f t="shared" si="9"/>
        <v>0</v>
      </c>
      <c r="R33" s="100">
        <v>2.34E-4</v>
      </c>
      <c r="T33" s="29"/>
      <c r="U33" s="52">
        <f t="shared" si="10"/>
        <v>0</v>
      </c>
    </row>
    <row r="34" spans="1:21" x14ac:dyDescent="0.3">
      <c r="A34" s="14" t="str">
        <f t="shared" si="0"/>
        <v>(50, 60]</v>
      </c>
      <c r="B34" s="89">
        <v>1847035</v>
      </c>
      <c r="C34" s="89">
        <v>10084132345</v>
      </c>
      <c r="D34" s="29">
        <f t="shared" si="1"/>
        <v>1.8470349999999999E-3</v>
      </c>
      <c r="E34" s="90">
        <f t="shared" si="2"/>
        <v>54.596325164385078</v>
      </c>
      <c r="F34" s="91"/>
      <c r="G34" s="14" t="str">
        <f t="shared" si="3"/>
        <v>(50, 60]</v>
      </c>
      <c r="H34" s="86">
        <v>0</v>
      </c>
      <c r="I34" s="29">
        <f t="shared" si="4"/>
        <v>0</v>
      </c>
      <c r="J34" s="29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7">
        <v>50</v>
      </c>
      <c r="P34" s="47">
        <v>60</v>
      </c>
      <c r="Q34" s="100">
        <f t="shared" si="9"/>
        <v>0</v>
      </c>
      <c r="R34" s="100">
        <v>5.0900000000000001E-4</v>
      </c>
      <c r="T34" s="29"/>
      <c r="U34" s="52">
        <f t="shared" si="10"/>
        <v>0</v>
      </c>
    </row>
    <row r="35" spans="1:21" x14ac:dyDescent="0.3">
      <c r="A35" s="14" t="str">
        <f t="shared" si="0"/>
        <v>(60, 70]</v>
      </c>
      <c r="B35" s="89">
        <v>1173994</v>
      </c>
      <c r="C35" s="89">
        <v>7594701825</v>
      </c>
      <c r="D35" s="29">
        <f t="shared" si="1"/>
        <v>1.173994E-3</v>
      </c>
      <c r="E35" s="90">
        <f t="shared" si="2"/>
        <v>64.69114684572493</v>
      </c>
      <c r="F35" s="91"/>
      <c r="G35" s="14" t="str">
        <f t="shared" si="3"/>
        <v>(60, 70]</v>
      </c>
      <c r="H35" s="86">
        <v>0</v>
      </c>
      <c r="I35" s="29">
        <f t="shared" si="4"/>
        <v>0</v>
      </c>
      <c r="J35" s="29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7">
        <v>60</v>
      </c>
      <c r="P35" s="47">
        <v>70</v>
      </c>
      <c r="Q35" s="100">
        <f t="shared" si="9"/>
        <v>0</v>
      </c>
      <c r="R35" s="100">
        <v>2.9700000000000001E-4</v>
      </c>
      <c r="T35" s="29"/>
      <c r="U35" s="52">
        <f t="shared" si="10"/>
        <v>0</v>
      </c>
    </row>
    <row r="36" spans="1:21" x14ac:dyDescent="0.3">
      <c r="A36" s="14" t="str">
        <f t="shared" si="0"/>
        <v>(70, 80]</v>
      </c>
      <c r="B36" s="89">
        <v>783561</v>
      </c>
      <c r="C36" s="89">
        <v>5852326655</v>
      </c>
      <c r="D36" s="29">
        <f t="shared" si="1"/>
        <v>7.83561E-4</v>
      </c>
      <c r="E36" s="90">
        <f t="shared" si="2"/>
        <v>74.688845603596917</v>
      </c>
      <c r="F36" s="91"/>
      <c r="G36" s="14" t="str">
        <f t="shared" si="3"/>
        <v>(70, 80]</v>
      </c>
      <c r="H36" s="86">
        <v>0</v>
      </c>
      <c r="I36" s="29">
        <f t="shared" si="4"/>
        <v>0</v>
      </c>
      <c r="J36" s="29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7">
        <v>70</v>
      </c>
      <c r="P36" s="47">
        <v>80</v>
      </c>
      <c r="Q36" s="100">
        <f t="shared" si="9"/>
        <v>0</v>
      </c>
      <c r="R36" s="100">
        <v>1.06E-4</v>
      </c>
      <c r="T36" s="29"/>
      <c r="U36" s="52">
        <f t="shared" si="10"/>
        <v>0</v>
      </c>
    </row>
    <row r="37" spans="1:21" x14ac:dyDescent="0.3">
      <c r="A37" s="14" t="str">
        <f t="shared" si="0"/>
        <v>(80, 90]</v>
      </c>
      <c r="B37" s="89">
        <v>514288</v>
      </c>
      <c r="C37" s="89">
        <v>4355235275</v>
      </c>
      <c r="D37" s="29">
        <f t="shared" si="1"/>
        <v>5.1428800000000001E-4</v>
      </c>
      <c r="E37" s="90">
        <f t="shared" si="2"/>
        <v>84.684753970537912</v>
      </c>
      <c r="F37" s="91"/>
      <c r="G37" s="14" t="str">
        <f t="shared" si="3"/>
        <v>(80, 90]</v>
      </c>
      <c r="H37" s="86">
        <v>0</v>
      </c>
      <c r="I37" s="29">
        <f t="shared" si="4"/>
        <v>0</v>
      </c>
      <c r="J37" s="29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7">
        <v>80</v>
      </c>
      <c r="P37" s="47">
        <v>90</v>
      </c>
      <c r="Q37" s="100">
        <f t="shared" si="9"/>
        <v>0</v>
      </c>
      <c r="R37" s="100">
        <v>6.3999999999999997E-5</v>
      </c>
      <c r="T37" s="29"/>
      <c r="U37" s="52">
        <f t="shared" si="10"/>
        <v>0</v>
      </c>
    </row>
    <row r="38" spans="1:21" x14ac:dyDescent="0.3">
      <c r="A38" s="14" t="str">
        <f t="shared" si="0"/>
        <v>(90, 100]</v>
      </c>
      <c r="B38" s="89">
        <v>363270</v>
      </c>
      <c r="C38" s="89">
        <v>3443690050</v>
      </c>
      <c r="D38" s="29">
        <f t="shared" si="1"/>
        <v>3.6327000000000001E-4</v>
      </c>
      <c r="E38" s="90">
        <f t="shared" si="2"/>
        <v>94.796984336719248</v>
      </c>
      <c r="F38" s="91"/>
      <c r="G38" s="14" t="str">
        <f t="shared" si="3"/>
        <v>(90, 100]</v>
      </c>
      <c r="H38" s="86">
        <v>0</v>
      </c>
      <c r="I38" s="29">
        <f t="shared" si="4"/>
        <v>0</v>
      </c>
      <c r="J38" s="29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7">
        <v>90</v>
      </c>
      <c r="P38" s="47">
        <v>100</v>
      </c>
      <c r="Q38" s="100">
        <f t="shared" si="9"/>
        <v>0</v>
      </c>
      <c r="R38" s="100">
        <v>1.06E-4</v>
      </c>
      <c r="T38" s="29"/>
      <c r="U38" s="52">
        <f t="shared" si="10"/>
        <v>0</v>
      </c>
    </row>
    <row r="39" spans="1:21" x14ac:dyDescent="0.3">
      <c r="A39" s="14" t="str">
        <f t="shared" si="0"/>
        <v>(100, 120]</v>
      </c>
      <c r="B39" s="89">
        <v>428416</v>
      </c>
      <c r="C39" s="89">
        <v>4661097590</v>
      </c>
      <c r="D39" s="29">
        <f t="shared" si="1"/>
        <v>4.2841599999999999E-4</v>
      </c>
      <c r="E39" s="90">
        <f t="shared" si="2"/>
        <v>108.79840132021212</v>
      </c>
      <c r="F39" s="91"/>
      <c r="G39" s="14" t="str">
        <f t="shared" si="3"/>
        <v>(100, 120]</v>
      </c>
      <c r="H39" s="86">
        <v>0</v>
      </c>
      <c r="I39" s="29">
        <f t="shared" si="4"/>
        <v>0</v>
      </c>
      <c r="J39" s="29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7">
        <v>100</v>
      </c>
      <c r="P39" s="47">
        <v>120</v>
      </c>
      <c r="Q39" s="100">
        <f t="shared" si="9"/>
        <v>0</v>
      </c>
      <c r="R39" s="100">
        <v>6.3999999999999997E-5</v>
      </c>
      <c r="T39" s="29"/>
      <c r="U39" s="52">
        <f t="shared" si="10"/>
        <v>0</v>
      </c>
    </row>
    <row r="40" spans="1:21" x14ac:dyDescent="0.3">
      <c r="A40" s="14" t="str">
        <f t="shared" si="0"/>
        <v>(120, 140]</v>
      </c>
      <c r="B40" s="89">
        <v>228606</v>
      </c>
      <c r="C40" s="89">
        <v>2949643405</v>
      </c>
      <c r="D40" s="29">
        <f t="shared" si="1"/>
        <v>2.2860600000000001E-4</v>
      </c>
      <c r="E40" s="90">
        <f t="shared" si="2"/>
        <v>129.02738357698396</v>
      </c>
      <c r="F40" s="91"/>
      <c r="G40" s="14" t="str">
        <f t="shared" si="3"/>
        <v>(120, 140]</v>
      </c>
      <c r="H40" s="86">
        <v>0</v>
      </c>
      <c r="I40" s="29">
        <f t="shared" si="4"/>
        <v>0</v>
      </c>
      <c r="J40" s="29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7">
        <v>120</v>
      </c>
      <c r="P40" s="47">
        <v>140</v>
      </c>
      <c r="Q40" s="100">
        <f t="shared" si="9"/>
        <v>0</v>
      </c>
      <c r="R40" s="100">
        <v>2.0999999999999999E-5</v>
      </c>
      <c r="T40" s="29"/>
      <c r="U40" s="52">
        <f t="shared" si="10"/>
        <v>0</v>
      </c>
    </row>
    <row r="41" spans="1:21" x14ac:dyDescent="0.3">
      <c r="A41" s="14" t="str">
        <f t="shared" si="0"/>
        <v>(140, 160]</v>
      </c>
      <c r="B41" s="89">
        <v>124806</v>
      </c>
      <c r="C41" s="89">
        <v>1859796675</v>
      </c>
      <c r="D41" s="29">
        <f t="shared" si="1"/>
        <v>1.2480600000000001E-4</v>
      </c>
      <c r="E41" s="90">
        <f t="shared" si="2"/>
        <v>149.01500528820731</v>
      </c>
      <c r="F41" s="91"/>
      <c r="G41" s="14" t="str">
        <f t="shared" si="3"/>
        <v>(140, 160]</v>
      </c>
      <c r="H41" s="86">
        <v>0</v>
      </c>
      <c r="I41" s="29">
        <f t="shared" si="4"/>
        <v>0</v>
      </c>
      <c r="J41" s="29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7">
        <v>140</v>
      </c>
      <c r="P41" s="47">
        <v>160</v>
      </c>
      <c r="Q41" s="100">
        <f t="shared" si="9"/>
        <v>0</v>
      </c>
      <c r="R41" s="100">
        <v>0</v>
      </c>
      <c r="T41" s="29"/>
      <c r="U41" s="52">
        <f t="shared" si="10"/>
        <v>0</v>
      </c>
    </row>
    <row r="42" spans="1:21" x14ac:dyDescent="0.3">
      <c r="A42" s="14" t="str">
        <f t="shared" si="0"/>
        <v>(160, 180]</v>
      </c>
      <c r="B42" s="89">
        <v>69153</v>
      </c>
      <c r="C42" s="89">
        <v>1168637345</v>
      </c>
      <c r="D42" s="29">
        <f t="shared" si="1"/>
        <v>6.9152999999999993E-5</v>
      </c>
      <c r="E42" s="90">
        <f t="shared" si="2"/>
        <v>168.99300753401877</v>
      </c>
      <c r="F42" s="91"/>
      <c r="G42" s="14" t="str">
        <f t="shared" si="3"/>
        <v>(160, 180]</v>
      </c>
      <c r="H42" s="86">
        <v>0</v>
      </c>
      <c r="I42" s="29">
        <f t="shared" si="4"/>
        <v>0</v>
      </c>
      <c r="J42" s="29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7">
        <v>160</v>
      </c>
      <c r="P42" s="47">
        <v>180</v>
      </c>
      <c r="Q42" s="100">
        <f t="shared" si="9"/>
        <v>0</v>
      </c>
      <c r="R42" s="100">
        <v>0</v>
      </c>
      <c r="T42" s="29"/>
      <c r="U42" s="52">
        <f t="shared" si="10"/>
        <v>0</v>
      </c>
    </row>
    <row r="43" spans="1:21" x14ac:dyDescent="0.3">
      <c r="A43" s="14" t="str">
        <f t="shared" si="0"/>
        <v>(180, 200]</v>
      </c>
      <c r="B43" s="89">
        <v>44984</v>
      </c>
      <c r="C43" s="89">
        <v>851786160</v>
      </c>
      <c r="D43" s="29">
        <f t="shared" si="1"/>
        <v>4.4984000000000002E-5</v>
      </c>
      <c r="E43" s="90">
        <f t="shared" si="2"/>
        <v>189.35313889382891</v>
      </c>
      <c r="F43" s="91"/>
      <c r="G43" s="14" t="str">
        <f t="shared" si="3"/>
        <v>(180, 200]</v>
      </c>
      <c r="H43" s="86">
        <v>0</v>
      </c>
      <c r="I43" s="29">
        <f t="shared" si="4"/>
        <v>0</v>
      </c>
      <c r="J43" s="29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7">
        <v>180</v>
      </c>
      <c r="P43" s="47">
        <v>200</v>
      </c>
      <c r="Q43" s="100">
        <f t="shared" si="9"/>
        <v>0</v>
      </c>
      <c r="R43" s="100">
        <v>2.0999999999999999E-5</v>
      </c>
      <c r="T43" s="29"/>
      <c r="U43" s="52">
        <f t="shared" si="10"/>
        <v>0</v>
      </c>
    </row>
    <row r="44" spans="1:21" x14ac:dyDescent="0.3">
      <c r="A44" s="14" t="str">
        <f t="shared" si="0"/>
        <v>(200, 250]</v>
      </c>
      <c r="B44" s="89">
        <v>47840</v>
      </c>
      <c r="C44" s="89">
        <v>1054156880</v>
      </c>
      <c r="D44" s="29">
        <f t="shared" si="1"/>
        <v>4.7840000000000003E-5</v>
      </c>
      <c r="E44" s="90">
        <f t="shared" si="2"/>
        <v>220.35051839464882</v>
      </c>
      <c r="F44" s="91"/>
      <c r="G44" s="14" t="str">
        <f t="shared" si="3"/>
        <v>(200, 250]</v>
      </c>
      <c r="H44" s="86">
        <v>0</v>
      </c>
      <c r="I44" s="29">
        <f t="shared" si="4"/>
        <v>0</v>
      </c>
      <c r="J44" s="29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7">
        <v>200</v>
      </c>
      <c r="P44" s="47">
        <v>250</v>
      </c>
      <c r="Q44" s="100">
        <f t="shared" si="9"/>
        <v>0</v>
      </c>
      <c r="R44" s="100">
        <v>0</v>
      </c>
      <c r="T44" s="29"/>
      <c r="U44" s="52">
        <f t="shared" si="10"/>
        <v>0</v>
      </c>
    </row>
    <row r="45" spans="1:21" x14ac:dyDescent="0.3">
      <c r="A45" s="14" t="str">
        <f t="shared" si="0"/>
        <v>(250, 300]</v>
      </c>
      <c r="B45" s="89">
        <v>18019</v>
      </c>
      <c r="C45" s="89">
        <v>487888510</v>
      </c>
      <c r="D45" s="29">
        <f t="shared" si="1"/>
        <v>1.8019000000000001E-5</v>
      </c>
      <c r="E45" s="90">
        <f t="shared" si="2"/>
        <v>270.76336644652866</v>
      </c>
      <c r="F45" s="91"/>
      <c r="G45" s="14" t="str">
        <f t="shared" si="3"/>
        <v>(250, 300]</v>
      </c>
      <c r="H45" s="86">
        <v>0</v>
      </c>
      <c r="I45" s="29">
        <f t="shared" si="4"/>
        <v>0</v>
      </c>
      <c r="J45" s="29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7">
        <v>250</v>
      </c>
      <c r="P45" s="47">
        <v>300</v>
      </c>
      <c r="Q45" s="100">
        <f t="shared" si="9"/>
        <v>0</v>
      </c>
      <c r="R45" s="100">
        <v>0</v>
      </c>
      <c r="T45" s="29"/>
      <c r="U45" s="52">
        <f t="shared" si="10"/>
        <v>0</v>
      </c>
    </row>
    <row r="46" spans="1:21" x14ac:dyDescent="0.3">
      <c r="A46" s="14" t="str">
        <f t="shared" si="0"/>
        <v>(300, 350]</v>
      </c>
      <c r="B46" s="89">
        <v>6545</v>
      </c>
      <c r="C46" s="89">
        <v>210151740</v>
      </c>
      <c r="D46" s="29">
        <f t="shared" si="1"/>
        <v>6.545E-6</v>
      </c>
      <c r="E46" s="90">
        <f t="shared" si="2"/>
        <v>321.08745607333844</v>
      </c>
      <c r="F46" s="91"/>
      <c r="G46" s="14" t="str">
        <f t="shared" si="3"/>
        <v>(300, 350]</v>
      </c>
      <c r="H46" s="86">
        <v>0</v>
      </c>
      <c r="I46" s="29">
        <f t="shared" si="4"/>
        <v>0</v>
      </c>
      <c r="J46" s="29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7">
        <v>300</v>
      </c>
      <c r="P46" s="47">
        <v>350</v>
      </c>
      <c r="Q46" s="100">
        <f t="shared" si="9"/>
        <v>0</v>
      </c>
      <c r="R46" s="100">
        <v>0</v>
      </c>
      <c r="T46" s="29"/>
      <c r="U46" s="52">
        <f t="shared" si="10"/>
        <v>0</v>
      </c>
    </row>
    <row r="47" spans="1:21" x14ac:dyDescent="0.3">
      <c r="A47" s="14" t="str">
        <f t="shared" ref="A47:A78" si="11">"("&amp;$O47&amp;", "&amp;$P47&amp;"]"</f>
        <v>(350, 400]</v>
      </c>
      <c r="B47" s="89">
        <v>3388</v>
      </c>
      <c r="C47" s="89">
        <v>126557180</v>
      </c>
      <c r="D47" s="29">
        <f t="shared" ref="D47:D78" si="12">IFERROR(B47/SUM($B$15:$B$78),0)</f>
        <v>3.388E-6</v>
      </c>
      <c r="E47" s="90">
        <f t="shared" ref="E47:E79" si="13">IFERROR(C47/B47/$B$3,0)</f>
        <v>373.54539551357732</v>
      </c>
      <c r="F47" s="91"/>
      <c r="G47" s="14" t="str">
        <f t="shared" ref="G47:G78" si="14">"("&amp;$O47&amp;", "&amp;$P47&amp;"]"</f>
        <v>(350, 400]</v>
      </c>
      <c r="H47" s="86">
        <v>0</v>
      </c>
      <c r="I47" s="29">
        <f t="shared" ref="I47:I78" si="15">D47*H47</f>
        <v>0</v>
      </c>
      <c r="J47" s="29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7">
        <v>350</v>
      </c>
      <c r="P47" s="47">
        <v>400</v>
      </c>
      <c r="Q47" s="100">
        <f t="shared" ref="Q47:Q78" si="20">L47</f>
        <v>0</v>
      </c>
      <c r="R47" s="100">
        <v>0</v>
      </c>
      <c r="T47" s="29"/>
      <c r="U47" s="52">
        <f t="shared" ref="U47:U78" si="21">IFERROR(ROUND(T47/L47,2),0)</f>
        <v>0</v>
      </c>
    </row>
    <row r="48" spans="1:21" x14ac:dyDescent="0.3">
      <c r="A48" s="14" t="str">
        <f t="shared" si="11"/>
        <v>(400, 450]</v>
      </c>
      <c r="B48" s="89">
        <v>1445</v>
      </c>
      <c r="C48" s="89">
        <v>60909905</v>
      </c>
      <c r="D48" s="29">
        <f t="shared" si="12"/>
        <v>1.4449999999999999E-6</v>
      </c>
      <c r="E48" s="90">
        <f t="shared" si="13"/>
        <v>421.52183391003462</v>
      </c>
      <c r="F48" s="91"/>
      <c r="G48" s="14" t="str">
        <f t="shared" si="14"/>
        <v>(400, 450]</v>
      </c>
      <c r="H48" s="86">
        <v>0</v>
      </c>
      <c r="I48" s="29">
        <f t="shared" si="15"/>
        <v>0</v>
      </c>
      <c r="J48" s="29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7">
        <v>400</v>
      </c>
      <c r="P48" s="47">
        <v>450</v>
      </c>
      <c r="Q48" s="100">
        <f t="shared" si="20"/>
        <v>0</v>
      </c>
      <c r="R48" s="100">
        <v>0</v>
      </c>
      <c r="T48" s="29"/>
      <c r="U48" s="52">
        <f t="shared" si="21"/>
        <v>0</v>
      </c>
    </row>
    <row r="49" spans="1:21" x14ac:dyDescent="0.3">
      <c r="A49" s="14" t="str">
        <f t="shared" si="11"/>
        <v>(450, 500]</v>
      </c>
      <c r="B49" s="89">
        <v>859</v>
      </c>
      <c r="C49" s="89">
        <v>40850940</v>
      </c>
      <c r="D49" s="29">
        <f t="shared" si="12"/>
        <v>8.5899999999999995E-7</v>
      </c>
      <c r="E49" s="90">
        <f t="shared" si="13"/>
        <v>475.56391152502908</v>
      </c>
      <c r="F49" s="91"/>
      <c r="G49" s="14" t="str">
        <f t="shared" si="14"/>
        <v>(450, 500]</v>
      </c>
      <c r="H49" s="86">
        <v>0</v>
      </c>
      <c r="I49" s="29">
        <f t="shared" si="15"/>
        <v>0</v>
      </c>
      <c r="J49" s="29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7">
        <v>450</v>
      </c>
      <c r="P49" s="47">
        <v>500</v>
      </c>
      <c r="Q49" s="100">
        <f t="shared" si="20"/>
        <v>0</v>
      </c>
      <c r="R49" s="100">
        <v>0</v>
      </c>
      <c r="T49" s="29"/>
      <c r="U49" s="52">
        <f t="shared" si="21"/>
        <v>0</v>
      </c>
    </row>
    <row r="50" spans="1:21" x14ac:dyDescent="0.3">
      <c r="A50" s="14" t="str">
        <f t="shared" si="11"/>
        <v>(500, 550]</v>
      </c>
      <c r="B50" s="89">
        <v>461</v>
      </c>
      <c r="C50" s="89">
        <v>24059565</v>
      </c>
      <c r="D50" s="29">
        <f t="shared" si="12"/>
        <v>4.6100000000000001E-7</v>
      </c>
      <c r="E50" s="90">
        <f t="shared" si="13"/>
        <v>521.89945770065071</v>
      </c>
      <c r="F50" s="91"/>
      <c r="G50" s="14" t="str">
        <f t="shared" si="14"/>
        <v>(500, 550]</v>
      </c>
      <c r="H50" s="86">
        <v>0</v>
      </c>
      <c r="I50" s="29">
        <f t="shared" si="15"/>
        <v>0</v>
      </c>
      <c r="J50" s="29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7">
        <v>500</v>
      </c>
      <c r="P50" s="47">
        <v>550</v>
      </c>
      <c r="Q50" s="100">
        <f t="shared" si="20"/>
        <v>0</v>
      </c>
      <c r="R50" s="100">
        <v>0</v>
      </c>
      <c r="T50" s="29"/>
      <c r="U50" s="52">
        <f t="shared" si="21"/>
        <v>0</v>
      </c>
    </row>
    <row r="51" spans="1:21" x14ac:dyDescent="0.3">
      <c r="A51" s="14" t="str">
        <f t="shared" si="11"/>
        <v>(550, 600]</v>
      </c>
      <c r="B51" s="89">
        <v>321</v>
      </c>
      <c r="C51" s="89">
        <v>18281215</v>
      </c>
      <c r="D51" s="29">
        <f t="shared" si="12"/>
        <v>3.2099999999999998E-7</v>
      </c>
      <c r="E51" s="90">
        <f t="shared" si="13"/>
        <v>569.50825545171347</v>
      </c>
      <c r="F51" s="91"/>
      <c r="G51" s="14" t="str">
        <f t="shared" si="14"/>
        <v>(550, 600]</v>
      </c>
      <c r="H51" s="86">
        <v>0</v>
      </c>
      <c r="I51" s="29">
        <f t="shared" si="15"/>
        <v>0</v>
      </c>
      <c r="J51" s="29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7">
        <v>550</v>
      </c>
      <c r="P51" s="47">
        <v>600</v>
      </c>
      <c r="Q51" s="100">
        <f t="shared" si="20"/>
        <v>0</v>
      </c>
      <c r="R51" s="100">
        <v>0</v>
      </c>
      <c r="T51" s="29"/>
      <c r="U51" s="52">
        <f t="shared" si="21"/>
        <v>0</v>
      </c>
    </row>
    <row r="52" spans="1:21" x14ac:dyDescent="0.3">
      <c r="A52" s="14" t="str">
        <f t="shared" si="11"/>
        <v>(600, 650]</v>
      </c>
      <c r="B52" s="89">
        <v>135</v>
      </c>
      <c r="C52" s="89">
        <v>8432440</v>
      </c>
      <c r="D52" s="29">
        <f t="shared" si="12"/>
        <v>1.35E-7</v>
      </c>
      <c r="E52" s="90">
        <f t="shared" si="13"/>
        <v>624.62518518518516</v>
      </c>
      <c r="F52" s="91"/>
      <c r="G52" s="14" t="str">
        <f t="shared" si="14"/>
        <v>(600, 650]</v>
      </c>
      <c r="H52" s="86">
        <v>0</v>
      </c>
      <c r="I52" s="29">
        <f t="shared" si="15"/>
        <v>0</v>
      </c>
      <c r="J52" s="29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7">
        <v>600</v>
      </c>
      <c r="P52" s="47">
        <v>650</v>
      </c>
      <c r="Q52" s="100">
        <f t="shared" si="20"/>
        <v>0</v>
      </c>
      <c r="R52" s="100">
        <v>0</v>
      </c>
      <c r="T52" s="29"/>
      <c r="U52" s="52">
        <f t="shared" si="21"/>
        <v>0</v>
      </c>
    </row>
    <row r="53" spans="1:21" x14ac:dyDescent="0.3">
      <c r="A53" s="14" t="str">
        <f t="shared" si="11"/>
        <v>(650, 700]</v>
      </c>
      <c r="B53" s="89">
        <v>74</v>
      </c>
      <c r="C53" s="89">
        <v>4951330</v>
      </c>
      <c r="D53" s="29">
        <f t="shared" si="12"/>
        <v>7.4000000000000001E-8</v>
      </c>
      <c r="E53" s="90">
        <f t="shared" si="13"/>
        <v>669.09864864864869</v>
      </c>
      <c r="F53" s="91"/>
      <c r="G53" s="14" t="str">
        <f t="shared" si="14"/>
        <v>(650, 700]</v>
      </c>
      <c r="H53" s="86">
        <v>0</v>
      </c>
      <c r="I53" s="29">
        <f t="shared" si="15"/>
        <v>0</v>
      </c>
      <c r="J53" s="29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7">
        <v>650</v>
      </c>
      <c r="P53" s="47">
        <v>700</v>
      </c>
      <c r="Q53" s="100">
        <f t="shared" si="20"/>
        <v>0</v>
      </c>
      <c r="R53" s="100">
        <v>0</v>
      </c>
      <c r="T53" s="29"/>
      <c r="U53" s="52">
        <f t="shared" si="21"/>
        <v>0</v>
      </c>
    </row>
    <row r="54" spans="1:21" x14ac:dyDescent="0.3">
      <c r="A54" s="14" t="str">
        <f t="shared" si="11"/>
        <v>(700, 750]</v>
      </c>
      <c r="B54" s="89">
        <v>91</v>
      </c>
      <c r="C54" s="89">
        <v>6648350</v>
      </c>
      <c r="D54" s="29">
        <f t="shared" si="12"/>
        <v>9.0999999999999994E-8</v>
      </c>
      <c r="E54" s="90">
        <f t="shared" si="13"/>
        <v>730.58791208791217</v>
      </c>
      <c r="F54" s="91"/>
      <c r="G54" s="14" t="str">
        <f t="shared" si="14"/>
        <v>(700, 750]</v>
      </c>
      <c r="H54" s="86">
        <v>0</v>
      </c>
      <c r="I54" s="29">
        <f t="shared" si="15"/>
        <v>0</v>
      </c>
      <c r="J54" s="29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7">
        <v>700</v>
      </c>
      <c r="P54" s="47">
        <v>750</v>
      </c>
      <c r="Q54" s="100">
        <f t="shared" si="20"/>
        <v>0</v>
      </c>
      <c r="R54" s="100">
        <v>0</v>
      </c>
      <c r="T54" s="29"/>
      <c r="U54" s="52">
        <f t="shared" si="21"/>
        <v>0</v>
      </c>
    </row>
    <row r="55" spans="1:21" x14ac:dyDescent="0.3">
      <c r="A55" s="14" t="str">
        <f t="shared" si="11"/>
        <v>(750, 800]</v>
      </c>
      <c r="B55" s="89">
        <v>59</v>
      </c>
      <c r="C55" s="89">
        <v>4532570</v>
      </c>
      <c r="D55" s="29">
        <f t="shared" si="12"/>
        <v>5.8999999999999999E-8</v>
      </c>
      <c r="E55" s="90">
        <f t="shared" si="13"/>
        <v>768.23220338983049</v>
      </c>
      <c r="F55" s="91"/>
      <c r="G55" s="14" t="str">
        <f t="shared" si="14"/>
        <v>(750, 800]</v>
      </c>
      <c r="H55" s="86">
        <v>0</v>
      </c>
      <c r="I55" s="29">
        <f t="shared" si="15"/>
        <v>0</v>
      </c>
      <c r="J55" s="29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7">
        <v>750</v>
      </c>
      <c r="P55" s="47">
        <v>800</v>
      </c>
      <c r="Q55" s="100">
        <f t="shared" si="20"/>
        <v>0</v>
      </c>
      <c r="R55" s="100">
        <v>0</v>
      </c>
      <c r="T55" s="29"/>
      <c r="U55" s="52">
        <f t="shared" si="21"/>
        <v>0</v>
      </c>
    </row>
    <row r="56" spans="1:21" x14ac:dyDescent="0.3">
      <c r="A56" s="14" t="str">
        <f t="shared" si="11"/>
        <v>(800, 850]</v>
      </c>
      <c r="B56" s="89">
        <v>38</v>
      </c>
      <c r="C56" s="89">
        <v>3142735</v>
      </c>
      <c r="D56" s="29">
        <f t="shared" si="12"/>
        <v>3.8000000000000003E-8</v>
      </c>
      <c r="E56" s="90">
        <f t="shared" si="13"/>
        <v>827.03552631578941</v>
      </c>
      <c r="F56" s="91"/>
      <c r="G56" s="14" t="str">
        <f t="shared" si="14"/>
        <v>(800, 850]</v>
      </c>
      <c r="H56" s="86">
        <v>0</v>
      </c>
      <c r="I56" s="29">
        <f t="shared" si="15"/>
        <v>0</v>
      </c>
      <c r="J56" s="29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7">
        <v>800</v>
      </c>
      <c r="P56" s="47">
        <v>850</v>
      </c>
      <c r="Q56" s="100">
        <f t="shared" si="20"/>
        <v>0</v>
      </c>
      <c r="R56" s="100">
        <v>0</v>
      </c>
      <c r="T56" s="29"/>
      <c r="U56" s="52">
        <f t="shared" si="21"/>
        <v>0</v>
      </c>
    </row>
    <row r="57" spans="1:21" x14ac:dyDescent="0.3">
      <c r="A57" s="14" t="str">
        <f t="shared" si="11"/>
        <v>(850, 900]</v>
      </c>
      <c r="B57" s="89">
        <v>11</v>
      </c>
      <c r="C57" s="89">
        <v>959050</v>
      </c>
      <c r="D57" s="29">
        <f t="shared" si="12"/>
        <v>1.0999999999999999E-8</v>
      </c>
      <c r="E57" s="90">
        <f t="shared" si="13"/>
        <v>871.86363636363637</v>
      </c>
      <c r="F57" s="91"/>
      <c r="G57" s="14" t="str">
        <f t="shared" si="14"/>
        <v>(850, 900]</v>
      </c>
      <c r="H57" s="86">
        <v>0</v>
      </c>
      <c r="I57" s="29">
        <f t="shared" si="15"/>
        <v>0</v>
      </c>
      <c r="J57" s="29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7">
        <v>850</v>
      </c>
      <c r="P57" s="47">
        <v>900</v>
      </c>
      <c r="Q57" s="100">
        <f t="shared" si="20"/>
        <v>0</v>
      </c>
      <c r="R57" s="100">
        <v>0</v>
      </c>
      <c r="T57" s="29"/>
      <c r="U57" s="52">
        <f t="shared" si="21"/>
        <v>0</v>
      </c>
    </row>
    <row r="58" spans="1:21" x14ac:dyDescent="0.3">
      <c r="A58" s="14" t="str">
        <f t="shared" si="11"/>
        <v>(900, 950]</v>
      </c>
      <c r="B58" s="89">
        <v>16</v>
      </c>
      <c r="C58" s="89">
        <v>1478095</v>
      </c>
      <c r="D58" s="29">
        <f t="shared" si="12"/>
        <v>1.6000000000000001E-8</v>
      </c>
      <c r="E58" s="90">
        <f t="shared" si="13"/>
        <v>923.80937500000005</v>
      </c>
      <c r="F58" s="91"/>
      <c r="G58" s="14" t="str">
        <f t="shared" si="14"/>
        <v>(900, 950]</v>
      </c>
      <c r="H58" s="86">
        <v>0</v>
      </c>
      <c r="I58" s="29">
        <f t="shared" si="15"/>
        <v>0</v>
      </c>
      <c r="J58" s="29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7">
        <v>900</v>
      </c>
      <c r="P58" s="47">
        <v>950</v>
      </c>
      <c r="Q58" s="100">
        <f t="shared" si="20"/>
        <v>0</v>
      </c>
      <c r="R58" s="100">
        <v>0</v>
      </c>
      <c r="T58" s="29"/>
      <c r="U58" s="52">
        <f t="shared" si="21"/>
        <v>0</v>
      </c>
    </row>
    <row r="59" spans="1:21" x14ac:dyDescent="0.3">
      <c r="A59" s="14" t="str">
        <f t="shared" si="11"/>
        <v>(950, 1000]</v>
      </c>
      <c r="B59" s="89">
        <v>13</v>
      </c>
      <c r="C59" s="89">
        <v>1274470</v>
      </c>
      <c r="D59" s="29">
        <f t="shared" si="12"/>
        <v>1.3000000000000001E-8</v>
      </c>
      <c r="E59" s="90">
        <f t="shared" si="13"/>
        <v>980.36153846153843</v>
      </c>
      <c r="F59" s="91"/>
      <c r="G59" s="14" t="str">
        <f t="shared" si="14"/>
        <v>(950, 1000]</v>
      </c>
      <c r="H59" s="86">
        <v>0</v>
      </c>
      <c r="I59" s="29">
        <f t="shared" si="15"/>
        <v>0</v>
      </c>
      <c r="J59" s="29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7">
        <v>950</v>
      </c>
      <c r="P59" s="47">
        <v>1000</v>
      </c>
      <c r="Q59" s="100">
        <f t="shared" si="20"/>
        <v>0</v>
      </c>
      <c r="R59" s="100">
        <v>0</v>
      </c>
      <c r="T59" s="29"/>
      <c r="U59" s="52">
        <f t="shared" si="21"/>
        <v>0</v>
      </c>
    </row>
    <row r="60" spans="1:21" x14ac:dyDescent="0.3">
      <c r="A60" s="14" t="str">
        <f t="shared" si="11"/>
        <v>(1000, 2000]</v>
      </c>
      <c r="B60" s="89">
        <v>30</v>
      </c>
      <c r="C60" s="89">
        <v>3442955</v>
      </c>
      <c r="D60" s="29">
        <f t="shared" si="12"/>
        <v>2.9999999999999997E-8</v>
      </c>
      <c r="E60" s="90">
        <f t="shared" si="13"/>
        <v>1147.6516666666666</v>
      </c>
      <c r="F60" s="91"/>
      <c r="G60" s="14" t="str">
        <f t="shared" si="14"/>
        <v>(1000, 2000]</v>
      </c>
      <c r="H60" s="86">
        <v>0</v>
      </c>
      <c r="I60" s="29">
        <f t="shared" si="15"/>
        <v>0</v>
      </c>
      <c r="J60" s="29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7">
        <v>1000</v>
      </c>
      <c r="P60" s="47">
        <v>2000</v>
      </c>
      <c r="Q60" s="100">
        <f t="shared" si="20"/>
        <v>0</v>
      </c>
      <c r="R60" s="100">
        <v>0</v>
      </c>
      <c r="T60" s="29"/>
      <c r="U60" s="52">
        <f t="shared" si="21"/>
        <v>0</v>
      </c>
    </row>
    <row r="61" spans="1:21" x14ac:dyDescent="0.3">
      <c r="A61" s="14" t="str">
        <f t="shared" si="11"/>
        <v>(2000, 3000]</v>
      </c>
      <c r="B61" s="89">
        <v>0</v>
      </c>
      <c r="C61" s="89">
        <v>0</v>
      </c>
      <c r="D61" s="29">
        <f t="shared" si="12"/>
        <v>0</v>
      </c>
      <c r="E61" s="90">
        <f t="shared" si="13"/>
        <v>0</v>
      </c>
      <c r="F61" s="91"/>
      <c r="G61" s="14" t="str">
        <f t="shared" si="14"/>
        <v>(2000, 3000]</v>
      </c>
      <c r="H61" s="86">
        <v>0</v>
      </c>
      <c r="I61" s="29">
        <f t="shared" si="15"/>
        <v>0</v>
      </c>
      <c r="J61" s="29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7">
        <v>2000</v>
      </c>
      <c r="P61" s="47">
        <v>3000</v>
      </c>
      <c r="Q61" s="100">
        <f t="shared" si="20"/>
        <v>0</v>
      </c>
      <c r="R61" s="100">
        <v>0</v>
      </c>
      <c r="T61" s="29"/>
      <c r="U61" s="52">
        <f t="shared" si="21"/>
        <v>0</v>
      </c>
    </row>
    <row r="62" spans="1:21" x14ac:dyDescent="0.3">
      <c r="A62" s="14" t="str">
        <f t="shared" si="11"/>
        <v>(3000, 4000]</v>
      </c>
      <c r="B62" s="89">
        <v>0</v>
      </c>
      <c r="C62" s="89">
        <v>0</v>
      </c>
      <c r="D62" s="29">
        <f t="shared" si="12"/>
        <v>0</v>
      </c>
      <c r="E62" s="90">
        <f t="shared" si="13"/>
        <v>0</v>
      </c>
      <c r="F62" s="91"/>
      <c r="G62" s="14" t="str">
        <f t="shared" si="14"/>
        <v>(3000, 4000]</v>
      </c>
      <c r="H62" s="86">
        <v>0</v>
      </c>
      <c r="I62" s="29">
        <f t="shared" si="15"/>
        <v>0</v>
      </c>
      <c r="J62" s="29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7">
        <v>3000</v>
      </c>
      <c r="P62" s="47">
        <v>4000</v>
      </c>
      <c r="Q62" s="100">
        <f t="shared" si="20"/>
        <v>0</v>
      </c>
      <c r="R62" s="100">
        <v>0</v>
      </c>
      <c r="T62" s="29"/>
      <c r="U62" s="52">
        <f t="shared" si="21"/>
        <v>0</v>
      </c>
    </row>
    <row r="63" spans="1:21" x14ac:dyDescent="0.3">
      <c r="A63" s="14" t="str">
        <f t="shared" si="11"/>
        <v>(4000, 5000]</v>
      </c>
      <c r="B63" s="89">
        <v>0</v>
      </c>
      <c r="C63" s="89">
        <v>0</v>
      </c>
      <c r="D63" s="29">
        <f t="shared" si="12"/>
        <v>0</v>
      </c>
      <c r="E63" s="90">
        <f t="shared" si="13"/>
        <v>0</v>
      </c>
      <c r="F63" s="91"/>
      <c r="G63" s="14" t="str">
        <f t="shared" si="14"/>
        <v>(4000, 5000]</v>
      </c>
      <c r="H63" s="86">
        <v>0</v>
      </c>
      <c r="I63" s="29">
        <f t="shared" si="15"/>
        <v>0</v>
      </c>
      <c r="J63" s="29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7">
        <v>4000</v>
      </c>
      <c r="P63" s="47">
        <v>5000</v>
      </c>
      <c r="Q63" s="100">
        <f t="shared" si="20"/>
        <v>0</v>
      </c>
      <c r="R63" s="100">
        <v>0</v>
      </c>
      <c r="T63" s="29"/>
      <c r="U63" s="52">
        <f t="shared" si="21"/>
        <v>0</v>
      </c>
    </row>
    <row r="64" spans="1:21" x14ac:dyDescent="0.3">
      <c r="A64" s="14" t="str">
        <f t="shared" si="11"/>
        <v>(5000, 6000]</v>
      </c>
      <c r="B64" s="89">
        <v>0</v>
      </c>
      <c r="C64" s="89">
        <v>0</v>
      </c>
      <c r="D64" s="29">
        <f t="shared" si="12"/>
        <v>0</v>
      </c>
      <c r="E64" s="90">
        <f t="shared" si="13"/>
        <v>0</v>
      </c>
      <c r="F64" s="91"/>
      <c r="G64" s="14" t="str">
        <f t="shared" si="14"/>
        <v>(5000, 6000]</v>
      </c>
      <c r="H64" s="86">
        <v>0</v>
      </c>
      <c r="I64" s="29">
        <f t="shared" si="15"/>
        <v>0</v>
      </c>
      <c r="J64" s="29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7">
        <v>5000</v>
      </c>
      <c r="P64" s="47">
        <v>6000</v>
      </c>
      <c r="Q64" s="100">
        <f t="shared" si="20"/>
        <v>0</v>
      </c>
      <c r="R64" s="100">
        <v>0</v>
      </c>
      <c r="T64" s="29"/>
      <c r="U64" s="52">
        <f t="shared" si="21"/>
        <v>0</v>
      </c>
    </row>
    <row r="65" spans="1:21" x14ac:dyDescent="0.3">
      <c r="A65" s="14" t="str">
        <f t="shared" si="11"/>
        <v>(6000, 7000]</v>
      </c>
      <c r="B65" s="89">
        <v>0</v>
      </c>
      <c r="C65" s="89">
        <v>0</v>
      </c>
      <c r="D65" s="29">
        <f t="shared" si="12"/>
        <v>0</v>
      </c>
      <c r="E65" s="90">
        <f t="shared" si="13"/>
        <v>0</v>
      </c>
      <c r="F65" s="91"/>
      <c r="G65" s="14" t="str">
        <f t="shared" si="14"/>
        <v>(6000, 7000]</v>
      </c>
      <c r="H65" s="86">
        <v>0</v>
      </c>
      <c r="I65" s="29">
        <f t="shared" si="15"/>
        <v>0</v>
      </c>
      <c r="J65" s="29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7">
        <v>6000</v>
      </c>
      <c r="P65" s="47">
        <v>7000</v>
      </c>
      <c r="Q65" s="100">
        <f t="shared" si="20"/>
        <v>0</v>
      </c>
      <c r="R65" s="100">
        <v>0</v>
      </c>
      <c r="T65" s="29"/>
      <c r="U65" s="52">
        <f t="shared" si="21"/>
        <v>0</v>
      </c>
    </row>
    <row r="66" spans="1:21" x14ac:dyDescent="0.3">
      <c r="A66" s="14" t="str">
        <f t="shared" si="11"/>
        <v>(7000, 8000]</v>
      </c>
      <c r="B66" s="89">
        <v>0</v>
      </c>
      <c r="C66" s="89">
        <v>0</v>
      </c>
      <c r="D66" s="29">
        <f t="shared" si="12"/>
        <v>0</v>
      </c>
      <c r="E66" s="90">
        <f t="shared" si="13"/>
        <v>0</v>
      </c>
      <c r="F66" s="91"/>
      <c r="G66" s="14" t="str">
        <f t="shared" si="14"/>
        <v>(7000, 8000]</v>
      </c>
      <c r="H66" s="86">
        <v>0</v>
      </c>
      <c r="I66" s="29">
        <f t="shared" si="15"/>
        <v>0</v>
      </c>
      <c r="J66" s="29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7">
        <v>7000</v>
      </c>
      <c r="P66" s="47">
        <v>8000</v>
      </c>
      <c r="Q66" s="100">
        <f t="shared" si="20"/>
        <v>0</v>
      </c>
      <c r="R66" s="100">
        <v>0</v>
      </c>
      <c r="T66" s="29"/>
      <c r="U66" s="52">
        <f t="shared" si="21"/>
        <v>0</v>
      </c>
    </row>
    <row r="67" spans="1:21" x14ac:dyDescent="0.3">
      <c r="A67" s="14" t="str">
        <f t="shared" si="11"/>
        <v>(8000, 9000]</v>
      </c>
      <c r="B67" s="89">
        <v>0</v>
      </c>
      <c r="C67" s="89">
        <v>0</v>
      </c>
      <c r="D67" s="29">
        <f t="shared" si="12"/>
        <v>0</v>
      </c>
      <c r="E67" s="90">
        <f t="shared" si="13"/>
        <v>0</v>
      </c>
      <c r="F67" s="91"/>
      <c r="G67" s="14" t="str">
        <f t="shared" si="14"/>
        <v>(8000, 9000]</v>
      </c>
      <c r="H67" s="86">
        <v>0</v>
      </c>
      <c r="I67" s="29">
        <f t="shared" si="15"/>
        <v>0</v>
      </c>
      <c r="J67" s="29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7">
        <v>8000</v>
      </c>
      <c r="P67" s="47">
        <v>9000</v>
      </c>
      <c r="Q67" s="100">
        <f t="shared" si="20"/>
        <v>0</v>
      </c>
      <c r="R67" s="100">
        <v>0</v>
      </c>
      <c r="T67" s="29"/>
      <c r="U67" s="52">
        <f t="shared" si="21"/>
        <v>0</v>
      </c>
    </row>
    <row r="68" spans="1:21" x14ac:dyDescent="0.3">
      <c r="A68" s="14" t="str">
        <f t="shared" si="11"/>
        <v>(9000, 10000]</v>
      </c>
      <c r="B68" s="89">
        <v>0</v>
      </c>
      <c r="C68" s="89">
        <v>0</v>
      </c>
      <c r="D68" s="29">
        <f t="shared" si="12"/>
        <v>0</v>
      </c>
      <c r="E68" s="90">
        <f t="shared" si="13"/>
        <v>0</v>
      </c>
      <c r="F68" s="91"/>
      <c r="G68" s="14" t="str">
        <f t="shared" si="14"/>
        <v>(9000, 10000]</v>
      </c>
      <c r="H68" s="86">
        <v>0</v>
      </c>
      <c r="I68" s="29">
        <f t="shared" si="15"/>
        <v>0</v>
      </c>
      <c r="J68" s="29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7">
        <v>9000</v>
      </c>
      <c r="P68" s="47">
        <v>10000</v>
      </c>
      <c r="Q68" s="100">
        <f t="shared" si="20"/>
        <v>0</v>
      </c>
      <c r="R68" s="100">
        <v>0</v>
      </c>
      <c r="T68" s="29"/>
      <c r="U68" s="52">
        <f t="shared" si="21"/>
        <v>0</v>
      </c>
    </row>
    <row r="69" spans="1:21" x14ac:dyDescent="0.3">
      <c r="A69" s="14" t="str">
        <f t="shared" si="11"/>
        <v>(10000, 20000]</v>
      </c>
      <c r="B69" s="89">
        <v>0</v>
      </c>
      <c r="C69" s="89">
        <v>0</v>
      </c>
      <c r="D69" s="29">
        <f t="shared" si="12"/>
        <v>0</v>
      </c>
      <c r="E69" s="90">
        <f t="shared" si="13"/>
        <v>0</v>
      </c>
      <c r="F69" s="91"/>
      <c r="G69" s="14" t="str">
        <f t="shared" si="14"/>
        <v>(10000, 20000]</v>
      </c>
      <c r="H69" s="86">
        <v>0</v>
      </c>
      <c r="I69" s="29">
        <f t="shared" si="15"/>
        <v>0</v>
      </c>
      <c r="J69" s="29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7">
        <v>10000</v>
      </c>
      <c r="P69" s="47">
        <v>20000</v>
      </c>
      <c r="Q69" s="100">
        <f t="shared" si="20"/>
        <v>0</v>
      </c>
      <c r="R69" s="100">
        <v>0</v>
      </c>
      <c r="T69" s="29"/>
      <c r="U69" s="52">
        <f t="shared" si="21"/>
        <v>0</v>
      </c>
    </row>
    <row r="70" spans="1:21" x14ac:dyDescent="0.3">
      <c r="A70" s="14" t="str">
        <f t="shared" si="11"/>
        <v>(20000, 30000]</v>
      </c>
      <c r="B70" s="89">
        <v>0</v>
      </c>
      <c r="C70" s="89">
        <v>0</v>
      </c>
      <c r="D70" s="29">
        <f t="shared" si="12"/>
        <v>0</v>
      </c>
      <c r="E70" s="90">
        <f t="shared" si="13"/>
        <v>0</v>
      </c>
      <c r="F70" s="91"/>
      <c r="G70" s="14" t="str">
        <f t="shared" si="14"/>
        <v>(20000, 30000]</v>
      </c>
      <c r="H70" s="86">
        <v>0</v>
      </c>
      <c r="I70" s="29">
        <f t="shared" si="15"/>
        <v>0</v>
      </c>
      <c r="J70" s="29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7">
        <v>20000</v>
      </c>
      <c r="P70" s="47">
        <v>30000</v>
      </c>
      <c r="Q70" s="100">
        <f t="shared" si="20"/>
        <v>0</v>
      </c>
      <c r="R70" s="100">
        <v>0</v>
      </c>
      <c r="T70" s="29"/>
      <c r="U70" s="52">
        <f t="shared" si="21"/>
        <v>0</v>
      </c>
    </row>
    <row r="71" spans="1:21" x14ac:dyDescent="0.3">
      <c r="A71" s="14" t="str">
        <f t="shared" si="11"/>
        <v>(30000, 40000]</v>
      </c>
      <c r="B71" s="89">
        <v>0</v>
      </c>
      <c r="C71" s="89">
        <v>0</v>
      </c>
      <c r="D71" s="29">
        <f t="shared" si="12"/>
        <v>0</v>
      </c>
      <c r="E71" s="90">
        <f t="shared" si="13"/>
        <v>0</v>
      </c>
      <c r="F71" s="91"/>
      <c r="G71" s="14" t="str">
        <f t="shared" si="14"/>
        <v>(30000, 40000]</v>
      </c>
      <c r="H71" s="86">
        <v>0</v>
      </c>
      <c r="I71" s="29">
        <f t="shared" si="15"/>
        <v>0</v>
      </c>
      <c r="J71" s="29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7">
        <v>30000</v>
      </c>
      <c r="P71" s="47">
        <v>40000</v>
      </c>
      <c r="Q71" s="100">
        <f t="shared" si="20"/>
        <v>0</v>
      </c>
      <c r="R71" s="100">
        <v>0</v>
      </c>
      <c r="T71" s="29"/>
      <c r="U71" s="52">
        <f t="shared" si="21"/>
        <v>0</v>
      </c>
    </row>
    <row r="72" spans="1:21" x14ac:dyDescent="0.3">
      <c r="A72" s="14" t="str">
        <f t="shared" si="11"/>
        <v>(40000, 50000]</v>
      </c>
      <c r="B72" s="89">
        <v>0</v>
      </c>
      <c r="C72" s="89">
        <v>0</v>
      </c>
      <c r="D72" s="29">
        <f t="shared" si="12"/>
        <v>0</v>
      </c>
      <c r="E72" s="90">
        <f t="shared" si="13"/>
        <v>0</v>
      </c>
      <c r="F72" s="91"/>
      <c r="G72" s="14" t="str">
        <f t="shared" si="14"/>
        <v>(40000, 50000]</v>
      </c>
      <c r="H72" s="86">
        <v>0</v>
      </c>
      <c r="I72" s="29">
        <f t="shared" si="15"/>
        <v>0</v>
      </c>
      <c r="J72" s="29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7">
        <v>40000</v>
      </c>
      <c r="P72" s="47">
        <v>50000</v>
      </c>
      <c r="Q72" s="100">
        <f t="shared" si="20"/>
        <v>0</v>
      </c>
      <c r="R72" s="100">
        <v>0</v>
      </c>
      <c r="T72" s="29"/>
      <c r="U72" s="52">
        <f t="shared" si="21"/>
        <v>0</v>
      </c>
    </row>
    <row r="73" spans="1:21" x14ac:dyDescent="0.3">
      <c r="A73" s="14" t="str">
        <f t="shared" si="11"/>
        <v>(50000, 60000]</v>
      </c>
      <c r="B73" s="89">
        <v>0</v>
      </c>
      <c r="C73" s="89">
        <v>0</v>
      </c>
      <c r="D73" s="29">
        <f t="shared" si="12"/>
        <v>0</v>
      </c>
      <c r="E73" s="90">
        <f t="shared" si="13"/>
        <v>0</v>
      </c>
      <c r="F73" s="91"/>
      <c r="G73" s="14" t="str">
        <f t="shared" si="14"/>
        <v>(50000, 60000]</v>
      </c>
      <c r="H73" s="86">
        <v>0</v>
      </c>
      <c r="I73" s="29">
        <f t="shared" si="15"/>
        <v>0</v>
      </c>
      <c r="J73" s="29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7">
        <v>50000</v>
      </c>
      <c r="P73" s="47">
        <v>60000</v>
      </c>
      <c r="Q73" s="100">
        <f t="shared" si="20"/>
        <v>0</v>
      </c>
      <c r="R73" s="100">
        <v>0</v>
      </c>
      <c r="T73" s="29"/>
      <c r="U73" s="52">
        <f t="shared" si="21"/>
        <v>0</v>
      </c>
    </row>
    <row r="74" spans="1:21" x14ac:dyDescent="0.3">
      <c r="A74" s="14" t="str">
        <f t="shared" si="11"/>
        <v>(60000, 70000]</v>
      </c>
      <c r="B74" s="89">
        <v>0</v>
      </c>
      <c r="C74" s="89">
        <v>0</v>
      </c>
      <c r="D74" s="29">
        <f t="shared" si="12"/>
        <v>0</v>
      </c>
      <c r="E74" s="90">
        <f t="shared" si="13"/>
        <v>0</v>
      </c>
      <c r="F74" s="91"/>
      <c r="G74" s="14" t="str">
        <f t="shared" si="14"/>
        <v>(60000, 70000]</v>
      </c>
      <c r="H74" s="86">
        <v>0</v>
      </c>
      <c r="I74" s="29">
        <f t="shared" si="15"/>
        <v>0</v>
      </c>
      <c r="J74" s="29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7">
        <v>60000</v>
      </c>
      <c r="P74" s="47">
        <v>70000</v>
      </c>
      <c r="Q74" s="100">
        <f t="shared" si="20"/>
        <v>0</v>
      </c>
      <c r="R74" s="100">
        <v>0</v>
      </c>
      <c r="T74" s="29"/>
      <c r="U74" s="52">
        <f t="shared" si="21"/>
        <v>0</v>
      </c>
    </row>
    <row r="75" spans="1:21" x14ac:dyDescent="0.3">
      <c r="A75" s="14" t="str">
        <f t="shared" si="11"/>
        <v>(70000, 80000]</v>
      </c>
      <c r="B75" s="89">
        <v>0</v>
      </c>
      <c r="C75" s="89">
        <v>0</v>
      </c>
      <c r="D75" s="29">
        <f t="shared" si="12"/>
        <v>0</v>
      </c>
      <c r="E75" s="90">
        <f t="shared" si="13"/>
        <v>0</v>
      </c>
      <c r="F75" s="91"/>
      <c r="G75" s="14" t="str">
        <f t="shared" si="14"/>
        <v>(70000, 80000]</v>
      </c>
      <c r="H75" s="86">
        <v>0</v>
      </c>
      <c r="I75" s="29">
        <f t="shared" si="15"/>
        <v>0</v>
      </c>
      <c r="J75" s="29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7">
        <v>70000</v>
      </c>
      <c r="P75" s="47">
        <v>80000</v>
      </c>
      <c r="Q75" s="100">
        <f t="shared" si="20"/>
        <v>0</v>
      </c>
      <c r="R75" s="100">
        <v>0</v>
      </c>
      <c r="T75" s="29"/>
      <c r="U75" s="52">
        <f t="shared" si="21"/>
        <v>0</v>
      </c>
    </row>
    <row r="76" spans="1:21" x14ac:dyDescent="0.3">
      <c r="A76" s="14" t="str">
        <f t="shared" si="11"/>
        <v>(80000, 90000]</v>
      </c>
      <c r="B76" s="89">
        <v>0</v>
      </c>
      <c r="C76" s="89">
        <v>0</v>
      </c>
      <c r="D76" s="29">
        <f t="shared" si="12"/>
        <v>0</v>
      </c>
      <c r="E76" s="90">
        <f t="shared" si="13"/>
        <v>0</v>
      </c>
      <c r="F76" s="91"/>
      <c r="G76" s="14" t="str">
        <f t="shared" si="14"/>
        <v>(80000, 90000]</v>
      </c>
      <c r="H76" s="86">
        <v>0</v>
      </c>
      <c r="I76" s="29">
        <f t="shared" si="15"/>
        <v>0</v>
      </c>
      <c r="J76" s="29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7">
        <v>80000</v>
      </c>
      <c r="P76" s="47">
        <v>90000</v>
      </c>
      <c r="Q76" s="100">
        <f t="shared" si="20"/>
        <v>0</v>
      </c>
      <c r="R76" s="100">
        <v>0</v>
      </c>
      <c r="T76" s="29"/>
      <c r="U76" s="52">
        <f t="shared" si="21"/>
        <v>0</v>
      </c>
    </row>
    <row r="77" spans="1:21" x14ac:dyDescent="0.3">
      <c r="A77" s="14" t="str">
        <f t="shared" si="11"/>
        <v>(90000, 100000]</v>
      </c>
      <c r="B77" s="89">
        <v>0</v>
      </c>
      <c r="C77" s="89">
        <v>0</v>
      </c>
      <c r="D77" s="29">
        <f t="shared" si="12"/>
        <v>0</v>
      </c>
      <c r="E77" s="90">
        <f t="shared" si="13"/>
        <v>0</v>
      </c>
      <c r="F77" s="91"/>
      <c r="G77" s="14" t="str">
        <f t="shared" si="14"/>
        <v>(90000, 100000]</v>
      </c>
      <c r="H77" s="86">
        <v>0</v>
      </c>
      <c r="I77" s="29">
        <f t="shared" si="15"/>
        <v>0</v>
      </c>
      <c r="J77" s="29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7">
        <v>90000</v>
      </c>
      <c r="P77" s="47">
        <v>100000</v>
      </c>
      <c r="Q77" s="100">
        <f t="shared" si="20"/>
        <v>0</v>
      </c>
      <c r="R77" s="100">
        <v>0</v>
      </c>
      <c r="T77" s="29"/>
      <c r="U77" s="52">
        <f t="shared" si="21"/>
        <v>0</v>
      </c>
    </row>
    <row r="78" spans="1:21" x14ac:dyDescent="0.3">
      <c r="A78" s="14" t="str">
        <f t="shared" si="11"/>
        <v>(100000, 9999999]</v>
      </c>
      <c r="B78" s="89">
        <v>0</v>
      </c>
      <c r="C78" s="89">
        <v>0</v>
      </c>
      <c r="D78" s="29">
        <f t="shared" si="12"/>
        <v>0</v>
      </c>
      <c r="E78" s="90">
        <f t="shared" si="13"/>
        <v>0</v>
      </c>
      <c r="F78" s="91"/>
      <c r="G78" s="14" t="str">
        <f t="shared" si="14"/>
        <v>(100000, 9999999]</v>
      </c>
      <c r="H78" s="86">
        <v>0</v>
      </c>
      <c r="I78" s="29">
        <f t="shared" si="15"/>
        <v>0</v>
      </c>
      <c r="J78" s="29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7">
        <v>100000</v>
      </c>
      <c r="P78" s="47">
        <v>9999999</v>
      </c>
      <c r="Q78" s="100">
        <f t="shared" si="20"/>
        <v>0</v>
      </c>
      <c r="R78" s="100">
        <v>0</v>
      </c>
      <c r="T78" s="29"/>
      <c r="U78" s="52">
        <f t="shared" si="21"/>
        <v>0</v>
      </c>
    </row>
    <row r="79" spans="1:21" x14ac:dyDescent="0.3">
      <c r="A79" s="14" t="s">
        <v>19</v>
      </c>
      <c r="B79" s="89">
        <v>8364049</v>
      </c>
      <c r="C79" s="89">
        <v>3109797340</v>
      </c>
      <c r="D79" s="29">
        <f>B79/B13</f>
        <v>8.3640490000000001E-3</v>
      </c>
      <c r="E79" s="90">
        <f t="shared" si="13"/>
        <v>3.71805251260484</v>
      </c>
      <c r="F79" s="91"/>
      <c r="G79" s="14" t="s">
        <v>19</v>
      </c>
      <c r="H79" s="86">
        <v>1.017331438397838</v>
      </c>
      <c r="I79" s="29">
        <f t="shared" ref="I79" si="22">D79*H79</f>
        <v>8.5090099999999991E-3</v>
      </c>
      <c r="J79" s="29">
        <f>I79</f>
        <v>8.5090099999999991E-3</v>
      </c>
      <c r="K79" s="92">
        <f t="shared" ref="K79" si="23">INT(J79*$B$2)</f>
        <v>8509010</v>
      </c>
      <c r="L79" s="100">
        <f t="shared" ref="L79" si="24">IFERROR(K79/SUM($K$15:$K$79),0)</f>
        <v>8.4372176308072852E-3</v>
      </c>
      <c r="M79" s="100">
        <f t="shared" ref="M79" si="25">L79*E79</f>
        <v>3.1370018211616883E-2</v>
      </c>
      <c r="Q79" s="100"/>
      <c r="R79" s="100"/>
      <c r="T79" s="32"/>
      <c r="U79" s="32"/>
    </row>
    <row r="81" spans="1:21" x14ac:dyDescent="0.3">
      <c r="A81" s="31"/>
      <c r="B81" s="1"/>
      <c r="C81" s="93"/>
      <c r="D81" s="1"/>
      <c r="E81" s="1"/>
      <c r="G81" s="37"/>
      <c r="H81" s="31"/>
      <c r="I81" s="31"/>
      <c r="J81" s="31"/>
      <c r="K81" s="83"/>
      <c r="L81" s="31"/>
      <c r="M81" s="31"/>
      <c r="Q81" s="31"/>
      <c r="R81" s="31"/>
    </row>
    <row r="82" spans="1:21" s="64" customFormat="1" ht="15.6" customHeight="1" x14ac:dyDescent="0.3">
      <c r="A82" s="65" t="s">
        <v>10</v>
      </c>
      <c r="B82" s="65" t="s">
        <v>19</v>
      </c>
      <c r="C82" s="65"/>
      <c r="D82" s="82"/>
      <c r="E82" s="61"/>
      <c r="F82" s="62"/>
      <c r="G82" s="65" t="s">
        <v>10</v>
      </c>
      <c r="H82" s="65" t="s">
        <v>19</v>
      </c>
      <c r="I82" s="60"/>
      <c r="J82" s="60"/>
      <c r="K82" s="63"/>
      <c r="L82" s="99"/>
      <c r="M82" s="99"/>
      <c r="N82" s="62"/>
      <c r="O82" s="65" t="s">
        <v>10</v>
      </c>
      <c r="P82" s="65" t="s">
        <v>19</v>
      </c>
      <c r="Q82" s="99"/>
      <c r="R82" s="99"/>
    </row>
    <row r="83" spans="1:21" x14ac:dyDescent="0.3">
      <c r="A83" s="31"/>
      <c r="B83" s="1"/>
      <c r="C83" s="1"/>
      <c r="D83" s="1"/>
      <c r="E83" s="1"/>
      <c r="G83" s="37"/>
      <c r="H83" s="31"/>
      <c r="I83" s="31"/>
      <c r="J83" s="31"/>
      <c r="K83" s="31"/>
      <c r="L83" s="31"/>
      <c r="M83" s="31"/>
      <c r="Q83" s="31"/>
      <c r="R83" s="31"/>
    </row>
    <row r="84" spans="1:21" x14ac:dyDescent="0.3">
      <c r="A84" s="50" t="s">
        <v>100</v>
      </c>
      <c r="B84" s="50"/>
      <c r="C84" s="1"/>
      <c r="D84" s="1"/>
      <c r="E84" s="1"/>
      <c r="G84" s="50" t="s">
        <v>101</v>
      </c>
      <c r="H84" s="31"/>
      <c r="I84" s="31"/>
      <c r="J84" s="31"/>
      <c r="K84" s="31"/>
      <c r="L84" s="31"/>
      <c r="M84" s="31"/>
      <c r="Q84" s="31"/>
      <c r="R84" s="31"/>
    </row>
    <row r="85" spans="1:21" x14ac:dyDescent="0.3">
      <c r="A85" s="9" t="s">
        <v>20</v>
      </c>
      <c r="B85" s="9" t="s">
        <v>102</v>
      </c>
      <c r="C85" s="9" t="s">
        <v>103</v>
      </c>
      <c r="D85" s="9" t="s">
        <v>95</v>
      </c>
      <c r="E85" s="9" t="s">
        <v>104</v>
      </c>
      <c r="G85" s="9" t="s">
        <v>20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95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4" t="str">
        <f t="shared" ref="A86:A117" si="26">"("&amp;$O86&amp;", "&amp;$P86&amp;"]"</f>
        <v>(-1, 0]</v>
      </c>
      <c r="B86" s="84">
        <v>55218</v>
      </c>
      <c r="C86" s="84">
        <v>0</v>
      </c>
      <c r="D86" s="29">
        <f t="shared" ref="D86:D117" si="27">IFERROR(B86/SUM($B$86:$B$149),0)</f>
        <v>6.6018264598880277E-3</v>
      </c>
      <c r="E86" s="85">
        <f t="shared" ref="E86:E117" si="28">IFERROR(C86/B86/$B$3,0)</f>
        <v>0</v>
      </c>
      <c r="G86" s="14" t="str">
        <f t="shared" ref="G86:G117" si="29">"("&amp;$O86&amp;", "&amp;$P86&amp;"]"</f>
        <v>(-1, 0]</v>
      </c>
      <c r="H86" s="86">
        <v>0</v>
      </c>
      <c r="I86" s="29">
        <f t="shared" ref="I86:I117" si="30">D86*H86</f>
        <v>0</v>
      </c>
      <c r="J86" s="29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51">
        <v>-1</v>
      </c>
      <c r="P86" s="51">
        <v>0</v>
      </c>
      <c r="Q86" s="100">
        <f t="shared" ref="Q86:Q117" si="35">L86</f>
        <v>0</v>
      </c>
      <c r="R86" s="100">
        <v>2.069E-2</v>
      </c>
      <c r="T86" s="29"/>
      <c r="U86" s="52">
        <f t="shared" ref="U86:U117" si="36">IFERROR(ROUND(T86/L86,2),0)</f>
        <v>0</v>
      </c>
    </row>
    <row r="87" spans="1:21" x14ac:dyDescent="0.3">
      <c r="A87" s="14" t="str">
        <f t="shared" si="26"/>
        <v>(0, 1]</v>
      </c>
      <c r="B87" s="89">
        <v>84581</v>
      </c>
      <c r="C87" s="89">
        <v>4760560</v>
      </c>
      <c r="D87" s="29">
        <f t="shared" si="27"/>
        <v>1.0112446734829028E-2</v>
      </c>
      <c r="E87" s="90">
        <f t="shared" si="28"/>
        <v>0.56284035421666812</v>
      </c>
      <c r="G87" s="14" t="str">
        <f t="shared" si="29"/>
        <v>(0, 1]</v>
      </c>
      <c r="H87" s="86">
        <v>0</v>
      </c>
      <c r="I87" s="29">
        <f t="shared" si="30"/>
        <v>0</v>
      </c>
      <c r="J87" s="29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7">
        <v>0</v>
      </c>
      <c r="P87" s="47">
        <v>1</v>
      </c>
      <c r="Q87" s="100">
        <f t="shared" si="35"/>
        <v>0</v>
      </c>
      <c r="R87" s="100">
        <v>6.8970000000000004E-3</v>
      </c>
      <c r="T87" s="29"/>
      <c r="U87" s="52">
        <f t="shared" si="36"/>
        <v>0</v>
      </c>
    </row>
    <row r="88" spans="1:21" x14ac:dyDescent="0.3">
      <c r="A88" s="14" t="str">
        <f t="shared" si="26"/>
        <v>(1, 2]</v>
      </c>
      <c r="B88" s="89">
        <v>64013</v>
      </c>
      <c r="C88" s="89">
        <v>10029540</v>
      </c>
      <c r="D88" s="29">
        <f t="shared" si="27"/>
        <v>7.6533506678404207E-3</v>
      </c>
      <c r="E88" s="90">
        <f t="shared" si="28"/>
        <v>1.566797369284364</v>
      </c>
      <c r="F88" s="53"/>
      <c r="G88" s="14" t="str">
        <f t="shared" si="29"/>
        <v>(1, 2]</v>
      </c>
      <c r="H88" s="86">
        <v>0</v>
      </c>
      <c r="I88" s="29">
        <f t="shared" si="30"/>
        <v>0</v>
      </c>
      <c r="J88" s="29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101"/>
      <c r="O88" s="47">
        <v>1</v>
      </c>
      <c r="P88" s="47">
        <v>2</v>
      </c>
      <c r="Q88" s="100">
        <f t="shared" si="35"/>
        <v>0</v>
      </c>
      <c r="R88" s="100">
        <v>6.8970000000000004E-3</v>
      </c>
      <c r="T88" s="29"/>
      <c r="U88" s="52">
        <f t="shared" si="36"/>
        <v>0</v>
      </c>
    </row>
    <row r="89" spans="1:21" x14ac:dyDescent="0.3">
      <c r="A89" s="14" t="str">
        <f t="shared" si="26"/>
        <v>(2, 3]</v>
      </c>
      <c r="B89" s="89">
        <v>55751</v>
      </c>
      <c r="C89" s="89">
        <v>14330930</v>
      </c>
      <c r="D89" s="29">
        <f t="shared" si="27"/>
        <v>6.6655515767542733E-3</v>
      </c>
      <c r="E89" s="90">
        <f t="shared" si="28"/>
        <v>2.5705242955283314</v>
      </c>
      <c r="F89" s="88"/>
      <c r="G89" s="14" t="str">
        <f t="shared" si="29"/>
        <v>(2, 3]</v>
      </c>
      <c r="H89" s="86">
        <v>0</v>
      </c>
      <c r="I89" s="29">
        <f t="shared" si="30"/>
        <v>0</v>
      </c>
      <c r="J89" s="29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101"/>
      <c r="O89" s="47">
        <v>2</v>
      </c>
      <c r="P89" s="47">
        <v>3</v>
      </c>
      <c r="Q89" s="100">
        <f t="shared" si="35"/>
        <v>0</v>
      </c>
      <c r="R89" s="100">
        <v>6.8970000000000004E-3</v>
      </c>
      <c r="T89" s="29"/>
      <c r="U89" s="52">
        <f t="shared" si="36"/>
        <v>0</v>
      </c>
    </row>
    <row r="90" spans="1:21" x14ac:dyDescent="0.3">
      <c r="A90" s="14" t="str">
        <f t="shared" si="26"/>
        <v>(3, 4]</v>
      </c>
      <c r="B90" s="89">
        <v>49939</v>
      </c>
      <c r="C90" s="89">
        <v>17889880</v>
      </c>
      <c r="D90" s="29">
        <f t="shared" si="27"/>
        <v>5.9706728164791957E-3</v>
      </c>
      <c r="E90" s="90">
        <f t="shared" si="28"/>
        <v>3.5823464626844754</v>
      </c>
      <c r="F90" s="88"/>
      <c r="G90" s="14" t="str">
        <f t="shared" si="29"/>
        <v>(3, 4]</v>
      </c>
      <c r="H90" s="86">
        <v>0</v>
      </c>
      <c r="I90" s="29">
        <f t="shared" si="30"/>
        <v>0</v>
      </c>
      <c r="J90" s="29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101"/>
      <c r="O90" s="47">
        <v>3</v>
      </c>
      <c r="P90" s="47">
        <v>4</v>
      </c>
      <c r="Q90" s="100">
        <f t="shared" si="35"/>
        <v>0</v>
      </c>
      <c r="R90" s="100">
        <v>6.8970000000000004E-3</v>
      </c>
      <c r="T90" s="29"/>
      <c r="U90" s="52">
        <f t="shared" si="36"/>
        <v>0</v>
      </c>
    </row>
    <row r="91" spans="1:21" x14ac:dyDescent="0.3">
      <c r="A91" s="14" t="str">
        <f t="shared" si="26"/>
        <v>(4, 5]</v>
      </c>
      <c r="B91" s="89">
        <v>47937</v>
      </c>
      <c r="C91" s="89">
        <v>21917950</v>
      </c>
      <c r="D91" s="29">
        <f t="shared" si="27"/>
        <v>5.7313150604450074E-3</v>
      </c>
      <c r="E91" s="90">
        <f t="shared" si="28"/>
        <v>4.5722406491853897</v>
      </c>
      <c r="F91" s="88"/>
      <c r="G91" s="14" t="str">
        <f t="shared" si="29"/>
        <v>(4, 5]</v>
      </c>
      <c r="H91" s="86">
        <v>0</v>
      </c>
      <c r="I91" s="29">
        <f t="shared" si="30"/>
        <v>0</v>
      </c>
      <c r="J91" s="29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101"/>
      <c r="O91" s="47">
        <v>4</v>
      </c>
      <c r="P91" s="47">
        <v>5</v>
      </c>
      <c r="Q91" s="100">
        <f t="shared" si="35"/>
        <v>0</v>
      </c>
      <c r="R91" s="100">
        <v>6.8970000000000004E-3</v>
      </c>
      <c r="T91" s="29"/>
      <c r="U91" s="52">
        <f t="shared" si="36"/>
        <v>0</v>
      </c>
    </row>
    <row r="92" spans="1:21" x14ac:dyDescent="0.3">
      <c r="A92" s="14" t="str">
        <f t="shared" si="26"/>
        <v>(5, 6]</v>
      </c>
      <c r="B92" s="89">
        <v>46015</v>
      </c>
      <c r="C92" s="89">
        <v>25632270</v>
      </c>
      <c r="D92" s="29">
        <f t="shared" si="27"/>
        <v>5.5015220499066899E-3</v>
      </c>
      <c r="E92" s="90">
        <f t="shared" si="28"/>
        <v>5.5704161686406612</v>
      </c>
      <c r="F92" s="88"/>
      <c r="G92" s="14" t="str">
        <f t="shared" si="29"/>
        <v>(5, 6]</v>
      </c>
      <c r="H92" s="86">
        <v>7.8182871230570683</v>
      </c>
      <c r="I92" s="29">
        <f t="shared" si="30"/>
        <v>4.3012478999999999E-2</v>
      </c>
      <c r="J92" s="29">
        <f t="shared" si="31"/>
        <v>4.3012478999999999E-2</v>
      </c>
      <c r="K92" s="87">
        <f t="shared" si="32"/>
        <v>43012479</v>
      </c>
      <c r="L92" s="100">
        <f t="shared" si="33"/>
        <v>4.3012478999999999E-2</v>
      </c>
      <c r="M92" s="100">
        <f t="shared" si="34"/>
        <v>0.2395974084749169</v>
      </c>
      <c r="N92" s="101"/>
      <c r="O92" s="47">
        <v>5</v>
      </c>
      <c r="P92" s="47">
        <v>6</v>
      </c>
      <c r="Q92" s="100">
        <f t="shared" si="35"/>
        <v>4.3012478999999999E-2</v>
      </c>
      <c r="R92" s="100">
        <v>6.8970000000000004E-3</v>
      </c>
      <c r="T92" s="29"/>
      <c r="U92" s="52">
        <f t="shared" si="36"/>
        <v>0</v>
      </c>
    </row>
    <row r="93" spans="1:21" x14ac:dyDescent="0.3">
      <c r="A93" s="14" t="str">
        <f t="shared" si="26"/>
        <v>(6, 7]</v>
      </c>
      <c r="B93" s="89">
        <v>43596</v>
      </c>
      <c r="C93" s="89">
        <v>28617500</v>
      </c>
      <c r="D93" s="29">
        <f t="shared" si="27"/>
        <v>5.2123080579752701E-3</v>
      </c>
      <c r="E93" s="90">
        <f t="shared" si="28"/>
        <v>6.5642490136709783</v>
      </c>
      <c r="F93" s="88"/>
      <c r="G93" s="14" t="str">
        <f t="shared" si="29"/>
        <v>(6, 7]</v>
      </c>
      <c r="H93" s="86">
        <v>7.0431855891227864</v>
      </c>
      <c r="I93" s="29">
        <f t="shared" si="30"/>
        <v>3.6711252999999999E-2</v>
      </c>
      <c r="J93" s="29">
        <f t="shared" si="31"/>
        <v>3.6711252999999999E-2</v>
      </c>
      <c r="K93" s="87">
        <f t="shared" si="32"/>
        <v>36711253</v>
      </c>
      <c r="L93" s="100">
        <f t="shared" si="33"/>
        <v>3.6711252999999999E-2</v>
      </c>
      <c r="M93" s="100">
        <f t="shared" si="34"/>
        <v>0.24098180629587573</v>
      </c>
      <c r="N93" s="88"/>
      <c r="O93" s="47">
        <v>6</v>
      </c>
      <c r="P93" s="47">
        <v>7</v>
      </c>
      <c r="Q93" s="100">
        <f t="shared" si="35"/>
        <v>3.6711252999999999E-2</v>
      </c>
      <c r="R93" s="100">
        <v>2.069E-2</v>
      </c>
      <c r="T93" s="29"/>
      <c r="U93" s="52">
        <f t="shared" si="36"/>
        <v>0</v>
      </c>
    </row>
    <row r="94" spans="1:21" x14ac:dyDescent="0.3">
      <c r="A94" s="14" t="str">
        <f t="shared" si="26"/>
        <v>(7, 8]</v>
      </c>
      <c r="B94" s="89">
        <v>43437</v>
      </c>
      <c r="C94" s="89">
        <v>32884090</v>
      </c>
      <c r="D94" s="29">
        <f t="shared" si="27"/>
        <v>5.1932981263022255E-3</v>
      </c>
      <c r="E94" s="90">
        <f t="shared" si="28"/>
        <v>7.5705251283468007</v>
      </c>
      <c r="F94" s="88"/>
      <c r="G94" s="14" t="str">
        <f t="shared" si="29"/>
        <v>(7, 8]</v>
      </c>
      <c r="H94" s="86">
        <v>7.5043032485695598</v>
      </c>
      <c r="I94" s="29">
        <f t="shared" si="30"/>
        <v>3.8972083999999997E-2</v>
      </c>
      <c r="J94" s="29">
        <f t="shared" si="31"/>
        <v>3.8972083999999997E-2</v>
      </c>
      <c r="K94" s="87">
        <f t="shared" si="32"/>
        <v>38972084</v>
      </c>
      <c r="L94" s="100">
        <f t="shared" si="33"/>
        <v>3.8972083999999997E-2</v>
      </c>
      <c r="M94" s="100">
        <f t="shared" si="34"/>
        <v>0.2950391412260423</v>
      </c>
      <c r="N94" s="88"/>
      <c r="O94" s="47">
        <v>7</v>
      </c>
      <c r="P94" s="47">
        <v>8</v>
      </c>
      <c r="Q94" s="100">
        <f t="shared" si="35"/>
        <v>3.8972083999999997E-2</v>
      </c>
      <c r="R94" s="100">
        <v>0</v>
      </c>
      <c r="T94" s="29"/>
      <c r="U94" s="52">
        <f t="shared" si="36"/>
        <v>0</v>
      </c>
    </row>
    <row r="95" spans="1:21" x14ac:dyDescent="0.3">
      <c r="A95" s="14" t="str">
        <f t="shared" si="26"/>
        <v>(8, 9]</v>
      </c>
      <c r="B95" s="89">
        <v>42950</v>
      </c>
      <c r="C95" s="89">
        <v>36789480</v>
      </c>
      <c r="D95" s="29">
        <f t="shared" si="27"/>
        <v>5.135072738096106E-3</v>
      </c>
      <c r="E95" s="90">
        <f t="shared" si="28"/>
        <v>8.5656530849825376</v>
      </c>
      <c r="F95" s="88"/>
      <c r="G95" s="14" t="str">
        <f t="shared" si="29"/>
        <v>(8, 9]</v>
      </c>
      <c r="H95" s="86">
        <v>7.2045002840050527</v>
      </c>
      <c r="I95" s="29">
        <f t="shared" si="30"/>
        <v>3.6995633E-2</v>
      </c>
      <c r="J95" s="29">
        <f t="shared" si="31"/>
        <v>3.6995633E-2</v>
      </c>
      <c r="K95" s="87">
        <f t="shared" si="32"/>
        <v>36995633</v>
      </c>
      <c r="L95" s="100">
        <f t="shared" si="33"/>
        <v>3.6995633E-2</v>
      </c>
      <c r="M95" s="100">
        <f t="shared" si="34"/>
        <v>0.31689175793733176</v>
      </c>
      <c r="N95" s="88"/>
      <c r="O95" s="47">
        <v>8</v>
      </c>
      <c r="P95" s="47">
        <v>9</v>
      </c>
      <c r="Q95" s="100">
        <f t="shared" si="35"/>
        <v>3.6995633E-2</v>
      </c>
      <c r="R95" s="100">
        <v>6.8970000000000004E-3</v>
      </c>
      <c r="T95" s="29"/>
      <c r="U95" s="52">
        <f t="shared" si="36"/>
        <v>0</v>
      </c>
    </row>
    <row r="96" spans="1:21" x14ac:dyDescent="0.3">
      <c r="A96" s="14" t="str">
        <f t="shared" si="26"/>
        <v>(9, 10]</v>
      </c>
      <c r="B96" s="89">
        <v>42155</v>
      </c>
      <c r="C96" s="89">
        <v>40319540</v>
      </c>
      <c r="D96" s="29">
        <f t="shared" si="27"/>
        <v>5.0400230797308819E-3</v>
      </c>
      <c r="E96" s="90">
        <f t="shared" si="28"/>
        <v>9.5645925750207574</v>
      </c>
      <c r="F96" s="88"/>
      <c r="G96" s="14" t="str">
        <f t="shared" si="29"/>
        <v>(9, 10]</v>
      </c>
      <c r="H96" s="86">
        <v>7.7813056368174598</v>
      </c>
      <c r="I96" s="29">
        <f t="shared" si="30"/>
        <v>3.9217960000000003E-2</v>
      </c>
      <c r="J96" s="29">
        <f t="shared" si="31"/>
        <v>3.9217960000000003E-2</v>
      </c>
      <c r="K96" s="87">
        <f t="shared" si="32"/>
        <v>39217960</v>
      </c>
      <c r="L96" s="100">
        <f t="shared" si="33"/>
        <v>3.9217960000000003E-2</v>
      </c>
      <c r="M96" s="100">
        <f t="shared" si="34"/>
        <v>0.37510380902346108</v>
      </c>
      <c r="N96" s="88"/>
      <c r="O96" s="47">
        <v>9</v>
      </c>
      <c r="P96" s="47">
        <v>10</v>
      </c>
      <c r="Q96" s="100">
        <f t="shared" si="35"/>
        <v>3.9217960000000003E-2</v>
      </c>
      <c r="R96" s="100">
        <v>0</v>
      </c>
      <c r="T96" s="29"/>
      <c r="U96" s="52">
        <f t="shared" si="36"/>
        <v>0</v>
      </c>
    </row>
    <row r="97" spans="1:21" x14ac:dyDescent="0.3">
      <c r="A97" s="14" t="str">
        <f t="shared" si="26"/>
        <v>(10, 15]</v>
      </c>
      <c r="B97" s="89">
        <v>202809</v>
      </c>
      <c r="C97" s="89">
        <v>254308990</v>
      </c>
      <c r="D97" s="29">
        <f t="shared" si="27"/>
        <v>2.4247705865902986E-2</v>
      </c>
      <c r="E97" s="90">
        <f t="shared" si="28"/>
        <v>12.539334546297255</v>
      </c>
      <c r="F97" s="88"/>
      <c r="G97" s="14" t="str">
        <f t="shared" si="29"/>
        <v>(10, 15]</v>
      </c>
      <c r="H97" s="86">
        <v>6.8625872864118556</v>
      </c>
      <c r="I97" s="29">
        <f t="shared" si="30"/>
        <v>0.166401998</v>
      </c>
      <c r="J97" s="29">
        <f t="shared" si="31"/>
        <v>0.166401998</v>
      </c>
      <c r="K97" s="87">
        <f t="shared" si="32"/>
        <v>166401998</v>
      </c>
      <c r="L97" s="100">
        <f t="shared" si="33"/>
        <v>0.166401998</v>
      </c>
      <c r="M97" s="100">
        <f t="shared" si="34"/>
        <v>2.0865703220942868</v>
      </c>
      <c r="N97" s="88"/>
      <c r="O97" s="47">
        <v>10</v>
      </c>
      <c r="P97" s="47">
        <v>15</v>
      </c>
      <c r="Q97" s="100">
        <f t="shared" si="35"/>
        <v>0.166401998</v>
      </c>
      <c r="R97" s="100">
        <v>6.2068999999999999E-2</v>
      </c>
      <c r="T97" s="29"/>
      <c r="U97" s="52">
        <f t="shared" si="36"/>
        <v>0</v>
      </c>
    </row>
    <row r="98" spans="1:21" x14ac:dyDescent="0.3">
      <c r="A98" s="14" t="str">
        <f t="shared" si="26"/>
        <v>(15, 20]</v>
      </c>
      <c r="B98" s="89">
        <v>194393</v>
      </c>
      <c r="C98" s="89">
        <v>341185810</v>
      </c>
      <c r="D98" s="29">
        <f t="shared" si="27"/>
        <v>2.3241494639737285E-2</v>
      </c>
      <c r="E98" s="90">
        <f t="shared" si="28"/>
        <v>17.551342383727807</v>
      </c>
      <c r="F98" s="88"/>
      <c r="G98" s="14" t="str">
        <f t="shared" si="29"/>
        <v>(15, 20]</v>
      </c>
      <c r="H98" s="86">
        <v>4.8304741472198636</v>
      </c>
      <c r="I98" s="29">
        <f t="shared" si="30"/>
        <v>0.112267439</v>
      </c>
      <c r="J98" s="29">
        <f t="shared" si="31"/>
        <v>0.112267439</v>
      </c>
      <c r="K98" s="87">
        <f t="shared" si="32"/>
        <v>112267439</v>
      </c>
      <c r="L98" s="100">
        <f t="shared" si="33"/>
        <v>0.112267439</v>
      </c>
      <c r="M98" s="100">
        <f t="shared" si="34"/>
        <v>1.9704442604332761</v>
      </c>
      <c r="N98" s="88"/>
      <c r="O98" s="47">
        <v>15</v>
      </c>
      <c r="P98" s="47">
        <v>20</v>
      </c>
      <c r="Q98" s="100">
        <f t="shared" si="35"/>
        <v>0.112267439</v>
      </c>
      <c r="R98" s="100">
        <v>2.7585999999999999E-2</v>
      </c>
      <c r="T98" s="29"/>
      <c r="U98" s="52">
        <f t="shared" si="36"/>
        <v>0</v>
      </c>
    </row>
    <row r="99" spans="1:21" x14ac:dyDescent="0.3">
      <c r="A99" s="14" t="str">
        <f t="shared" si="26"/>
        <v>(20, 25]</v>
      </c>
      <c r="B99" s="89">
        <v>188251</v>
      </c>
      <c r="C99" s="89">
        <v>424612980</v>
      </c>
      <c r="D99" s="29">
        <f t="shared" si="27"/>
        <v>2.2507161304291739E-2</v>
      </c>
      <c r="E99" s="90">
        <f t="shared" si="28"/>
        <v>22.555682572735336</v>
      </c>
      <c r="F99" s="88"/>
      <c r="G99" s="14" t="str">
        <f t="shared" si="29"/>
        <v>(20, 25]</v>
      </c>
      <c r="H99" s="86">
        <v>4.5997311078167442</v>
      </c>
      <c r="I99" s="29">
        <f t="shared" si="30"/>
        <v>0.10352689</v>
      </c>
      <c r="J99" s="29">
        <f t="shared" si="31"/>
        <v>0.10352689</v>
      </c>
      <c r="K99" s="87">
        <f t="shared" si="32"/>
        <v>103526890</v>
      </c>
      <c r="L99" s="100">
        <f t="shared" si="33"/>
        <v>0.10352689</v>
      </c>
      <c r="M99" s="100">
        <f t="shared" si="34"/>
        <v>2.3351196685824882</v>
      </c>
      <c r="N99" s="88"/>
      <c r="O99" s="47">
        <v>20</v>
      </c>
      <c r="P99" s="47">
        <v>25</v>
      </c>
      <c r="Q99" s="100">
        <f t="shared" si="35"/>
        <v>0.10352689</v>
      </c>
      <c r="R99" s="100">
        <v>2.069E-2</v>
      </c>
      <c r="T99" s="29"/>
      <c r="U99" s="52">
        <f t="shared" si="36"/>
        <v>0</v>
      </c>
    </row>
    <row r="100" spans="1:21" x14ac:dyDescent="0.3">
      <c r="A100" s="14" t="str">
        <f t="shared" si="26"/>
        <v>(25, 30]</v>
      </c>
      <c r="B100" s="89">
        <v>184695</v>
      </c>
      <c r="C100" s="89">
        <v>508784530</v>
      </c>
      <c r="D100" s="29">
        <f t="shared" si="27"/>
        <v>2.2082008367000239E-2</v>
      </c>
      <c r="E100" s="90">
        <f t="shared" si="28"/>
        <v>27.547282276185062</v>
      </c>
      <c r="F100" s="88"/>
      <c r="G100" s="14" t="str">
        <f t="shared" si="29"/>
        <v>(25, 30]</v>
      </c>
      <c r="H100" s="86">
        <v>3.491860962938071</v>
      </c>
      <c r="I100" s="29">
        <f t="shared" si="30"/>
        <v>7.7107303000000002E-2</v>
      </c>
      <c r="J100" s="29">
        <f t="shared" si="31"/>
        <v>7.7107303000000002E-2</v>
      </c>
      <c r="K100" s="87">
        <f t="shared" si="32"/>
        <v>77107303</v>
      </c>
      <c r="L100" s="100">
        <f t="shared" si="33"/>
        <v>7.7107303000000002E-2</v>
      </c>
      <c r="M100" s="100">
        <f t="shared" si="34"/>
        <v>2.1240966412963314</v>
      </c>
      <c r="N100" s="88"/>
      <c r="O100" s="47">
        <v>25</v>
      </c>
      <c r="P100" s="47">
        <v>30</v>
      </c>
      <c r="Q100" s="100">
        <f t="shared" si="35"/>
        <v>7.7107303000000002E-2</v>
      </c>
      <c r="R100" s="100">
        <v>8.9654999999999999E-2</v>
      </c>
      <c r="T100" s="29"/>
      <c r="U100" s="52">
        <f t="shared" si="36"/>
        <v>0</v>
      </c>
    </row>
    <row r="101" spans="1:21" x14ac:dyDescent="0.3">
      <c r="A101" s="14" t="str">
        <f t="shared" si="26"/>
        <v>(30, 35]</v>
      </c>
      <c r="B101" s="89">
        <v>180804</v>
      </c>
      <c r="C101" s="89">
        <v>588557320</v>
      </c>
      <c r="D101" s="29">
        <f t="shared" si="27"/>
        <v>2.1616803057944781E-2</v>
      </c>
      <c r="E101" s="90">
        <f t="shared" si="28"/>
        <v>32.552228932988207</v>
      </c>
      <c r="F101" s="88"/>
      <c r="G101" s="14" t="str">
        <f t="shared" si="29"/>
        <v>(30, 35]</v>
      </c>
      <c r="H101" s="86">
        <v>2.9798803193669055</v>
      </c>
      <c r="I101" s="29">
        <f t="shared" si="30"/>
        <v>6.4415485999999994E-2</v>
      </c>
      <c r="J101" s="29">
        <f t="shared" si="31"/>
        <v>6.4415485999999994E-2</v>
      </c>
      <c r="K101" s="87">
        <f t="shared" si="32"/>
        <v>64415486</v>
      </c>
      <c r="L101" s="100">
        <f t="shared" si="33"/>
        <v>6.4415485999999994E-2</v>
      </c>
      <c r="M101" s="100">
        <f t="shared" si="34"/>
        <v>2.0968676471016967</v>
      </c>
      <c r="N101" s="88"/>
      <c r="O101" s="47">
        <v>30</v>
      </c>
      <c r="P101" s="47">
        <v>35</v>
      </c>
      <c r="Q101" s="100">
        <f t="shared" si="35"/>
        <v>6.4415485999999994E-2</v>
      </c>
      <c r="R101" s="100">
        <v>3.4483E-2</v>
      </c>
      <c r="T101" s="29"/>
      <c r="U101" s="52">
        <f t="shared" si="36"/>
        <v>0</v>
      </c>
    </row>
    <row r="102" spans="1:21" x14ac:dyDescent="0.3">
      <c r="A102" s="14" t="str">
        <f t="shared" si="26"/>
        <v>(35, 40]</v>
      </c>
      <c r="B102" s="89">
        <v>177130</v>
      </c>
      <c r="C102" s="89">
        <v>665155830</v>
      </c>
      <c r="D102" s="29">
        <f t="shared" si="27"/>
        <v>2.1177542121046875E-2</v>
      </c>
      <c r="E102" s="90">
        <f t="shared" si="28"/>
        <v>37.55184497261898</v>
      </c>
      <c r="F102" s="88"/>
      <c r="G102" s="14" t="str">
        <f t="shared" si="29"/>
        <v>(35, 40]</v>
      </c>
      <c r="H102" s="86">
        <v>2.7368804967408007</v>
      </c>
      <c r="I102" s="29">
        <f t="shared" si="30"/>
        <v>5.7960402000000001E-2</v>
      </c>
      <c r="J102" s="29">
        <f t="shared" si="31"/>
        <v>5.7960402000000001E-2</v>
      </c>
      <c r="K102" s="87">
        <f t="shared" si="32"/>
        <v>57960402</v>
      </c>
      <c r="L102" s="100">
        <f t="shared" si="33"/>
        <v>5.7960402000000001E-2</v>
      </c>
      <c r="M102" s="100">
        <f t="shared" si="34"/>
        <v>2.1765200304546752</v>
      </c>
      <c r="N102" s="88"/>
      <c r="O102" s="47">
        <v>35</v>
      </c>
      <c r="P102" s="47">
        <v>40</v>
      </c>
      <c r="Q102" s="100">
        <f t="shared" si="35"/>
        <v>5.7960402000000001E-2</v>
      </c>
      <c r="R102" s="100">
        <v>6.2068999999999999E-2</v>
      </c>
      <c r="T102" s="29"/>
      <c r="U102" s="52">
        <f t="shared" si="36"/>
        <v>0</v>
      </c>
    </row>
    <row r="103" spans="1:21" x14ac:dyDescent="0.3">
      <c r="A103" s="14" t="str">
        <f t="shared" si="26"/>
        <v>(40, 45]</v>
      </c>
      <c r="B103" s="89">
        <v>174735</v>
      </c>
      <c r="C103" s="89">
        <v>743586950</v>
      </c>
      <c r="D103" s="29">
        <f t="shared" si="27"/>
        <v>2.0891197552764217E-2</v>
      </c>
      <c r="E103" s="90">
        <f t="shared" si="28"/>
        <v>42.555123472687207</v>
      </c>
      <c r="F103" s="88"/>
      <c r="G103" s="14" t="str">
        <f t="shared" si="29"/>
        <v>(40, 45]</v>
      </c>
      <c r="H103" s="86">
        <v>2.7636175884211465</v>
      </c>
      <c r="I103" s="29">
        <f t="shared" si="30"/>
        <v>5.7735280999999999E-2</v>
      </c>
      <c r="J103" s="29">
        <f t="shared" si="31"/>
        <v>5.7735280999999999E-2</v>
      </c>
      <c r="K103" s="87">
        <f t="shared" si="32"/>
        <v>57735281</v>
      </c>
      <c r="L103" s="100">
        <f t="shared" si="33"/>
        <v>5.7735280999999999E-2</v>
      </c>
      <c r="M103" s="100">
        <f t="shared" si="34"/>
        <v>2.4569320116852915</v>
      </c>
      <c r="N103" s="88"/>
      <c r="O103" s="47">
        <v>40</v>
      </c>
      <c r="P103" s="47">
        <v>45</v>
      </c>
      <c r="Q103" s="100">
        <f t="shared" si="35"/>
        <v>5.7735280999999999E-2</v>
      </c>
      <c r="R103" s="100">
        <v>5.5171999999999999E-2</v>
      </c>
      <c r="T103" s="29"/>
      <c r="U103" s="52">
        <f t="shared" si="36"/>
        <v>0</v>
      </c>
    </row>
    <row r="104" spans="1:21" x14ac:dyDescent="0.3">
      <c r="A104" s="14" t="str">
        <f t="shared" si="26"/>
        <v>(45, 50]</v>
      </c>
      <c r="B104" s="89">
        <v>171139</v>
      </c>
      <c r="C104" s="89">
        <v>813719490</v>
      </c>
      <c r="D104" s="29">
        <f t="shared" si="27"/>
        <v>2.0461262242724786E-2</v>
      </c>
      <c r="E104" s="90">
        <f t="shared" si="28"/>
        <v>47.547285539824351</v>
      </c>
      <c r="F104" s="88"/>
      <c r="G104" s="14" t="str">
        <f t="shared" si="29"/>
        <v>(45, 50]</v>
      </c>
      <c r="H104" s="86">
        <v>2.2584254310327569</v>
      </c>
      <c r="I104" s="29">
        <f t="shared" si="30"/>
        <v>4.6210235000000002E-2</v>
      </c>
      <c r="J104" s="29">
        <f t="shared" si="31"/>
        <v>4.6210235000000002E-2</v>
      </c>
      <c r="K104" s="87">
        <f t="shared" si="32"/>
        <v>46210235</v>
      </c>
      <c r="L104" s="100">
        <f t="shared" si="33"/>
        <v>4.6210235000000002E-2</v>
      </c>
      <c r="M104" s="100">
        <f t="shared" si="34"/>
        <v>2.1971712384073854</v>
      </c>
      <c r="N104" s="88"/>
      <c r="O104" s="47">
        <v>45</v>
      </c>
      <c r="P104" s="47">
        <v>50</v>
      </c>
      <c r="Q104" s="100">
        <f t="shared" si="35"/>
        <v>4.6210235000000002E-2</v>
      </c>
      <c r="R104" s="100">
        <v>4.8275999999999999E-2</v>
      </c>
      <c r="T104" s="29"/>
      <c r="U104" s="52">
        <f t="shared" si="36"/>
        <v>0</v>
      </c>
    </row>
    <row r="105" spans="1:21" x14ac:dyDescent="0.3">
      <c r="A105" s="14" t="str">
        <f t="shared" si="26"/>
        <v>(50, 60]</v>
      </c>
      <c r="B105" s="89">
        <v>334569</v>
      </c>
      <c r="C105" s="89">
        <v>1841082090</v>
      </c>
      <c r="D105" s="29">
        <f t="shared" si="27"/>
        <v>4.0000841697603637E-2</v>
      </c>
      <c r="E105" s="90">
        <f t="shared" si="28"/>
        <v>55.028472153726135</v>
      </c>
      <c r="F105" s="88"/>
      <c r="G105" s="14" t="str">
        <f t="shared" si="29"/>
        <v>(50, 60]</v>
      </c>
      <c r="H105" s="86">
        <v>1.2975561462525278</v>
      </c>
      <c r="I105" s="29">
        <f t="shared" si="30"/>
        <v>5.1903338E-2</v>
      </c>
      <c r="J105" s="29">
        <f t="shared" si="31"/>
        <v>5.1903338E-2</v>
      </c>
      <c r="K105" s="87">
        <f t="shared" si="32"/>
        <v>51903338</v>
      </c>
      <c r="L105" s="100">
        <f t="shared" si="33"/>
        <v>5.1903338E-2</v>
      </c>
      <c r="M105" s="100">
        <f t="shared" si="34"/>
        <v>2.8561613898184355</v>
      </c>
      <c r="N105" s="88"/>
      <c r="O105" s="47">
        <v>50</v>
      </c>
      <c r="P105" s="47">
        <v>60</v>
      </c>
      <c r="Q105" s="100">
        <f t="shared" si="35"/>
        <v>5.1903338E-2</v>
      </c>
      <c r="R105" s="100">
        <v>4.8275999999999999E-2</v>
      </c>
      <c r="T105" s="29"/>
      <c r="U105" s="52">
        <f t="shared" si="36"/>
        <v>0</v>
      </c>
    </row>
    <row r="106" spans="1:21" x14ac:dyDescent="0.3">
      <c r="A106" s="14" t="str">
        <f t="shared" si="26"/>
        <v>(60, 70]</v>
      </c>
      <c r="B106" s="89">
        <v>324502</v>
      </c>
      <c r="C106" s="89">
        <v>2110213430</v>
      </c>
      <c r="D106" s="29">
        <f t="shared" si="27"/>
        <v>3.8797238036266883E-2</v>
      </c>
      <c r="E106" s="90">
        <f t="shared" si="28"/>
        <v>65.029288879575475</v>
      </c>
      <c r="F106" s="88"/>
      <c r="G106" s="14" t="str">
        <f t="shared" si="29"/>
        <v>(60, 70]</v>
      </c>
      <c r="H106" s="86">
        <v>0.56341384352068402</v>
      </c>
      <c r="I106" s="29">
        <f t="shared" si="30"/>
        <v>2.1858901E-2</v>
      </c>
      <c r="J106" s="29">
        <f t="shared" si="31"/>
        <v>2.1858901E-2</v>
      </c>
      <c r="K106" s="87">
        <f t="shared" si="32"/>
        <v>21858901</v>
      </c>
      <c r="L106" s="100">
        <f t="shared" si="33"/>
        <v>2.1858901E-2</v>
      </c>
      <c r="M106" s="100">
        <f t="shared" si="34"/>
        <v>1.4214687877190413</v>
      </c>
      <c r="N106" s="88"/>
      <c r="O106" s="47">
        <v>60</v>
      </c>
      <c r="P106" s="47">
        <v>70</v>
      </c>
      <c r="Q106" s="100">
        <f t="shared" si="35"/>
        <v>2.1858901E-2</v>
      </c>
      <c r="R106" s="100">
        <v>6.8966E-2</v>
      </c>
      <c r="T106" s="29"/>
      <c r="U106" s="52">
        <f t="shared" si="36"/>
        <v>0</v>
      </c>
    </row>
    <row r="107" spans="1:21" x14ac:dyDescent="0.3">
      <c r="A107" s="14" t="str">
        <f t="shared" si="26"/>
        <v>(70, 80]</v>
      </c>
      <c r="B107" s="89">
        <v>313591</v>
      </c>
      <c r="C107" s="89">
        <v>2352848560</v>
      </c>
      <c r="D107" s="29">
        <f t="shared" si="27"/>
        <v>3.7492726309948689E-2</v>
      </c>
      <c r="E107" s="90">
        <f t="shared" si="28"/>
        <v>75.029211935291514</v>
      </c>
      <c r="F107" s="88"/>
      <c r="G107" s="14" t="str">
        <f t="shared" si="29"/>
        <v>(70, 80]</v>
      </c>
      <c r="H107" s="86">
        <v>0.41864090837894263</v>
      </c>
      <c r="I107" s="29">
        <f t="shared" si="30"/>
        <v>1.5695989E-2</v>
      </c>
      <c r="J107" s="29">
        <f t="shared" si="31"/>
        <v>1.5695989E-2</v>
      </c>
      <c r="K107" s="87">
        <f t="shared" si="32"/>
        <v>15695989</v>
      </c>
      <c r="L107" s="100">
        <f t="shared" si="33"/>
        <v>1.5695989E-2</v>
      </c>
      <c r="M107" s="100">
        <f t="shared" si="34"/>
        <v>1.1776576852150042</v>
      </c>
      <c r="N107" s="88"/>
      <c r="O107" s="47">
        <v>70</v>
      </c>
      <c r="P107" s="47">
        <v>80</v>
      </c>
      <c r="Q107" s="100">
        <f t="shared" si="35"/>
        <v>1.5695989E-2</v>
      </c>
      <c r="R107" s="100">
        <v>3.4483E-2</v>
      </c>
      <c r="T107" s="29"/>
      <c r="U107" s="52">
        <f t="shared" si="36"/>
        <v>0</v>
      </c>
    </row>
    <row r="108" spans="1:21" x14ac:dyDescent="0.3">
      <c r="A108" s="14" t="str">
        <f t="shared" si="26"/>
        <v>(80, 90]</v>
      </c>
      <c r="B108" s="89">
        <v>302583</v>
      </c>
      <c r="C108" s="89">
        <v>2572701950</v>
      </c>
      <c r="D108" s="29">
        <f t="shared" si="27"/>
        <v>3.6176617329716741E-2</v>
      </c>
      <c r="E108" s="90">
        <f t="shared" si="28"/>
        <v>85.024669264301025</v>
      </c>
      <c r="F108" s="88"/>
      <c r="G108" s="14" t="str">
        <f t="shared" si="29"/>
        <v>(80, 90]</v>
      </c>
      <c r="H108" s="86">
        <v>0.29826365195113408</v>
      </c>
      <c r="I108" s="29">
        <f t="shared" si="30"/>
        <v>1.079017E-2</v>
      </c>
      <c r="J108" s="29">
        <f t="shared" si="31"/>
        <v>1.079017E-2</v>
      </c>
      <c r="K108" s="87">
        <f t="shared" si="32"/>
        <v>10790170</v>
      </c>
      <c r="L108" s="100">
        <f t="shared" si="33"/>
        <v>1.079017E-2</v>
      </c>
      <c r="M108" s="100">
        <f t="shared" si="34"/>
        <v>0.91743063555558302</v>
      </c>
      <c r="N108" s="88"/>
      <c r="O108" s="47">
        <v>80</v>
      </c>
      <c r="P108" s="47">
        <v>90</v>
      </c>
      <c r="Q108" s="100">
        <f t="shared" si="35"/>
        <v>1.079017E-2</v>
      </c>
      <c r="R108" s="100">
        <v>6.8966E-2</v>
      </c>
      <c r="T108" s="29"/>
      <c r="U108" s="52">
        <f t="shared" si="36"/>
        <v>0</v>
      </c>
    </row>
    <row r="109" spans="1:21" x14ac:dyDescent="0.3">
      <c r="A109" s="14" t="str">
        <f t="shared" si="26"/>
        <v>(90, 100]</v>
      </c>
      <c r="B109" s="89">
        <v>290174</v>
      </c>
      <c r="C109" s="89">
        <v>2757205050</v>
      </c>
      <c r="D109" s="29">
        <f t="shared" si="27"/>
        <v>3.4693005743988349E-2</v>
      </c>
      <c r="E109" s="90">
        <f t="shared" si="28"/>
        <v>95.019024792021341</v>
      </c>
      <c r="F109" s="88"/>
      <c r="G109" s="14" t="str">
        <f t="shared" si="29"/>
        <v>(90, 100]</v>
      </c>
      <c r="H109" s="94">
        <v>0.26312064360643611</v>
      </c>
      <c r="I109" s="54">
        <f t="shared" si="30"/>
        <v>9.1284460000000001E-3</v>
      </c>
      <c r="J109" s="54">
        <f t="shared" si="31"/>
        <v>9.1284460000000001E-3</v>
      </c>
      <c r="K109" s="87">
        <f t="shared" si="32"/>
        <v>9128446</v>
      </c>
      <c r="L109" s="100">
        <f t="shared" si="33"/>
        <v>9.1284460000000001E-3</v>
      </c>
      <c r="M109" s="100">
        <f t="shared" si="34"/>
        <v>0.867376036786628</v>
      </c>
      <c r="N109" s="88"/>
      <c r="O109" s="47">
        <v>90</v>
      </c>
      <c r="P109" s="47">
        <v>100</v>
      </c>
      <c r="Q109" s="100">
        <f t="shared" si="35"/>
        <v>9.1284460000000001E-3</v>
      </c>
      <c r="R109" s="100">
        <v>2.7585999999999999E-2</v>
      </c>
      <c r="T109" s="29"/>
      <c r="U109" s="52">
        <f t="shared" si="36"/>
        <v>0</v>
      </c>
    </row>
    <row r="110" spans="1:21" x14ac:dyDescent="0.3">
      <c r="A110" s="14" t="str">
        <f t="shared" si="26"/>
        <v>(100, 120]</v>
      </c>
      <c r="B110" s="89">
        <v>544944</v>
      </c>
      <c r="C110" s="89">
        <v>5988889530</v>
      </c>
      <c r="D110" s="29">
        <f t="shared" si="27"/>
        <v>6.515313336877869E-2</v>
      </c>
      <c r="E110" s="90">
        <f t="shared" si="28"/>
        <v>109.89917367656126</v>
      </c>
      <c r="F110" s="88"/>
      <c r="G110" s="14" t="str">
        <f t="shared" si="29"/>
        <v>(100, 120]</v>
      </c>
      <c r="H110" s="94">
        <v>0.15484616745745799</v>
      </c>
      <c r="I110" s="54">
        <f t="shared" si="30"/>
        <v>1.0088712999999999E-2</v>
      </c>
      <c r="J110" s="54">
        <f t="shared" si="31"/>
        <v>1.0088712999999999E-2</v>
      </c>
      <c r="K110" s="87">
        <f t="shared" si="32"/>
        <v>10088713</v>
      </c>
      <c r="L110" s="100">
        <f t="shared" si="33"/>
        <v>1.0088712999999999E-2</v>
      </c>
      <c r="M110" s="100">
        <f t="shared" si="34"/>
        <v>1.1087412221599813</v>
      </c>
      <c r="N110" s="88"/>
      <c r="O110" s="47">
        <v>100</v>
      </c>
      <c r="P110" s="47">
        <v>120</v>
      </c>
      <c r="Q110" s="100">
        <f t="shared" si="35"/>
        <v>1.0088712999999999E-2</v>
      </c>
      <c r="R110" s="100">
        <v>6.8966E-2</v>
      </c>
      <c r="T110" s="29"/>
      <c r="U110" s="52">
        <f t="shared" si="36"/>
        <v>0</v>
      </c>
    </row>
    <row r="111" spans="1:21" x14ac:dyDescent="0.3">
      <c r="A111" s="14" t="str">
        <f t="shared" si="26"/>
        <v>(120, 140]</v>
      </c>
      <c r="B111" s="89">
        <v>496474</v>
      </c>
      <c r="C111" s="89">
        <v>6448866850</v>
      </c>
      <c r="D111" s="29">
        <f t="shared" si="27"/>
        <v>5.9358093191467433E-2</v>
      </c>
      <c r="E111" s="90">
        <f t="shared" si="28"/>
        <v>129.89334486800919</v>
      </c>
      <c r="F111" s="88"/>
      <c r="G111" s="14" t="str">
        <f t="shared" si="29"/>
        <v>(120, 140]</v>
      </c>
      <c r="H111" s="94">
        <v>0</v>
      </c>
      <c r="I111" s="54">
        <f t="shared" si="30"/>
        <v>0</v>
      </c>
      <c r="J111" s="54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7">
        <v>120</v>
      </c>
      <c r="P111" s="47">
        <v>140</v>
      </c>
      <c r="Q111" s="100">
        <f t="shared" si="35"/>
        <v>0</v>
      </c>
      <c r="R111" s="100">
        <v>2.7585999999999999E-2</v>
      </c>
      <c r="T111" s="29"/>
      <c r="U111" s="52">
        <f t="shared" si="36"/>
        <v>0</v>
      </c>
    </row>
    <row r="112" spans="1:21" x14ac:dyDescent="0.3">
      <c r="A112" s="14" t="str">
        <f t="shared" si="26"/>
        <v>(140, 160]</v>
      </c>
      <c r="B112" s="89">
        <v>447550</v>
      </c>
      <c r="C112" s="89">
        <v>6707843560</v>
      </c>
      <c r="D112" s="29">
        <f t="shared" si="27"/>
        <v>5.3508773083467111E-2</v>
      </c>
      <c r="E112" s="90">
        <f t="shared" si="28"/>
        <v>149.8791991956206</v>
      </c>
      <c r="F112" s="88"/>
      <c r="G112" s="14" t="str">
        <f t="shared" si="29"/>
        <v>(140, 160]</v>
      </c>
      <c r="H112" s="94">
        <v>0</v>
      </c>
      <c r="I112" s="54">
        <f t="shared" si="30"/>
        <v>0</v>
      </c>
      <c r="J112" s="54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7">
        <v>140</v>
      </c>
      <c r="P112" s="47">
        <v>160</v>
      </c>
      <c r="Q112" s="100">
        <f t="shared" si="35"/>
        <v>0</v>
      </c>
      <c r="R112" s="100">
        <v>4.8275999999999999E-2</v>
      </c>
      <c r="T112" s="29"/>
      <c r="U112" s="52">
        <f t="shared" si="36"/>
        <v>0</v>
      </c>
    </row>
    <row r="113" spans="1:21" x14ac:dyDescent="0.3">
      <c r="A113" s="14" t="str">
        <f t="shared" si="26"/>
        <v>(160, 180]</v>
      </c>
      <c r="B113" s="89">
        <v>401699</v>
      </c>
      <c r="C113" s="89">
        <v>6824039140</v>
      </c>
      <c r="D113" s="29">
        <f t="shared" si="27"/>
        <v>4.8026858761826954E-2</v>
      </c>
      <c r="E113" s="90">
        <f t="shared" si="28"/>
        <v>169.87941568189115</v>
      </c>
      <c r="F113" s="88"/>
      <c r="G113" s="14" t="str">
        <f t="shared" si="29"/>
        <v>(160, 180]</v>
      </c>
      <c r="H113" s="94">
        <v>0</v>
      </c>
      <c r="I113" s="54">
        <f t="shared" si="30"/>
        <v>0</v>
      </c>
      <c r="J113" s="54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7">
        <v>160</v>
      </c>
      <c r="P113" s="47">
        <v>180</v>
      </c>
      <c r="Q113" s="100">
        <f t="shared" si="35"/>
        <v>0</v>
      </c>
      <c r="R113" s="100">
        <v>2.7585999999999999E-2</v>
      </c>
      <c r="T113" s="29"/>
      <c r="U113" s="52">
        <f t="shared" si="36"/>
        <v>0</v>
      </c>
    </row>
    <row r="114" spans="1:21" x14ac:dyDescent="0.3">
      <c r="A114" s="14" t="str">
        <f t="shared" si="26"/>
        <v>(180, 200]</v>
      </c>
      <c r="B114" s="89">
        <v>359175</v>
      </c>
      <c r="C114" s="89">
        <v>6819468580</v>
      </c>
      <c r="D114" s="29">
        <f t="shared" si="27"/>
        <v>4.2942718293496371E-2</v>
      </c>
      <c r="E114" s="90">
        <f t="shared" si="28"/>
        <v>189.86478958724857</v>
      </c>
      <c r="F114" s="88"/>
      <c r="G114" s="14" t="str">
        <f t="shared" si="29"/>
        <v>(180, 200]</v>
      </c>
      <c r="H114" s="94">
        <v>0</v>
      </c>
      <c r="I114" s="54">
        <f t="shared" si="30"/>
        <v>0</v>
      </c>
      <c r="J114" s="54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7">
        <v>180</v>
      </c>
      <c r="P114" s="47">
        <v>200</v>
      </c>
      <c r="Q114" s="100">
        <f t="shared" si="35"/>
        <v>0</v>
      </c>
      <c r="R114" s="100">
        <v>3.4483E-2</v>
      </c>
      <c r="T114" s="29"/>
      <c r="U114" s="52">
        <f t="shared" si="36"/>
        <v>0</v>
      </c>
    </row>
    <row r="115" spans="1:21" x14ac:dyDescent="0.3">
      <c r="A115" s="14" t="str">
        <f t="shared" si="26"/>
        <v>(200, 250]</v>
      </c>
      <c r="B115" s="89">
        <v>728579</v>
      </c>
      <c r="C115" s="89">
        <v>16300420450</v>
      </c>
      <c r="D115" s="29">
        <f t="shared" si="27"/>
        <v>8.7108408857958633E-2</v>
      </c>
      <c r="E115" s="90">
        <f t="shared" si="28"/>
        <v>223.72893605223319</v>
      </c>
      <c r="F115" s="88"/>
      <c r="G115" s="14" t="str">
        <f t="shared" si="29"/>
        <v>(200, 250]</v>
      </c>
      <c r="H115" s="94">
        <v>0</v>
      </c>
      <c r="I115" s="54">
        <f t="shared" si="30"/>
        <v>0</v>
      </c>
      <c r="J115" s="54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7">
        <v>200</v>
      </c>
      <c r="P115" s="47">
        <v>250</v>
      </c>
      <c r="Q115" s="100">
        <f t="shared" si="35"/>
        <v>0</v>
      </c>
      <c r="R115" s="100">
        <v>1.3793E-2</v>
      </c>
      <c r="T115" s="29"/>
      <c r="U115" s="52">
        <f t="shared" si="36"/>
        <v>0</v>
      </c>
    </row>
    <row r="116" spans="1:21" x14ac:dyDescent="0.3">
      <c r="A116" s="14" t="str">
        <f t="shared" si="26"/>
        <v>(250, 300]</v>
      </c>
      <c r="B116" s="89">
        <v>527104</v>
      </c>
      <c r="C116" s="89">
        <v>14424519190</v>
      </c>
      <c r="D116" s="29">
        <f t="shared" si="27"/>
        <v>6.3020195123199299E-2</v>
      </c>
      <c r="E116" s="90">
        <f t="shared" si="28"/>
        <v>273.65603732849684</v>
      </c>
      <c r="F116" s="88"/>
      <c r="G116" s="14" t="str">
        <f t="shared" si="29"/>
        <v>(250, 300]</v>
      </c>
      <c r="H116" s="94">
        <v>0</v>
      </c>
      <c r="I116" s="54">
        <f t="shared" si="30"/>
        <v>0</v>
      </c>
      <c r="J116" s="54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7">
        <v>250</v>
      </c>
      <c r="P116" s="47">
        <v>300</v>
      </c>
      <c r="Q116" s="100">
        <f t="shared" si="35"/>
        <v>0</v>
      </c>
      <c r="R116" s="100">
        <v>1.3793E-2</v>
      </c>
      <c r="T116" s="29"/>
      <c r="U116" s="52">
        <f t="shared" si="36"/>
        <v>0</v>
      </c>
    </row>
    <row r="117" spans="1:21" x14ac:dyDescent="0.3">
      <c r="A117" s="14" t="str">
        <f t="shared" si="26"/>
        <v>(300, 350]</v>
      </c>
      <c r="B117" s="89">
        <v>376240</v>
      </c>
      <c r="C117" s="89">
        <v>12174194450</v>
      </c>
      <c r="D117" s="29">
        <f t="shared" si="27"/>
        <v>4.4982998067084494E-2</v>
      </c>
      <c r="E117" s="90">
        <f t="shared" si="28"/>
        <v>323.5752299064427</v>
      </c>
      <c r="F117" s="88"/>
      <c r="G117" s="14" t="str">
        <f t="shared" si="29"/>
        <v>(300, 350]</v>
      </c>
      <c r="H117" s="94">
        <v>0</v>
      </c>
      <c r="I117" s="54">
        <f t="shared" si="30"/>
        <v>0</v>
      </c>
      <c r="J117" s="54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7">
        <v>300</v>
      </c>
      <c r="P117" s="47">
        <v>350</v>
      </c>
      <c r="Q117" s="100">
        <f t="shared" si="35"/>
        <v>0</v>
      </c>
      <c r="R117" s="100">
        <v>6.8970000000000004E-3</v>
      </c>
      <c r="T117" s="29"/>
      <c r="U117" s="52">
        <f t="shared" si="36"/>
        <v>0</v>
      </c>
    </row>
    <row r="118" spans="1:21" x14ac:dyDescent="0.3">
      <c r="A118" s="14" t="str">
        <f t="shared" ref="A118:A149" si="37">"("&amp;$O118&amp;", "&amp;$P118&amp;"]"</f>
        <v>(350, 400]</v>
      </c>
      <c r="B118" s="89">
        <v>263520</v>
      </c>
      <c r="C118" s="89">
        <v>9845768370</v>
      </c>
      <c r="D118" s="29">
        <f t="shared" ref="D118:D149" si="38">IFERROR(B118/SUM($B$86:$B$149),0)</f>
        <v>3.1506271663401302E-2</v>
      </c>
      <c r="E118" s="90">
        <f t="shared" ref="E118:E149" si="39">IFERROR(C118/B118/$B$3,0)</f>
        <v>373.62508993624778</v>
      </c>
      <c r="F118" s="88"/>
      <c r="G118" s="14" t="str">
        <f t="shared" ref="G118:G149" si="40">"("&amp;$O118&amp;", "&amp;$P118&amp;"]"</f>
        <v>(350, 400]</v>
      </c>
      <c r="H118" s="94">
        <v>0</v>
      </c>
      <c r="I118" s="54">
        <f t="shared" ref="I118:I149" si="41">D118*H118</f>
        <v>0</v>
      </c>
      <c r="J118" s="54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7">
        <v>350</v>
      </c>
      <c r="P118" s="47">
        <v>400</v>
      </c>
      <c r="Q118" s="100">
        <f t="shared" ref="Q118:Q149" si="46">L118</f>
        <v>0</v>
      </c>
      <c r="R118" s="100">
        <v>6.8970000000000004E-3</v>
      </c>
      <c r="T118" s="29"/>
      <c r="U118" s="52">
        <f t="shared" ref="U118:U149" si="47">IFERROR(ROUND(T118/L118,2),0)</f>
        <v>0</v>
      </c>
    </row>
    <row r="119" spans="1:21" x14ac:dyDescent="0.3">
      <c r="A119" s="14" t="str">
        <f t="shared" si="37"/>
        <v>(400, 450]</v>
      </c>
      <c r="B119" s="89">
        <v>184753</v>
      </c>
      <c r="C119" s="89">
        <v>7824656320</v>
      </c>
      <c r="D119" s="29">
        <f t="shared" si="38"/>
        <v>2.208894280748475E-2</v>
      </c>
      <c r="E119" s="90">
        <f t="shared" si="39"/>
        <v>423.51985191038847</v>
      </c>
      <c r="F119" s="88"/>
      <c r="G119" s="14" t="str">
        <f t="shared" si="40"/>
        <v>(400, 450]</v>
      </c>
      <c r="H119" s="94">
        <v>0</v>
      </c>
      <c r="I119" s="54">
        <f t="shared" si="41"/>
        <v>0</v>
      </c>
      <c r="J119" s="54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7">
        <v>400</v>
      </c>
      <c r="P119" s="47">
        <v>450</v>
      </c>
      <c r="Q119" s="100">
        <f t="shared" si="46"/>
        <v>0</v>
      </c>
      <c r="R119" s="100">
        <v>0</v>
      </c>
      <c r="T119" s="29"/>
      <c r="U119" s="52">
        <f t="shared" si="47"/>
        <v>0</v>
      </c>
    </row>
    <row r="120" spans="1:21" x14ac:dyDescent="0.3">
      <c r="A120" s="14" t="str">
        <f t="shared" si="37"/>
        <v>(450, 500]</v>
      </c>
      <c r="B120" s="89">
        <v>128657</v>
      </c>
      <c r="C120" s="89">
        <v>6093245310</v>
      </c>
      <c r="D120" s="29">
        <f t="shared" si="38"/>
        <v>1.5382143265779528E-2</v>
      </c>
      <c r="E120" s="90">
        <f t="shared" si="39"/>
        <v>473.60386997986899</v>
      </c>
      <c r="F120" s="88"/>
      <c r="G120" s="14" t="str">
        <f t="shared" si="40"/>
        <v>(450, 500]</v>
      </c>
      <c r="H120" s="94">
        <v>0</v>
      </c>
      <c r="I120" s="54">
        <f t="shared" si="41"/>
        <v>0</v>
      </c>
      <c r="J120" s="54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7">
        <v>450</v>
      </c>
      <c r="P120" s="47">
        <v>500</v>
      </c>
      <c r="Q120" s="100">
        <f t="shared" si="46"/>
        <v>0</v>
      </c>
      <c r="R120" s="100">
        <v>0</v>
      </c>
      <c r="T120" s="29"/>
      <c r="U120" s="52">
        <f t="shared" si="47"/>
        <v>0</v>
      </c>
    </row>
    <row r="121" spans="1:21" x14ac:dyDescent="0.3">
      <c r="A121" s="14" t="str">
        <f t="shared" si="37"/>
        <v>(500, 550]</v>
      </c>
      <c r="B121" s="89">
        <v>88357</v>
      </c>
      <c r="C121" s="89">
        <v>4625117990</v>
      </c>
      <c r="D121" s="29">
        <f t="shared" si="38"/>
        <v>1.0563902722234172E-2</v>
      </c>
      <c r="E121" s="90">
        <f t="shared" si="39"/>
        <v>523.45801577690509</v>
      </c>
      <c r="F121" s="88"/>
      <c r="G121" s="14" t="str">
        <f t="shared" si="40"/>
        <v>(500, 550]</v>
      </c>
      <c r="H121" s="94">
        <v>0</v>
      </c>
      <c r="I121" s="54">
        <f t="shared" si="41"/>
        <v>0</v>
      </c>
      <c r="J121" s="54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7">
        <v>500</v>
      </c>
      <c r="P121" s="47">
        <v>550</v>
      </c>
      <c r="Q121" s="100">
        <f t="shared" si="46"/>
        <v>0</v>
      </c>
      <c r="R121" s="100">
        <v>0</v>
      </c>
      <c r="T121" s="29"/>
      <c r="U121" s="52">
        <f t="shared" si="47"/>
        <v>0</v>
      </c>
    </row>
    <row r="122" spans="1:21" x14ac:dyDescent="0.3">
      <c r="A122" s="14" t="str">
        <f t="shared" si="37"/>
        <v>(550, 600]</v>
      </c>
      <c r="B122" s="89">
        <v>61353</v>
      </c>
      <c r="C122" s="89">
        <v>3518119460</v>
      </c>
      <c r="D122" s="29">
        <f t="shared" si="38"/>
        <v>7.3353228801026869E-3</v>
      </c>
      <c r="E122" s="90">
        <f t="shared" si="39"/>
        <v>573.42256450377329</v>
      </c>
      <c r="F122" s="88"/>
      <c r="G122" s="14" t="str">
        <f t="shared" si="40"/>
        <v>(550, 600]</v>
      </c>
      <c r="H122" s="86">
        <v>0</v>
      </c>
      <c r="I122" s="29">
        <f t="shared" si="41"/>
        <v>0</v>
      </c>
      <c r="J122" s="29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7">
        <v>550</v>
      </c>
      <c r="P122" s="47">
        <v>600</v>
      </c>
      <c r="Q122" s="100">
        <f t="shared" si="46"/>
        <v>0</v>
      </c>
      <c r="R122" s="100">
        <v>0</v>
      </c>
      <c r="T122" s="29"/>
      <c r="U122" s="52">
        <f t="shared" si="47"/>
        <v>0</v>
      </c>
    </row>
    <row r="123" spans="1:21" x14ac:dyDescent="0.3">
      <c r="A123" s="14" t="str">
        <f t="shared" si="37"/>
        <v>(600, 650]</v>
      </c>
      <c r="B123" s="89">
        <v>42665</v>
      </c>
      <c r="C123" s="89">
        <v>2660290870</v>
      </c>
      <c r="D123" s="29">
        <f t="shared" si="38"/>
        <v>5.1009983322670635E-3</v>
      </c>
      <c r="E123" s="90">
        <f t="shared" si="39"/>
        <v>623.53002929801949</v>
      </c>
      <c r="F123" s="88"/>
      <c r="G123" s="14" t="str">
        <f t="shared" si="40"/>
        <v>(600, 650]</v>
      </c>
      <c r="H123" s="86">
        <v>0</v>
      </c>
      <c r="I123" s="29">
        <f t="shared" si="41"/>
        <v>0</v>
      </c>
      <c r="J123" s="29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7">
        <v>600</v>
      </c>
      <c r="P123" s="47">
        <v>650</v>
      </c>
      <c r="Q123" s="100">
        <f t="shared" si="46"/>
        <v>0</v>
      </c>
      <c r="R123" s="100">
        <v>6.8970000000000004E-3</v>
      </c>
      <c r="T123" s="29"/>
      <c r="U123" s="52">
        <f t="shared" si="47"/>
        <v>0</v>
      </c>
    </row>
    <row r="124" spans="1:21" x14ac:dyDescent="0.3">
      <c r="A124" s="14" t="str">
        <f t="shared" si="37"/>
        <v>(650, 700]</v>
      </c>
      <c r="B124" s="89">
        <v>29296</v>
      </c>
      <c r="C124" s="89">
        <v>1972914430</v>
      </c>
      <c r="D124" s="29">
        <f t="shared" si="38"/>
        <v>3.502609800588208E-3</v>
      </c>
      <c r="E124" s="90">
        <f t="shared" si="39"/>
        <v>673.44157222829062</v>
      </c>
      <c r="F124" s="88"/>
      <c r="G124" s="14" t="str">
        <f t="shared" si="40"/>
        <v>(650, 700]</v>
      </c>
      <c r="H124" s="86">
        <v>0</v>
      </c>
      <c r="I124" s="29">
        <f t="shared" si="41"/>
        <v>0</v>
      </c>
      <c r="J124" s="29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7">
        <v>650</v>
      </c>
      <c r="P124" s="47">
        <v>700</v>
      </c>
      <c r="Q124" s="100">
        <f t="shared" si="46"/>
        <v>0</v>
      </c>
      <c r="R124" s="100">
        <v>0</v>
      </c>
      <c r="T124" s="29"/>
      <c r="U124" s="52">
        <f t="shared" si="47"/>
        <v>0</v>
      </c>
    </row>
    <row r="125" spans="1:21" x14ac:dyDescent="0.3">
      <c r="A125" s="14" t="str">
        <f t="shared" si="37"/>
        <v>(700, 750]</v>
      </c>
      <c r="B125" s="89">
        <v>20236</v>
      </c>
      <c r="C125" s="89">
        <v>1463960560</v>
      </c>
      <c r="D125" s="29">
        <f t="shared" si="38"/>
        <v>2.4194023731807404E-3</v>
      </c>
      <c r="E125" s="90">
        <f t="shared" si="39"/>
        <v>723.44364498912819</v>
      </c>
      <c r="F125" s="88"/>
      <c r="G125" s="14" t="str">
        <f t="shared" si="40"/>
        <v>(700, 750]</v>
      </c>
      <c r="H125" s="86">
        <v>0</v>
      </c>
      <c r="I125" s="29">
        <f t="shared" si="41"/>
        <v>0</v>
      </c>
      <c r="J125" s="29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7">
        <v>700</v>
      </c>
      <c r="P125" s="47">
        <v>750</v>
      </c>
      <c r="Q125" s="100">
        <f t="shared" si="46"/>
        <v>0</v>
      </c>
      <c r="R125" s="100">
        <v>0</v>
      </c>
      <c r="T125" s="29"/>
      <c r="U125" s="52">
        <f t="shared" si="47"/>
        <v>0</v>
      </c>
    </row>
    <row r="126" spans="1:21" x14ac:dyDescent="0.3">
      <c r="A126" s="14" t="str">
        <f t="shared" si="37"/>
        <v>(750, 800]</v>
      </c>
      <c r="B126" s="89">
        <v>14051</v>
      </c>
      <c r="C126" s="89">
        <v>1086775270</v>
      </c>
      <c r="D126" s="29">
        <f t="shared" si="38"/>
        <v>1.6799279870311616E-3</v>
      </c>
      <c r="E126" s="90">
        <f t="shared" si="39"/>
        <v>773.45048039285462</v>
      </c>
      <c r="F126" s="88"/>
      <c r="G126" s="14" t="str">
        <f t="shared" si="40"/>
        <v>(750, 800]</v>
      </c>
      <c r="H126" s="86">
        <v>0</v>
      </c>
      <c r="I126" s="29">
        <f t="shared" si="41"/>
        <v>0</v>
      </c>
      <c r="J126" s="29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7">
        <v>750</v>
      </c>
      <c r="P126" s="47">
        <v>800</v>
      </c>
      <c r="Q126" s="100">
        <f t="shared" si="46"/>
        <v>0</v>
      </c>
      <c r="R126" s="100">
        <v>0</v>
      </c>
      <c r="T126" s="29"/>
      <c r="U126" s="52">
        <f t="shared" si="47"/>
        <v>0</v>
      </c>
    </row>
    <row r="127" spans="1:21" x14ac:dyDescent="0.3">
      <c r="A127" s="14" t="str">
        <f t="shared" si="37"/>
        <v>(800, 850]</v>
      </c>
      <c r="B127" s="89">
        <v>9888</v>
      </c>
      <c r="C127" s="89">
        <v>814515590</v>
      </c>
      <c r="D127" s="29">
        <f t="shared" si="38"/>
        <v>1.1822025432897392E-3</v>
      </c>
      <c r="E127" s="90">
        <f t="shared" si="39"/>
        <v>823.74149474110027</v>
      </c>
      <c r="F127" s="88"/>
      <c r="G127" s="14" t="str">
        <f t="shared" si="40"/>
        <v>(800, 850]</v>
      </c>
      <c r="H127" s="86">
        <v>0</v>
      </c>
      <c r="I127" s="29">
        <f t="shared" si="41"/>
        <v>0</v>
      </c>
      <c r="J127" s="29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7">
        <v>800</v>
      </c>
      <c r="P127" s="47">
        <v>850</v>
      </c>
      <c r="Q127" s="100">
        <f t="shared" si="46"/>
        <v>0</v>
      </c>
      <c r="R127" s="100">
        <v>0</v>
      </c>
      <c r="T127" s="29"/>
      <c r="U127" s="52">
        <f t="shared" si="47"/>
        <v>0</v>
      </c>
    </row>
    <row r="128" spans="1:21" x14ac:dyDescent="0.3">
      <c r="A128" s="14" t="str">
        <f t="shared" si="37"/>
        <v>(850, 900]</v>
      </c>
      <c r="B128" s="89">
        <v>6851</v>
      </c>
      <c r="C128" s="89">
        <v>598465100</v>
      </c>
      <c r="D128" s="29">
        <f t="shared" si="38"/>
        <v>8.1910089240271066E-4</v>
      </c>
      <c r="E128" s="90">
        <f t="shared" si="39"/>
        <v>873.54415413808204</v>
      </c>
      <c r="F128" s="88"/>
      <c r="G128" s="14" t="str">
        <f t="shared" si="40"/>
        <v>(850, 900]</v>
      </c>
      <c r="H128" s="86">
        <v>0</v>
      </c>
      <c r="I128" s="29">
        <f t="shared" si="41"/>
        <v>0</v>
      </c>
      <c r="J128" s="29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7">
        <v>850</v>
      </c>
      <c r="P128" s="47">
        <v>900</v>
      </c>
      <c r="Q128" s="100">
        <f t="shared" si="46"/>
        <v>0</v>
      </c>
      <c r="R128" s="100">
        <v>0</v>
      </c>
      <c r="T128" s="29"/>
      <c r="U128" s="52">
        <f t="shared" si="47"/>
        <v>0</v>
      </c>
    </row>
    <row r="129" spans="1:21" x14ac:dyDescent="0.3">
      <c r="A129" s="14" t="str">
        <f t="shared" si="37"/>
        <v>(900, 950]</v>
      </c>
      <c r="B129" s="89">
        <v>4931</v>
      </c>
      <c r="C129" s="89">
        <v>455292250</v>
      </c>
      <c r="D129" s="29">
        <f t="shared" si="38"/>
        <v>5.895470005017905E-4</v>
      </c>
      <c r="E129" s="90">
        <f t="shared" si="39"/>
        <v>923.3264043804503</v>
      </c>
      <c r="F129" s="88"/>
      <c r="G129" s="14" t="str">
        <f t="shared" si="40"/>
        <v>(900, 950]</v>
      </c>
      <c r="H129" s="86">
        <v>0</v>
      </c>
      <c r="I129" s="29">
        <f t="shared" si="41"/>
        <v>0</v>
      </c>
      <c r="J129" s="29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7">
        <v>900</v>
      </c>
      <c r="P129" s="47">
        <v>950</v>
      </c>
      <c r="Q129" s="100">
        <f t="shared" si="46"/>
        <v>0</v>
      </c>
      <c r="R129" s="100">
        <v>6.8970000000000004E-3</v>
      </c>
      <c r="T129" s="29"/>
      <c r="U129" s="52">
        <f t="shared" si="47"/>
        <v>0</v>
      </c>
    </row>
    <row r="130" spans="1:21" x14ac:dyDescent="0.3">
      <c r="A130" s="14" t="str">
        <f t="shared" si="37"/>
        <v>(950, 1000]</v>
      </c>
      <c r="B130" s="89">
        <v>3379</v>
      </c>
      <c r="C130" s="89">
        <v>328959390</v>
      </c>
      <c r="D130" s="29">
        <f t="shared" si="38"/>
        <v>4.0399093788187992E-4</v>
      </c>
      <c r="E130" s="90">
        <f t="shared" si="39"/>
        <v>973.54066291802314</v>
      </c>
      <c r="F130" s="88"/>
      <c r="G130" s="14" t="str">
        <f t="shared" si="40"/>
        <v>(950, 1000]</v>
      </c>
      <c r="H130" s="86">
        <v>0</v>
      </c>
      <c r="I130" s="29">
        <f t="shared" si="41"/>
        <v>0</v>
      </c>
      <c r="J130" s="29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7">
        <v>950</v>
      </c>
      <c r="P130" s="47">
        <v>1000</v>
      </c>
      <c r="Q130" s="100">
        <f t="shared" si="46"/>
        <v>0</v>
      </c>
      <c r="R130" s="100">
        <v>0</v>
      </c>
      <c r="T130" s="29"/>
      <c r="U130" s="52">
        <f t="shared" si="47"/>
        <v>0</v>
      </c>
    </row>
    <row r="131" spans="1:21" x14ac:dyDescent="0.3">
      <c r="A131" s="14" t="str">
        <f t="shared" si="37"/>
        <v>(1000, 2000]</v>
      </c>
      <c r="B131" s="89">
        <v>9282</v>
      </c>
      <c r="C131" s="89">
        <v>1088039000</v>
      </c>
      <c r="D131" s="29">
        <f t="shared" si="38"/>
        <v>1.1097495961585112E-3</v>
      </c>
      <c r="E131" s="90">
        <f t="shared" si="39"/>
        <v>1172.2031889678949</v>
      </c>
      <c r="F131" s="88"/>
      <c r="G131" s="14" t="str">
        <f t="shared" si="40"/>
        <v>(1000, 2000]</v>
      </c>
      <c r="H131" s="86">
        <v>0</v>
      </c>
      <c r="I131" s="29">
        <f t="shared" si="41"/>
        <v>0</v>
      </c>
      <c r="J131" s="29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7">
        <v>1000</v>
      </c>
      <c r="P131" s="47">
        <v>2000</v>
      </c>
      <c r="Q131" s="100">
        <f t="shared" si="46"/>
        <v>0</v>
      </c>
      <c r="R131" s="100">
        <v>0</v>
      </c>
      <c r="T131" s="29"/>
      <c r="U131" s="52">
        <f t="shared" si="47"/>
        <v>0</v>
      </c>
    </row>
    <row r="132" spans="1:21" x14ac:dyDescent="0.3">
      <c r="A132" s="14" t="str">
        <f t="shared" si="37"/>
        <v>(2000, 3000]</v>
      </c>
      <c r="B132" s="89">
        <v>96</v>
      </c>
      <c r="C132" s="89">
        <v>21722990</v>
      </c>
      <c r="D132" s="29">
        <f t="shared" si="38"/>
        <v>1.1477694595046011E-5</v>
      </c>
      <c r="E132" s="90">
        <f t="shared" si="39"/>
        <v>2262.8114583333336</v>
      </c>
      <c r="F132" s="88"/>
      <c r="G132" s="14" t="str">
        <f t="shared" si="40"/>
        <v>(2000, 3000]</v>
      </c>
      <c r="H132" s="86">
        <v>0</v>
      </c>
      <c r="I132" s="29">
        <f t="shared" si="41"/>
        <v>0</v>
      </c>
      <c r="J132" s="29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7">
        <v>2000</v>
      </c>
      <c r="P132" s="47">
        <v>3000</v>
      </c>
      <c r="Q132" s="100">
        <f t="shared" si="46"/>
        <v>0</v>
      </c>
      <c r="R132" s="100">
        <v>0</v>
      </c>
      <c r="T132" s="29"/>
      <c r="U132" s="52">
        <f t="shared" si="47"/>
        <v>0</v>
      </c>
    </row>
    <row r="133" spans="1:21" x14ac:dyDescent="0.3">
      <c r="A133" s="14" t="str">
        <f t="shared" si="37"/>
        <v>(3000, 4000]</v>
      </c>
      <c r="B133" s="89">
        <v>2</v>
      </c>
      <c r="C133" s="89">
        <v>673350</v>
      </c>
      <c r="D133" s="29">
        <f t="shared" si="38"/>
        <v>2.3911863739679191E-7</v>
      </c>
      <c r="E133" s="90">
        <f t="shared" si="39"/>
        <v>3366.75</v>
      </c>
      <c r="F133" s="88"/>
      <c r="G133" s="14" t="str">
        <f t="shared" si="40"/>
        <v>(3000, 4000]</v>
      </c>
      <c r="H133" s="86">
        <v>0</v>
      </c>
      <c r="I133" s="29">
        <f t="shared" si="41"/>
        <v>0</v>
      </c>
      <c r="J133" s="29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7">
        <v>3000</v>
      </c>
      <c r="P133" s="47">
        <v>4000</v>
      </c>
      <c r="Q133" s="100">
        <f t="shared" si="46"/>
        <v>0</v>
      </c>
      <c r="R133" s="100">
        <v>0</v>
      </c>
      <c r="T133" s="29"/>
      <c r="U133" s="52">
        <f t="shared" si="47"/>
        <v>0</v>
      </c>
    </row>
    <row r="134" spans="1:21" x14ac:dyDescent="0.3">
      <c r="A134" s="14" t="str">
        <f t="shared" si="37"/>
        <v>(4000, 5000]</v>
      </c>
      <c r="B134" s="89">
        <v>0</v>
      </c>
      <c r="C134" s="89">
        <v>0</v>
      </c>
      <c r="D134" s="29">
        <f t="shared" si="38"/>
        <v>0</v>
      </c>
      <c r="E134" s="90">
        <f t="shared" si="39"/>
        <v>0</v>
      </c>
      <c r="F134" s="88"/>
      <c r="G134" s="14" t="str">
        <f t="shared" si="40"/>
        <v>(4000, 5000]</v>
      </c>
      <c r="H134" s="86">
        <v>0</v>
      </c>
      <c r="I134" s="29">
        <f t="shared" si="41"/>
        <v>0</v>
      </c>
      <c r="J134" s="29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7">
        <v>4000</v>
      </c>
      <c r="P134" s="47">
        <v>5000</v>
      </c>
      <c r="Q134" s="100">
        <f t="shared" si="46"/>
        <v>0</v>
      </c>
      <c r="R134" s="100">
        <v>0</v>
      </c>
      <c r="T134" s="29"/>
      <c r="U134" s="52">
        <f t="shared" si="47"/>
        <v>0</v>
      </c>
    </row>
    <row r="135" spans="1:21" x14ac:dyDescent="0.3">
      <c r="A135" s="14" t="str">
        <f t="shared" si="37"/>
        <v>(5000, 6000]</v>
      </c>
      <c r="B135" s="89">
        <v>0</v>
      </c>
      <c r="C135" s="89">
        <v>0</v>
      </c>
      <c r="D135" s="29">
        <f t="shared" si="38"/>
        <v>0</v>
      </c>
      <c r="E135" s="90">
        <f t="shared" si="39"/>
        <v>0</v>
      </c>
      <c r="F135" s="88"/>
      <c r="G135" s="14" t="str">
        <f t="shared" si="40"/>
        <v>(5000, 6000]</v>
      </c>
      <c r="H135" s="86">
        <v>0</v>
      </c>
      <c r="I135" s="29">
        <f t="shared" si="41"/>
        <v>0</v>
      </c>
      <c r="J135" s="29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7">
        <v>5000</v>
      </c>
      <c r="P135" s="47">
        <v>6000</v>
      </c>
      <c r="Q135" s="100">
        <f t="shared" si="46"/>
        <v>0</v>
      </c>
      <c r="R135" s="100">
        <v>0</v>
      </c>
      <c r="T135" s="29"/>
      <c r="U135" s="52">
        <f t="shared" si="47"/>
        <v>0</v>
      </c>
    </row>
    <row r="136" spans="1:21" x14ac:dyDescent="0.3">
      <c r="A136" s="14" t="str">
        <f t="shared" si="37"/>
        <v>(6000, 7000]</v>
      </c>
      <c r="B136" s="89">
        <v>0</v>
      </c>
      <c r="C136" s="89">
        <v>0</v>
      </c>
      <c r="D136" s="29">
        <f t="shared" si="38"/>
        <v>0</v>
      </c>
      <c r="E136" s="90">
        <f t="shared" si="39"/>
        <v>0</v>
      </c>
      <c r="F136" s="88"/>
      <c r="G136" s="14" t="str">
        <f t="shared" si="40"/>
        <v>(6000, 7000]</v>
      </c>
      <c r="H136" s="86">
        <v>0</v>
      </c>
      <c r="I136" s="29">
        <f t="shared" si="41"/>
        <v>0</v>
      </c>
      <c r="J136" s="29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7">
        <v>6000</v>
      </c>
      <c r="P136" s="47">
        <v>7000</v>
      </c>
      <c r="Q136" s="100">
        <f t="shared" si="46"/>
        <v>0</v>
      </c>
      <c r="R136" s="100">
        <v>0</v>
      </c>
      <c r="T136" s="29"/>
      <c r="U136" s="52">
        <f t="shared" si="47"/>
        <v>0</v>
      </c>
    </row>
    <row r="137" spans="1:21" x14ac:dyDescent="0.3">
      <c r="A137" s="14" t="str">
        <f t="shared" si="37"/>
        <v>(7000, 8000]</v>
      </c>
      <c r="B137" s="89">
        <v>0</v>
      </c>
      <c r="C137" s="89">
        <v>0</v>
      </c>
      <c r="D137" s="29">
        <f t="shared" si="38"/>
        <v>0</v>
      </c>
      <c r="E137" s="90">
        <f t="shared" si="39"/>
        <v>0</v>
      </c>
      <c r="F137" s="88"/>
      <c r="G137" s="14" t="str">
        <f t="shared" si="40"/>
        <v>(7000, 8000]</v>
      </c>
      <c r="H137" s="86">
        <v>0</v>
      </c>
      <c r="I137" s="29">
        <f t="shared" si="41"/>
        <v>0</v>
      </c>
      <c r="J137" s="29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7">
        <v>7000</v>
      </c>
      <c r="P137" s="47">
        <v>8000</v>
      </c>
      <c r="Q137" s="100">
        <f t="shared" si="46"/>
        <v>0</v>
      </c>
      <c r="R137" s="100">
        <v>0</v>
      </c>
      <c r="T137" s="29"/>
      <c r="U137" s="52">
        <f t="shared" si="47"/>
        <v>0</v>
      </c>
    </row>
    <row r="138" spans="1:21" x14ac:dyDescent="0.3">
      <c r="A138" s="14" t="str">
        <f t="shared" si="37"/>
        <v>(8000, 9000]</v>
      </c>
      <c r="B138" s="89">
        <v>0</v>
      </c>
      <c r="C138" s="89">
        <v>0</v>
      </c>
      <c r="D138" s="29">
        <f t="shared" si="38"/>
        <v>0</v>
      </c>
      <c r="E138" s="90">
        <f t="shared" si="39"/>
        <v>0</v>
      </c>
      <c r="F138" s="88"/>
      <c r="G138" s="14" t="str">
        <f t="shared" si="40"/>
        <v>(8000, 9000]</v>
      </c>
      <c r="H138" s="86">
        <v>0</v>
      </c>
      <c r="I138" s="29">
        <f t="shared" si="41"/>
        <v>0</v>
      </c>
      <c r="J138" s="29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7">
        <v>8000</v>
      </c>
      <c r="P138" s="47">
        <v>9000</v>
      </c>
      <c r="Q138" s="100">
        <f t="shared" si="46"/>
        <v>0</v>
      </c>
      <c r="R138" s="100">
        <v>0</v>
      </c>
      <c r="T138" s="29"/>
      <c r="U138" s="52">
        <f t="shared" si="47"/>
        <v>0</v>
      </c>
    </row>
    <row r="139" spans="1:21" x14ac:dyDescent="0.3">
      <c r="A139" s="14" t="str">
        <f t="shared" si="37"/>
        <v>(9000, 10000]</v>
      </c>
      <c r="B139" s="89">
        <v>0</v>
      </c>
      <c r="C139" s="89">
        <v>0</v>
      </c>
      <c r="D139" s="29">
        <f t="shared" si="38"/>
        <v>0</v>
      </c>
      <c r="E139" s="90">
        <f t="shared" si="39"/>
        <v>0</v>
      </c>
      <c r="F139" s="88"/>
      <c r="G139" s="14" t="str">
        <f t="shared" si="40"/>
        <v>(9000, 10000]</v>
      </c>
      <c r="H139" s="86">
        <v>0</v>
      </c>
      <c r="I139" s="29">
        <f t="shared" si="41"/>
        <v>0</v>
      </c>
      <c r="J139" s="29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7">
        <v>9000</v>
      </c>
      <c r="P139" s="47">
        <v>10000</v>
      </c>
      <c r="Q139" s="100">
        <f t="shared" si="46"/>
        <v>0</v>
      </c>
      <c r="R139" s="100">
        <v>0</v>
      </c>
      <c r="T139" s="29"/>
      <c r="U139" s="52">
        <f t="shared" si="47"/>
        <v>0</v>
      </c>
    </row>
    <row r="140" spans="1:21" x14ac:dyDescent="0.3">
      <c r="A140" s="14" t="str">
        <f t="shared" si="37"/>
        <v>(10000, 20000]</v>
      </c>
      <c r="B140" s="89">
        <v>0</v>
      </c>
      <c r="C140" s="89">
        <v>0</v>
      </c>
      <c r="D140" s="29">
        <f t="shared" si="38"/>
        <v>0</v>
      </c>
      <c r="E140" s="90">
        <f t="shared" si="39"/>
        <v>0</v>
      </c>
      <c r="F140" s="88"/>
      <c r="G140" s="14" t="str">
        <f t="shared" si="40"/>
        <v>(10000, 20000]</v>
      </c>
      <c r="H140" s="86">
        <v>0</v>
      </c>
      <c r="I140" s="29">
        <f t="shared" si="41"/>
        <v>0</v>
      </c>
      <c r="J140" s="29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7">
        <v>10000</v>
      </c>
      <c r="P140" s="47">
        <v>20000</v>
      </c>
      <c r="Q140" s="100">
        <f t="shared" si="46"/>
        <v>0</v>
      </c>
      <c r="R140" s="100">
        <v>0</v>
      </c>
      <c r="T140" s="29"/>
      <c r="U140" s="52">
        <f t="shared" si="47"/>
        <v>0</v>
      </c>
    </row>
    <row r="141" spans="1:21" x14ac:dyDescent="0.3">
      <c r="A141" s="14" t="str">
        <f t="shared" si="37"/>
        <v>(20000, 30000]</v>
      </c>
      <c r="B141" s="89">
        <v>0</v>
      </c>
      <c r="C141" s="89">
        <v>0</v>
      </c>
      <c r="D141" s="29">
        <f t="shared" si="38"/>
        <v>0</v>
      </c>
      <c r="E141" s="90">
        <f t="shared" si="39"/>
        <v>0</v>
      </c>
      <c r="F141" s="88"/>
      <c r="G141" s="14" t="str">
        <f t="shared" si="40"/>
        <v>(20000, 30000]</v>
      </c>
      <c r="H141" s="86">
        <v>0</v>
      </c>
      <c r="I141" s="29">
        <f t="shared" si="41"/>
        <v>0</v>
      </c>
      <c r="J141" s="29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7">
        <v>20000</v>
      </c>
      <c r="P141" s="47">
        <v>30000</v>
      </c>
      <c r="Q141" s="100">
        <f t="shared" si="46"/>
        <v>0</v>
      </c>
      <c r="R141" s="100">
        <v>0</v>
      </c>
      <c r="T141" s="29"/>
      <c r="U141" s="52">
        <f t="shared" si="47"/>
        <v>0</v>
      </c>
    </row>
    <row r="142" spans="1:21" x14ac:dyDescent="0.3">
      <c r="A142" s="14" t="str">
        <f t="shared" si="37"/>
        <v>(30000, 40000]</v>
      </c>
      <c r="B142" s="89">
        <v>0</v>
      </c>
      <c r="C142" s="89">
        <v>0</v>
      </c>
      <c r="D142" s="29">
        <f t="shared" si="38"/>
        <v>0</v>
      </c>
      <c r="E142" s="90">
        <f t="shared" si="39"/>
        <v>0</v>
      </c>
      <c r="F142" s="88"/>
      <c r="G142" s="14" t="str">
        <f t="shared" si="40"/>
        <v>(30000, 40000]</v>
      </c>
      <c r="H142" s="86">
        <v>0</v>
      </c>
      <c r="I142" s="29">
        <f t="shared" si="41"/>
        <v>0</v>
      </c>
      <c r="J142" s="29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7">
        <v>30000</v>
      </c>
      <c r="P142" s="47">
        <v>40000</v>
      </c>
      <c r="Q142" s="100">
        <f t="shared" si="46"/>
        <v>0</v>
      </c>
      <c r="R142" s="100">
        <v>0</v>
      </c>
      <c r="T142" s="29"/>
      <c r="U142" s="52">
        <f t="shared" si="47"/>
        <v>0</v>
      </c>
    </row>
    <row r="143" spans="1:21" x14ac:dyDescent="0.3">
      <c r="A143" s="14" t="str">
        <f t="shared" si="37"/>
        <v>(40000, 50000]</v>
      </c>
      <c r="B143" s="89">
        <v>0</v>
      </c>
      <c r="C143" s="89">
        <v>0</v>
      </c>
      <c r="D143" s="29">
        <f t="shared" si="38"/>
        <v>0</v>
      </c>
      <c r="E143" s="90">
        <f t="shared" si="39"/>
        <v>0</v>
      </c>
      <c r="F143" s="88"/>
      <c r="G143" s="14" t="str">
        <f t="shared" si="40"/>
        <v>(40000, 50000]</v>
      </c>
      <c r="H143" s="86">
        <v>0</v>
      </c>
      <c r="I143" s="29">
        <f t="shared" si="41"/>
        <v>0</v>
      </c>
      <c r="J143" s="29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7">
        <v>40000</v>
      </c>
      <c r="P143" s="47">
        <v>50000</v>
      </c>
      <c r="Q143" s="100">
        <f t="shared" si="46"/>
        <v>0</v>
      </c>
      <c r="R143" s="100">
        <v>0</v>
      </c>
      <c r="T143" s="29"/>
      <c r="U143" s="52">
        <f t="shared" si="47"/>
        <v>0</v>
      </c>
    </row>
    <row r="144" spans="1:21" x14ac:dyDescent="0.3">
      <c r="A144" s="14" t="str">
        <f t="shared" si="37"/>
        <v>(50000, 60000]</v>
      </c>
      <c r="B144" s="89">
        <v>0</v>
      </c>
      <c r="C144" s="89">
        <v>0</v>
      </c>
      <c r="D144" s="29">
        <f t="shared" si="38"/>
        <v>0</v>
      </c>
      <c r="E144" s="90">
        <f t="shared" si="39"/>
        <v>0</v>
      </c>
      <c r="F144" s="88"/>
      <c r="G144" s="14" t="str">
        <f t="shared" si="40"/>
        <v>(50000, 60000]</v>
      </c>
      <c r="H144" s="86">
        <v>0</v>
      </c>
      <c r="I144" s="29">
        <f t="shared" si="41"/>
        <v>0</v>
      </c>
      <c r="J144" s="29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7">
        <v>50000</v>
      </c>
      <c r="P144" s="47">
        <v>60000</v>
      </c>
      <c r="Q144" s="100">
        <f t="shared" si="46"/>
        <v>0</v>
      </c>
      <c r="R144" s="100">
        <v>0</v>
      </c>
      <c r="T144" s="29"/>
      <c r="U144" s="52">
        <f t="shared" si="47"/>
        <v>0</v>
      </c>
    </row>
    <row r="145" spans="1:21" x14ac:dyDescent="0.3">
      <c r="A145" s="14" t="str">
        <f t="shared" si="37"/>
        <v>(60000, 70000]</v>
      </c>
      <c r="B145" s="89">
        <v>0</v>
      </c>
      <c r="C145" s="89">
        <v>0</v>
      </c>
      <c r="D145" s="29">
        <f t="shared" si="38"/>
        <v>0</v>
      </c>
      <c r="E145" s="90">
        <f t="shared" si="39"/>
        <v>0</v>
      </c>
      <c r="F145" s="88"/>
      <c r="G145" s="14" t="str">
        <f t="shared" si="40"/>
        <v>(60000, 70000]</v>
      </c>
      <c r="H145" s="86">
        <v>0</v>
      </c>
      <c r="I145" s="29">
        <f t="shared" si="41"/>
        <v>0</v>
      </c>
      <c r="J145" s="29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7">
        <v>60000</v>
      </c>
      <c r="P145" s="47">
        <v>70000</v>
      </c>
      <c r="Q145" s="100">
        <f t="shared" si="46"/>
        <v>0</v>
      </c>
      <c r="R145" s="100">
        <v>0</v>
      </c>
      <c r="T145" s="29"/>
      <c r="U145" s="52">
        <f t="shared" si="47"/>
        <v>0</v>
      </c>
    </row>
    <row r="146" spans="1:21" x14ac:dyDescent="0.3">
      <c r="A146" s="14" t="str">
        <f t="shared" si="37"/>
        <v>(70000, 80000]</v>
      </c>
      <c r="B146" s="89">
        <v>0</v>
      </c>
      <c r="C146" s="89">
        <v>0</v>
      </c>
      <c r="D146" s="29">
        <f t="shared" si="38"/>
        <v>0</v>
      </c>
      <c r="E146" s="90">
        <f t="shared" si="39"/>
        <v>0</v>
      </c>
      <c r="F146" s="88"/>
      <c r="G146" s="14" t="str">
        <f t="shared" si="40"/>
        <v>(70000, 80000]</v>
      </c>
      <c r="H146" s="86">
        <v>0</v>
      </c>
      <c r="I146" s="29">
        <f t="shared" si="41"/>
        <v>0</v>
      </c>
      <c r="J146" s="29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7">
        <v>70000</v>
      </c>
      <c r="P146" s="47">
        <v>80000</v>
      </c>
      <c r="Q146" s="100">
        <f t="shared" si="46"/>
        <v>0</v>
      </c>
      <c r="R146" s="100">
        <v>0</v>
      </c>
      <c r="T146" s="29"/>
      <c r="U146" s="52">
        <f t="shared" si="47"/>
        <v>0</v>
      </c>
    </row>
    <row r="147" spans="1:21" x14ac:dyDescent="0.3">
      <c r="A147" s="14" t="str">
        <f t="shared" si="37"/>
        <v>(80000, 90000]</v>
      </c>
      <c r="B147" s="89">
        <v>0</v>
      </c>
      <c r="C147" s="89">
        <v>0</v>
      </c>
      <c r="D147" s="29">
        <f t="shared" si="38"/>
        <v>0</v>
      </c>
      <c r="E147" s="90">
        <f t="shared" si="39"/>
        <v>0</v>
      </c>
      <c r="F147" s="88"/>
      <c r="G147" s="14" t="str">
        <f t="shared" si="40"/>
        <v>(80000, 90000]</v>
      </c>
      <c r="H147" s="86">
        <v>0</v>
      </c>
      <c r="I147" s="29">
        <f t="shared" si="41"/>
        <v>0</v>
      </c>
      <c r="J147" s="29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7">
        <v>80000</v>
      </c>
      <c r="P147" s="47">
        <v>90000</v>
      </c>
      <c r="Q147" s="100">
        <f t="shared" si="46"/>
        <v>0</v>
      </c>
      <c r="R147" s="100">
        <v>0</v>
      </c>
      <c r="T147" s="29"/>
      <c r="U147" s="52">
        <f t="shared" si="47"/>
        <v>0</v>
      </c>
    </row>
    <row r="148" spans="1:21" x14ac:dyDescent="0.3">
      <c r="A148" s="14" t="str">
        <f t="shared" si="37"/>
        <v>(90000, 100000]</v>
      </c>
      <c r="B148" s="89">
        <v>0</v>
      </c>
      <c r="C148" s="89">
        <v>0</v>
      </c>
      <c r="D148" s="29">
        <f t="shared" si="38"/>
        <v>0</v>
      </c>
      <c r="E148" s="90">
        <f t="shared" si="39"/>
        <v>0</v>
      </c>
      <c r="F148" s="88"/>
      <c r="G148" s="14" t="str">
        <f t="shared" si="40"/>
        <v>(90000, 100000]</v>
      </c>
      <c r="H148" s="86">
        <v>0</v>
      </c>
      <c r="I148" s="29">
        <f t="shared" si="41"/>
        <v>0</v>
      </c>
      <c r="J148" s="29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7">
        <v>90000</v>
      </c>
      <c r="P148" s="47">
        <v>100000</v>
      </c>
      <c r="Q148" s="100">
        <f t="shared" si="46"/>
        <v>0</v>
      </c>
      <c r="R148" s="100">
        <v>0</v>
      </c>
      <c r="T148" s="29"/>
      <c r="U148" s="52">
        <f t="shared" si="47"/>
        <v>0</v>
      </c>
    </row>
    <row r="149" spans="1:21" x14ac:dyDescent="0.3">
      <c r="A149" s="14" t="str">
        <f t="shared" si="37"/>
        <v>(100000, 9999999]</v>
      </c>
      <c r="B149" s="89">
        <v>0</v>
      </c>
      <c r="C149" s="89">
        <v>0</v>
      </c>
      <c r="D149" s="29">
        <f t="shared" si="38"/>
        <v>0</v>
      </c>
      <c r="E149" s="90">
        <f t="shared" si="39"/>
        <v>0</v>
      </c>
      <c r="F149" s="88"/>
      <c r="G149" s="14" t="str">
        <f t="shared" si="40"/>
        <v>(100000, 9999999]</v>
      </c>
      <c r="H149" s="86">
        <v>0</v>
      </c>
      <c r="I149" s="29">
        <f t="shared" si="41"/>
        <v>0</v>
      </c>
      <c r="J149" s="29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7">
        <v>100000</v>
      </c>
      <c r="P149" s="47">
        <v>9999999</v>
      </c>
      <c r="Q149" s="100">
        <f t="shared" si="46"/>
        <v>0</v>
      </c>
      <c r="R149" s="100">
        <v>0</v>
      </c>
      <c r="T149" s="29"/>
      <c r="U149" s="52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 x14ac:dyDescent="0.3">
      <c r="B2" s="8" t="s">
        <v>91</v>
      </c>
      <c r="C2" s="97">
        <v>10000000000</v>
      </c>
    </row>
    <row r="4" spans="1:3" x14ac:dyDescent="0.3">
      <c r="B4" s="12" t="s">
        <v>9</v>
      </c>
      <c r="C4" s="12" t="s">
        <v>115</v>
      </c>
    </row>
    <row r="5" spans="1:3" x14ac:dyDescent="0.3">
      <c r="A5" s="21"/>
      <c r="B5" s="15" t="s">
        <v>116</v>
      </c>
      <c r="C5" s="22"/>
    </row>
    <row r="6" spans="1:3" x14ac:dyDescent="0.3">
      <c r="B6" s="15" t="s">
        <v>117</v>
      </c>
      <c r="C6" s="22"/>
    </row>
    <row r="7" spans="1:3" x14ac:dyDescent="0.3">
      <c r="A7" s="21"/>
      <c r="B7" s="15" t="s">
        <v>118</v>
      </c>
      <c r="C7" s="22"/>
    </row>
    <row r="8" spans="1:3" x14ac:dyDescent="0.3">
      <c r="B8" s="15" t="s">
        <v>119</v>
      </c>
      <c r="C8" s="22"/>
    </row>
    <row r="9" spans="1:3" x14ac:dyDescent="0.3">
      <c r="A9" s="21"/>
      <c r="B9" s="15" t="s">
        <v>120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2026-08-14T08:56:32Z</dcterms:modified>
</cp:coreProperties>
</file>