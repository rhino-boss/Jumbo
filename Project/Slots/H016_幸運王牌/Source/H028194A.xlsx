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 1000\Source\"/>
    </mc:Choice>
  </mc:AlternateContent>
  <xr:revisionPtr revIDLastSave="0" documentId="13_ncr:1_{683BC32D-D3C1-40C2-8D68-20668CFA7020}" xr6:coauthVersionLast="47" xr6:coauthVersionMax="47" xr10:uidLastSave="{00000000-0000-0000-0000-000000000000}"/>
  <bookViews>
    <workbookView xWindow="-23025" yWindow="1770" windowWidth="22965" windowHeight="12210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<sst xmlns="http://schemas.openxmlformats.org/spreadsheetml/2006/main" count="289" uniqueCount="129">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</sst>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7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G9" sqref="G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24" t="inlineStr">
        <is>
          <t>3.1.0.0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0.93999977432805881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0.92499987292709762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99" t="str">
        <f>D11</f>
        <v>Normal Bet</v>
      </c>
      <c r="B17" s="19">
        <f>Detail!C7</f>
        <v>0.71999982973814702</v>
      </c>
      <c r="C17" s="101">
        <f>1/D17</f>
        <v>3.3333327320111106E-3</v>
      </c>
      <c r="D17" s="104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0"/>
      <c r="B18" s="19">
        <f>Detail!D7</f>
        <v>0.21999994458991176</v>
      </c>
      <c r="C18" s="102"/>
      <c r="D18" s="102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5" t="str">
        <f>D12</f>
        <v>Buy Feature</v>
      </c>
      <c r="B21" s="19">
        <f>Detail!C8</f>
        <v>0</v>
      </c>
      <c r="C21" s="101">
        <f>1/D21</f>
        <v>1</v>
      </c>
      <c r="D21" s="103">
        <v>1</v>
      </c>
      <c r="E21" s="16" t="s">
        <v>13</v>
      </c>
      <c r="H21" s="26"/>
      <c r="I21" s="30"/>
      <c r="J21" s="31"/>
    </row>
    <row r="22" spans="1:10" x14ac:dyDescent="0.3">
      <c r="A22" s="106"/>
      <c r="B22" s="19">
        <f>Detail!D8</f>
        <v>0.92499987292709762</v>
      </c>
      <c r="C22" s="102"/>
      <c r="D22" s="102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J20" sqref="J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733362425</v>
      </c>
      <c r="C3" s="10">
        <f>Detail_Newbie!K86</f>
        <v>0</v>
      </c>
      <c r="D3" s="10">
        <f>Detail!K15</f>
        <v>725330287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154427750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45355881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19740552</v>
      </c>
      <c r="C6" s="10">
        <f>Detail_Newbie!K89</f>
        <v>0</v>
      </c>
      <c r="D6" s="10">
        <f>Detail!K18</f>
        <v>20824186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12801763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8330490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6442268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3475271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3661420</v>
      </c>
      <c r="C11" s="10">
        <f>Detail_Newbie!K94</f>
        <v>0</v>
      </c>
      <c r="D11" s="10">
        <f>Detail!K23</f>
        <v>3905407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3166537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2057627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6253983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2710975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1529923</v>
      </c>
      <c r="E16" s="10">
        <f>Detail!K99</f>
        <v>40540881</v>
      </c>
      <c r="F16" s="10">
        <f>Detail!K176</f>
        <v>33619642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1232886</v>
      </c>
      <c r="E17" s="10">
        <f>Detail!K100</f>
        <v>167816621</v>
      </c>
      <c r="F17" s="10">
        <f>Detail!K177</f>
        <v>142476448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589501</v>
      </c>
      <c r="E18" s="10">
        <f>Detail!K101</f>
        <v>61684705</v>
      </c>
      <c r="F18" s="10">
        <f>Detail!K178</f>
        <v>53604140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407639</v>
      </c>
      <c r="E19" s="10">
        <f>Detail!K102</f>
        <v>106070442</v>
      </c>
      <c r="F19" s="10">
        <f>Detail!K179</f>
        <v>94365442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249181</v>
      </c>
      <c r="E20" s="10">
        <f>Detail!K103</f>
        <v>90069575</v>
      </c>
      <c r="F20" s="10">
        <f>Detail!K180</f>
        <v>82034900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208692</v>
      </c>
      <c r="E21" s="10">
        <f>Detail!K104</f>
        <v>75312581</v>
      </c>
      <c r="F21" s="10">
        <f>Detail!K181</f>
        <v>70213204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445900</v>
      </c>
      <c r="E22" s="10">
        <f>Detail!K105</f>
        <v>70339805</v>
      </c>
      <c r="F22" s="10">
        <f>Detail!K182</f>
        <v>67919080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253853</v>
      </c>
      <c r="E23" s="10">
        <f>Detail!K106</f>
        <v>91727397</v>
      </c>
      <c r="F23" s="10">
        <f>Detail!K183</f>
        <v>92818316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41865114</v>
      </c>
      <c r="F24" s="10">
        <f>Detail!K184</f>
        <v>44395304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154039748</v>
      </c>
      <c r="D25" s="10">
        <f>Detail!K37</f>
        <v>0</v>
      </c>
      <c r="E25" s="10">
        <f>Detail!K108</f>
        <v>76428467</v>
      </c>
      <c r="F25" s="10">
        <f>Detail!K185</f>
        <v>84936647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61644391</v>
      </c>
      <c r="D26" s="10">
        <f>Detail!K38</f>
        <v>0</v>
      </c>
      <c r="E26" s="10">
        <f>Detail!K109</f>
        <v>27908260</v>
      </c>
      <c r="F26" s="10">
        <f>Detail!K186</f>
        <v>32501349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60894788</v>
      </c>
      <c r="F27" s="10">
        <f>Detail!K187</f>
        <v>76051372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20291139</v>
      </c>
      <c r="F28" s="10">
        <f>Detail!K188</f>
        <v>27834411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29598434</v>
      </c>
      <c r="F29" s="10">
        <f>Detail!K189</f>
        <v>44582570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14090022</v>
      </c>
      <c r="F30" s="10">
        <f>Detail!K190</f>
        <v>23310350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14676941</v>
      </c>
      <c r="F31" s="10">
        <f>Detail!K191</f>
        <v>26665618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1411977</v>
      </c>
      <c r="F32" s="10">
        <f>Detail!K192</f>
        <v>352994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1153523</v>
      </c>
      <c r="F33" s="10">
        <f>Detail!K193</f>
        <v>288381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975300</v>
      </c>
      <c r="F34" s="10">
        <f>Detail!K194</f>
        <v>243825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844603</v>
      </c>
      <c r="F35" s="10">
        <f>Detail!K195</f>
        <v>211151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744928</v>
      </c>
      <c r="F36" s="10">
        <f>Detail!K196</f>
        <v>186232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666146</v>
      </c>
      <c r="F37" s="10">
        <f>Detail!K197</f>
        <v>166537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602668</v>
      </c>
      <c r="F38" s="10">
        <f>Detail!K198</f>
        <v>150667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550020</v>
      </c>
      <c r="F39" s="10">
        <f>Detail!K199</f>
        <v>137505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506018</v>
      </c>
      <c r="F40" s="10">
        <f>Detail!K200</f>
        <v>126504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468372</v>
      </c>
      <c r="F41" s="10">
        <f>Detail!K201</f>
        <v>117093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435985</v>
      </c>
      <c r="F42" s="10">
        <f>Detail!K202</f>
        <v>108996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407863</v>
      </c>
      <c r="F43" s="10">
        <f>Detail!K203</f>
        <v>101966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383103</v>
      </c>
      <c r="F44" s="10">
        <f>Detail!K204</f>
        <v>95776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361199</v>
      </c>
      <c r="F45" s="10">
        <f>Detail!K205</f>
        <v>90300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341622</v>
      </c>
      <c r="F46" s="10">
        <f>Detail!K206</f>
        <v>85405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324115</v>
      </c>
      <c r="F47" s="10">
        <f>Detail!K207</f>
        <v>81029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240529</v>
      </c>
      <c r="F48" s="10">
        <f>Detail!K208</f>
        <v>60132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266857</v>
      </c>
      <c r="F49" s="10">
        <f>Detail!K209</f>
        <v>66714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3344481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0.720000001897047</v>
      </c>
      <c r="D7" s="40">
        <f>SUM(_xlfn.ANCHORARRAY(M86))*F7</f>
        <v>0.219999976868067</v>
      </c>
      <c r="E7" s="41">
        <f>SUM(C7:D7)</f>
        <v>0.939999978765113</v>
      </c>
      <c r="F7" s="42">
        <f>L79</f>
        <v>0.003333333</v>
      </c>
      <c r="G7" s="43">
        <f>1/F7</f>
        <v>300.000030000003</v>
      </c>
      <c r="H7" s="44">
        <f>D7*G7</f>
        <v>65.99999966042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0.924999989281417</v>
      </c>
      <c r="E8" s="41">
        <f>SUM(C8:D8)</f>
        <v>0.924999989281417</v>
      </c>
      <c r="F8" s="45">
        <f>D156</f>
        <v>1</v>
      </c>
      <c r="G8" s="43">
        <f>1/F8</f>
        <v>1</v>
      </c>
      <c r="H8" s="44">
        <f>D8*G8*B8</f>
        <v>69.3749991961063</v>
      </c>
      <c r="I8" s="61"/>
      <c r="J8" s="61" cm="1">
        <f t="array" ref="J8">LOOKUP(2,1/(_xlfn.ANCHORARRAY(K163)&lt;&gt;0),P15:P78)</f>
        <v>20000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</v>
      </c>
      <c r="J15" s="36" cm="1">
        <f t="array" ref="J15:J78">I15:I78/SUM(I15:I78)</f>
        <v>0.725330287</v>
      </c>
      <c r="K15" s="71" cm="1">
        <f t="array" ref="K15:K79">INT(J15:J79*$B$2)</f>
        <v>725330287</v>
      </c>
      <c r="L15" s="36" cm="1">
        <f t="array" ref="L15:L79">_xlfn.LET(_xlpm.x, K15:K79, _xlpm.x/SUM(_xlpm.x))</f>
        <v>0.72291252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0.72291313276282421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1.0779287532111</v>
      </c>
      <c r="I16" s="36">
        <v>0.15442775</v>
      </c>
      <c r="J16" s="36">
        <v>0.15442775</v>
      </c>
      <c r="K16" s="71">
        <v>154427750</v>
      </c>
      <c r="L16" s="36">
        <v>0.153912991</v>
      </c>
      <c r="M16" s="36">
        <v>0.0667590275562355</v>
      </c>
      <c r="N16" s="73"/>
      <c r="O16" s="59">
        <v>0</v>
      </c>
      <c r="P16" s="59">
        <v>1</v>
      </c>
      <c r="Q16" s="36">
        <v>0.15391303976286086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0.825672552799965</v>
      </c>
      <c r="I17" s="36">
        <v>0.045355881</v>
      </c>
      <c r="J17" s="36">
        <v>0.045355881</v>
      </c>
      <c r="K17" s="71">
        <v>45355881</v>
      </c>
      <c r="L17" s="36">
        <v>0.045204695</v>
      </c>
      <c r="M17" s="36">
        <v>0.0680555305310765</v>
      </c>
      <c r="N17" s="73"/>
      <c r="O17" s="59">
        <v>1</v>
      </c>
      <c r="P17" s="59">
        <v>2</v>
      </c>
      <c r="Q17" s="36">
        <v>4.5204649907273471E-2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0.630224801878479</v>
      </c>
      <c r="I18" s="36">
        <v>0.020824186</v>
      </c>
      <c r="J18" s="36">
        <v>0.020824186</v>
      </c>
      <c r="K18" s="71">
        <v>20824186</v>
      </c>
      <c r="L18" s="36">
        <v>0.020754772</v>
      </c>
      <c r="M18" s="36">
        <v>0.052542397044821</v>
      </c>
      <c r="N18" s="73"/>
      <c r="O18" s="59">
        <v>2</v>
      </c>
      <c r="P18" s="59">
        <v>3</v>
      </c>
      <c r="Q18" s="36">
        <v>2.0754725215855353E-2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0.559584553449423</v>
      </c>
      <c r="I19" s="36">
        <v>0.012801763</v>
      </c>
      <c r="J19" s="36">
        <v>0.012801763</v>
      </c>
      <c r="K19" s="71">
        <v>12801763</v>
      </c>
      <c r="L19" s="36">
        <v>0.012759091</v>
      </c>
      <c r="M19" s="36">
        <v>0.0450179873651804</v>
      </c>
      <c r="N19" s="73"/>
      <c r="O19" s="59">
        <v>3</v>
      </c>
      <c r="P19" s="59">
        <v>4</v>
      </c>
      <c r="Q19" s="36">
        <v>1.2759046611031291E-2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0.490918512261427</v>
      </c>
      <c r="I20" s="36">
        <v>0.00833049</v>
      </c>
      <c r="J20" s="36">
        <v>0.00833049</v>
      </c>
      <c r="K20" s="71">
        <v>8330490</v>
      </c>
      <c r="L20" s="36">
        <v>0.008302722</v>
      </c>
      <c r="M20" s="36">
        <v>0.0376324678292621</v>
      </c>
      <c r="N20" s="73"/>
      <c r="O20" s="59">
        <v>4</v>
      </c>
      <c r="P20" s="59">
        <v>5</v>
      </c>
      <c r="Q20" s="36">
        <v>8.3026828350092861E-3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0.478150819357727</v>
      </c>
      <c r="I21" s="36">
        <v>0.006442268</v>
      </c>
      <c r="J21" s="36">
        <v>0.006442268</v>
      </c>
      <c r="K21" s="71">
        <v>6442268</v>
      </c>
      <c r="L21" s="36">
        <v>0.006420794</v>
      </c>
      <c r="M21" s="36">
        <v>0.0356507045609493</v>
      </c>
      <c r="N21" s="73"/>
      <c r="O21" s="59">
        <v>5</v>
      </c>
      <c r="P21" s="59">
        <v>6</v>
      </c>
      <c r="Q21" s="36">
        <v>6.4207559038738562E-3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0.326631871258242</v>
      </c>
      <c r="I22" s="36">
        <v>0.003475271</v>
      </c>
      <c r="J22" s="36">
        <v>0.003475271</v>
      </c>
      <c r="K22" s="71">
        <v>3475271</v>
      </c>
      <c r="L22" s="36">
        <v>0.003463687</v>
      </c>
      <c r="M22" s="36">
        <v>0.0225990881733536</v>
      </c>
      <c r="N22" s="73"/>
      <c r="O22" s="59">
        <v>6</v>
      </c>
      <c r="P22" s="59">
        <v>7</v>
      </c>
      <c r="Q22" s="36">
        <v>3.4636618487564092E-3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0.436178686632522</v>
      </c>
      <c r="I23" s="36">
        <v>0.003905407</v>
      </c>
      <c r="J23" s="36">
        <v>0.003905407</v>
      </c>
      <c r="K23" s="71">
        <v>3905407</v>
      </c>
      <c r="L23" s="36">
        <v>0.003892389</v>
      </c>
      <c r="M23" s="36">
        <v>0.0293191141419149</v>
      </c>
      <c r="N23" s="73"/>
      <c r="O23" s="59">
        <v>7</v>
      </c>
      <c r="P23" s="59">
        <v>8</v>
      </c>
      <c r="Q23" s="36">
        <v>3.8923560890150549E-3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0.420642498835658</v>
      </c>
      <c r="I24" s="36">
        <v>0.003166537</v>
      </c>
      <c r="J24" s="36">
        <v>0.003166537</v>
      </c>
      <c r="K24" s="71">
        <v>3166537</v>
      </c>
      <c r="L24" s="36">
        <v>0.003155982</v>
      </c>
      <c r="M24" s="36">
        <v>0.0269910739913185</v>
      </c>
      <c r="N24" s="73"/>
      <c r="O24" s="59">
        <v>8</v>
      </c>
      <c r="P24" s="59">
        <v>9</v>
      </c>
      <c r="Q24" s="36">
        <v>3.1559519785707576E-3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0.330538719959981</v>
      </c>
      <c r="I25" s="36">
        <v>0.002057627</v>
      </c>
      <c r="J25" s="36">
        <v>0.002057627</v>
      </c>
      <c r="K25" s="71">
        <v>2057627</v>
      </c>
      <c r="L25" s="36">
        <v>0.002050768</v>
      </c>
      <c r="M25" s="36">
        <v>0.0195599493636268</v>
      </c>
      <c r="N25" s="73"/>
      <c r="O25" s="59">
        <v>9</v>
      </c>
      <c r="P25" s="59">
        <v>10</v>
      </c>
      <c r="Q25" s="36">
        <v>2.0507463179039501E-3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0.301980648849728</v>
      </c>
      <c r="I26" s="36">
        <v>0.006253983</v>
      </c>
      <c r="J26" s="36">
        <v>0.006253983</v>
      </c>
      <c r="K26" s="71">
        <v>6253983</v>
      </c>
      <c r="L26" s="36">
        <v>0.006233136</v>
      </c>
      <c r="M26" s="36">
        <v>0.0765443677875091</v>
      </c>
      <c r="N26" s="73"/>
      <c r="O26" s="59">
        <v>10</v>
      </c>
      <c r="P26" s="59">
        <v>15</v>
      </c>
      <c r="Q26" s="36">
        <v>6.233047690427272E-3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0.243041407519471</v>
      </c>
      <c r="I27" s="36">
        <v>0.002710975</v>
      </c>
      <c r="J27" s="36">
        <v>0.002710975</v>
      </c>
      <c r="K27" s="71">
        <v>2710975</v>
      </c>
      <c r="L27" s="36">
        <v>0.002701938</v>
      </c>
      <c r="M27" s="36">
        <v>0.0468429536799904</v>
      </c>
      <c r="N27" s="73"/>
      <c r="O27" s="59">
        <v>15</v>
      </c>
      <c r="P27" s="59">
        <v>20</v>
      </c>
      <c r="Q27" s="36">
        <v>2.7018826049634691E-3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0.226898965555597</v>
      </c>
      <c r="I28" s="36">
        <v>0.001529923</v>
      </c>
      <c r="J28" s="36">
        <v>0.001529923</v>
      </c>
      <c r="K28" s="71">
        <v>1529923</v>
      </c>
      <c r="L28" s="36">
        <v>0.001524823</v>
      </c>
      <c r="M28" s="36">
        <v>0.0341076824865717</v>
      </c>
      <c r="N28" s="73"/>
      <c r="O28" s="59">
        <v>20</v>
      </c>
      <c r="P28" s="59">
        <v>25</v>
      </c>
      <c r="Q28" s="36">
        <v>1.5247823942532853E-3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0.275263019939102</v>
      </c>
      <c r="I29" s="36">
        <v>0.001232886</v>
      </c>
      <c r="J29" s="36">
        <v>0.001232886</v>
      </c>
      <c r="K29" s="71">
        <v>1232886</v>
      </c>
      <c r="L29" s="36">
        <v>0.001228776</v>
      </c>
      <c r="M29" s="36">
        <v>0.0336637533025033</v>
      </c>
      <c r="N29" s="73"/>
      <c r="O29" s="59">
        <v>25</v>
      </c>
      <c r="P29" s="59">
        <v>30</v>
      </c>
      <c r="Q29" s="36">
        <v>1.2287365140746711E-3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0.195256096401696</v>
      </c>
      <c r="I30" s="36">
        <v>0.000589501</v>
      </c>
      <c r="J30" s="36">
        <v>0.000589501</v>
      </c>
      <c r="K30" s="71">
        <v>589501</v>
      </c>
      <c r="L30" s="36">
        <v>0.000587536</v>
      </c>
      <c r="M30" s="36">
        <v>0.019035189374643</v>
      </c>
      <c r="N30" s="73"/>
      <c r="O30" s="59">
        <v>30</v>
      </c>
      <c r="P30" s="59">
        <v>35</v>
      </c>
      <c r="Q30" s="36">
        <v>5.8751307368779958E-4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0.184646039866321</v>
      </c>
      <c r="I31" s="36">
        <v>0.000407639</v>
      </c>
      <c r="J31" s="36">
        <v>0.000407639</v>
      </c>
      <c r="K31" s="71">
        <v>407639</v>
      </c>
      <c r="L31" s="36">
        <v>0.00040628</v>
      </c>
      <c r="M31" s="36">
        <v>0.0152104437742606</v>
      </c>
      <c r="N31" s="73"/>
      <c r="O31" s="59">
        <v>35</v>
      </c>
      <c r="P31" s="59">
        <v>40</v>
      </c>
      <c r="Q31" s="36">
        <v>4.0626226357844489E-4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0.151261356089826</v>
      </c>
      <c r="I32" s="36">
        <v>0.000249181</v>
      </c>
      <c r="J32" s="36">
        <v>0.000249181</v>
      </c>
      <c r="K32" s="71">
        <v>249181</v>
      </c>
      <c r="L32" s="36">
        <v>0.00024835</v>
      </c>
      <c r="M32" s="36">
        <v>0.0105392973562498</v>
      </c>
      <c r="N32" s="73"/>
      <c r="O32" s="59">
        <v>40</v>
      </c>
      <c r="P32" s="59">
        <v>45</v>
      </c>
      <c r="Q32" s="36">
        <v>2.4833744014983027E-4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0.169420222909382</v>
      </c>
      <c r="I33" s="36">
        <v>0.000208692</v>
      </c>
      <c r="J33" s="36">
        <v>0.000208692</v>
      </c>
      <c r="K33" s="71">
        <v>208692</v>
      </c>
      <c r="L33" s="36">
        <v>0.000207996</v>
      </c>
      <c r="M33" s="36">
        <v>0.00987156666660102</v>
      </c>
      <c r="N33" s="73"/>
      <c r="O33" s="59">
        <v>45</v>
      </c>
      <c r="P33" s="59">
        <v>50</v>
      </c>
      <c r="Q33" s="36">
        <v>2.0798440012548391E-4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0.253038418824833</v>
      </c>
      <c r="I34" s="36">
        <v>0.0004459</v>
      </c>
      <c r="J34" s="36">
        <v>0.0004459</v>
      </c>
      <c r="K34" s="71">
        <v>445900</v>
      </c>
      <c r="L34" s="36">
        <v>0.000444414</v>
      </c>
      <c r="M34" s="36">
        <v>0.0243102149951971</v>
      </c>
      <c r="N34" s="73"/>
      <c r="O34" s="59">
        <v>50</v>
      </c>
      <c r="P34" s="59">
        <v>60</v>
      </c>
      <c r="Q34" s="36">
        <v>4.4438476360144545E-4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0.227557583445012</v>
      </c>
      <c r="I35" s="36">
        <v>0.000253853</v>
      </c>
      <c r="J35" s="36">
        <v>0.000253853</v>
      </c>
      <c r="K35" s="71">
        <v>253853</v>
      </c>
      <c r="L35" s="36">
        <v>0.000253007</v>
      </c>
      <c r="M35" s="36">
        <v>0.0163656381187234</v>
      </c>
      <c r="N35" s="73"/>
      <c r="O35" s="59">
        <v>60</v>
      </c>
      <c r="P35" s="59">
        <v>70</v>
      </c>
      <c r="Q35" s="36">
        <v>2.5298689015263543E-4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0.47796633422963</v>
      </c>
      <c r="I79" s="36">
        <v>0.003344481</v>
      </c>
      <c r="J79" s="36">
        <f>I79</f>
        <v>0.003344481</v>
      </c>
      <c r="K79" s="72">
        <v>3344481</v>
      </c>
      <c r="L79" s="36">
        <v>0.003333333</v>
      </c>
      <c r="M79" s="36">
        <v>0.0293815537970587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5"/>
        <v>(20, 25]</v>
      </c>
      <c r="H99" s="70">
        <v>1.6975992025045</v>
      </c>
      <c r="I99" s="36">
        <v>0.040540881</v>
      </c>
      <c r="J99" s="36">
        <v>0.040540881</v>
      </c>
      <c r="K99" s="71">
        <v>40540881</v>
      </c>
      <c r="L99" s="36">
        <v>0.040540881</v>
      </c>
      <c r="M99" s="36">
        <v>0.914909561676236</v>
      </c>
      <c r="N99" s="73"/>
      <c r="O99" s="59">
        <v>20</v>
      </c>
      <c r="P99" s="59">
        <v>25</v>
      </c>
      <c r="Q99" s="36">
        <v>4.0859217122577653E-2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5"/>
        <v>(25, 30]</v>
      </c>
      <c r="H100" s="70">
        <v>6.7985488867876</v>
      </c>
      <c r="I100" s="36">
        <v>0.167816621</v>
      </c>
      <c r="J100" s="36">
        <v>0.167816621</v>
      </c>
      <c r="K100" s="71">
        <v>167816621</v>
      </c>
      <c r="L100" s="36">
        <v>0.167816621</v>
      </c>
      <c r="M100" s="36">
        <v>4.62635975262078</v>
      </c>
      <c r="N100" s="73"/>
      <c r="O100" s="59">
        <v>25</v>
      </c>
      <c r="P100" s="59">
        <v>30</v>
      </c>
      <c r="Q100" s="36">
        <v>0.16901935350705807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5"/>
        <v>(30, 35]</v>
      </c>
      <c r="H101" s="70">
        <v>2.51462193669027</v>
      </c>
      <c r="I101" s="36">
        <v>0.061684705</v>
      </c>
      <c r="J101" s="36">
        <v>0.061684705</v>
      </c>
      <c r="K101" s="71">
        <v>61684705</v>
      </c>
      <c r="L101" s="36">
        <v>0.061684705</v>
      </c>
      <c r="M101" s="36">
        <v>2.00830409457367</v>
      </c>
      <c r="N101" s="73"/>
      <c r="O101" s="59">
        <v>30</v>
      </c>
      <c r="P101" s="59">
        <v>35</v>
      </c>
      <c r="Q101" s="36">
        <v>6.208464418625393E-2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5"/>
        <v>(35, 40]</v>
      </c>
      <c r="H102" s="70">
        <v>4.29655442914834</v>
      </c>
      <c r="I102" s="36">
        <v>0.106070442</v>
      </c>
      <c r="J102" s="36">
        <v>0.106070442</v>
      </c>
      <c r="K102" s="71">
        <v>106070442</v>
      </c>
      <c r="L102" s="36">
        <v>0.106070442</v>
      </c>
      <c r="M102" s="36">
        <v>3.98330771193414</v>
      </c>
      <c r="N102" s="73"/>
      <c r="O102" s="59">
        <v>35</v>
      </c>
      <c r="P102" s="59">
        <v>40</v>
      </c>
      <c r="Q102" s="36">
        <v>0.10668563632005691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5"/>
        <v>(40, 45]</v>
      </c>
      <c r="H103" s="70">
        <v>3.70227212387286</v>
      </c>
      <c r="I103" s="36">
        <v>0.090069575</v>
      </c>
      <c r="J103" s="36">
        <v>0.090069575</v>
      </c>
      <c r="K103" s="71">
        <v>90069575</v>
      </c>
      <c r="L103" s="36">
        <v>0.090069575</v>
      </c>
      <c r="M103" s="36">
        <v>3.83257081274904</v>
      </c>
      <c r="N103" s="73"/>
      <c r="O103" s="59">
        <v>40</v>
      </c>
      <c r="P103" s="59">
        <v>45</v>
      </c>
      <c r="Q103" s="36">
        <v>9.0530400271591205E-2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5"/>
        <v>(45, 50]</v>
      </c>
      <c r="H104" s="70">
        <v>3.13598055711277</v>
      </c>
      <c r="I104" s="36">
        <v>0.075312581</v>
      </c>
      <c r="J104" s="36">
        <v>0.075312581</v>
      </c>
      <c r="K104" s="71">
        <v>75312581</v>
      </c>
      <c r="L104" s="36">
        <v>0.075312581</v>
      </c>
      <c r="M104" s="36">
        <v>3.58076981695619</v>
      </c>
      <c r="N104" s="73"/>
      <c r="O104" s="59">
        <v>45</v>
      </c>
      <c r="P104" s="59">
        <v>50</v>
      </c>
      <c r="Q104" s="36">
        <v>7.5646497226939488E-2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5"/>
        <v>(50, 60]</v>
      </c>
      <c r="H105" s="70">
        <v>1.52064365352448</v>
      </c>
      <c r="I105" s="36">
        <v>0.070339805</v>
      </c>
      <c r="J105" s="36">
        <v>0.070339805</v>
      </c>
      <c r="K105" s="71">
        <v>70339805</v>
      </c>
      <c r="L105" s="36">
        <v>0.070339805</v>
      </c>
      <c r="M105" s="36">
        <v>3.86961236650223</v>
      </c>
      <c r="N105" s="73"/>
      <c r="O105" s="59">
        <v>50</v>
      </c>
      <c r="P105" s="59">
        <v>60</v>
      </c>
      <c r="Q105" s="36">
        <v>7.0579942211739827E-2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5"/>
        <v>(60, 70]</v>
      </c>
      <c r="H106" s="70">
        <v>2.09250816156961</v>
      </c>
      <c r="I106" s="36">
        <v>0.091727397</v>
      </c>
      <c r="J106" s="36">
        <v>0.091727397</v>
      </c>
      <c r="K106" s="71">
        <v>91727397</v>
      </c>
      <c r="L106" s="36">
        <v>0.091727397</v>
      </c>
      <c r="M106" s="36">
        <v>5.96292252446867</v>
      </c>
      <c r="N106" s="73"/>
      <c r="O106" s="59">
        <v>60</v>
      </c>
      <c r="P106" s="59">
        <v>70</v>
      </c>
      <c r="Q106" s="36">
        <v>9.191551427574654E-2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5"/>
        <v>(70, 80]</v>
      </c>
      <c r="H107" s="70">
        <v>1.00612512078895</v>
      </c>
      <c r="I107" s="36">
        <v>0.041865114</v>
      </c>
      <c r="J107" s="36">
        <v>0.041865114</v>
      </c>
      <c r="K107" s="71">
        <v>41865114</v>
      </c>
      <c r="L107" s="36">
        <v>0.041865114</v>
      </c>
      <c r="M107" s="36">
        <v>3.13981729280625</v>
      </c>
      <c r="N107" s="73"/>
      <c r="O107" s="59">
        <v>70</v>
      </c>
      <c r="P107" s="59">
        <v>80</v>
      </c>
      <c r="Q107" s="36">
        <v>4.1893996125681988E-2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5"/>
        <v>(80, 90]</v>
      </c>
      <c r="H108" s="70">
        <v>1.96457285702359</v>
      </c>
      <c r="I108" s="36">
        <v>0.076428467</v>
      </c>
      <c r="J108" s="36">
        <v>0.076428467</v>
      </c>
      <c r="K108" s="71">
        <v>76428467</v>
      </c>
      <c r="L108" s="36">
        <v>0.076428467</v>
      </c>
      <c r="M108" s="36">
        <v>6.49544590369615</v>
      </c>
      <c r="N108" s="73"/>
      <c r="O108" s="59">
        <v>80</v>
      </c>
      <c r="P108" s="59">
        <v>90</v>
      </c>
      <c r="Q108" s="36">
        <v>7.6377346229132045E-2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5"/>
        <v>(90, 100]</v>
      </c>
      <c r="H109" s="81">
        <v>0.769815260951611</v>
      </c>
      <c r="I109" s="79">
        <v>0.02790826</v>
      </c>
      <c r="J109" s="79">
        <v>0.02790826</v>
      </c>
      <c r="K109" s="71">
        <v>27908260</v>
      </c>
      <c r="L109" s="79">
        <v>0.02790826</v>
      </c>
      <c r="M109" s="79">
        <v>2.65130733025163</v>
      </c>
      <c r="N109" s="73"/>
      <c r="O109" s="59">
        <v>90</v>
      </c>
      <c r="P109" s="59">
        <v>100</v>
      </c>
      <c r="Q109" s="36">
        <v>2.7851631083554894E-2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5"/>
        <v>(100, 120]</v>
      </c>
      <c r="H110" s="81">
        <v>0.932807668887702</v>
      </c>
      <c r="I110" s="79">
        <v>0.060894788</v>
      </c>
      <c r="J110" s="79">
        <v>0.060894788</v>
      </c>
      <c r="K110" s="71">
        <v>60894788</v>
      </c>
      <c r="L110" s="79">
        <v>0.060894788</v>
      </c>
      <c r="M110" s="79">
        <v>6.68826843919291</v>
      </c>
      <c r="N110" s="73"/>
      <c r="O110" s="59">
        <v>100</v>
      </c>
      <c r="P110" s="59">
        <v>120</v>
      </c>
      <c r="Q110" s="36">
        <v>6.0648738181946216E-2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5"/>
        <v>(120, 140]</v>
      </c>
      <c r="H111" s="81">
        <v>0.358713562444349</v>
      </c>
      <c r="I111" s="79">
        <v>0.020291139</v>
      </c>
      <c r="J111" s="79">
        <v>0.020291139</v>
      </c>
      <c r="K111" s="71">
        <v>20291139</v>
      </c>
      <c r="L111" s="79">
        <v>0.020291139</v>
      </c>
      <c r="M111" s="79">
        <v>2.63405341841192</v>
      </c>
      <c r="N111" s="73"/>
      <c r="O111" s="59">
        <v>120</v>
      </c>
      <c r="P111" s="59">
        <v>140</v>
      </c>
      <c r="Q111" s="36">
        <v>2.0154302060462904E-2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5"/>
        <v>(140, 160]</v>
      </c>
      <c r="H112" s="81">
        <v>0.602884648560712</v>
      </c>
      <c r="I112" s="79">
        <v>0.029598434</v>
      </c>
      <c r="J112" s="79">
        <v>0.029598434</v>
      </c>
      <c r="K112" s="71">
        <v>29598434</v>
      </c>
      <c r="L112" s="79">
        <v>0.029598434</v>
      </c>
      <c r="M112" s="79">
        <v>4.43396542035742</v>
      </c>
      <c r="N112" s="73"/>
      <c r="O112" s="59">
        <v>140</v>
      </c>
      <c r="P112" s="59">
        <v>160</v>
      </c>
      <c r="Q112" s="36">
        <v>2.9318996087956989E-2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5"/>
        <v>(160, 180]</v>
      </c>
      <c r="H113" s="81">
        <v>0.330150964715064</v>
      </c>
      <c r="I113" s="79">
        <v>0.014090022</v>
      </c>
      <c r="J113" s="79">
        <v>0.014090022</v>
      </c>
      <c r="K113" s="71">
        <v>14090022</v>
      </c>
      <c r="L113" s="79">
        <v>0.014090022</v>
      </c>
      <c r="M113" s="79">
        <v>2.39260028768458</v>
      </c>
      <c r="N113" s="73"/>
      <c r="O113" s="59">
        <v>160</v>
      </c>
      <c r="P113" s="59">
        <v>180</v>
      </c>
      <c r="Q113" s="36">
        <v>1.3919072041757217E-2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5"/>
        <v>(180, 200]</v>
      </c>
      <c r="H114" s="81">
        <v>0.397539568135478</v>
      </c>
      <c r="I114" s="79">
        <v>0.014676941</v>
      </c>
      <c r="J114" s="79">
        <v>0.014676941</v>
      </c>
      <c r="K114" s="71">
        <v>14676941</v>
      </c>
      <c r="L114" s="79">
        <v>0.014676941</v>
      </c>
      <c r="M114" s="79">
        <v>2.78578535585409</v>
      </c>
      <c r="N114" s="73"/>
      <c r="O114" s="59">
        <v>180</v>
      </c>
      <c r="P114" s="59">
        <v>200</v>
      </c>
      <c r="Q114" s="36">
        <v>1.4459482043378446E-2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5"/>
        <v>(200, 250]</v>
      </c>
      <c r="H115" s="81">
        <v>0.0192434850829725</v>
      </c>
      <c r="I115" s="79">
        <v>0.001411977</v>
      </c>
      <c r="J115" s="79">
        <v>0.001411977</v>
      </c>
      <c r="K115" s="71">
        <v>1411977</v>
      </c>
      <c r="L115" s="79">
        <v>0.001411977</v>
      </c>
      <c r="M115" s="79">
        <v>0.315789484799918</v>
      </c>
      <c r="N115" s="73"/>
      <c r="O115" s="59">
        <v>200</v>
      </c>
      <c r="P115" s="59">
        <v>250</v>
      </c>
      <c r="Q115" s="36">
        <v>1.0281150030843451E-3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5"/>
        <v>(250, 300]</v>
      </c>
      <c r="H116" s="81">
        <v>0.0217774858237553</v>
      </c>
      <c r="I116" s="79">
        <v>0.001153523</v>
      </c>
      <c r="J116" s="79">
        <v>0.001153523</v>
      </c>
      <c r="K116" s="71">
        <v>1153523</v>
      </c>
      <c r="L116" s="79">
        <v>0.001153523</v>
      </c>
      <c r="M116" s="79">
        <v>0.315789531984787</v>
      </c>
      <c r="N116" s="73"/>
      <c r="O116" s="59">
        <v>250</v>
      </c>
      <c r="P116" s="59">
        <v>300</v>
      </c>
      <c r="Q116" s="36">
        <v>8.4073100252219301E-4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5"/>
        <v>(300, 350]</v>
      </c>
      <c r="H117" s="81">
        <v>0.024902049309805</v>
      </c>
      <c r="I117" s="79">
        <v>0.0009753</v>
      </c>
      <c r="J117" s="79">
        <v>0.0009753</v>
      </c>
      <c r="K117" s="71">
        <v>975300</v>
      </c>
      <c r="L117" s="79">
        <v>0.0009753</v>
      </c>
      <c r="M117" s="79">
        <v>0.315789435971308</v>
      </c>
      <c r="N117" s="73"/>
      <c r="O117" s="59">
        <v>300</v>
      </c>
      <c r="P117" s="59">
        <v>350</v>
      </c>
      <c r="Q117" s="36">
        <v>7.11196002133588E-4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ref="G118:G149" si="7">"("&amp;$O118&amp;", "&amp;$P118&amp;"]"</f>
        <v>(350, 400]</v>
      </c>
      <c r="H118" s="81">
        <v>0.0287686961054617</v>
      </c>
      <c r="I118" s="79">
        <v>0.000844603</v>
      </c>
      <c r="J118" s="79">
        <v>0.000844603</v>
      </c>
      <c r="K118" s="71">
        <v>844603</v>
      </c>
      <c r="L118" s="79">
        <v>0.000844603</v>
      </c>
      <c r="M118" s="79">
        <v>0.315789300833267</v>
      </c>
      <c r="N118" s="73"/>
      <c r="O118" s="59">
        <v>350</v>
      </c>
      <c r="P118" s="59">
        <v>400</v>
      </c>
      <c r="Q118" s="36">
        <v>6.1617400184852203E-4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7"/>
        <v>(400, 450]</v>
      </c>
      <c r="H119" s="81">
        <v>0.0334172908945904</v>
      </c>
      <c r="I119" s="79">
        <v>0.000744928</v>
      </c>
      <c r="J119" s="79">
        <v>0.000744928</v>
      </c>
      <c r="K119" s="71">
        <v>744928</v>
      </c>
      <c r="L119" s="79">
        <v>0.000744928</v>
      </c>
      <c r="M119" s="79">
        <v>0.315789487153</v>
      </c>
      <c r="N119" s="73"/>
      <c r="O119" s="59">
        <v>400</v>
      </c>
      <c r="P119" s="59">
        <v>450</v>
      </c>
      <c r="Q119" s="36">
        <v>5.4362800163088401E-4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7"/>
        <v>(450, 500]</v>
      </c>
      <c r="H120" s="81">
        <v>0.0383725881306134</v>
      </c>
      <c r="I120" s="79">
        <v>0.000666146</v>
      </c>
      <c r="J120" s="79">
        <v>0.000666146</v>
      </c>
      <c r="K120" s="71">
        <v>666146</v>
      </c>
      <c r="L120" s="79">
        <v>0.000666146</v>
      </c>
      <c r="M120" s="79">
        <v>0.315789214315184</v>
      </c>
      <c r="N120" s="73"/>
      <c r="O120" s="59">
        <v>450</v>
      </c>
      <c r="P120" s="59">
        <v>500</v>
      </c>
      <c r="Q120" s="36">
        <v>4.8631700145895101E-4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7"/>
        <v>(500, 550]</v>
      </c>
      <c r="H121" s="81">
        <v>0.0439982663483087</v>
      </c>
      <c r="I121" s="79">
        <v>0.000602668</v>
      </c>
      <c r="J121" s="79">
        <v>0.000602668</v>
      </c>
      <c r="K121" s="71">
        <v>602668</v>
      </c>
      <c r="L121" s="79">
        <v>0.000602668</v>
      </c>
      <c r="M121" s="79">
        <v>0.315789387739071</v>
      </c>
      <c r="N121" s="73"/>
      <c r="O121" s="59">
        <v>500</v>
      </c>
      <c r="P121" s="59">
        <v>550</v>
      </c>
      <c r="Q121" s="36">
        <v>4.39923001319769E-4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7"/>
        <v>(550, 600]</v>
      </c>
      <c r="H122" s="70">
        <v>0.0505133571721069</v>
      </c>
      <c r="I122" s="36">
        <v>0.00055002</v>
      </c>
      <c r="J122" s="36">
        <v>0.00055002</v>
      </c>
      <c r="K122" s="71">
        <v>550020</v>
      </c>
      <c r="L122" s="36">
        <v>0.00055002</v>
      </c>
      <c r="M122" s="36">
        <v>0.315789476562429</v>
      </c>
      <c r="N122" s="73"/>
      <c r="O122" s="59">
        <v>550</v>
      </c>
      <c r="P122" s="59">
        <v>600</v>
      </c>
      <c r="Q122" s="36">
        <v>4.0164300120492898E-4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7"/>
        <v>(600, 650]</v>
      </c>
      <c r="H123" s="70">
        <v>0.0579778838019682</v>
      </c>
      <c r="I123" s="36">
        <v>0.000506018</v>
      </c>
      <c r="J123" s="36">
        <v>0.000506018</v>
      </c>
      <c r="K123" s="71">
        <v>506018</v>
      </c>
      <c r="L123" s="36">
        <v>0.000506018</v>
      </c>
      <c r="M123" s="36">
        <v>0.315789480663066</v>
      </c>
      <c r="N123" s="73"/>
      <c r="O123" s="59">
        <v>600</v>
      </c>
      <c r="P123" s="59">
        <v>650</v>
      </c>
      <c r="Q123" s="36">
        <v>3.69498001108494E-4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7"/>
        <v>(650, 700]</v>
      </c>
      <c r="H124" s="70">
        <v>0.0662023315055045</v>
      </c>
      <c r="I124" s="36">
        <v>0.000468372</v>
      </c>
      <c r="J124" s="36">
        <v>0.000468372</v>
      </c>
      <c r="K124" s="71">
        <v>468372</v>
      </c>
      <c r="L124" s="36">
        <v>0.000468372</v>
      </c>
      <c r="M124" s="36">
        <v>0.31578912285559</v>
      </c>
      <c r="N124" s="73"/>
      <c r="O124" s="59">
        <v>650</v>
      </c>
      <c r="P124" s="59">
        <v>700</v>
      </c>
      <c r="Q124" s="36">
        <v>3.4211600102634801E-4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7"/>
        <v>(700, 750]</v>
      </c>
      <c r="H125" s="70">
        <v>0.0746153788650149</v>
      </c>
      <c r="I125" s="36">
        <v>0.000435985</v>
      </c>
      <c r="J125" s="36">
        <v>0.000435985</v>
      </c>
      <c r="K125" s="71">
        <v>435985</v>
      </c>
      <c r="L125" s="36">
        <v>0.000435985</v>
      </c>
      <c r="M125" s="36">
        <v>0.315789750268393</v>
      </c>
      <c r="N125" s="73"/>
      <c r="O125" s="59">
        <v>700</v>
      </c>
      <c r="P125" s="59">
        <v>750</v>
      </c>
      <c r="Q125" s="36">
        <v>3.18458000955374E-4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7"/>
        <v>(750, 800]</v>
      </c>
      <c r="H126" s="70">
        <v>0.0842941160718611</v>
      </c>
      <c r="I126" s="36">
        <v>0.000407863</v>
      </c>
      <c r="J126" s="36">
        <v>0.000407863</v>
      </c>
      <c r="K126" s="71">
        <v>407863</v>
      </c>
      <c r="L126" s="36">
        <v>0.000407863</v>
      </c>
      <c r="M126" s="36">
        <v>0.315789549829716</v>
      </c>
      <c r="N126" s="73"/>
      <c r="O126" s="59">
        <v>750</v>
      </c>
      <c r="P126" s="59">
        <v>800</v>
      </c>
      <c r="Q126" s="36">
        <v>2.9791500089374498E-4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7"/>
        <v>(800, 850]</v>
      </c>
      <c r="H127" s="70">
        <v>0.0947542458182814</v>
      </c>
      <c r="I127" s="36">
        <v>0.000383103</v>
      </c>
      <c r="J127" s="36">
        <v>0.000383103</v>
      </c>
      <c r="K127" s="71">
        <v>383103</v>
      </c>
      <c r="L127" s="36">
        <v>0.000383103</v>
      </c>
      <c r="M127" s="36">
        <v>0.315789709381786</v>
      </c>
      <c r="N127" s="73"/>
      <c r="O127" s="59">
        <v>800</v>
      </c>
      <c r="P127" s="59">
        <v>850</v>
      </c>
      <c r="Q127" s="36">
        <v>2.7985200083955599E-4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7"/>
        <v>(850, 900]</v>
      </c>
      <c r="H128" s="70">
        <v>0.10698087537291</v>
      </c>
      <c r="I128" s="36">
        <v>0.000361199</v>
      </c>
      <c r="J128" s="36">
        <v>0.000361199</v>
      </c>
      <c r="K128" s="72">
        <v>361199</v>
      </c>
      <c r="L128" s="36">
        <v>0.000361199</v>
      </c>
      <c r="M128" s="36">
        <v>0.315789415656798</v>
      </c>
      <c r="N128" s="73"/>
      <c r="O128" s="59">
        <v>850</v>
      </c>
      <c r="P128" s="59">
        <v>900</v>
      </c>
      <c r="Q128" s="36">
        <v>2.6381600079144801E-4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7"/>
        <v>(900, 950]</v>
      </c>
      <c r="H129" s="70">
        <v>0.118885798225991</v>
      </c>
      <c r="I129" s="36">
        <v>0.000341622</v>
      </c>
      <c r="J129" s="36">
        <v>0.000341622</v>
      </c>
      <c r="K129" s="72">
        <v>341622</v>
      </c>
      <c r="L129" s="36">
        <v>0.000341622</v>
      </c>
      <c r="M129" s="36">
        <v>0.315789717363575</v>
      </c>
      <c r="N129" s="73"/>
      <c r="O129" s="59">
        <v>900</v>
      </c>
      <c r="P129" s="59">
        <v>950</v>
      </c>
      <c r="Q129" s="36">
        <v>2.49579000748737E-4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7"/>
        <v>(950, 1000]</v>
      </c>
      <c r="H130" s="70">
        <v>0.133400079479148</v>
      </c>
      <c r="I130" s="36">
        <v>0.000324115</v>
      </c>
      <c r="J130" s="36">
        <v>0.000324115</v>
      </c>
      <c r="K130" s="72">
        <v>324115</v>
      </c>
      <c r="L130" s="36">
        <v>0.000324115</v>
      </c>
      <c r="M130" s="36">
        <v>0.315789413898888</v>
      </c>
      <c r="N130" s="73"/>
      <c r="O130" s="59">
        <v>950</v>
      </c>
      <c r="P130" s="59">
        <v>1000</v>
      </c>
      <c r="Q130" s="36">
        <v>2.36735000710205E-4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7"/>
        <v>(1000, 2000]</v>
      </c>
      <c r="H131" s="70">
        <v>0.0153851380742721</v>
      </c>
      <c r="I131" s="36">
        <v>0.000240529</v>
      </c>
      <c r="J131" s="36">
        <v>0.000240529</v>
      </c>
      <c r="K131" s="72">
        <v>240529</v>
      </c>
      <c r="L131" s="36">
        <v>0.000240529</v>
      </c>
      <c r="M131" s="36">
        <v>0.315788814375146</v>
      </c>
      <c r="N131" s="73"/>
      <c r="O131" s="59">
        <v>1000</v>
      </c>
      <c r="P131" s="59">
        <v>2000</v>
      </c>
      <c r="Q131" s="36">
        <v>1.6616400049849201E-4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7"/>
        <v>(2000, 3000]</v>
      </c>
      <c r="H132" s="70">
        <v>0.140123254461579</v>
      </c>
      <c r="I132" s="36">
        <v>0.000266857</v>
      </c>
      <c r="J132" s="36">
        <v>0.000266857</v>
      </c>
      <c r="K132" s="72">
        <v>266857</v>
      </c>
      <c r="L132" s="36">
        <v>0.000266857</v>
      </c>
      <c r="M132" s="36">
        <v>0.631579277032178</v>
      </c>
      <c r="N132" s="73"/>
      <c r="O132" s="59">
        <v>2000</v>
      </c>
      <c r="P132" s="59">
        <v>3000</v>
      </c>
      <c r="Q132" s="36">
        <v>1.9043900057131701E-4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6.7076000201227997E-5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5.1846000155538002E-5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4.2283000126848999E-5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3.5711000107133002E-5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3.0917000092750998E-5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2.7253000081759E-5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1.7846000053538E-5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0.00361867373413945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0.00193202678455951</v>
      </c>
      <c r="E164" s="69">
        <v>0.614050595458244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0.00260571376306483</v>
      </c>
      <c r="E165" s="69">
        <v>1.56108429770197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0.00277263493211325</v>
      </c>
      <c r="E166" s="69">
        <v>2.58254729137673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0.00302859025211813</v>
      </c>
      <c r="E167" s="69">
        <v>3.58347489618724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0.0031500654179496</v>
      </c>
      <c r="E168" s="69">
        <v>4.57875873332728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0.00353049705494179</v>
      </c>
      <c r="E169" s="69">
        <v>5.59119575777202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0.00333999541252609</v>
      </c>
      <c r="E170" s="69">
        <v>6.57275469599076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0.00384175930338994</v>
      </c>
      <c r="E171" s="69">
        <v>7.56250092999033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0.00388306085977264</v>
      </c>
      <c r="E172" s="69">
        <v>8.57904383349895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0.00396352029314101</v>
      </c>
      <c r="E173" s="69">
        <v>9.57785570058412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0.021224569709953</v>
      </c>
      <c r="E174" s="69">
        <v>12.6154842945157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0.0231145803783308</v>
      </c>
      <c r="E175" s="69">
        <v>17.5891065908248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0.0238813030426671</v>
      </c>
      <c r="E176" s="69">
        <v>22.5675796654798</v>
      </c>
      <c r="F176" s="73"/>
      <c r="G176" s="14" t="str">
        <f t="shared" si="9"/>
        <v>(20, 25]</v>
      </c>
      <c r="H176" s="70">
        <v>1.40778088783238</v>
      </c>
      <c r="I176" s="36">
        <v>0.033619642</v>
      </c>
      <c r="J176" s="36">
        <v>0.033619642</v>
      </c>
      <c r="K176" s="71">
        <v>33619642</v>
      </c>
      <c r="L176" s="36">
        <v>0.033619642</v>
      </c>
      <c r="M176" s="36">
        <v>0.75871394915991</v>
      </c>
      <c r="N176" s="73"/>
      <c r="O176" s="59">
        <v>20</v>
      </c>
      <c r="P176" s="59">
        <v>25</v>
      </c>
      <c r="Q176" s="36">
        <v>3.3710771134843082E-2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0.0246841824328332</v>
      </c>
      <c r="E177" s="69">
        <v>27.5679472334316</v>
      </c>
      <c r="F177" s="73"/>
      <c r="G177" s="14" t="str">
        <f t="shared" si="9"/>
        <v>(25, 30]</v>
      </c>
      <c r="H177" s="70">
        <v>5.7719735457184</v>
      </c>
      <c r="I177" s="36">
        <v>0.142476448</v>
      </c>
      <c r="J177" s="36">
        <v>0.142476448</v>
      </c>
      <c r="K177" s="71">
        <v>142476448</v>
      </c>
      <c r="L177" s="36">
        <v>0.142476448</v>
      </c>
      <c r="M177" s="36">
        <v>3.92778320047076</v>
      </c>
      <c r="N177" s="73"/>
      <c r="O177" s="59">
        <v>25</v>
      </c>
      <c r="P177" s="59">
        <v>30</v>
      </c>
      <c r="Q177" s="36">
        <v>0.14283045857132184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0.0245304091640865</v>
      </c>
      <c r="E178" s="69">
        <v>32.5575698963571</v>
      </c>
      <c r="F178" s="73"/>
      <c r="G178" s="14" t="str">
        <f t="shared" si="9"/>
        <v>(30, 35]</v>
      </c>
      <c r="H178" s="70">
        <v>2.18521181776611</v>
      </c>
      <c r="I178" s="36">
        <v>0.05360414</v>
      </c>
      <c r="J178" s="36">
        <v>0.05360414</v>
      </c>
      <c r="K178" s="71">
        <v>53604140</v>
      </c>
      <c r="L178" s="36">
        <v>0.05360414</v>
      </c>
      <c r="M178" s="36">
        <v>1.74522053478411</v>
      </c>
      <c r="N178" s="73"/>
      <c r="O178" s="59">
        <v>30</v>
      </c>
      <c r="P178" s="59">
        <v>35</v>
      </c>
      <c r="Q178" s="36">
        <v>5.3725249214900996E-2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0.0246873264959488</v>
      </c>
      <c r="E179" s="69">
        <v>37.5534186228256</v>
      </c>
      <c r="F179" s="73"/>
      <c r="G179" s="14" t="str">
        <f t="shared" si="9"/>
        <v>(35, 40]</v>
      </c>
      <c r="H179" s="70">
        <v>3.82242451467904</v>
      </c>
      <c r="I179" s="36">
        <v>0.094365442</v>
      </c>
      <c r="J179" s="36">
        <v>0.094365442</v>
      </c>
      <c r="K179" s="71">
        <v>94365442</v>
      </c>
      <c r="L179" s="36">
        <v>0.094365442</v>
      </c>
      <c r="M179" s="36">
        <v>3.54374494695396</v>
      </c>
      <c r="N179" s="73"/>
      <c r="O179" s="59">
        <v>35</v>
      </c>
      <c r="P179" s="59">
        <v>40</v>
      </c>
      <c r="Q179" s="36">
        <v>9.4557355378229416E-2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0.0243281887409671</v>
      </c>
      <c r="E180" s="69">
        <v>42.5512256802481</v>
      </c>
      <c r="F180" s="73"/>
      <c r="G180" s="14" t="str">
        <f t="shared" si="9"/>
        <v>(40, 45]</v>
      </c>
      <c r="H180" s="70">
        <v>3.37201017607442</v>
      </c>
      <c r="I180" s="36">
        <v>0.0820349</v>
      </c>
      <c r="J180" s="36">
        <v>0.0820349</v>
      </c>
      <c r="K180" s="71">
        <v>82034900</v>
      </c>
      <c r="L180" s="36">
        <v>0.0820349</v>
      </c>
      <c r="M180" s="36">
        <v>3.49068554355659</v>
      </c>
      <c r="N180" s="73"/>
      <c r="O180" s="59">
        <v>40</v>
      </c>
      <c r="P180" s="59">
        <v>45</v>
      </c>
      <c r="Q180" s="36">
        <v>8.21832263287329E-2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0.0240156402848807</v>
      </c>
      <c r="E181" s="69">
        <v>47.5454402094677</v>
      </c>
      <c r="F181" s="73"/>
      <c r="G181" s="14" t="str">
        <f t="shared" si="9"/>
        <v>(45, 50]</v>
      </c>
      <c r="H181" s="70">
        <v>2.92364489004291</v>
      </c>
      <c r="I181" s="36">
        <v>0.070213204</v>
      </c>
      <c r="J181" s="36">
        <v>0.070213204</v>
      </c>
      <c r="K181" s="71">
        <v>70213204</v>
      </c>
      <c r="L181" s="36">
        <v>0.070213204</v>
      </c>
      <c r="M181" s="36">
        <v>3.33831769269716</v>
      </c>
      <c r="N181" s="73"/>
      <c r="O181" s="59">
        <v>45</v>
      </c>
      <c r="P181" s="59">
        <v>50</v>
      </c>
      <c r="Q181" s="36">
        <v>7.0324327281297311E-2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0.0462565998529436</v>
      </c>
      <c r="E182" s="69">
        <v>55.0131233161966</v>
      </c>
      <c r="F182" s="73"/>
      <c r="G182" s="14" t="str">
        <f t="shared" si="9"/>
        <v>(50, 60]</v>
      </c>
      <c r="H182" s="70">
        <v>1.46831112135186</v>
      </c>
      <c r="I182" s="36">
        <v>0.06791908</v>
      </c>
      <c r="J182" s="36">
        <v>0.06791908</v>
      </c>
      <c r="K182" s="71">
        <v>67919080</v>
      </c>
      <c r="L182" s="36">
        <v>0.06791908</v>
      </c>
      <c r="M182" s="36">
        <v>3.73644072356263</v>
      </c>
      <c r="N182" s="73"/>
      <c r="O182" s="59">
        <v>50</v>
      </c>
      <c r="P182" s="59">
        <v>60</v>
      </c>
      <c r="Q182" s="36">
        <v>6.8003685272014738E-2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0.0438360999897818</v>
      </c>
      <c r="E183" s="69">
        <v>65.0069959411218</v>
      </c>
      <c r="F183" s="73"/>
      <c r="G183" s="14" t="str">
        <f t="shared" si="9"/>
        <v>(60, 70]</v>
      </c>
      <c r="H183" s="70">
        <v>2.11739447673575</v>
      </c>
      <c r="I183" s="36">
        <v>0.092818316</v>
      </c>
      <c r="J183" s="36">
        <v>0.092818316</v>
      </c>
      <c r="K183" s="71">
        <v>92818316</v>
      </c>
      <c r="L183" s="36">
        <v>0.092818316</v>
      </c>
      <c r="M183" s="36">
        <v>6.03383989147376</v>
      </c>
      <c r="N183" s="73"/>
      <c r="O183" s="59">
        <v>60</v>
      </c>
      <c r="P183" s="59">
        <v>70</v>
      </c>
      <c r="Q183" s="36">
        <v>9.2892095371568381E-2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0.0416102462158699</v>
      </c>
      <c r="E184" s="69">
        <v>74.9984173650227</v>
      </c>
      <c r="F184" s="73"/>
      <c r="G184" s="14" t="str">
        <f t="shared" si="9"/>
        <v>(70, 80]</v>
      </c>
      <c r="H184" s="70">
        <v>1.06693201885135</v>
      </c>
      <c r="I184" s="36">
        <v>0.044395304</v>
      </c>
      <c r="J184" s="36">
        <v>0.044395304</v>
      </c>
      <c r="K184" s="71">
        <v>44395304</v>
      </c>
      <c r="L184" s="36">
        <v>0.044395304</v>
      </c>
      <c r="M184" s="36">
        <v>3.32957753843906</v>
      </c>
      <c r="N184" s="73"/>
      <c r="O184" s="59">
        <v>70</v>
      </c>
      <c r="P184" s="59">
        <v>80</v>
      </c>
      <c r="Q184" s="36">
        <v>4.4410593177642371E-2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0.0389033507852655</v>
      </c>
      <c r="E185" s="69">
        <v>84.9872587879612</v>
      </c>
      <c r="F185" s="73"/>
      <c r="G185" s="14" t="str">
        <f t="shared" si="9"/>
        <v>(80, 90]</v>
      </c>
      <c r="H185" s="70">
        <v>2.18327329871466</v>
      </c>
      <c r="I185" s="36">
        <v>0.084936647</v>
      </c>
      <c r="J185" s="36">
        <v>0.084936647</v>
      </c>
      <c r="K185" s="71">
        <v>84936647</v>
      </c>
      <c r="L185" s="36">
        <v>0.084936647</v>
      </c>
      <c r="M185" s="36">
        <v>7.21853279917071</v>
      </c>
      <c r="N185" s="73"/>
      <c r="O185" s="59">
        <v>80</v>
      </c>
      <c r="P185" s="59">
        <v>90</v>
      </c>
      <c r="Q185" s="36">
        <v>8.4927663339710649E-2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0.0362531914027023</v>
      </c>
      <c r="E186" s="69">
        <v>95.0008108800631</v>
      </c>
      <c r="F186" s="73"/>
      <c r="G186" s="14" t="str">
        <f t="shared" si="9"/>
        <v>(90, 100]</v>
      </c>
      <c r="H186" s="70">
        <v>0.896510010359456</v>
      </c>
      <c r="I186" s="36">
        <v>0.032501349</v>
      </c>
      <c r="J186" s="36">
        <v>0.032501349</v>
      </c>
      <c r="K186" s="71">
        <v>32501349</v>
      </c>
      <c r="L186" s="36">
        <v>0.032501349</v>
      </c>
      <c r="M186" s="36">
        <v>3.08765450969593</v>
      </c>
      <c r="N186" s="73"/>
      <c r="O186" s="59">
        <v>90</v>
      </c>
      <c r="P186" s="59">
        <v>100</v>
      </c>
      <c r="Q186" s="36">
        <v>3.2483251129933007E-2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0.0652811828537089</v>
      </c>
      <c r="E187" s="69">
        <v>109.833183739681</v>
      </c>
      <c r="F187" s="73"/>
      <c r="G187" s="14" t="str">
        <f t="shared" si="9"/>
        <v>(100, 120]</v>
      </c>
      <c r="H187" s="70">
        <v>1.16498152569365</v>
      </c>
      <c r="I187" s="36">
        <v>0.076051372</v>
      </c>
      <c r="J187" s="36">
        <v>0.076051372</v>
      </c>
      <c r="K187" s="71">
        <v>76051372</v>
      </c>
      <c r="L187" s="36">
        <v>0.076051372</v>
      </c>
      <c r="M187" s="36">
        <v>8.35296431453081</v>
      </c>
      <c r="N187" s="73"/>
      <c r="O187" s="59">
        <v>100</v>
      </c>
      <c r="P187" s="59">
        <v>120</v>
      </c>
      <c r="Q187" s="36">
        <v>7.5958238303832956E-2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0.0565664115449998</v>
      </c>
      <c r="E188" s="69">
        <v>129.812989719893</v>
      </c>
      <c r="F188" s="73"/>
      <c r="G188" s="14" t="str">
        <f t="shared" si="9"/>
        <v>(120, 140]</v>
      </c>
      <c r="H188" s="70">
        <v>0.492066055451602</v>
      </c>
      <c r="I188" s="36">
        <v>0.027834411</v>
      </c>
      <c r="J188" s="36">
        <v>0.027834411</v>
      </c>
      <c r="K188" s="71">
        <v>27834411</v>
      </c>
      <c r="L188" s="36">
        <v>0.027834411</v>
      </c>
      <c r="M188" s="36">
        <v>3.61326810900228</v>
      </c>
      <c r="N188" s="73"/>
      <c r="O188" s="59">
        <v>120</v>
      </c>
      <c r="P188" s="59">
        <v>140</v>
      </c>
      <c r="Q188" s="36">
        <v>2.7775307111101228E-2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0.049094688462646</v>
      </c>
      <c r="E189" s="69">
        <v>149.804054510364</v>
      </c>
      <c r="F189" s="73"/>
      <c r="G189" s="14" t="str">
        <f t="shared" si="9"/>
        <v>(140, 160]</v>
      </c>
      <c r="H189" s="70">
        <v>0.908093551381244</v>
      </c>
      <c r="I189" s="36">
        <v>0.04458257</v>
      </c>
      <c r="J189" s="36">
        <v>0.04458257</v>
      </c>
      <c r="K189" s="71">
        <v>44582570</v>
      </c>
      <c r="L189" s="36">
        <v>0.04458257</v>
      </c>
      <c r="M189" s="36">
        <v>6.67864974649214</v>
      </c>
      <c r="N189" s="73"/>
      <c r="O189" s="59">
        <v>140</v>
      </c>
      <c r="P189" s="59">
        <v>160</v>
      </c>
      <c r="Q189" s="36">
        <v>4.4447845177791379E-2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0.0426775127316692</v>
      </c>
      <c r="E190" s="69">
        <v>169.8081300146</v>
      </c>
      <c r="F190" s="73"/>
      <c r="G190" s="14" t="str">
        <f t="shared" si="9"/>
        <v>(160, 180]</v>
      </c>
      <c r="H190" s="70">
        <v>0.546197482186031</v>
      </c>
      <c r="I190" s="36">
        <v>0.02331035</v>
      </c>
      <c r="J190" s="36">
        <v>0.02331035</v>
      </c>
      <c r="K190" s="71">
        <v>23310350</v>
      </c>
      <c r="L190" s="36">
        <v>0.02331035</v>
      </c>
      <c r="M190" s="36">
        <v>3.95828694348583</v>
      </c>
      <c r="N190" s="73"/>
      <c r="O190" s="59">
        <v>160</v>
      </c>
      <c r="P190" s="59">
        <v>180</v>
      </c>
      <c r="Q190" s="36">
        <v>2.3218968092875873E-2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0.036919446959298</v>
      </c>
      <c r="E191" s="69">
        <v>189.806946546565</v>
      </c>
      <c r="F191" s="73"/>
      <c r="G191" s="14" t="str">
        <f t="shared" si="9"/>
        <v>(180, 200]</v>
      </c>
      <c r="H191" s="70">
        <v>0.722264827785683</v>
      </c>
      <c r="I191" s="36">
        <v>0.026665618</v>
      </c>
      <c r="J191" s="36">
        <v>0.026665618</v>
      </c>
      <c r="K191" s="71">
        <v>26665618</v>
      </c>
      <c r="L191" s="36">
        <v>0.026665618</v>
      </c>
      <c r="M191" s="36">
        <v>5.06131953035713</v>
      </c>
      <c r="N191" s="73"/>
      <c r="O191" s="59">
        <v>180</v>
      </c>
      <c r="P191" s="59">
        <v>200</v>
      </c>
      <c r="Q191" s="36">
        <v>2.6537158106148633E-2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0.0733742871372805</v>
      </c>
      <c r="E192" s="69">
        <v>223.65058694293</v>
      </c>
      <c r="F192" s="73"/>
      <c r="G192" s="14" t="str">
        <f t="shared" si="9"/>
        <v>(200, 250]</v>
      </c>
      <c r="H192" s="70">
        <v>0.004810867863555</v>
      </c>
      <c r="I192" s="36">
        <v>0.000352994</v>
      </c>
      <c r="J192" s="36">
        <v>0.000352994</v>
      </c>
      <c r="K192" s="71">
        <v>352994</v>
      </c>
      <c r="L192" s="36">
        <v>0.000352994</v>
      </c>
      <c r="M192" s="36">
        <v>0.0789473152873327</v>
      </c>
      <c r="N192" s="73"/>
      <c r="O192" s="59">
        <v>200</v>
      </c>
      <c r="P192" s="59">
        <v>250</v>
      </c>
      <c r="Q192" s="36">
        <v>2.57029001028116E-4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0.0529686029569914</v>
      </c>
      <c r="E193" s="69">
        <v>273.760932365273</v>
      </c>
      <c r="F193" s="73"/>
      <c r="G193" s="14" t="str">
        <f t="shared" si="9"/>
        <v>(250, 300]</v>
      </c>
      <c r="H193" s="70">
        <v>0.00544437617571593</v>
      </c>
      <c r="I193" s="36">
        <v>0.000288381</v>
      </c>
      <c r="J193" s="36">
        <v>0.000288381</v>
      </c>
      <c r="K193" s="71">
        <v>288381</v>
      </c>
      <c r="L193" s="36">
        <v>0.000288381</v>
      </c>
      <c r="M193" s="36">
        <v>0.0789474514364298</v>
      </c>
      <c r="N193" s="73"/>
      <c r="O193" s="59">
        <v>250</v>
      </c>
      <c r="P193" s="59">
        <v>300</v>
      </c>
      <c r="Q193" s="36">
        <v>2.1018300084073201E-4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0.0391654513195419</v>
      </c>
      <c r="E194" s="69">
        <v>323.786974234911</v>
      </c>
      <c r="F194" s="73"/>
      <c r="G194" s="14" t="str">
        <f t="shared" si="9"/>
        <v>(300, 350]</v>
      </c>
      <c r="H194" s="70">
        <v>0.00622551232745126</v>
      </c>
      <c r="I194" s="36">
        <v>0.000243825</v>
      </c>
      <c r="J194" s="36">
        <v>0.000243825</v>
      </c>
      <c r="K194" s="71">
        <v>243825</v>
      </c>
      <c r="L194" s="36">
        <v>0.000243825</v>
      </c>
      <c r="M194" s="36">
        <v>0.0789473589928271</v>
      </c>
      <c r="N194" s="73"/>
      <c r="O194" s="59">
        <v>300</v>
      </c>
      <c r="P194" s="59">
        <v>350</v>
      </c>
      <c r="Q194" s="36">
        <v>1.7779900071119599E-4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0.0293584039020682</v>
      </c>
      <c r="E195" s="69">
        <v>373.890811225235</v>
      </c>
      <c r="F195" s="73"/>
      <c r="G195" s="14" t="str">
        <f t="shared" ref="G195:G226" si="11">"("&amp;$O195&amp;", "&amp;$P195&amp;"]"</f>
        <v>(350, 400]</v>
      </c>
      <c r="H195" s="70">
        <v>0.00719218254181473</v>
      </c>
      <c r="I195" s="36">
        <v>0.000211151</v>
      </c>
      <c r="J195" s="36">
        <v>0.000211151</v>
      </c>
      <c r="K195" s="71">
        <v>211151</v>
      </c>
      <c r="L195" s="36">
        <v>0.000211151</v>
      </c>
      <c r="M195" s="36">
        <v>0.0789474186810196</v>
      </c>
      <c r="N195" s="73"/>
      <c r="O195" s="59">
        <v>350</v>
      </c>
      <c r="P195" s="59">
        <v>400</v>
      </c>
      <c r="Q195" s="36">
        <v>1.5404400061617599E-4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0.0222916933137925</v>
      </c>
      <c r="E196" s="69">
        <v>423.919475644626</v>
      </c>
      <c r="F196" s="73"/>
      <c r="G196" s="14" t="str">
        <f t="shared" si="11"/>
        <v>(400, 450]</v>
      </c>
      <c r="H196" s="70">
        <v>0.0083543227236476</v>
      </c>
      <c r="I196" s="36">
        <v>0.000186232</v>
      </c>
      <c r="J196" s="36">
        <v>0.000186232</v>
      </c>
      <c r="K196" s="71">
        <v>186232</v>
      </c>
      <c r="L196" s="36">
        <v>0.000186232</v>
      </c>
      <c r="M196" s="36">
        <v>0.0789473717882499</v>
      </c>
      <c r="N196" s="73"/>
      <c r="O196" s="59">
        <v>400</v>
      </c>
      <c r="P196" s="59">
        <v>450</v>
      </c>
      <c r="Q196" s="36">
        <v>1.3590700054362799E-4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0.0173599444929948</v>
      </c>
      <c r="E197" s="69">
        <v>474.054057691833</v>
      </c>
      <c r="F197" s="73"/>
      <c r="G197" s="14" t="str">
        <f t="shared" si="11"/>
        <v>(450, 500]</v>
      </c>
      <c r="H197" s="70">
        <v>0.00959317583458876</v>
      </c>
      <c r="I197" s="36">
        <v>0.000166537</v>
      </c>
      <c r="J197" s="36">
        <v>0.000166537</v>
      </c>
      <c r="K197" s="71">
        <v>166537</v>
      </c>
      <c r="L197" s="36">
        <v>0.000166537</v>
      </c>
      <c r="M197" s="36">
        <v>0.0789475406058247</v>
      </c>
      <c r="N197" s="73"/>
      <c r="O197" s="59">
        <v>450</v>
      </c>
      <c r="P197" s="59">
        <v>500</v>
      </c>
      <c r="Q197" s="36">
        <v>1.2157900048631601E-4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0.013697539699156</v>
      </c>
      <c r="E198" s="69">
        <v>523.985656678422</v>
      </c>
      <c r="F198" s="73"/>
      <c r="G198" s="14" t="str">
        <f t="shared" si="11"/>
        <v>(500, 550]</v>
      </c>
      <c r="H198" s="70">
        <v>0.0109995665870772</v>
      </c>
      <c r="I198" s="36">
        <v>0.000150667</v>
      </c>
      <c r="J198" s="36">
        <v>0.000150667</v>
      </c>
      <c r="K198" s="71">
        <v>150667</v>
      </c>
      <c r="L198" s="36">
        <v>0.000150667</v>
      </c>
      <c r="M198" s="36">
        <v>0.0789473469347678</v>
      </c>
      <c r="N198" s="73"/>
      <c r="O198" s="59">
        <v>500</v>
      </c>
      <c r="P198" s="59">
        <v>550</v>
      </c>
      <c r="Q198" s="36">
        <v>1.0998100043992401E-4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0.0108886051292531</v>
      </c>
      <c r="E199" s="69">
        <v>574.141806775078</v>
      </c>
      <c r="F199" s="73"/>
      <c r="G199" s="14" t="str">
        <f t="shared" si="11"/>
        <v>(550, 600]</v>
      </c>
      <c r="H199" s="70">
        <v>0.0126283392930267</v>
      </c>
      <c r="I199" s="36">
        <v>0.000137505</v>
      </c>
      <c r="J199" s="36">
        <v>0.000137505</v>
      </c>
      <c r="K199" s="71">
        <v>137505</v>
      </c>
      <c r="L199" s="36">
        <v>0.000137505</v>
      </c>
      <c r="M199" s="36">
        <v>0.0789473691406072</v>
      </c>
      <c r="N199" s="73"/>
      <c r="O199" s="59">
        <v>550</v>
      </c>
      <c r="P199" s="59">
        <v>600</v>
      </c>
      <c r="Q199" s="36">
        <v>1.0041100040164401E-4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0.00872777629705108</v>
      </c>
      <c r="E200" s="69">
        <v>624.067682697189</v>
      </c>
      <c r="F200" s="73"/>
      <c r="G200" s="14" t="str">
        <f t="shared" si="11"/>
        <v>(600, 650]</v>
      </c>
      <c r="H200" s="70">
        <v>0.014494413662131</v>
      </c>
      <c r="I200" s="36">
        <v>0.000126504</v>
      </c>
      <c r="J200" s="36">
        <v>0.000126504</v>
      </c>
      <c r="K200" s="71">
        <v>126504</v>
      </c>
      <c r="L200" s="36">
        <v>0.000126504</v>
      </c>
      <c r="M200" s="36">
        <v>0.0789470581319251</v>
      </c>
      <c r="N200" s="73"/>
      <c r="O200" s="59">
        <v>600</v>
      </c>
      <c r="P200" s="59">
        <v>650</v>
      </c>
      <c r="Q200" s="36">
        <v>9.2374000369495999E-5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0.00707485656998434</v>
      </c>
      <c r="E201" s="69">
        <v>674.227158872841</v>
      </c>
      <c r="F201" s="73"/>
      <c r="G201" s="14" t="str">
        <f t="shared" si="11"/>
        <v>(650, 700]</v>
      </c>
      <c r="H201" s="70">
        <v>0.0165505828763761</v>
      </c>
      <c r="I201" s="36">
        <v>0.000117093</v>
      </c>
      <c r="J201" s="36">
        <v>0.000117093</v>
      </c>
      <c r="K201" s="71">
        <v>117093</v>
      </c>
      <c r="L201" s="36">
        <v>0.000117093</v>
      </c>
      <c r="M201" s="36">
        <v>0.0789472807138976</v>
      </c>
      <c r="N201" s="73"/>
      <c r="O201" s="59">
        <v>650</v>
      </c>
      <c r="P201" s="59">
        <v>700</v>
      </c>
      <c r="Q201" s="36">
        <v>8.5529000342115998E-5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0.00584309838845329</v>
      </c>
      <c r="E202" s="69">
        <v>724.313337083598</v>
      </c>
      <c r="F202" s="73"/>
      <c r="G202" s="14" t="str">
        <f t="shared" si="11"/>
        <v>(700, 750]</v>
      </c>
      <c r="H202" s="70">
        <v>0.0186538019307342</v>
      </c>
      <c r="I202" s="36">
        <v>0.000108996</v>
      </c>
      <c r="J202" s="36">
        <v>0.000108996</v>
      </c>
      <c r="K202" s="71">
        <v>108996</v>
      </c>
      <c r="L202" s="36">
        <v>0.000108996</v>
      </c>
      <c r="M202" s="36">
        <v>0.0789472564887639</v>
      </c>
      <c r="N202" s="73"/>
      <c r="O202" s="59">
        <v>700</v>
      </c>
      <c r="P202" s="59">
        <v>750</v>
      </c>
      <c r="Q202" s="36">
        <v>7.9613000318451996E-5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0.00483857022300697</v>
      </c>
      <c r="E203" s="69">
        <v>774.253977021</v>
      </c>
      <c r="F203" s="73"/>
      <c r="G203" s="14" t="str">
        <f t="shared" si="11"/>
        <v>(750, 800]</v>
      </c>
      <c r="H203" s="70">
        <v>0.021073580686121</v>
      </c>
      <c r="I203" s="36">
        <v>0.000101966</v>
      </c>
      <c r="J203" s="36">
        <v>0.000101966</v>
      </c>
      <c r="K203" s="71">
        <v>101966</v>
      </c>
      <c r="L203" s="36">
        <v>0.000101966</v>
      </c>
      <c r="M203" s="36">
        <v>0.0789475810209233</v>
      </c>
      <c r="N203" s="73"/>
      <c r="O203" s="59">
        <v>750</v>
      </c>
      <c r="P203" s="59">
        <v>800</v>
      </c>
      <c r="Q203" s="36">
        <v>7.4479000297916005E-5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0.00404312225475057</v>
      </c>
      <c r="E204" s="69">
        <v>824.294535364604</v>
      </c>
      <c r="F204" s="73"/>
      <c r="G204" s="14" t="str">
        <f t="shared" si="11"/>
        <v>(800, 850]</v>
      </c>
      <c r="H204" s="70">
        <v>0.0236886232879714</v>
      </c>
      <c r="I204" s="36">
        <v>9.5776e-05</v>
      </c>
      <c r="J204" s="36">
        <v>9.5776e-05</v>
      </c>
      <c r="K204" s="71">
        <v>95776</v>
      </c>
      <c r="L204" s="36">
        <v>9.5776e-05</v>
      </c>
      <c r="M204" s="36">
        <v>0.0789476334190803</v>
      </c>
      <c r="N204" s="73"/>
      <c r="O204" s="59">
        <v>800</v>
      </c>
      <c r="P204" s="59">
        <v>850</v>
      </c>
      <c r="Q204" s="36">
        <v>6.9963000279851996E-5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0.00337629505031573</v>
      </c>
      <c r="E205" s="69">
        <v>874.28097989418</v>
      </c>
      <c r="F205" s="73"/>
      <c r="G205" s="14" t="str">
        <f t="shared" si="11"/>
        <v>(850, 900]</v>
      </c>
      <c r="H205" s="70">
        <v>0.0267452928888889</v>
      </c>
      <c r="I205" s="36">
        <v>9.03e-05</v>
      </c>
      <c r="J205" s="36">
        <v>9.03e-05</v>
      </c>
      <c r="K205" s="72">
        <v>90300</v>
      </c>
      <c r="L205" s="36">
        <v>9.03e-05</v>
      </c>
      <c r="M205" s="36">
        <v>0.0789475724844445</v>
      </c>
      <c r="N205" s="73"/>
      <c r="O205" s="59">
        <v>850</v>
      </c>
      <c r="P205" s="59">
        <v>900</v>
      </c>
      <c r="Q205" s="36">
        <v>6.5954000263816E-5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0.00287353077573326</v>
      </c>
      <c r="E206" s="69">
        <v>924.383433630079</v>
      </c>
      <c r="F206" s="73"/>
      <c r="G206" s="14" t="str">
        <f t="shared" si="11"/>
        <v>(900, 950]</v>
      </c>
      <c r="H206" s="70">
        <v>0.0297212755545332</v>
      </c>
      <c r="I206" s="36">
        <v>8.5405e-05</v>
      </c>
      <c r="J206" s="36">
        <v>8.5405e-05</v>
      </c>
      <c r="K206" s="72">
        <v>85405</v>
      </c>
      <c r="L206" s="36">
        <v>8.5405e-05</v>
      </c>
      <c r="M206" s="36">
        <v>0.0789469671491769</v>
      </c>
      <c r="N206" s="73"/>
      <c r="O206" s="59">
        <v>900</v>
      </c>
      <c r="P206" s="59">
        <v>950</v>
      </c>
      <c r="Q206" s="36">
        <v>6.2395000249580008E-5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0.00242964622858911</v>
      </c>
      <c r="E207" s="69">
        <v>974.312863949179</v>
      </c>
      <c r="F207" s="73"/>
      <c r="G207" s="14" t="str">
        <f t="shared" si="11"/>
        <v>(950, 1000]</v>
      </c>
      <c r="H207" s="70">
        <v>0.0333501227654256</v>
      </c>
      <c r="I207" s="36">
        <v>8.1029e-05</v>
      </c>
      <c r="J207" s="36">
        <v>8.1029e-05</v>
      </c>
      <c r="K207" s="72">
        <v>81029</v>
      </c>
      <c r="L207" s="36">
        <v>8.1029e-05</v>
      </c>
      <c r="M207" s="36">
        <v>0.0789475970529381</v>
      </c>
      <c r="N207" s="73"/>
      <c r="O207" s="59">
        <v>950</v>
      </c>
      <c r="P207" s="59">
        <v>1000</v>
      </c>
      <c r="Q207" s="36">
        <v>5.9184000236736E-5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0.0156338538425096</v>
      </c>
      <c r="E208" s="69">
        <v>1312.89289181407</v>
      </c>
      <c r="F208" s="73"/>
      <c r="G208" s="14" t="str">
        <f t="shared" si="11"/>
        <v>(1000, 2000]</v>
      </c>
      <c r="H208" s="70">
        <v>0.00384626852762923</v>
      </c>
      <c r="I208" s="36">
        <v>6.0132e-05</v>
      </c>
      <c r="J208" s="36">
        <v>6.0132e-05</v>
      </c>
      <c r="K208" s="72">
        <v>60132</v>
      </c>
      <c r="L208" s="36">
        <v>6.0132e-05</v>
      </c>
      <c r="M208" s="36">
        <v>0.0789468753705636</v>
      </c>
      <c r="N208" s="73"/>
      <c r="O208" s="59">
        <v>1000</v>
      </c>
      <c r="P208" s="59">
        <v>2000</v>
      </c>
      <c r="Q208" s="36">
        <v>4.1541000166163999E-5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0.00190444477631777</v>
      </c>
      <c r="E209" s="69">
        <v>2366.73303316824</v>
      </c>
      <c r="F209" s="73"/>
      <c r="G209" s="14" t="str">
        <f t="shared" si="11"/>
        <v>(2000, 3000]</v>
      </c>
      <c r="H209" s="70">
        <v>0.0350306823435389</v>
      </c>
      <c r="I209" s="36">
        <v>6.6714e-05</v>
      </c>
      <c r="J209" s="36">
        <v>6.6714e-05</v>
      </c>
      <c r="K209" s="72">
        <v>66714</v>
      </c>
      <c r="L209" s="36">
        <v>6.6714e-05</v>
      </c>
      <c r="M209" s="36">
        <v>0.157894227574786</v>
      </c>
      <c r="N209" s="73"/>
      <c r="O209" s="59">
        <v>2000</v>
      </c>
      <c r="P209" s="59">
        <v>3000</v>
      </c>
      <c r="Q209" s="36">
        <v>4.7610000190440003E-5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0.000419160778098456</v>
      </c>
      <c r="E210" s="69">
        <v>3391.57971360382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1.6768000067072002E-5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0.000126048348545121</v>
      </c>
      <c r="E211" s="69">
        <v>4412.37069160998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1.2962000051848E-5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4.25877640209137e-05</v>
      </c>
      <c r="E212" s="69">
        <v>5448.61627516779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1.0571000042284001E-5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1.6577787337e-05</v>
      </c>
      <c r="E213" s="69">
        <v>6448.38362068966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8.9280000357119999E-6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7.86015778909482e-06</v>
      </c>
      <c r="E214" s="69">
        <v>7382.78090909091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7.7290000309159996E-6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3.14406311563793e-06</v>
      </c>
      <c r="E215" s="69">
        <v>8561.77045454545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6.813000027252E-6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1.57203155781896e-06</v>
      </c>
      <c r="E216" s="69">
        <v>9565.71363636364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1.85785547742241e-06</v>
      </c>
      <c r="E217" s="69">
        <v>11453.0923076923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4.4610000178440003E-6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0.720000015561811</v>
      </c>
      <c r="D7" s="40">
        <f>SUM(_xlfn.ANCHORARRAY(M86))*F7</f>
        <v>0.209999941211268</v>
      </c>
      <c r="E7" s="41">
        <f>SUM(C7:D7)</f>
        <v>0.929999956773079</v>
      </c>
      <c r="F7" s="42">
        <f>L79</f>
        <v>0.003577802</v>
      </c>
      <c r="G7" s="43">
        <f>1/F7</f>
        <v>279.501213314767</v>
      </c>
      <c r="H7" s="44">
        <f>D7*G7</f>
        <v>58.6952383645792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1.17381368209676</v>
      </c>
      <c r="I15" s="36" cm="1">
        <f t="array" ref="I15:I79">D15:D79*H15:H79</f>
        <v>0.733362425</v>
      </c>
      <c r="J15" s="36" cm="1">
        <f t="array" ref="J15:J78">I15:I78/SUM(I15:I78)</f>
        <v>0.733362425</v>
      </c>
      <c r="K15" s="71" cm="1">
        <f t="array" ref="K15:K79">INT(J15:J79*$B$2)</f>
        <v>733362425</v>
      </c>
      <c r="L15" s="36" cm="1">
        <f t="array" ref="L15:L79">_xlfn.LET(_xlpm.x, K15:K79, _xlpm.x/SUM(_xlpm.x))</f>
        <v>0.730738599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0.73073984072165266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0.14654739673645564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4.2939229299255859E-2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0.597429617329187</v>
      </c>
      <c r="I18" s="36">
        <v>0.019740552</v>
      </c>
      <c r="J18" s="36">
        <v>0.019740552</v>
      </c>
      <c r="K18" s="71">
        <v>19740552</v>
      </c>
      <c r="L18" s="36">
        <v>0.019669924</v>
      </c>
      <c r="M18" s="36">
        <v>0.0497960159065806</v>
      </c>
      <c r="N18" s="73"/>
      <c r="O18" s="59">
        <v>2</v>
      </c>
      <c r="P18" s="59">
        <v>3</v>
      </c>
      <c r="Q18" s="36">
        <v>1.9669834528320721E-2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1.2065461163937171E-2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7.8339141639411584E-3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6.0445620991432733E-3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3.2537100691937596E-3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0.408928792008118</v>
      </c>
      <c r="I23" s="36">
        <v>0.00366142</v>
      </c>
      <c r="J23" s="36">
        <v>0.00366142</v>
      </c>
      <c r="K23" s="71">
        <v>3661420</v>
      </c>
      <c r="L23" s="36">
        <v>0.00364832</v>
      </c>
      <c r="M23" s="36">
        <v>0.0274806835869259</v>
      </c>
      <c r="N23" s="73"/>
      <c r="O23" s="59">
        <v>7</v>
      </c>
      <c r="P23" s="59">
        <v>8</v>
      </c>
      <c r="Q23" s="36">
        <v>3.6482583846793098E-3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2.9513557175441557E-3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1.9136158770646338E-3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1.0123712302544581E-2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4.339527280709049E-3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2.4218001656569838E-3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1.929978125971957E-3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3"/>
        <v>(80, 90]</v>
      </c>
      <c r="H108" s="70">
        <v>3.95954962466477</v>
      </c>
      <c r="I108" s="36">
        <v>0.154039748</v>
      </c>
      <c r="J108" s="36">
        <v>0.154039748</v>
      </c>
      <c r="K108" s="71">
        <v>154039748</v>
      </c>
      <c r="L108" s="36">
        <v>0.154039748</v>
      </c>
      <c r="M108" s="36">
        <v>13.0914159269083</v>
      </c>
      <c r="N108" s="73"/>
      <c r="O108" s="59">
        <v>80</v>
      </c>
      <c r="P108" s="59">
        <v>90</v>
      </c>
      <c r="Q108" s="36">
        <v>0.15384678199999999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3"/>
        <v>(90, 100]</v>
      </c>
      <c r="H109" s="81">
        <v>1.70038522444137</v>
      </c>
      <c r="I109" s="79">
        <v>0.061644391</v>
      </c>
      <c r="J109" s="79">
        <v>0.061644391</v>
      </c>
      <c r="K109" s="71">
        <v>61644391</v>
      </c>
      <c r="L109" s="79">
        <v>0.061644391</v>
      </c>
      <c r="M109" s="79">
        <v>5.85626713120766</v>
      </c>
      <c r="N109" s="73"/>
      <c r="O109" s="59">
        <v>90</v>
      </c>
      <c r="P109" s="59">
        <v>100</v>
      </c>
      <c r="Q109" s="36">
        <v>6.1537794E-2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10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/>
    </row>
    <row r="6" spans="1:3" x14ac:dyDescent="0.3">
      <c r="B6" s="15" t="s">
        <v>83</v>
      </c>
      <c r="C6" s="22"/>
    </row>
    <row r="7" spans="1:3" x14ac:dyDescent="0.3">
      <c r="A7" s="21"/>
      <c r="B7" s="15" t="s">
        <v>84</v>
      </c>
      <c r="C7" s="22"/>
    </row>
    <row r="8" spans="1:3" x14ac:dyDescent="0.3">
      <c r="B8" s="15" t="s">
        <v>85</v>
      </c>
      <c r="C8" s="22"/>
    </row>
    <row r="9" spans="1:3" x14ac:dyDescent="0.3">
      <c r="A9" s="21"/>
      <c r="B9" s="15" t="s">
        <v>86</v>
      </c>
      <c r="C9" s="22"/>
    </row>
    <row r="10" spans="1:3" x14ac:dyDescent="0.3">
      <c r="B10" s="13"/>
      <c r="C10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2026-08-11T02:25:05Z</dcterms:modified>
</cp:coreProperties>
</file>